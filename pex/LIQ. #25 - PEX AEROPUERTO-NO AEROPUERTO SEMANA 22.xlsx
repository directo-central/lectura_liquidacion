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ssica Davila\DIRECTO Dropbox\Jessica Dávila\CONSOLIDADO PAGOS Y PEX\PEX\"/>
    </mc:Choice>
  </mc:AlternateContent>
  <xr:revisionPtr revIDLastSave="0" documentId="13_ncr:1_{62EBDF42-54F0-4953-8489-C2019D8C38D8}" xr6:coauthVersionLast="47" xr6:coauthVersionMax="47" xr10:uidLastSave="{00000000-0000-0000-0000-000000000000}"/>
  <bookViews>
    <workbookView xWindow="-120" yWindow="-120" windowWidth="29040" windowHeight="15720" tabRatio="818" firstSheet="1" activeTab="4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  <externalReference r:id="rId8"/>
  </externalReferences>
  <definedNames>
    <definedName name="_xlnm._FilterDatabase" localSheetId="5" hidden="1">CONDUCTORES!#REF!</definedName>
    <definedName name="_xlnm._FilterDatabase" localSheetId="1" hidden="1">'VALIDACION PEX'!$A$1:$D$5069</definedName>
  </definedNames>
  <calcPr calcId="191028"/>
  <pivotCaches>
    <pivotCache cacheId="20" r:id="rId9"/>
    <pivotCache cacheId="2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9" i="10" l="1"/>
  <c r="G479" i="10"/>
  <c r="G460" i="10"/>
  <c r="G417" i="10"/>
  <c r="G409" i="10"/>
  <c r="G388" i="10"/>
  <c r="G374" i="10"/>
  <c r="G344" i="10"/>
  <c r="G337" i="10"/>
  <c r="G335" i="10"/>
  <c r="G286" i="10"/>
  <c r="G282" i="10"/>
  <c r="G276" i="10"/>
  <c r="G275" i="10"/>
  <c r="G240" i="10"/>
  <c r="G219" i="10"/>
  <c r="G203" i="10"/>
  <c r="G201" i="10"/>
  <c r="G184" i="10"/>
  <c r="G163" i="10"/>
  <c r="G148" i="10"/>
  <c r="G131" i="10"/>
  <c r="G111" i="10"/>
  <c r="G97" i="10"/>
  <c r="G78" i="10"/>
  <c r="G70" i="10"/>
  <c r="G42" i="10"/>
  <c r="G36" i="10"/>
  <c r="G31" i="10"/>
  <c r="G25" i="10"/>
  <c r="G21" i="10"/>
  <c r="G19" i="10"/>
  <c r="G17" i="10"/>
  <c r="G11" i="10"/>
  <c r="G3" i="10"/>
  <c r="G4" i="10"/>
  <c r="G5" i="10"/>
  <c r="G6" i="10"/>
  <c r="G7" i="10"/>
  <c r="G8" i="10"/>
  <c r="G9" i="10"/>
  <c r="G10" i="10"/>
  <c r="G12" i="10"/>
  <c r="G13" i="10"/>
  <c r="G14" i="10"/>
  <c r="G15" i="10"/>
  <c r="G16" i="10"/>
  <c r="G18" i="10"/>
  <c r="G20" i="10"/>
  <c r="G22" i="10"/>
  <c r="G23" i="10"/>
  <c r="G24" i="10"/>
  <c r="G26" i="10"/>
  <c r="G27" i="10"/>
  <c r="G28" i="10"/>
  <c r="G29" i="10"/>
  <c r="G30" i="10"/>
  <c r="G32" i="10"/>
  <c r="G33" i="10"/>
  <c r="G34" i="10"/>
  <c r="G35" i="10"/>
  <c r="G37" i="10"/>
  <c r="G38" i="10"/>
  <c r="G39" i="10"/>
  <c r="G40" i="10"/>
  <c r="G41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1" i="10"/>
  <c r="G72" i="10"/>
  <c r="G73" i="10"/>
  <c r="G74" i="10"/>
  <c r="G75" i="10"/>
  <c r="G76" i="10"/>
  <c r="G77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2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7" i="10"/>
  <c r="G278" i="10"/>
  <c r="G279" i="10"/>
  <c r="G280" i="10"/>
  <c r="G281" i="10"/>
  <c r="G283" i="10"/>
  <c r="G284" i="10"/>
  <c r="G285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6" i="10"/>
  <c r="G338" i="10"/>
  <c r="G339" i="10"/>
  <c r="G340" i="10"/>
  <c r="G341" i="10"/>
  <c r="G342" i="10"/>
  <c r="G343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10" i="10"/>
  <c r="G411" i="10"/>
  <c r="G412" i="10"/>
  <c r="G413" i="10"/>
  <c r="G414" i="10"/>
  <c r="G415" i="10"/>
  <c r="G416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80" i="10"/>
  <c r="G481" i="10"/>
  <c r="G482" i="10"/>
  <c r="G483" i="10"/>
  <c r="G484" i="10"/>
  <c r="G485" i="10"/>
  <c r="G486" i="10"/>
  <c r="G487" i="10"/>
  <c r="G488" i="10"/>
  <c r="G490" i="10"/>
  <c r="G491" i="10"/>
  <c r="G492" i="10"/>
  <c r="G493" i="10"/>
  <c r="G494" i="10"/>
  <c r="G495" i="10"/>
  <c r="G496" i="10"/>
  <c r="G2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B470" i="10"/>
  <c r="B471" i="10"/>
  <c r="B472" i="10"/>
  <c r="B473" i="10"/>
  <c r="B474" i="10"/>
  <c r="B475" i="10"/>
  <c r="B476" i="10"/>
  <c r="C470" i="10"/>
  <c r="C471" i="10"/>
  <c r="C472" i="10"/>
  <c r="C473" i="10"/>
  <c r="C474" i="10"/>
  <c r="C475" i="10"/>
  <c r="C476" i="10"/>
  <c r="D470" i="10"/>
  <c r="D471" i="10"/>
  <c r="D472" i="10"/>
  <c r="D473" i="10"/>
  <c r="D474" i="10"/>
  <c r="D475" i="10"/>
  <c r="D476" i="10"/>
  <c r="E470" i="10"/>
  <c r="E471" i="10"/>
  <c r="E472" i="10"/>
  <c r="E473" i="10"/>
  <c r="E474" i="10"/>
  <c r="E475" i="10"/>
  <c r="E476" i="10"/>
  <c r="B459" i="10"/>
  <c r="B460" i="10"/>
  <c r="B461" i="10"/>
  <c r="B462" i="10"/>
  <c r="B463" i="10"/>
  <c r="B464" i="10"/>
  <c r="B465" i="10"/>
  <c r="B466" i="10"/>
  <c r="B467" i="10"/>
  <c r="B468" i="10"/>
  <c r="B469" i="10"/>
  <c r="C459" i="10"/>
  <c r="C460" i="10"/>
  <c r="C461" i="10"/>
  <c r="C462" i="10"/>
  <c r="C463" i="10"/>
  <c r="C464" i="10"/>
  <c r="C465" i="10"/>
  <c r="C466" i="10"/>
  <c r="C467" i="10"/>
  <c r="C468" i="10"/>
  <c r="C469" i="10"/>
  <c r="D459" i="10"/>
  <c r="D460" i="10"/>
  <c r="D461" i="10"/>
  <c r="D462" i="10"/>
  <c r="D463" i="10"/>
  <c r="D464" i="10"/>
  <c r="D465" i="10"/>
  <c r="D466" i="10"/>
  <c r="D467" i="10"/>
  <c r="D468" i="10"/>
  <c r="D469" i="10"/>
  <c r="E459" i="10"/>
  <c r="E460" i="10"/>
  <c r="E461" i="10"/>
  <c r="E462" i="10"/>
  <c r="E463" i="10"/>
  <c r="E464" i="10"/>
  <c r="E465" i="10"/>
  <c r="E466" i="10"/>
  <c r="E467" i="10"/>
  <c r="E468" i="10"/>
  <c r="E469" i="10"/>
  <c r="B448" i="10"/>
  <c r="C448" i="10"/>
  <c r="D448" i="10"/>
  <c r="E448" i="10"/>
  <c r="F480" i="10" l="1"/>
  <c r="F482" i="10"/>
  <c r="F481" i="10"/>
  <c r="F493" i="10"/>
  <c r="F489" i="10"/>
  <c r="F484" i="10"/>
  <c r="F492" i="10"/>
  <c r="F487" i="10"/>
  <c r="F483" i="10"/>
  <c r="F477" i="10"/>
  <c r="F485" i="10"/>
  <c r="F491" i="10"/>
  <c r="F479" i="10"/>
  <c r="F478" i="10"/>
  <c r="F486" i="10"/>
  <c r="F490" i="10"/>
  <c r="F488" i="10"/>
  <c r="F496" i="10"/>
  <c r="F495" i="10"/>
  <c r="F494" i="10"/>
  <c r="F475" i="10"/>
  <c r="F474" i="10"/>
  <c r="F470" i="10"/>
  <c r="F473" i="10"/>
  <c r="F476" i="10"/>
  <c r="F471" i="10"/>
  <c r="F472" i="10"/>
  <c r="F464" i="10"/>
  <c r="F465" i="10"/>
  <c r="F461" i="10"/>
  <c r="F469" i="10"/>
  <c r="F460" i="10"/>
  <c r="F459" i="10"/>
  <c r="F468" i="10"/>
  <c r="F467" i="10"/>
  <c r="F466" i="10"/>
  <c r="F463" i="10"/>
  <c r="F462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B458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97" i="10" l="1"/>
  <c r="B497" i="10"/>
  <c r="C497" i="10"/>
  <c r="D497" i="10"/>
  <c r="F446" i="10"/>
  <c r="F438" i="10"/>
  <c r="F454" i="10"/>
  <c r="F457" i="10"/>
  <c r="F449" i="10"/>
  <c r="F440" i="10"/>
  <c r="F455" i="10"/>
  <c r="F456" i="10"/>
  <c r="F447" i="10"/>
  <c r="F439" i="10"/>
  <c r="F458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F497" i="10" s="1"/>
  <c r="W1" i="2"/>
  <c r="C1" i="2"/>
  <c r="D1" i="6"/>
  <c r="S1" i="2"/>
  <c r="I1" i="6"/>
  <c r="K1" i="2"/>
  <c r="O1" i="2"/>
  <c r="G1" i="2"/>
</calcChain>
</file>

<file path=xl/sharedStrings.xml><?xml version="1.0" encoding="utf-8"?>
<sst xmlns="http://schemas.openxmlformats.org/spreadsheetml/2006/main" count="20987" uniqueCount="1333">
  <si>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</si>
  <si>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</si>
  <si>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</si>
  <si>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</si>
  <si>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</si>
  <si>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</si>
  <si>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</si>
  <si>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</si>
  <si>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</si>
  <si>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</si>
  <si>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</si>
  <si>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</si>
  <si>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</si>
  <si>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</si>
  <si>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</si>
  <si>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</si>
  <si>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Plaza</t>
  </si>
  <si>
    <t>Importe</t>
  </si>
  <si>
    <t>Nro Comprobante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</si>
  <si>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</si>
  <si>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</si>
  <si>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</si>
  <si>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</si>
  <si>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</si>
  <si>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</si>
  <si>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</si>
  <si>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</si>
  <si>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</si>
  <si>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</si>
  <si>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</si>
  <si>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</si>
  <si>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</si>
  <si>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</si>
  <si>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</si>
  <si>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</si>
  <si>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DESCONTAR</t>
  </si>
  <si>
    <t>DESCONTAR POR INCIDENCIA</t>
  </si>
  <si>
    <t>DESCONTAR SERVICIO EN EFECTIVO</t>
  </si>
  <si>
    <t>DESCONTAR POR USO PERSONAL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</si>
  <si>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</si>
  <si>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</si>
  <si>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</si>
  <si>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</si>
  <si>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</si>
  <si>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</si>
  <si>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</si>
  <si>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</si>
  <si>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</si>
  <si>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</si>
  <si>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</si>
  <si>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COBRO POR NUEVA INCLUSIÓN</t>
  </si>
  <si>
    <t>ABI163</t>
  </si>
  <si>
    <t>PEX ACTIVO</t>
  </si>
  <si>
    <t>BXG178</t>
  </si>
  <si>
    <t>BFT573</t>
  </si>
  <si>
    <t>AJV272</t>
  </si>
  <si>
    <t>BEI573</t>
  </si>
  <si>
    <t>AJN307</t>
  </si>
  <si>
    <t>BNV261</t>
  </si>
  <si>
    <t>AWS012</t>
  </si>
  <si>
    <t>AMZ092</t>
  </si>
  <si>
    <t>ADZ371</t>
  </si>
  <si>
    <t>AUO087</t>
  </si>
  <si>
    <t>BKS036</t>
  </si>
  <si>
    <t>BAL462</t>
  </si>
  <si>
    <t>CBC085</t>
  </si>
  <si>
    <t>BDI691</t>
  </si>
  <si>
    <t>CCC080</t>
  </si>
  <si>
    <t>BNX279</t>
  </si>
  <si>
    <t>T5V653</t>
  </si>
  <si>
    <t>CET304</t>
  </si>
  <si>
    <t>CEF583</t>
  </si>
  <si>
    <t>Z6Z468</t>
  </si>
  <si>
    <t>BWU283</t>
  </si>
  <si>
    <t>BTI683</t>
  </si>
  <si>
    <t>BLO648</t>
  </si>
  <si>
    <t>CHT200</t>
  </si>
  <si>
    <t>CAE456</t>
  </si>
  <si>
    <t>BLF075</t>
  </si>
  <si>
    <t>BUY299</t>
  </si>
  <si>
    <t>BXF319</t>
  </si>
  <si>
    <t>BSZ102</t>
  </si>
  <si>
    <t>CCY354</t>
  </si>
  <si>
    <t>CDB022</t>
  </si>
  <si>
    <t>BLN321</t>
  </si>
  <si>
    <t>CCI257</t>
  </si>
  <si>
    <t>CED168</t>
  </si>
  <si>
    <t>BVP590</t>
  </si>
  <si>
    <t>BUE615</t>
  </si>
  <si>
    <t>CHB475</t>
  </si>
  <si>
    <t>BDJ451</t>
  </si>
  <si>
    <t>Z7J196</t>
  </si>
  <si>
    <t>BZW495</t>
  </si>
  <si>
    <t>BRV668</t>
  </si>
  <si>
    <t>BUC448</t>
  </si>
  <si>
    <t>BLL693</t>
  </si>
  <si>
    <t>BWH102</t>
  </si>
  <si>
    <t>BDE552</t>
  </si>
  <si>
    <t>CBV125</t>
  </si>
  <si>
    <t>BXU586</t>
  </si>
  <si>
    <t>BBM080</t>
  </si>
  <si>
    <t>BWE239</t>
  </si>
  <si>
    <t>CEF599</t>
  </si>
  <si>
    <t>CBH631</t>
  </si>
  <si>
    <t>BER461</t>
  </si>
  <si>
    <t>AUR546</t>
  </si>
  <si>
    <t>ASN567</t>
  </si>
  <si>
    <t>BEU666</t>
  </si>
  <si>
    <t>BFR215</t>
  </si>
  <si>
    <t>BMX033</t>
  </si>
  <si>
    <t>BTE249</t>
  </si>
  <si>
    <t>CES183</t>
  </si>
  <si>
    <t>AUW007</t>
  </si>
  <si>
    <t>BXX289</t>
  </si>
  <si>
    <t>AZO111</t>
  </si>
  <si>
    <t>BDD546</t>
  </si>
  <si>
    <t>CCW017</t>
  </si>
  <si>
    <t>BBF698</t>
  </si>
  <si>
    <t>ADH572</t>
  </si>
  <si>
    <t>BYE186</t>
  </si>
  <si>
    <t>CFG461</t>
  </si>
  <si>
    <t>CBE341</t>
  </si>
  <si>
    <t>CBP025</t>
  </si>
  <si>
    <t>AYP652</t>
  </si>
  <si>
    <t>APC021</t>
  </si>
  <si>
    <t>BHW621</t>
  </si>
  <si>
    <t>ATH410</t>
  </si>
  <si>
    <t>BLW390</t>
  </si>
  <si>
    <t>BDY036</t>
  </si>
  <si>
    <t>AFF275</t>
  </si>
  <si>
    <t>BCL560</t>
  </si>
  <si>
    <t>BBG585</t>
  </si>
  <si>
    <t>AMF659</t>
  </si>
  <si>
    <t>BKP500</t>
  </si>
  <si>
    <t>CKA667</t>
  </si>
  <si>
    <t>CJF618</t>
  </si>
  <si>
    <t>D0T524</t>
  </si>
  <si>
    <t>CKN347</t>
  </si>
  <si>
    <t>CKI005</t>
  </si>
  <si>
    <t>CDF423</t>
  </si>
  <si>
    <t>CAV483</t>
  </si>
  <si>
    <t>CKL500</t>
  </si>
  <si>
    <t>CKJ345</t>
  </si>
  <si>
    <t>BTE258</t>
  </si>
  <si>
    <t>CKN554</t>
  </si>
  <si>
    <t>F5M959</t>
  </si>
  <si>
    <t>CLD415</t>
  </si>
  <si>
    <t>CLC395</t>
  </si>
  <si>
    <t>W5A135</t>
  </si>
  <si>
    <t>CLG574</t>
  </si>
  <si>
    <t>CKJ159</t>
  </si>
  <si>
    <t>CKQ016</t>
  </si>
  <si>
    <t>BDQ675</t>
  </si>
  <si>
    <t>CLD091</t>
  </si>
  <si>
    <t>BDD813</t>
  </si>
  <si>
    <t>BAZ575</t>
  </si>
  <si>
    <t>CJI139</t>
  </si>
  <si>
    <t>CLO365</t>
  </si>
  <si>
    <t>ATJ456</t>
  </si>
  <si>
    <t>M5H523</t>
  </si>
  <si>
    <t>AYY093</t>
  </si>
  <si>
    <t>CLK127</t>
  </si>
  <si>
    <t>BZW327</t>
  </si>
  <si>
    <t>BBC311</t>
  </si>
  <si>
    <t>BAS253</t>
  </si>
  <si>
    <t>CLR269</t>
  </si>
  <si>
    <t>AJN186</t>
  </si>
  <si>
    <t>Y2A465</t>
  </si>
  <si>
    <t>V8P301</t>
  </si>
  <si>
    <t>AJX551</t>
  </si>
  <si>
    <t>CDJ280</t>
  </si>
  <si>
    <t>CMH592</t>
  </si>
  <si>
    <t>CMR363</t>
  </si>
  <si>
    <t>Z6P126</t>
  </si>
  <si>
    <t>CJB637</t>
  </si>
  <si>
    <t>CMB350</t>
  </si>
  <si>
    <t>CHS296</t>
  </si>
  <si>
    <t>BAC609</t>
  </si>
  <si>
    <t>CHU461</t>
  </si>
  <si>
    <t>Z7N330</t>
  </si>
  <si>
    <t>CNH018</t>
  </si>
  <si>
    <t>CNJ603</t>
  </si>
  <si>
    <t>CNN058</t>
  </si>
  <si>
    <t>CMK218</t>
  </si>
  <si>
    <t>CNB512</t>
  </si>
  <si>
    <t>CCW199</t>
  </si>
  <si>
    <t>BUS331</t>
  </si>
  <si>
    <t>BFJ521</t>
  </si>
  <si>
    <t>CNI140</t>
  </si>
  <si>
    <t>ATJ016</t>
  </si>
  <si>
    <t>CNB177</t>
  </si>
  <si>
    <t>CJH446</t>
  </si>
  <si>
    <t>CMH100</t>
  </si>
  <si>
    <t>BJY328</t>
  </si>
  <si>
    <t>ALQ578</t>
  </si>
  <si>
    <t>CJH185</t>
  </si>
  <si>
    <t>CJU681</t>
  </si>
  <si>
    <t>CPA582</t>
  </si>
  <si>
    <t>BUZ053</t>
  </si>
  <si>
    <t>CPC255</t>
  </si>
  <si>
    <t>CPG686</t>
  </si>
  <si>
    <t>BJH331</t>
  </si>
  <si>
    <t>BAP782</t>
  </si>
  <si>
    <t>CPQ127</t>
  </si>
  <si>
    <t>F0R352</t>
  </si>
  <si>
    <t>CMM061</t>
  </si>
  <si>
    <t>CMV104</t>
  </si>
  <si>
    <t>CNW681</t>
  </si>
  <si>
    <t>CNQ366</t>
  </si>
  <si>
    <t>BVL113</t>
  </si>
  <si>
    <t>Z7T576</t>
  </si>
  <si>
    <t>CHM525</t>
  </si>
  <si>
    <t>VBI116</t>
  </si>
  <si>
    <t>BAP580</t>
  </si>
  <si>
    <t>CPR599</t>
  </si>
  <si>
    <t>CKR378</t>
  </si>
  <si>
    <t>CPK617</t>
  </si>
  <si>
    <t>BYY393</t>
  </si>
  <si>
    <t>BPR063</t>
  </si>
  <si>
    <t>AZK374</t>
  </si>
  <si>
    <t>BJO497</t>
  </si>
  <si>
    <t>B9L069</t>
  </si>
  <si>
    <t>CKX659</t>
  </si>
  <si>
    <t>CRC510</t>
  </si>
  <si>
    <t>CLO230</t>
  </si>
  <si>
    <t>CBL608</t>
  </si>
  <si>
    <t>Peaje de Separadora Salida - P3</t>
  </si>
  <si>
    <t xml:space="preserve">Peaje Huánuco – P8   </t>
  </si>
  <si>
    <t xml:space="preserve">Peaje Estadio – P10   </t>
  </si>
  <si>
    <t>Peaje de Monterrico Entrada - P1</t>
  </si>
  <si>
    <t>Peaje de Monterrico Salida - P2</t>
  </si>
  <si>
    <t>Peaje de Santa Anita - P4</t>
  </si>
  <si>
    <t>Peaje de El Pino - P5</t>
  </si>
  <si>
    <t>Peaje de Priale Salida - P7</t>
  </si>
  <si>
    <t>Peaje de Priale Entrada - P6</t>
  </si>
  <si>
    <t>Peaje Puente del Ejercito – P9</t>
  </si>
  <si>
    <t>CES056</t>
  </si>
  <si>
    <t>CSH510</t>
  </si>
  <si>
    <t>CSH349</t>
  </si>
  <si>
    <t>CSG597</t>
  </si>
  <si>
    <t>CKP244</t>
  </si>
  <si>
    <t>CRY222</t>
  </si>
  <si>
    <t>BVF672</t>
  </si>
  <si>
    <t>BSM138</t>
  </si>
  <si>
    <t>CPJ695</t>
  </si>
  <si>
    <t>CAQ002</t>
  </si>
  <si>
    <t>F8N254</t>
  </si>
  <si>
    <t>CRD692</t>
  </si>
  <si>
    <t>CPF074</t>
  </si>
  <si>
    <t>Z6F461</t>
  </si>
  <si>
    <t>CNW182</t>
  </si>
  <si>
    <t>CSI021</t>
  </si>
  <si>
    <t>CMH202</t>
  </si>
  <si>
    <t>APT266</t>
  </si>
  <si>
    <t>BDT387</t>
  </si>
  <si>
    <t>CSI194</t>
  </si>
  <si>
    <t>CFS441</t>
  </si>
  <si>
    <t>CCC507</t>
  </si>
  <si>
    <t>CCO641</t>
  </si>
  <si>
    <t>CSJ298</t>
  </si>
  <si>
    <t>ATS178</t>
  </si>
  <si>
    <t>BDZ606</t>
  </si>
  <si>
    <t>CMZ494</t>
  </si>
  <si>
    <t>CSV357</t>
  </si>
  <si>
    <t>CSK638</t>
  </si>
  <si>
    <t>AZS673</t>
  </si>
  <si>
    <t>CMF254</t>
  </si>
  <si>
    <t>CKQ533</t>
  </si>
  <si>
    <t>CSX581</t>
  </si>
  <si>
    <t>VCU024</t>
  </si>
  <si>
    <t>CTM178</t>
  </si>
  <si>
    <t>CCR117</t>
  </si>
  <si>
    <t>CJU471</t>
  </si>
  <si>
    <t>CPG609</t>
  </si>
  <si>
    <t>CTI293</t>
  </si>
  <si>
    <t>CSG517</t>
  </si>
  <si>
    <t>BSS189</t>
  </si>
  <si>
    <t>CTK464</t>
  </si>
  <si>
    <t>BWB327</t>
  </si>
  <si>
    <t>CSE239</t>
  </si>
  <si>
    <t>CTH074</t>
  </si>
  <si>
    <t>CTB513</t>
  </si>
  <si>
    <t>CPY354</t>
  </si>
  <si>
    <t>CEI542</t>
  </si>
  <si>
    <t>CLG655</t>
  </si>
  <si>
    <t>AZN469</t>
  </si>
  <si>
    <t>CSM575</t>
  </si>
  <si>
    <t>ACZ039</t>
  </si>
  <si>
    <t>AYJ153</t>
  </si>
  <si>
    <t>BPM133</t>
  </si>
  <si>
    <t>BYV118</t>
  </si>
  <si>
    <t>BZX033</t>
  </si>
  <si>
    <t>CAT604</t>
  </si>
  <si>
    <t>CBZ617</t>
  </si>
  <si>
    <t>CEC017</t>
  </si>
  <si>
    <t>CJZ028</t>
  </si>
  <si>
    <t>CNN010</t>
  </si>
  <si>
    <t>CPL200</t>
  </si>
  <si>
    <t>CPU467</t>
  </si>
  <si>
    <t>CSN414</t>
  </si>
  <si>
    <t>CSU413</t>
  </si>
  <si>
    <t>CSZ400</t>
  </si>
  <si>
    <t>CTN657</t>
  </si>
  <si>
    <t>CTR591</t>
  </si>
  <si>
    <t>CTU642</t>
  </si>
  <si>
    <t>CTY448</t>
  </si>
  <si>
    <t>CTZ008</t>
  </si>
  <si>
    <t>CTZ353</t>
  </si>
  <si>
    <t>CUC607</t>
  </si>
  <si>
    <t>CUE550</t>
  </si>
  <si>
    <t>CUH050</t>
  </si>
  <si>
    <t>CUS438</t>
  </si>
  <si>
    <t>H2N467</t>
  </si>
  <si>
    <t>T7E578</t>
  </si>
  <si>
    <t>M4E582</t>
  </si>
  <si>
    <t>CUP199</t>
  </si>
  <si>
    <t>CSP250</t>
  </si>
  <si>
    <t>CPH054</t>
  </si>
  <si>
    <t>CNA499</t>
  </si>
  <si>
    <t>CTZ167</t>
  </si>
  <si>
    <t>BDR487</t>
  </si>
  <si>
    <t>CTB097</t>
  </si>
  <si>
    <t>CUU094</t>
  </si>
  <si>
    <t>CVH463</t>
  </si>
  <si>
    <t>CONECTADO</t>
  </si>
  <si>
    <t>SIN CONEXIÓN</t>
  </si>
  <si>
    <t>ABG350</t>
  </si>
  <si>
    <t>BJC358</t>
  </si>
  <si>
    <t>BJT655</t>
  </si>
  <si>
    <t>BLO434</t>
  </si>
  <si>
    <t>BSF586</t>
  </si>
  <si>
    <t>BUI018</t>
  </si>
  <si>
    <t>BUR044</t>
  </si>
  <si>
    <t>BVN021</t>
  </si>
  <si>
    <t>BWC096</t>
  </si>
  <si>
    <t>CBW420</t>
  </si>
  <si>
    <t>CCX688</t>
  </si>
  <si>
    <t>CEG066</t>
  </si>
  <si>
    <t>CKI232</t>
  </si>
  <si>
    <t>CLZ051</t>
  </si>
  <si>
    <t>CRI080</t>
  </si>
  <si>
    <t>CUI466</t>
  </si>
  <si>
    <t>W3J514</t>
  </si>
  <si>
    <t>CTZ341</t>
  </si>
  <si>
    <t>CUD693</t>
  </si>
  <si>
    <t>BJJ567</t>
  </si>
  <si>
    <t>CEP236</t>
  </si>
  <si>
    <t>CJN081</t>
  </si>
  <si>
    <t>CRT364</t>
  </si>
  <si>
    <t>CSH448</t>
  </si>
  <si>
    <t>CSJ054</t>
  </si>
  <si>
    <t>CUR159</t>
  </si>
  <si>
    <t>CVA181</t>
  </si>
  <si>
    <t>CVG349</t>
  </si>
  <si>
    <t>CUV084</t>
  </si>
  <si>
    <t>CVU366</t>
  </si>
  <si>
    <t>CTS479</t>
  </si>
  <si>
    <t>CCB672</t>
  </si>
  <si>
    <t>CPZ341</t>
  </si>
  <si>
    <t>CRG272</t>
  </si>
  <si>
    <t>F7M239</t>
  </si>
  <si>
    <t>Z7C417</t>
  </si>
  <si>
    <t>BJN316</t>
  </si>
  <si>
    <t>CVR156</t>
  </si>
  <si>
    <t>CLW188</t>
  </si>
  <si>
    <t>CVN594</t>
  </si>
  <si>
    <t>AUX161</t>
  </si>
  <si>
    <t>CVO556</t>
  </si>
  <si>
    <t>CCM084</t>
  </si>
  <si>
    <t>BBB758</t>
  </si>
  <si>
    <t>BPK461</t>
  </si>
  <si>
    <t>BFY368</t>
  </si>
  <si>
    <t>CUX675</t>
  </si>
  <si>
    <t>CWF217</t>
  </si>
  <si>
    <t>CVL389</t>
  </si>
  <si>
    <t>CSB042</t>
  </si>
  <si>
    <t>CCG534</t>
  </si>
  <si>
    <t>CSH376</t>
  </si>
  <si>
    <t>AUM498</t>
  </si>
  <si>
    <t>CVZ565</t>
  </si>
  <si>
    <t>CFP164</t>
  </si>
  <si>
    <t>CWD524</t>
  </si>
  <si>
    <t>CUH490</t>
  </si>
  <si>
    <t>CSH416</t>
  </si>
  <si>
    <t>PEX INSTALADO</t>
  </si>
  <si>
    <t>CUL668</t>
  </si>
  <si>
    <t>BKV429</t>
  </si>
  <si>
    <t>BZT261</t>
  </si>
  <si>
    <t>CWD205</t>
  </si>
  <si>
    <t>CAO698</t>
  </si>
  <si>
    <t>CWD320</t>
  </si>
  <si>
    <t>CTX684</t>
  </si>
  <si>
    <t>BUA648</t>
  </si>
  <si>
    <t>CDL462</t>
  </si>
  <si>
    <t>CNZ452</t>
  </si>
  <si>
    <t>CONEXIÓN SEM 19</t>
  </si>
  <si>
    <t>CXF418</t>
  </si>
  <si>
    <t>C0T281</t>
  </si>
  <si>
    <t>BTQ115</t>
  </si>
  <si>
    <t>AWL341</t>
  </si>
  <si>
    <t>CMM587</t>
  </si>
  <si>
    <t>VCU534</t>
  </si>
  <si>
    <t>CVU263</t>
  </si>
  <si>
    <t>CSZ263</t>
  </si>
  <si>
    <t>CNN464</t>
  </si>
  <si>
    <t>BNS210</t>
  </si>
  <si>
    <t>BWJ350</t>
  </si>
  <si>
    <t>BJF390</t>
  </si>
  <si>
    <t>CEV648</t>
  </si>
  <si>
    <t>APC386</t>
  </si>
  <si>
    <t>VAV356</t>
  </si>
  <si>
    <t>BNO307</t>
  </si>
  <si>
    <t>CCH552</t>
  </si>
  <si>
    <t>CXH433</t>
  </si>
  <si>
    <t>CWT433</t>
  </si>
  <si>
    <t>BNE342</t>
  </si>
  <si>
    <t>BNG615</t>
  </si>
  <si>
    <t>BWX187</t>
  </si>
  <si>
    <t>CBJ245</t>
  </si>
  <si>
    <t>BLP599</t>
  </si>
  <si>
    <t>CWL054</t>
  </si>
  <si>
    <t>CNN441</t>
  </si>
  <si>
    <t>BKE016</t>
  </si>
  <si>
    <t>CPP635</t>
  </si>
  <si>
    <t>CTS168</t>
  </si>
  <si>
    <t>BUE579</t>
  </si>
  <si>
    <t>CRD355</t>
  </si>
  <si>
    <t>CJV471</t>
  </si>
  <si>
    <t>CXT605</t>
  </si>
  <si>
    <t>BPM524</t>
  </si>
  <si>
    <t>CKL081</t>
  </si>
  <si>
    <t>CUF563</t>
  </si>
  <si>
    <t>CSY519</t>
  </si>
  <si>
    <t>CWH324</t>
  </si>
  <si>
    <t>CUI301</t>
  </si>
  <si>
    <t>CRM208</t>
  </si>
  <si>
    <t>CTH234</t>
  </si>
  <si>
    <t>CJM455</t>
  </si>
  <si>
    <t>BNH668</t>
  </si>
  <si>
    <t>F2T540</t>
  </si>
  <si>
    <t>VDL619</t>
  </si>
  <si>
    <t>CRF406</t>
  </si>
  <si>
    <t>CPJ035</t>
  </si>
  <si>
    <t>BSC096</t>
  </si>
  <si>
    <t>CVS204</t>
  </si>
  <si>
    <t>CRQ588</t>
  </si>
  <si>
    <t>CWA458</t>
  </si>
  <si>
    <t>CWI518</t>
  </si>
  <si>
    <t>CFP116</t>
  </si>
  <si>
    <t>CVU180</t>
  </si>
  <si>
    <t>CWF053</t>
  </si>
  <si>
    <t>BDX196</t>
  </si>
  <si>
    <t>CSH320</t>
  </si>
  <si>
    <t>CVT080</t>
  </si>
  <si>
    <t>CVK629</t>
  </si>
  <si>
    <t>CVV674</t>
  </si>
  <si>
    <t>BSZ306</t>
  </si>
  <si>
    <t>CUV555</t>
  </si>
  <si>
    <t>CWZ460</t>
  </si>
  <si>
    <t>CLK097</t>
  </si>
  <si>
    <t>BYV175</t>
  </si>
  <si>
    <t>CXF217</t>
  </si>
  <si>
    <t>CXL075</t>
  </si>
  <si>
    <t>CST304</t>
  </si>
  <si>
    <t>ANR204</t>
  </si>
  <si>
    <t>CDK426</t>
  </si>
  <si>
    <t>CWS583</t>
  </si>
  <si>
    <t>CXF547</t>
  </si>
  <si>
    <t>CWS313</t>
  </si>
  <si>
    <t>AZW626</t>
  </si>
  <si>
    <t>CWS467</t>
  </si>
  <si>
    <t>ARJ682</t>
  </si>
  <si>
    <t>BMX496</t>
  </si>
  <si>
    <t>BPI301</t>
  </si>
  <si>
    <t>CDS187</t>
  </si>
  <si>
    <t>CVR636</t>
  </si>
  <si>
    <t>CYF502</t>
  </si>
  <si>
    <t>CFA126</t>
  </si>
  <si>
    <t>CSX360</t>
  </si>
  <si>
    <t>Z6D031</t>
  </si>
  <si>
    <t>CNB415</t>
  </si>
  <si>
    <t>BUY682</t>
  </si>
  <si>
    <t>CPB035</t>
  </si>
  <si>
    <t>CND019</t>
  </si>
  <si>
    <t>BUW402</t>
  </si>
  <si>
    <t>2849666-21</t>
  </si>
  <si>
    <t>2854446-4</t>
  </si>
  <si>
    <t>2854359-4</t>
  </si>
  <si>
    <t>2856154-4</t>
  </si>
  <si>
    <t>2855703-4</t>
  </si>
  <si>
    <t>2856121-2</t>
  </si>
  <si>
    <t>2856024-1</t>
  </si>
  <si>
    <t>B012-115271</t>
  </si>
  <si>
    <t>B012-116858</t>
  </si>
  <si>
    <t>F012-28263</t>
  </si>
  <si>
    <t>F012-28387</t>
  </si>
  <si>
    <t>B012-116889</t>
  </si>
  <si>
    <t>F012-28194</t>
  </si>
  <si>
    <t>B012-116294</t>
  </si>
  <si>
    <t>F012-28453</t>
  </si>
  <si>
    <t>F012-28348</t>
  </si>
  <si>
    <t>F012-28357</t>
  </si>
  <si>
    <t>B012-114979</t>
  </si>
  <si>
    <t>F012-28051</t>
  </si>
  <si>
    <t>B012-115864</t>
  </si>
  <si>
    <t>F012-28408</t>
  </si>
  <si>
    <t>F012-28477</t>
  </si>
  <si>
    <t>B012-117118</t>
  </si>
  <si>
    <t>B012-115292</t>
  </si>
  <si>
    <t>B012-115829</t>
  </si>
  <si>
    <t>B012-115867</t>
  </si>
  <si>
    <t>B012-115427</t>
  </si>
  <si>
    <t>B012-115736</t>
  </si>
  <si>
    <t>B012-115431</t>
  </si>
  <si>
    <t>F012-28534</t>
  </si>
  <si>
    <t>B012-116663</t>
  </si>
  <si>
    <t>F012-27997</t>
  </si>
  <si>
    <t>F012-28520</t>
  </si>
  <si>
    <t>CVC101</t>
  </si>
  <si>
    <t>F012-28628</t>
  </si>
  <si>
    <t>F012-28304</t>
  </si>
  <si>
    <t>B012-116154</t>
  </si>
  <si>
    <t>F012-28579</t>
  </si>
  <si>
    <t>F012-28236</t>
  </si>
  <si>
    <t>2859205-3</t>
  </si>
  <si>
    <t>Z7B239</t>
  </si>
  <si>
    <t>BNY387</t>
  </si>
  <si>
    <t>2853975-16</t>
  </si>
  <si>
    <t>2854468-2</t>
  </si>
  <si>
    <t>2850334-12</t>
  </si>
  <si>
    <t>B012-114941</t>
  </si>
  <si>
    <t>B012-115145</t>
  </si>
  <si>
    <t>F012-28632</t>
  </si>
  <si>
    <t>2857151-13</t>
  </si>
  <si>
    <t>B012-116233</t>
  </si>
  <si>
    <t>B012-116956</t>
  </si>
  <si>
    <t>F012-28599</t>
  </si>
  <si>
    <t>CUD090</t>
  </si>
  <si>
    <t>B012-115082</t>
  </si>
  <si>
    <t>B012-115190</t>
  </si>
  <si>
    <t>B012-115070</t>
  </si>
  <si>
    <t>B012-115506</t>
  </si>
  <si>
    <t>B012-116062</t>
  </si>
  <si>
    <t>B012-116120</t>
  </si>
  <si>
    <t>B012-117174</t>
  </si>
  <si>
    <t>F012-28111</t>
  </si>
  <si>
    <t>F012-28218</t>
  </si>
  <si>
    <t>B012-115916</t>
  </si>
  <si>
    <t>B012-116506</t>
  </si>
  <si>
    <t>CLX354</t>
  </si>
  <si>
    <t>B012-117011</t>
  </si>
  <si>
    <t>B012-115141</t>
  </si>
  <si>
    <t>B012-115915</t>
  </si>
  <si>
    <t>B012-117132</t>
  </si>
  <si>
    <t>B012-114977</t>
  </si>
  <si>
    <t>F012-28499</t>
  </si>
  <si>
    <t>B012-116096</t>
  </si>
  <si>
    <t>BYF337</t>
  </si>
  <si>
    <t>F012-28217</t>
  </si>
  <si>
    <t>F012-28449</t>
  </si>
  <si>
    <t>B012-116587</t>
  </si>
  <si>
    <t>B012-115447</t>
  </si>
  <si>
    <t>F012-28527</t>
  </si>
  <si>
    <t>F012-28490</t>
  </si>
  <si>
    <t>B012-115405</t>
  </si>
  <si>
    <t>B012-115451</t>
  </si>
  <si>
    <t>B012-116737</t>
  </si>
  <si>
    <t>B012-115768</t>
  </si>
  <si>
    <t>F012-28308</t>
  </si>
  <si>
    <t>F012-28440</t>
  </si>
  <si>
    <t>B012-117207</t>
  </si>
  <si>
    <t>B012-115216</t>
  </si>
  <si>
    <t>F012-28124</t>
  </si>
  <si>
    <t>B012-115392</t>
  </si>
  <si>
    <t>B012-115349</t>
  </si>
  <si>
    <t>B012-115708</t>
  </si>
  <si>
    <t>B012-115709</t>
  </si>
  <si>
    <t>B012-115990</t>
  </si>
  <si>
    <t>B012-116369</t>
  </si>
  <si>
    <t>B012-115023</t>
  </si>
  <si>
    <t>F012-28095</t>
  </si>
  <si>
    <t>F012-28259</t>
  </si>
  <si>
    <t>B012-115813</t>
  </si>
  <si>
    <t>B012-115863</t>
  </si>
  <si>
    <t>F012-27983</t>
  </si>
  <si>
    <t>B012-115473</t>
  </si>
  <si>
    <t>F012-28388</t>
  </si>
  <si>
    <t>B012-116458</t>
  </si>
  <si>
    <t>B012-115273</t>
  </si>
  <si>
    <t>F012-28101</t>
  </si>
  <si>
    <t>B012-116583</t>
  </si>
  <si>
    <t>B012-115358</t>
  </si>
  <si>
    <t>B012-116178</t>
  </si>
  <si>
    <t>B012-116293</t>
  </si>
  <si>
    <t>B012-117067</t>
  </si>
  <si>
    <t>2852591-6</t>
  </si>
  <si>
    <t>2857496-1</t>
  </si>
  <si>
    <t>F012-28326</t>
  </si>
  <si>
    <t>B012-116331</t>
  </si>
  <si>
    <t>B012-115627</t>
  </si>
  <si>
    <t>B012-116964</t>
  </si>
  <si>
    <t>F012-28083</t>
  </si>
  <si>
    <t>F012-28334</t>
  </si>
  <si>
    <t>B012-116151</t>
  </si>
  <si>
    <t>B012-115177</t>
  </si>
  <si>
    <t>F012-28135</t>
  </si>
  <si>
    <t>F012-28338</t>
  </si>
  <si>
    <t>F012-28024</t>
  </si>
  <si>
    <t>F012-28176</t>
  </si>
  <si>
    <t>B012-117084</t>
  </si>
  <si>
    <t>B012-115005</t>
  </si>
  <si>
    <t>B012-115303</t>
  </si>
  <si>
    <t>F012-28361</t>
  </si>
  <si>
    <t>F012-28478</t>
  </si>
  <si>
    <t>2854388-2</t>
  </si>
  <si>
    <t>2854316-1</t>
  </si>
  <si>
    <t>2856034-7</t>
  </si>
  <si>
    <t>2856136-2</t>
  </si>
  <si>
    <t>2857735-2</t>
  </si>
  <si>
    <t>B012-115288</t>
  </si>
  <si>
    <t>F012-28069</t>
  </si>
  <si>
    <t>B012-116585</t>
  </si>
  <si>
    <t>F012-27975</t>
  </si>
  <si>
    <t>B012-116541</t>
  </si>
  <si>
    <t>F012-28143</t>
  </si>
  <si>
    <t>B012-116388</t>
  </si>
  <si>
    <t>B012-116284</t>
  </si>
  <si>
    <t>B012-116893</t>
  </si>
  <si>
    <t>B012-115656</t>
  </si>
  <si>
    <t>B012-116530</t>
  </si>
  <si>
    <t>B012-115500</t>
  </si>
  <si>
    <t>2857890-1</t>
  </si>
  <si>
    <t>2859516-1</t>
  </si>
  <si>
    <t>2848613-3</t>
  </si>
  <si>
    <t>2850444-3</t>
  </si>
  <si>
    <t>2850298-8</t>
  </si>
  <si>
    <t>2854471-5</t>
  </si>
  <si>
    <t>2853989-15</t>
  </si>
  <si>
    <t>2854371-3</t>
  </si>
  <si>
    <t>2856276-1</t>
  </si>
  <si>
    <t>B012-115339</t>
  </si>
  <si>
    <t>F012-28631</t>
  </si>
  <si>
    <t>2854462-2</t>
  </si>
  <si>
    <t>B012-115996</t>
  </si>
  <si>
    <t>F012-28428</t>
  </si>
  <si>
    <t>F012-28502</t>
  </si>
  <si>
    <t>B012-116787</t>
  </si>
  <si>
    <t>B012-116640</t>
  </si>
  <si>
    <t>B012-117103</t>
  </si>
  <si>
    <t>2850351-3</t>
  </si>
  <si>
    <t>2852228-3</t>
  </si>
  <si>
    <t>2852558-5</t>
  </si>
  <si>
    <t>2856261-2</t>
  </si>
  <si>
    <t>2857763-3</t>
  </si>
  <si>
    <t>2859521-1</t>
  </si>
  <si>
    <t>2859424-3</t>
  </si>
  <si>
    <t>2859380-9</t>
  </si>
  <si>
    <t>F012-28138</t>
  </si>
  <si>
    <t>F012-28120</t>
  </si>
  <si>
    <t>F012-28226</t>
  </si>
  <si>
    <t>B012-115404</t>
  </si>
  <si>
    <t>B012-115677</t>
  </si>
  <si>
    <t>B012-115840</t>
  </si>
  <si>
    <t>B012-116039</t>
  </si>
  <si>
    <t>B012-116754</t>
  </si>
  <si>
    <t>B012-116077</t>
  </si>
  <si>
    <t>B012-116552</t>
  </si>
  <si>
    <t>B012-115653</t>
  </si>
  <si>
    <t>B012-116589</t>
  </si>
  <si>
    <t>F012-28072</t>
  </si>
  <si>
    <t>B012-115982</t>
  </si>
  <si>
    <t>B012-116313</t>
  </si>
  <si>
    <t>2860996-1</t>
  </si>
  <si>
    <t>2859466-3</t>
  </si>
  <si>
    <t>CAM645</t>
  </si>
  <si>
    <t>B012-116592</t>
  </si>
  <si>
    <t>B012-115144</t>
  </si>
  <si>
    <t>F012-28045</t>
  </si>
  <si>
    <t>F012-28173</t>
  </si>
  <si>
    <t>F012-28148</t>
  </si>
  <si>
    <t>B012-116177</t>
  </si>
  <si>
    <t>2850354-3</t>
  </si>
  <si>
    <t>2850312-8</t>
  </si>
  <si>
    <t>2850401-3</t>
  </si>
  <si>
    <t>2852704-2</t>
  </si>
  <si>
    <t>2854410-2</t>
  </si>
  <si>
    <t>2856034-1</t>
  </si>
  <si>
    <t>2857379-4</t>
  </si>
  <si>
    <t>B012-116882</t>
  </si>
  <si>
    <t>CXR223</t>
  </si>
  <si>
    <t>2859027-24</t>
  </si>
  <si>
    <t>2849805-1</t>
  </si>
  <si>
    <t>2849781-3</t>
  </si>
  <si>
    <t>2852222-5</t>
  </si>
  <si>
    <t>2854357-169</t>
  </si>
  <si>
    <t>2854439-4</t>
  </si>
  <si>
    <t>2855817-2</t>
  </si>
  <si>
    <t>2856109-3</t>
  </si>
  <si>
    <t>2856052-2</t>
  </si>
  <si>
    <t>2856168-4</t>
  </si>
  <si>
    <t>2861049-5</t>
  </si>
  <si>
    <t>2861146-1</t>
  </si>
  <si>
    <t>2861033-10</t>
  </si>
  <si>
    <t>2861126-1</t>
  </si>
  <si>
    <t>2861098-4</t>
  </si>
  <si>
    <t>2860062-2</t>
  </si>
  <si>
    <t>B012-116972</t>
  </si>
  <si>
    <t>B012-117009</t>
  </si>
  <si>
    <t>F012-28310</t>
  </si>
  <si>
    <t>2850437-2</t>
  </si>
  <si>
    <t>2852590-1</t>
  </si>
  <si>
    <t>2852582-4</t>
  </si>
  <si>
    <t>2854466-1</t>
  </si>
  <si>
    <t>2854366-4</t>
  </si>
  <si>
    <t>2856185-1</t>
  </si>
  <si>
    <t>2857664-2</t>
  </si>
  <si>
    <t>2858348-1</t>
  </si>
  <si>
    <t>2857887-1</t>
  </si>
  <si>
    <t>2858184-3</t>
  </si>
  <si>
    <t>2859242-3</t>
  </si>
  <si>
    <t>F012-28417</t>
  </si>
  <si>
    <t>2859448-2</t>
  </si>
  <si>
    <t>2854347-11</t>
  </si>
  <si>
    <t>2849666-33</t>
  </si>
  <si>
    <t>B012-116368</t>
  </si>
  <si>
    <t>F012-28524</t>
  </si>
  <si>
    <t>F012-28608</t>
  </si>
  <si>
    <t>CAV690</t>
  </si>
  <si>
    <t>B012-115095</t>
  </si>
  <si>
    <t>BLL611</t>
  </si>
  <si>
    <t>BNI363</t>
  </si>
  <si>
    <t>B012-115694</t>
  </si>
  <si>
    <t>B012-115497</t>
  </si>
  <si>
    <t>B012-116612</t>
  </si>
  <si>
    <t>B012-116693</t>
  </si>
  <si>
    <t>2854469-2</t>
  </si>
  <si>
    <t>2856044-1</t>
  </si>
  <si>
    <t>2858471-4</t>
  </si>
  <si>
    <t>F012-28509</t>
  </si>
  <si>
    <t>F012-28255</t>
  </si>
  <si>
    <t>B012-116350</t>
  </si>
  <si>
    <t>B012-116672</t>
  </si>
  <si>
    <t>B012-116803</t>
  </si>
  <si>
    <t>2852611-4</t>
  </si>
  <si>
    <t>2852567-1</t>
  </si>
  <si>
    <t>F012-27968</t>
  </si>
  <si>
    <t>B012-115014</t>
  </si>
  <si>
    <t>B012-115286</t>
  </si>
  <si>
    <t>B012-115075</t>
  </si>
  <si>
    <t>B012-115547</t>
  </si>
  <si>
    <t>F012-28596</t>
  </si>
  <si>
    <t>F012-28144</t>
  </si>
  <si>
    <t>2850312-7</t>
  </si>
  <si>
    <t>2849697-5</t>
  </si>
  <si>
    <t>2854063-4</t>
  </si>
  <si>
    <t>2854346-4</t>
  </si>
  <si>
    <t>2855822-4</t>
  </si>
  <si>
    <t>2856068-1</t>
  </si>
  <si>
    <t>2856136-4</t>
  </si>
  <si>
    <t>2857812-3</t>
  </si>
  <si>
    <t>2849693-2</t>
  </si>
  <si>
    <t>2852534-12</t>
  </si>
  <si>
    <t>2852817-4</t>
  </si>
  <si>
    <t>2852592-23</t>
  </si>
  <si>
    <t>2854133-1</t>
  </si>
  <si>
    <t>2853238-3</t>
  </si>
  <si>
    <t>2854315-6</t>
  </si>
  <si>
    <t>2854061-2</t>
  </si>
  <si>
    <t>2856045-1</t>
  </si>
  <si>
    <t>2856109-4</t>
  </si>
  <si>
    <t>2856081-1</t>
  </si>
  <si>
    <t>2856170-3</t>
  </si>
  <si>
    <t>2857741-4</t>
  </si>
  <si>
    <t>2857815-1</t>
  </si>
  <si>
    <t>2858181-3</t>
  </si>
  <si>
    <t>B012-116345</t>
  </si>
  <si>
    <t>2859135-1</t>
  </si>
  <si>
    <t>2859486-3</t>
  </si>
  <si>
    <t>2859425-4</t>
  </si>
  <si>
    <t>2861052-1</t>
  </si>
  <si>
    <t>2861039-1</t>
  </si>
  <si>
    <t>CYP322</t>
  </si>
  <si>
    <t>2849691-1</t>
  </si>
  <si>
    <t>2854800-4</t>
  </si>
  <si>
    <t>2858182-2</t>
  </si>
  <si>
    <t>2860134-1</t>
  </si>
  <si>
    <t>2859436-3</t>
  </si>
  <si>
    <t>2859533-4</t>
  </si>
  <si>
    <t>2860052-2</t>
  </si>
  <si>
    <t>2855765-11</t>
  </si>
  <si>
    <t>2852706-2</t>
  </si>
  <si>
    <t>B012-115793</t>
  </si>
  <si>
    <t>B012-116571</t>
  </si>
  <si>
    <t>2859408-4</t>
  </si>
  <si>
    <t>2852706-4</t>
  </si>
  <si>
    <t>2853195-2</t>
  </si>
  <si>
    <t>2855745-17</t>
  </si>
  <si>
    <t>2857746-6</t>
  </si>
  <si>
    <t>2857783-3</t>
  </si>
  <si>
    <t>2857882-2</t>
  </si>
  <si>
    <t>2859413-1</t>
  </si>
  <si>
    <t>2849678-7</t>
  </si>
  <si>
    <t>2851701-1</t>
  </si>
  <si>
    <t>2850341-2</t>
  </si>
  <si>
    <t>2855871-1</t>
  </si>
  <si>
    <t>2855895-2</t>
  </si>
  <si>
    <t>2855720-6</t>
  </si>
  <si>
    <t>2856101-3</t>
  </si>
  <si>
    <t>2856085-1</t>
  </si>
  <si>
    <t>2857534-1</t>
  </si>
  <si>
    <t>2857750-5</t>
  </si>
  <si>
    <t>2857816-2</t>
  </si>
  <si>
    <t>2859558-1</t>
  </si>
  <si>
    <t>2860050-2</t>
  </si>
  <si>
    <t>2859546-1</t>
  </si>
  <si>
    <t>2860703-17</t>
  </si>
  <si>
    <t>2861037-6</t>
  </si>
  <si>
    <t>BUC301</t>
  </si>
  <si>
    <t>2861038-1</t>
  </si>
  <si>
    <t>2850341-3</t>
  </si>
  <si>
    <t>2850434-1</t>
  </si>
  <si>
    <t>2853958-3</t>
  </si>
  <si>
    <t>2857777-12</t>
  </si>
  <si>
    <t>2859038-15</t>
  </si>
  <si>
    <t>2861015-2</t>
  </si>
  <si>
    <t>2852547-8</t>
  </si>
  <si>
    <t>2856057-3</t>
  </si>
  <si>
    <t>2856178-2</t>
  </si>
  <si>
    <t>2856265-4</t>
  </si>
  <si>
    <t>2856168-3</t>
  </si>
  <si>
    <t>2857749-4</t>
  </si>
  <si>
    <t>2857879-1</t>
  </si>
  <si>
    <t>2857861-3</t>
  </si>
  <si>
    <t>2860656-1</t>
  </si>
  <si>
    <t>2862131-1</t>
  </si>
  <si>
    <t>2861109-4</t>
  </si>
  <si>
    <t>2850370-4</t>
  </si>
  <si>
    <t>2852244-2</t>
  </si>
  <si>
    <t>2852550-2</t>
  </si>
  <si>
    <t>2852630-2</t>
  </si>
  <si>
    <t>2853279-1</t>
  </si>
  <si>
    <t>2854376-1</t>
  </si>
  <si>
    <t>2856055-1</t>
  </si>
  <si>
    <t>2857822-5</t>
  </si>
  <si>
    <t>2857786-7</t>
  </si>
  <si>
    <t>2850286-1</t>
  </si>
  <si>
    <t>2852213-5</t>
  </si>
  <si>
    <t>2852632-2</t>
  </si>
  <si>
    <t>2852595-4</t>
  </si>
  <si>
    <t>2854404-3</t>
  </si>
  <si>
    <t>2854793-2</t>
  </si>
  <si>
    <t>2854455-4</t>
  </si>
  <si>
    <t>2855720-18</t>
  </si>
  <si>
    <t>2856103-2</t>
  </si>
  <si>
    <t>2856154-5</t>
  </si>
  <si>
    <t>2849767-2</t>
  </si>
  <si>
    <t>2849816-2</t>
  </si>
  <si>
    <t>2849778-2</t>
  </si>
  <si>
    <t>2852624-2</t>
  </si>
  <si>
    <t>2852574-3</t>
  </si>
  <si>
    <t>2852306-2</t>
  </si>
  <si>
    <t>2853948-18</t>
  </si>
  <si>
    <t>2853969-5</t>
  </si>
  <si>
    <t>2854376-5</t>
  </si>
  <si>
    <t>2854461-3</t>
  </si>
  <si>
    <t>2853941-4</t>
  </si>
  <si>
    <t>2854066-6</t>
  </si>
  <si>
    <t>2856054-2</t>
  </si>
  <si>
    <t>2856267-1</t>
  </si>
  <si>
    <t>2855717-14</t>
  </si>
  <si>
    <t>2856122-4</t>
  </si>
  <si>
    <t>2857778-7</t>
  </si>
  <si>
    <t>2857553-1</t>
  </si>
  <si>
    <t>2857857-4</t>
  </si>
  <si>
    <t>2857762-3</t>
  </si>
  <si>
    <t>2859686-2</t>
  </si>
  <si>
    <t>2859425-3</t>
  </si>
  <si>
    <t>2859550-4</t>
  </si>
  <si>
    <t>2859049-31</t>
  </si>
  <si>
    <t>2859524-3</t>
  </si>
  <si>
    <t>B012-115028</t>
  </si>
  <si>
    <t>B012-115140</t>
  </si>
  <si>
    <t>B012-115769</t>
  </si>
  <si>
    <t>F012-28206</t>
  </si>
  <si>
    <t>B012-116342</t>
  </si>
  <si>
    <t>B012-116406</t>
  </si>
  <si>
    <t>B012-116728</t>
  </si>
  <si>
    <t>2850316-12</t>
  </si>
  <si>
    <t>2850320-3</t>
  </si>
  <si>
    <t>2850407-4</t>
  </si>
  <si>
    <t>2852620-5</t>
  </si>
  <si>
    <t>2853936-11</t>
  </si>
  <si>
    <t>2856702-2</t>
  </si>
  <si>
    <t>2854412-3</t>
  </si>
  <si>
    <t>2856145-4</t>
  </si>
  <si>
    <t>2857360-8</t>
  </si>
  <si>
    <t>2857796-4</t>
  </si>
  <si>
    <t>2859471-5</t>
  </si>
  <si>
    <t>2859420-9</t>
  </si>
  <si>
    <t>2859497-4</t>
  </si>
  <si>
    <t>2861031-4</t>
  </si>
  <si>
    <t>2861091-1</t>
  </si>
  <si>
    <t>2849666-23</t>
  </si>
  <si>
    <t>2853935-29</t>
  </si>
  <si>
    <t>2859027-26</t>
  </si>
  <si>
    <t>2860667-40</t>
  </si>
  <si>
    <t>2852625-2</t>
  </si>
  <si>
    <t>2853877-3</t>
  </si>
  <si>
    <t>2855659-4</t>
  </si>
  <si>
    <t>2856098-3</t>
  </si>
  <si>
    <t>2857432-1</t>
  </si>
  <si>
    <t>2856177-1</t>
  </si>
  <si>
    <t>2856071-1</t>
  </si>
  <si>
    <t>2857822-4</t>
  </si>
  <si>
    <t>2857785-8</t>
  </si>
  <si>
    <t>2857885-2</t>
  </si>
  <si>
    <t>2858184-1</t>
  </si>
  <si>
    <t>2850298-7</t>
  </si>
  <si>
    <t>2851562-1</t>
  </si>
  <si>
    <t>2852298-6</t>
  </si>
  <si>
    <t>2852581-2</t>
  </si>
  <si>
    <t>2853100-3</t>
  </si>
  <si>
    <t>2854042-3</t>
  </si>
  <si>
    <t>2854404-4</t>
  </si>
  <si>
    <t>2854375-4</t>
  </si>
  <si>
    <t>2854457-2</t>
  </si>
  <si>
    <t>2855815-1</t>
  </si>
  <si>
    <t>2855750-24</t>
  </si>
  <si>
    <t>2857350-9</t>
  </si>
  <si>
    <t>2857404-23</t>
  </si>
  <si>
    <t>2860997-3</t>
  </si>
  <si>
    <t>2861111-4</t>
  </si>
  <si>
    <t>2852650-3</t>
  </si>
  <si>
    <t>BJR597</t>
  </si>
  <si>
    <t>F012-28285</t>
  </si>
  <si>
    <t>2854466-2</t>
  </si>
  <si>
    <t>2854370-6</t>
  </si>
  <si>
    <t>2854353-1</t>
  </si>
  <si>
    <t>2857809-4</t>
  </si>
  <si>
    <t>2859545-3</t>
  </si>
  <si>
    <t>2859432-4</t>
  </si>
  <si>
    <t>2861130-1</t>
  </si>
  <si>
    <t>F012-28578</t>
  </si>
  <si>
    <t>2850426-2</t>
  </si>
  <si>
    <t>2849690-7</t>
  </si>
  <si>
    <t>2852516-1</t>
  </si>
  <si>
    <t>2852629-3</t>
  </si>
  <si>
    <t>2852588-2</t>
  </si>
  <si>
    <t>2852229-7</t>
  </si>
  <si>
    <t>2854470-1</t>
  </si>
  <si>
    <t>2855260-1</t>
  </si>
  <si>
    <t>2854062-1</t>
  </si>
  <si>
    <t>2856258-2</t>
  </si>
  <si>
    <t>2856260-3</t>
  </si>
  <si>
    <t>2856182-1</t>
  </si>
  <si>
    <t>2857729-3</t>
  </si>
  <si>
    <t>2857859-3</t>
  </si>
  <si>
    <t>2859393-5</t>
  </si>
  <si>
    <t>2859487-2</t>
  </si>
  <si>
    <t>2859079-5</t>
  </si>
  <si>
    <t>2861055-4</t>
  </si>
  <si>
    <t>2861149-2</t>
  </si>
  <si>
    <t>2861011-1</t>
  </si>
  <si>
    <t>2856108-4</t>
  </si>
  <si>
    <t>2856055-13</t>
  </si>
  <si>
    <t>2859466-1</t>
  </si>
  <si>
    <t>2861003-4</t>
  </si>
  <si>
    <t>2862163-3</t>
  </si>
  <si>
    <t>2861024-3</t>
  </si>
  <si>
    <t>2852617-1</t>
  </si>
  <si>
    <t>2852654-1</t>
  </si>
  <si>
    <t>2856141-1</t>
  </si>
  <si>
    <t>2857382-7</t>
  </si>
  <si>
    <t>B012-115363</t>
  </si>
  <si>
    <t>B012-116052</t>
  </si>
  <si>
    <t>2850299-1</t>
  </si>
  <si>
    <t>2852548-1</t>
  </si>
  <si>
    <t>2857747-11</t>
  </si>
  <si>
    <t>BSH469</t>
  </si>
  <si>
    <t>2856125-4</t>
  </si>
  <si>
    <t>2857738-4</t>
  </si>
  <si>
    <t>2853989-7</t>
  </si>
  <si>
    <t>2855765-4</t>
  </si>
  <si>
    <t>B012-116666</t>
  </si>
  <si>
    <t>B012-116167</t>
  </si>
  <si>
    <t>B012-116254</t>
  </si>
  <si>
    <t>ART024</t>
  </si>
  <si>
    <t>2852565-8</t>
  </si>
  <si>
    <t>2851697-6</t>
  </si>
  <si>
    <t>2853216-2</t>
  </si>
  <si>
    <t>2853195-4</t>
  </si>
  <si>
    <t>2853231-2</t>
  </si>
  <si>
    <t>2853223-1</t>
  </si>
  <si>
    <t>2853238-4</t>
  </si>
  <si>
    <t>2854373-3</t>
  </si>
  <si>
    <t>2854445-1</t>
  </si>
  <si>
    <t>2854397-3</t>
  </si>
  <si>
    <t>2857364-15</t>
  </si>
  <si>
    <t>B012-116515</t>
  </si>
  <si>
    <t>F012-28199</t>
  </si>
  <si>
    <t>B012-115902</t>
  </si>
  <si>
    <t>2856032-1</t>
  </si>
  <si>
    <t>2857737-3</t>
  </si>
  <si>
    <t>2859559-4</t>
  </si>
  <si>
    <t>2860683-7</t>
  </si>
  <si>
    <t>2855058-1</t>
  </si>
  <si>
    <t>2854310-1</t>
  </si>
  <si>
    <t>2857895-3</t>
  </si>
  <si>
    <t>F012-28154</t>
  </si>
  <si>
    <t>F012-28044</t>
  </si>
  <si>
    <t>B012-116311</t>
  </si>
  <si>
    <t>B012-116378</t>
  </si>
  <si>
    <t>F012-28163</t>
  </si>
  <si>
    <t>F012-28435</t>
  </si>
  <si>
    <t>B012-116099</t>
  </si>
  <si>
    <t>B012-116149</t>
  </si>
  <si>
    <t>B012-114983</t>
  </si>
  <si>
    <t>B012-115735</t>
  </si>
  <si>
    <t>B012-116138</t>
  </si>
  <si>
    <t>B012-116411</t>
  </si>
  <si>
    <t>B012-116670</t>
  </si>
  <si>
    <t>B012-116999</t>
  </si>
  <si>
    <t>B012-115196</t>
  </si>
  <si>
    <t>B012-116236</t>
  </si>
  <si>
    <t>F012-28580</t>
  </si>
  <si>
    <t>F012-28235</t>
  </si>
  <si>
    <t>B012-116861</t>
  </si>
  <si>
    <t>B012-115745</t>
  </si>
  <si>
    <t>F012-28342</t>
  </si>
  <si>
    <t>2852607-1</t>
  </si>
  <si>
    <t>2854776-2</t>
  </si>
  <si>
    <t>2854426-1</t>
  </si>
  <si>
    <t>B012-115435</t>
  </si>
  <si>
    <t>F012-28513</t>
  </si>
  <si>
    <t>B012-115449</t>
  </si>
  <si>
    <t>B012-115980</t>
  </si>
  <si>
    <t>F012-28216</t>
  </si>
  <si>
    <t>B012-116695</t>
  </si>
  <si>
    <t>B012-114971</t>
  </si>
  <si>
    <t>F012-28009</t>
  </si>
  <si>
    <t>B012-115856</t>
  </si>
  <si>
    <t>2852655-4</t>
  </si>
  <si>
    <t>B012-116590</t>
  </si>
  <si>
    <t>F012-28570</t>
  </si>
  <si>
    <t>CUP398</t>
  </si>
  <si>
    <t>2860216-3</t>
  </si>
  <si>
    <t>2850362-1</t>
  </si>
  <si>
    <t>2856101-4</t>
  </si>
  <si>
    <t>2857879-12</t>
  </si>
  <si>
    <t>2857788-1</t>
  </si>
  <si>
    <t>2857400-5</t>
  </si>
  <si>
    <t>2856178-1</t>
  </si>
  <si>
    <t>2859488-1</t>
  </si>
  <si>
    <t>B012-115410</t>
  </si>
  <si>
    <t>F012-28212</t>
  </si>
  <si>
    <t>B012-116113</t>
  </si>
  <si>
    <t>CUI583</t>
  </si>
  <si>
    <t>2860683-8</t>
  </si>
  <si>
    <t>2850370-3</t>
  </si>
  <si>
    <t>2850342-1</t>
  </si>
  <si>
    <t>2850419-2</t>
  </si>
  <si>
    <t>2852590-23</t>
  </si>
  <si>
    <t>2859525-3</t>
  </si>
  <si>
    <t>2859037-3</t>
  </si>
  <si>
    <t>2857418-17</t>
  </si>
  <si>
    <t>2857756-2</t>
  </si>
  <si>
    <t>2857768-6</t>
  </si>
  <si>
    <t>2857835-4</t>
  </si>
  <si>
    <t>2859469-4</t>
  </si>
  <si>
    <t>2860131-1</t>
  </si>
  <si>
    <t>2860215-2</t>
  </si>
  <si>
    <t>2861055-7</t>
  </si>
  <si>
    <t>2861152-2</t>
  </si>
  <si>
    <t>2852603-5</t>
  </si>
  <si>
    <t>2852653-4</t>
  </si>
  <si>
    <t>2855038-1</t>
  </si>
  <si>
    <t>2854436-4</t>
  </si>
  <si>
    <t>2856143-1</t>
  </si>
  <si>
    <t>F012-28174</t>
  </si>
  <si>
    <t>B012-115848</t>
  </si>
  <si>
    <t>B012-116394</t>
  </si>
  <si>
    <t>B012-114974</t>
  </si>
  <si>
    <t>B012-116671</t>
  </si>
  <si>
    <t>2851649-1</t>
  </si>
  <si>
    <t>2852545-13</t>
  </si>
  <si>
    <t>CLS652</t>
  </si>
  <si>
    <t>2857880-2</t>
  </si>
  <si>
    <t>F012-28443</t>
  </si>
  <si>
    <t>B012-116579</t>
  </si>
  <si>
    <t>B012-116622</t>
  </si>
  <si>
    <t>2848708-1</t>
  </si>
  <si>
    <t>2850451-3</t>
  </si>
  <si>
    <t>2849684-2</t>
  </si>
  <si>
    <t>2852518-3</t>
  </si>
  <si>
    <t>2854198-1</t>
  </si>
  <si>
    <t>2854322-3</t>
  </si>
  <si>
    <t>2856186-3</t>
  </si>
  <si>
    <t>2855727-23</t>
  </si>
  <si>
    <t>2856127-2</t>
  </si>
  <si>
    <t>2858465-1</t>
  </si>
  <si>
    <t>2857803-3</t>
  </si>
  <si>
    <t>2858188-2</t>
  </si>
  <si>
    <t>2860505-1</t>
  </si>
  <si>
    <t>2860519-2</t>
  </si>
  <si>
    <t>2859383-4</t>
  </si>
  <si>
    <t>2859460-1</t>
  </si>
  <si>
    <t>B012-115171</t>
  </si>
  <si>
    <t>2854313-1</t>
  </si>
  <si>
    <t>B012-116015</t>
  </si>
  <si>
    <t>2859027-27</t>
  </si>
  <si>
    <t>F012-28606</t>
  </si>
  <si>
    <t>B012-116851</t>
  </si>
  <si>
    <t>2854410-5</t>
  </si>
  <si>
    <t>2855727-27</t>
  </si>
  <si>
    <t>2857810-5</t>
  </si>
  <si>
    <t>2857841-2</t>
  </si>
  <si>
    <t>2858460-3</t>
  </si>
  <si>
    <t>2859385-4</t>
  </si>
  <si>
    <t>2860236-1</t>
  </si>
  <si>
    <t>2850298-9</t>
  </si>
  <si>
    <t>2850408-1</t>
  </si>
  <si>
    <t>2852587-3</t>
  </si>
  <si>
    <t>2854323-3</t>
  </si>
  <si>
    <t>2854338-6</t>
  </si>
  <si>
    <t>2856055-15</t>
  </si>
  <si>
    <t>B012-117147</t>
  </si>
  <si>
    <t>2854353-90</t>
  </si>
  <si>
    <t>2857769-3</t>
  </si>
  <si>
    <t>2856181-2</t>
  </si>
  <si>
    <t>2856086-3</t>
  </si>
  <si>
    <t>B012-116156</t>
  </si>
  <si>
    <t>CTZ410</t>
  </si>
  <si>
    <t>CTZ139</t>
  </si>
  <si>
    <t>CSH676</t>
  </si>
  <si>
    <t>2857871-1</t>
  </si>
  <si>
    <t>2857767-3</t>
  </si>
  <si>
    <t>CTZ618</t>
  </si>
  <si>
    <t>2851543-6</t>
  </si>
  <si>
    <t>2855750-20</t>
  </si>
  <si>
    <t>2859517-2</t>
  </si>
  <si>
    <t>2862163-1</t>
  </si>
  <si>
    <t>B012-115042</t>
  </si>
  <si>
    <t>F012-28215</t>
  </si>
  <si>
    <t>BNP255</t>
  </si>
  <si>
    <t>B012-115680</t>
  </si>
  <si>
    <t>B012-115762</t>
  </si>
  <si>
    <t>B012-116040</t>
  </si>
  <si>
    <t>F012-28605</t>
  </si>
  <si>
    <t>B012-115239</t>
  </si>
  <si>
    <t>2859394-1</t>
  </si>
  <si>
    <t>2859479-3</t>
  </si>
  <si>
    <t>2850342-4</t>
  </si>
  <si>
    <t>2857775-1</t>
  </si>
  <si>
    <t>2857871-4</t>
  </si>
  <si>
    <t>2857758-1</t>
  </si>
  <si>
    <t>2859489-5</t>
  </si>
  <si>
    <t>2859445-1</t>
  </si>
  <si>
    <t>B012-115542</t>
  </si>
  <si>
    <t>B012-116792</t>
  </si>
  <si>
    <t>2849680-32</t>
  </si>
  <si>
    <t>2850300-5</t>
  </si>
  <si>
    <t>2850411-3</t>
  </si>
  <si>
    <t>2853836-2</t>
  </si>
  <si>
    <t>2852583-23</t>
  </si>
  <si>
    <t>2854490-1</t>
  </si>
  <si>
    <t>2855812-2</t>
  </si>
  <si>
    <t>2856102-2</t>
  </si>
  <si>
    <t>2856086-5</t>
  </si>
  <si>
    <t>2855823-5</t>
  </si>
  <si>
    <t>2857497-2</t>
  </si>
  <si>
    <t>2857777-1</t>
  </si>
  <si>
    <t>2859083-3</t>
  </si>
  <si>
    <t>2859408-20</t>
  </si>
  <si>
    <t>B012-117141</t>
  </si>
  <si>
    <t>2853980-20</t>
  </si>
  <si>
    <t>2861022-1</t>
  </si>
  <si>
    <t>2861014-67</t>
  </si>
  <si>
    <t>F012-28161</t>
  </si>
  <si>
    <t>B012-117107</t>
  </si>
  <si>
    <t>2859027-42</t>
  </si>
  <si>
    <t>B012-115031</t>
  </si>
  <si>
    <t>B012-115515</t>
  </si>
  <si>
    <t>B012-116469</t>
  </si>
  <si>
    <t>B012-116704</t>
  </si>
  <si>
    <t>B012-116800</t>
  </si>
  <si>
    <t>2849690-8</t>
  </si>
  <si>
    <t>2860703-34</t>
  </si>
  <si>
    <t>2861030-1</t>
  </si>
  <si>
    <t>2850285-1</t>
  </si>
  <si>
    <t>2849711-29</t>
  </si>
  <si>
    <t>2849812-2</t>
  </si>
  <si>
    <t>2849705-15</t>
  </si>
  <si>
    <t>2854352-5</t>
  </si>
  <si>
    <t>2854258-2</t>
  </si>
  <si>
    <t>2854365-1</t>
  </si>
  <si>
    <t>2856265-1</t>
  </si>
  <si>
    <t>2855823-7</t>
  </si>
  <si>
    <t>2856130-4</t>
  </si>
  <si>
    <t>2857757-2</t>
  </si>
  <si>
    <t>2857761-6</t>
  </si>
  <si>
    <t>2860841-2</t>
  </si>
  <si>
    <t>CWS441</t>
  </si>
  <si>
    <t>2859458-2</t>
  </si>
  <si>
    <t>AXL136</t>
  </si>
  <si>
    <t>CUG046</t>
  </si>
  <si>
    <t>CRH203</t>
  </si>
  <si>
    <t>AXC501</t>
  </si>
  <si>
    <t>B012-115409</t>
  </si>
  <si>
    <t>B012-116360</t>
  </si>
  <si>
    <t>2859525-1</t>
  </si>
  <si>
    <t>B012-116524</t>
  </si>
  <si>
    <t>B012-116897</t>
  </si>
  <si>
    <t>F012-28093</t>
  </si>
  <si>
    <t>2859046-22</t>
  </si>
  <si>
    <t>2860783-1</t>
  </si>
  <si>
    <t>B012-116071</t>
  </si>
  <si>
    <t>F012-28403</t>
  </si>
  <si>
    <t>2852550-4</t>
  </si>
  <si>
    <t>B012-116215</t>
  </si>
  <si>
    <t>2857747-7</t>
  </si>
  <si>
    <t>B012-116323</t>
  </si>
  <si>
    <t>B012-116428</t>
  </si>
  <si>
    <t>2859408-6</t>
  </si>
  <si>
    <t>B012-116834</t>
  </si>
  <si>
    <t>B012-116898</t>
  </si>
  <si>
    <t>F012-28005</t>
  </si>
  <si>
    <t>B012-115211</t>
  </si>
  <si>
    <t>F012-28080</t>
  </si>
  <si>
    <t>F012-28131</t>
  </si>
  <si>
    <t>F012-28393</t>
  </si>
  <si>
    <t>F012-28505</t>
  </si>
  <si>
    <t>BXK391</t>
  </si>
  <si>
    <t>2859382-2</t>
  </si>
  <si>
    <t>B012-116907</t>
  </si>
  <si>
    <t>B012-117252</t>
  </si>
  <si>
    <t>2852213-20</t>
  </si>
  <si>
    <t>2854338-5</t>
  </si>
  <si>
    <t>B012-116217</t>
  </si>
  <si>
    <t>B012-115484</t>
  </si>
  <si>
    <t>B012-115493</t>
  </si>
  <si>
    <t>B012-115308</t>
  </si>
  <si>
    <t>B012-116111</t>
  </si>
  <si>
    <t>F012-28331</t>
  </si>
  <si>
    <t>2861053-3</t>
  </si>
  <si>
    <t>2852587-23</t>
  </si>
  <si>
    <t>BYB491</t>
  </si>
  <si>
    <t>F012-28517</t>
  </si>
  <si>
    <t>2860996-2</t>
  </si>
  <si>
    <t>F012-27967</t>
  </si>
  <si>
    <t>B012-115021</t>
  </si>
  <si>
    <t>B012-116599</t>
  </si>
  <si>
    <t>2849709-33</t>
  </si>
  <si>
    <t>2854086-3</t>
  </si>
  <si>
    <t>2853220-1</t>
  </si>
  <si>
    <t>2854443-4</t>
  </si>
  <si>
    <t>2855695-1</t>
  </si>
  <si>
    <t>2856169-3</t>
  </si>
  <si>
    <t>2856148-1</t>
  </si>
  <si>
    <t>F012-28260</t>
  </si>
  <si>
    <t>F012-28322</t>
  </si>
  <si>
    <t>2860811-4</t>
  </si>
  <si>
    <t>2859500-3</t>
  </si>
  <si>
    <t>2850321-6</t>
  </si>
  <si>
    <t>2852428-1</t>
  </si>
  <si>
    <t>B012-116912</t>
  </si>
  <si>
    <t>B012-117134</t>
  </si>
  <si>
    <t>B012-117212</t>
  </si>
  <si>
    <t>B012-116917</t>
  </si>
  <si>
    <t>B012-114975</t>
  </si>
  <si>
    <t>B012-115529</t>
  </si>
  <si>
    <t>F012-28615</t>
  </si>
  <si>
    <t>2859479-2</t>
  </si>
  <si>
    <t>2859408-19</t>
  </si>
  <si>
    <t>F012-28015</t>
  </si>
  <si>
    <t>B012-116691</t>
  </si>
  <si>
    <t>B012-116814</t>
  </si>
  <si>
    <t>F012-28248</t>
  </si>
  <si>
    <t>W3H509</t>
  </si>
  <si>
    <t>B012-115072</t>
  </si>
  <si>
    <t>F012-28014</t>
  </si>
  <si>
    <t>B012-115274</t>
  </si>
  <si>
    <t>B012-117111</t>
  </si>
  <si>
    <t>F012-28190</t>
  </si>
  <si>
    <t>B012-115068</t>
  </si>
  <si>
    <t>B012-115165</t>
  </si>
  <si>
    <t>B012-115790</t>
  </si>
  <si>
    <t>B012-115193</t>
  </si>
  <si>
    <t>B012-115873</t>
  </si>
  <si>
    <t>B012-116335</t>
  </si>
  <si>
    <t>B012-116518</t>
  </si>
  <si>
    <t>CNG668</t>
  </si>
  <si>
    <t>F012-28372</t>
  </si>
  <si>
    <t>CDU581</t>
  </si>
  <si>
    <t>B012-115220</t>
  </si>
  <si>
    <t>F012-28244</t>
  </si>
  <si>
    <t>F012-28344</t>
  </si>
  <si>
    <t>F012-28470</t>
  </si>
  <si>
    <t>2856054-9</t>
  </si>
  <si>
    <t>B012-116341</t>
  </si>
  <si>
    <t>B012-116393</t>
  </si>
  <si>
    <t>F300-00182930</t>
  </si>
  <si>
    <t>F055-01804812</t>
  </si>
  <si>
    <t>CSG626</t>
  </si>
  <si>
    <t>D0E489</t>
  </si>
  <si>
    <t>CAN230</t>
  </si>
  <si>
    <t>AMP480</t>
  </si>
  <si>
    <t>CBR666</t>
  </si>
  <si>
    <t>BJR206</t>
  </si>
  <si>
    <t>CCG479</t>
  </si>
  <si>
    <t>CFJ680</t>
  </si>
  <si>
    <t>CVR645</t>
  </si>
  <si>
    <t>CKH368</t>
  </si>
  <si>
    <t>CRU106</t>
  </si>
  <si>
    <t>CTR156</t>
  </si>
  <si>
    <t>BUW271</t>
  </si>
  <si>
    <t>CAQ383</t>
  </si>
  <si>
    <t>AUZ240</t>
  </si>
  <si>
    <t>CNQ627</t>
  </si>
  <si>
    <t>CYE453</t>
  </si>
  <si>
    <t>CTY438</t>
  </si>
  <si>
    <t>CMG294</t>
  </si>
  <si>
    <t>CJV104</t>
  </si>
  <si>
    <t>CYC004</t>
  </si>
  <si>
    <t>CRU554</t>
  </si>
  <si>
    <t>CXA472</t>
  </si>
  <si>
    <t>CSI202</t>
  </si>
  <si>
    <t>CVY214</t>
  </si>
  <si>
    <t>CCK319</t>
  </si>
  <si>
    <t>CMG265</t>
  </si>
  <si>
    <t>CRK395</t>
  </si>
  <si>
    <t>CVK085</t>
  </si>
  <si>
    <t>CPL221</t>
  </si>
  <si>
    <t>CUD597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</si>
</sst>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dd/mm/yyyy\ hh:mm:ss"/>
    <numFmt numFmtId="165" formatCode="[$-F400]h:mm:ss\ AM/PM"/>
    <numFmt numFmtId="166" formatCode="&quot;S/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  <font>
      <sz val="10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4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4" fillId="0" borderId="2" xfId="2" applyFont="1" applyFill="1" applyBorder="1" applyAlignment="1">
      <alignment horizontal="center" vertical="center" wrapText="1"/>
    </xf>
    <xf numFmtId="44" fontId="2" fillId="0" borderId="2" xfId="2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6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5" fontId="13" fillId="0" borderId="0" xfId="1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14" fontId="15" fillId="5" borderId="11" xfId="0" applyNumberFormat="1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14" fontId="20" fillId="5" borderId="1" xfId="1" applyNumberFormat="1" applyFont="1" applyFill="1" applyBorder="1" applyAlignment="1">
      <alignment horizontal="center"/>
    </xf>
    <xf numFmtId="0" fontId="20" fillId="0" borderId="1" xfId="1" applyFont="1" applyBorder="1" applyAlignment="1">
      <alignment horizontal="center"/>
    </xf>
    <xf numFmtId="0" fontId="19" fillId="0" borderId="9" xfId="0" applyFont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694"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font>
        <b/>
        <i val="0"/>
        <color rgb="FF00206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6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9" formatCode="d/mm/yy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5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9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/TODAS%20LAS%20FLOTAS/LIQ.%2025%20TODAS%20LAS%20FLOTAS%20DEL%2015%20JUNIO%20AL%2021%20JUNIO.xlsx" TargetMode="External"/><Relationship Id="rId2" Type="http://schemas.openxmlformats.org/officeDocument/2006/relationships/externalLinkPath" Target="file:///C:\Users\Jessica%20Davila\DIRECTO%20Dropbox\Jessica%20D&#225;vila\2026\TODAS%20LAS%20FLOTAS\LIQ.%2025%20TODAS%20LAS%20FLOTAS%20DEL%2015%20JUNIO%20AL%2021%20JUNIO.xlsx" TargetMode="External"/><Relationship Id="rId1" Type="http://schemas.openxmlformats.org/officeDocument/2006/relationships/externalLinkPath" Target="/Users/Jessica%20Davila/DIRECTO%20Dropbox/Jessica%20D&#225;vila/2026/TODAS%20LAS%20FLOTAS/LIQ.%2025%20TODAS%20LAS%20FLOTAS%20DEL%2015%20JUNIO%20AL%2021%20JUNI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/PLAZAS/LIQ.%2325-RESERVAS%20DEL%2015%20JUNIO%20AL%2021%20JUNIO.xlsx" TargetMode="External"/><Relationship Id="rId2" Type="http://schemas.openxmlformats.org/officeDocument/2006/relationships/externalLinkPath" Target="file:///C:\Users\Jessica%20Davila\DIRECTO%20Dropbox\Jessica%20D&#225;vila\2026\PLAZAS\LIQ.%2325-RESERVAS%20DEL%2015%20JUNIO%20AL%2021%20JUNIO.xlsx" TargetMode="External"/><Relationship Id="rId1" Type="http://schemas.openxmlformats.org/officeDocument/2006/relationships/externalLinkPath" Target="/Users/Jessica%20Davila/DIRECTO%20Dropbox/Jessica%20D&#225;vila/2026/PLAZAS/LIQ.%2325-RESERVAS%20DEL%2015%20JUNIO%20AL%2021%20JU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>
        <row r="1">
          <cell r="A1" t="str">
            <v>MOVIL</v>
          </cell>
          <cell r="B1" t="str">
            <v>VEHICULO</v>
          </cell>
          <cell r="C1" t="str">
            <v>MODALIDAD</v>
          </cell>
          <cell r="D1" t="str">
            <v>ESTADO</v>
          </cell>
          <cell r="E1" t="str">
            <v>PLACA</v>
          </cell>
          <cell r="F1" t="str">
            <v>CONDUCTOR</v>
          </cell>
          <cell r="G1" t="str">
            <v>PROPIETARIO</v>
          </cell>
          <cell r="H1" t="str">
            <v>N° DOCUMENTO</v>
          </cell>
          <cell r="I1" t="str">
            <v>BANCO</v>
          </cell>
          <cell r="J1" t="str">
            <v>N° DE CUENTA DEL PROPIETARIO</v>
          </cell>
          <cell r="K1" t="str">
            <v>TIPO DE DOC.</v>
          </cell>
          <cell r="L1" t="str">
            <v>RUC</v>
          </cell>
          <cell r="M1" t="str">
            <v>PLAZA</v>
          </cell>
          <cell r="N1" t="str">
            <v>FECHA DE INICIO</v>
          </cell>
          <cell r="O1" t="str">
            <v>MEMBRESIA</v>
          </cell>
          <cell r="P1" t="str">
            <v>TIPO DE VEHÍCULO</v>
          </cell>
        </row>
        <row r="2">
          <cell r="A2">
            <v>200</v>
          </cell>
          <cell r="B2">
            <v>200</v>
          </cell>
          <cell r="C2" t="str">
            <v>CERO MATRICULA</v>
          </cell>
          <cell r="D2" t="str">
            <v>ACTIVO</v>
          </cell>
          <cell r="E2" t="str">
            <v>H2H504</v>
          </cell>
          <cell r="F2" t="str">
            <v>CABRERA HECTOR JESUS</v>
          </cell>
          <cell r="G2" t="str">
            <v>CABRERA HECTOR JESUS</v>
          </cell>
          <cell r="H2" t="str">
            <v>007292631</v>
          </cell>
          <cell r="I2" t="str">
            <v>BCP</v>
          </cell>
          <cell r="J2" t="str">
            <v>19497908602075</v>
          </cell>
          <cell r="K2" t="str">
            <v>CE</v>
          </cell>
          <cell r="L2">
            <v>15609782843</v>
          </cell>
          <cell r="M2" t="str">
            <v>AEROPUERTO</v>
          </cell>
          <cell r="N2">
            <v>44848</v>
          </cell>
          <cell r="O2">
            <v>240</v>
          </cell>
          <cell r="P2" t="str">
            <v>XL</v>
          </cell>
        </row>
        <row r="3">
          <cell r="A3">
            <v>201</v>
          </cell>
          <cell r="B3">
            <v>201</v>
          </cell>
          <cell r="C3" t="str">
            <v>CERO MATRICULA</v>
          </cell>
          <cell r="D3" t="str">
            <v>ACTIVO</v>
          </cell>
          <cell r="E3" t="str">
            <v>AU0432</v>
          </cell>
          <cell r="F3" t="str">
            <v>ESPINOZA CARHUATOCTO JOSE LUIS</v>
          </cell>
          <cell r="G3" t="str">
            <v>ESPINOZA CARHUATOCTO JOSE LUIS</v>
          </cell>
          <cell r="H3" t="str">
            <v>46896567</v>
          </cell>
          <cell r="I3" t="str">
            <v>BBVA</v>
          </cell>
          <cell r="J3" t="str">
            <v>0011-0814-0211448631</v>
          </cell>
          <cell r="K3" t="str">
            <v>DNI</v>
          </cell>
          <cell r="L3">
            <v>10468965670</v>
          </cell>
          <cell r="M3" t="str">
            <v>URBANO</v>
          </cell>
          <cell r="N3" t="str">
            <v>PENDIENTE</v>
          </cell>
          <cell r="O3">
            <v>0</v>
          </cell>
          <cell r="P3" t="str">
            <v>COMFORT XL</v>
          </cell>
        </row>
        <row r="4">
          <cell r="A4">
            <v>202</v>
          </cell>
          <cell r="B4">
            <v>202</v>
          </cell>
          <cell r="C4" t="str">
            <v>CERO MATRICULA</v>
          </cell>
          <cell r="D4" t="str">
            <v>ACTIVO</v>
          </cell>
          <cell r="E4" t="str">
            <v>ATT007</v>
          </cell>
          <cell r="F4" t="str">
            <v xml:space="preserve">REGINALDO CLAROS Felipe Alberto </v>
          </cell>
          <cell r="G4" t="str">
            <v>REGINALDO GUERRERO RACHEL MADELEINE</v>
          </cell>
          <cell r="H4" t="str">
            <v>75428748</v>
          </cell>
          <cell r="I4" t="str">
            <v>INTERBANK</v>
          </cell>
          <cell r="J4" t="str">
            <v>0413255172139</v>
          </cell>
          <cell r="K4" t="str">
            <v>DNI</v>
          </cell>
          <cell r="L4">
            <v>10754287484</v>
          </cell>
          <cell r="M4" t="str">
            <v>AEROLINEAS</v>
          </cell>
          <cell r="N4">
            <v>45393</v>
          </cell>
          <cell r="O4">
            <v>0</v>
          </cell>
          <cell r="P4" t="str">
            <v>COMFORT</v>
          </cell>
        </row>
        <row r="5">
          <cell r="A5">
            <v>203</v>
          </cell>
          <cell r="B5">
            <v>203</v>
          </cell>
          <cell r="C5" t="str">
            <v>CERO MATRICULA</v>
          </cell>
          <cell r="D5" t="str">
            <v>ACTIVO</v>
          </cell>
          <cell r="E5" t="str">
            <v>BZB105</v>
          </cell>
          <cell r="F5" t="str">
            <v>GALARZA SUAREZ CESAR ALBERTO</v>
          </cell>
          <cell r="G5" t="str">
            <v>GALARZA SUAREZ CESAR ALBERTO</v>
          </cell>
          <cell r="H5" t="str">
            <v>09821702</v>
          </cell>
          <cell r="I5" t="str">
            <v>BCP</v>
          </cell>
          <cell r="J5" t="str">
            <v>191-99089116-0-14</v>
          </cell>
          <cell r="K5" t="str">
            <v>DNI</v>
          </cell>
          <cell r="L5">
            <v>10098217024</v>
          </cell>
          <cell r="M5" t="str">
            <v>AEROPUERTO</v>
          </cell>
          <cell r="N5">
            <v>44792</v>
          </cell>
          <cell r="O5">
            <v>265</v>
          </cell>
          <cell r="P5" t="str">
            <v>LITE</v>
          </cell>
        </row>
        <row r="6">
          <cell r="A6">
            <v>204</v>
          </cell>
          <cell r="B6">
            <v>204</v>
          </cell>
          <cell r="C6" t="str">
            <v>CERO MATRICULA</v>
          </cell>
          <cell r="D6" t="str">
            <v>ACTIVO</v>
          </cell>
          <cell r="E6" t="str">
            <v>AWS428</v>
          </cell>
          <cell r="F6" t="str">
            <v>ACOSTA AGUILAR LUIS ANGEL</v>
          </cell>
          <cell r="G6" t="str">
            <v>ACOSTA AGUILAR LUIS ANGEL</v>
          </cell>
          <cell r="H6" t="str">
            <v>48298086</v>
          </cell>
          <cell r="I6" t="str">
            <v>BCP</v>
          </cell>
          <cell r="J6" t="str">
            <v>19105751282074</v>
          </cell>
          <cell r="K6" t="str">
            <v>DNI</v>
          </cell>
          <cell r="L6">
            <v>10482980860</v>
          </cell>
          <cell r="M6" t="str">
            <v>AEROPUERTO</v>
          </cell>
          <cell r="N6">
            <v>44792</v>
          </cell>
          <cell r="O6">
            <v>235</v>
          </cell>
          <cell r="P6" t="str">
            <v>COMFORT XL</v>
          </cell>
        </row>
        <row r="7">
          <cell r="A7">
            <v>205</v>
          </cell>
          <cell r="B7">
            <v>205</v>
          </cell>
          <cell r="C7" t="str">
            <v>CERO MATRICULA</v>
          </cell>
          <cell r="D7" t="str">
            <v>ACTIVO</v>
          </cell>
          <cell r="E7" t="str">
            <v>BKG258</v>
          </cell>
          <cell r="F7" t="str">
            <v>BAUTISTA MENDOZA RANDHOP ALFONSO</v>
          </cell>
          <cell r="G7" t="str">
            <v>BAUTISTA MENDOZA RANDHOP ALFONSO</v>
          </cell>
          <cell r="H7" t="str">
            <v>21144152</v>
          </cell>
          <cell r="I7" t="str">
            <v>BCP</v>
          </cell>
          <cell r="J7" t="str">
            <v>193-05719598-0-69</v>
          </cell>
          <cell r="K7" t="str">
            <v>DNI</v>
          </cell>
          <cell r="L7">
            <v>10211441521</v>
          </cell>
          <cell r="M7" t="str">
            <v>AEROPUERTO</v>
          </cell>
          <cell r="N7" t="str">
            <v>PENDIENTE</v>
          </cell>
          <cell r="O7">
            <v>235</v>
          </cell>
          <cell r="P7" t="str">
            <v>COMFORT XL</v>
          </cell>
        </row>
        <row r="8">
          <cell r="A8">
            <v>206</v>
          </cell>
          <cell r="B8">
            <v>206</v>
          </cell>
          <cell r="C8" t="str">
            <v>CERO MATRICULA</v>
          </cell>
          <cell r="D8" t="str">
            <v>ACTIVO</v>
          </cell>
          <cell r="E8" t="str">
            <v>BBB299</v>
          </cell>
          <cell r="F8" t="str">
            <v>GUTIERREZ SACSA JOSELINO VLADIMIR</v>
          </cell>
          <cell r="G8" t="str">
            <v>GUTIERREZ SACSA JOSELINO VLADIMIR</v>
          </cell>
          <cell r="H8" t="str">
            <v>43415403</v>
          </cell>
          <cell r="I8" t="str">
            <v>BCP</v>
          </cell>
          <cell r="J8" t="str">
            <v>191-71662485-0-46</v>
          </cell>
          <cell r="K8" t="str">
            <v>DNI</v>
          </cell>
          <cell r="L8">
            <v>10434154036</v>
          </cell>
          <cell r="M8" t="str">
            <v>AEROPUERTO</v>
          </cell>
          <cell r="N8" t="str">
            <v>PENDIENTE</v>
          </cell>
          <cell r="O8">
            <v>265</v>
          </cell>
          <cell r="P8" t="str">
            <v>LITE</v>
          </cell>
        </row>
        <row r="9">
          <cell r="A9">
            <v>207</v>
          </cell>
          <cell r="B9">
            <v>207</v>
          </cell>
          <cell r="C9" t="str">
            <v>CERO MATRICULA</v>
          </cell>
          <cell r="D9" t="str">
            <v>ACTIVO</v>
          </cell>
          <cell r="E9" t="str">
            <v>AFK601</v>
          </cell>
          <cell r="F9" t="str">
            <v>LENGUA DONAYRE CESAR AGUSTO</v>
          </cell>
          <cell r="G9" t="str">
            <v>YENGLE GONZALES FRANKLIN BERNABÈ</v>
          </cell>
          <cell r="H9" t="str">
            <v>43414557</v>
          </cell>
          <cell r="I9" t="str">
            <v>BBVA</v>
          </cell>
          <cell r="J9" t="str">
            <v>001109210200228372</v>
          </cell>
          <cell r="K9" t="str">
            <v>DNI</v>
          </cell>
          <cell r="L9">
            <v>10434145576</v>
          </cell>
          <cell r="M9" t="str">
            <v>AEROPUERTO</v>
          </cell>
          <cell r="N9">
            <v>44818</v>
          </cell>
          <cell r="O9">
            <v>240</v>
          </cell>
          <cell r="P9" t="str">
            <v>XL</v>
          </cell>
        </row>
        <row r="10">
          <cell r="A10">
            <v>208</v>
          </cell>
          <cell r="B10">
            <v>208</v>
          </cell>
          <cell r="C10" t="str">
            <v>CERO MATRICULA</v>
          </cell>
          <cell r="D10" t="str">
            <v>ACTIVO</v>
          </cell>
          <cell r="E10" t="str">
            <v>ALN251</v>
          </cell>
          <cell r="F10" t="str">
            <v>LLIQUE  IZQUIERDO FRAY ANYELO</v>
          </cell>
          <cell r="G10" t="str">
            <v>LLIQUE IZQUIERDO FRAY ANYELO</v>
          </cell>
          <cell r="H10" t="str">
            <v>43384742</v>
          </cell>
          <cell r="I10" t="str">
            <v>BCP</v>
          </cell>
          <cell r="J10" t="str">
            <v>192-95123191-0-29</v>
          </cell>
          <cell r="K10" t="str">
            <v>DNI</v>
          </cell>
          <cell r="L10">
            <v>10433847429</v>
          </cell>
          <cell r="M10" t="str">
            <v>URBANO</v>
          </cell>
          <cell r="N10">
            <v>45397</v>
          </cell>
          <cell r="O10">
            <v>0</v>
          </cell>
          <cell r="P10" t="str">
            <v>LITE</v>
          </cell>
        </row>
        <row r="11">
          <cell r="A11">
            <v>209</v>
          </cell>
          <cell r="B11">
            <v>209</v>
          </cell>
          <cell r="C11" t="str">
            <v>CERO MATRICULA</v>
          </cell>
          <cell r="D11" t="str">
            <v>ACTIVO</v>
          </cell>
          <cell r="E11" t="str">
            <v>F9G100</v>
          </cell>
          <cell r="F11" t="str">
            <v>MELENDEZ CAMPOS MOISES LUIS</v>
          </cell>
          <cell r="G11" t="str">
            <v>MELENDEZ CAMPOS MOISES LUIS</v>
          </cell>
          <cell r="H11" t="str">
            <v>09620266</v>
          </cell>
          <cell r="I11" t="str">
            <v>BCP</v>
          </cell>
          <cell r="J11" t="str">
            <v>19334606445003</v>
          </cell>
          <cell r="K11" t="str">
            <v>DNI</v>
          </cell>
          <cell r="L11">
            <v>10096202666</v>
          </cell>
          <cell r="M11" t="str">
            <v>AEROPUERTO</v>
          </cell>
          <cell r="N11" t="str">
            <v>PENDIENTE</v>
          </cell>
          <cell r="O11">
            <v>240</v>
          </cell>
          <cell r="P11" t="str">
            <v>COMFORT</v>
          </cell>
        </row>
        <row r="12">
          <cell r="A12">
            <v>210</v>
          </cell>
          <cell r="B12">
            <v>210</v>
          </cell>
          <cell r="C12" t="str">
            <v>CERO MATRICULA</v>
          </cell>
          <cell r="D12" t="str">
            <v>ACTIVO</v>
          </cell>
          <cell r="E12" t="str">
            <v>ABI163</v>
          </cell>
          <cell r="F12" t="str">
            <v>GUEVARA TORRES ANTONIO</v>
          </cell>
          <cell r="G12" t="str">
            <v>GUEVARA TORRES ANTONIO</v>
          </cell>
          <cell r="H12" t="str">
            <v>02890090</v>
          </cell>
          <cell r="I12" t="str">
            <v>BCP</v>
          </cell>
          <cell r="J12" t="str">
            <v>193-35675497-0-53</v>
          </cell>
          <cell r="K12"/>
          <cell r="L12">
            <v>10028900908</v>
          </cell>
          <cell r="M12" t="str">
            <v>AEROPUERTO</v>
          </cell>
          <cell r="N12" t="str">
            <v>PENDIENTE</v>
          </cell>
          <cell r="O12">
            <v>265</v>
          </cell>
          <cell r="P12" t="str">
            <v>LITE</v>
          </cell>
        </row>
        <row r="13">
          <cell r="A13">
            <v>211</v>
          </cell>
          <cell r="B13">
            <v>211</v>
          </cell>
          <cell r="C13" t="str">
            <v>CERO MATRICULA</v>
          </cell>
          <cell r="D13" t="str">
            <v>ACTIVO</v>
          </cell>
          <cell r="E13" t="str">
            <v>AUQ378</v>
          </cell>
          <cell r="F13" t="str">
            <v>SHUPINGAHUA FASABI LUIS ANIBAL</v>
          </cell>
          <cell r="G13" t="str">
            <v>CRUZ ATAHUALPA CARMEN MARIA</v>
          </cell>
          <cell r="H13" t="str">
            <v>46213048</v>
          </cell>
          <cell r="I13" t="str">
            <v>BCP</v>
          </cell>
          <cell r="J13" t="str">
            <v>191-38272256-0-43</v>
          </cell>
          <cell r="K13" t="str">
            <v>DNI</v>
          </cell>
          <cell r="L13">
            <v>10462130487</v>
          </cell>
          <cell r="M13" t="str">
            <v>AEROPUERTO</v>
          </cell>
          <cell r="N13" t="str">
            <v>PENDIENTE</v>
          </cell>
          <cell r="O13">
            <v>265</v>
          </cell>
          <cell r="P13" t="str">
            <v>LITE</v>
          </cell>
        </row>
        <row r="14">
          <cell r="A14">
            <v>212</v>
          </cell>
          <cell r="B14">
            <v>212</v>
          </cell>
          <cell r="C14" t="str">
            <v>CERO MATRICULA</v>
          </cell>
          <cell r="D14" t="str">
            <v>ACTIVO</v>
          </cell>
          <cell r="E14" t="str">
            <v>BBS203</v>
          </cell>
          <cell r="F14" t="str">
            <v>CATARI - OLIVER DAVID</v>
          </cell>
          <cell r="G14" t="str">
            <v>CATARI - OLIVER DAVID</v>
          </cell>
          <cell r="H14" t="str">
            <v>002107245</v>
          </cell>
          <cell r="I14" t="str">
            <v>BCP</v>
          </cell>
          <cell r="J14" t="str">
            <v>194-93636308-0-27</v>
          </cell>
          <cell r="K14" t="str">
            <v>CE</v>
          </cell>
          <cell r="L14">
            <v>15603060749</v>
          </cell>
          <cell r="M14" t="str">
            <v>AEROPUERTO</v>
          </cell>
          <cell r="N14">
            <v>44793</v>
          </cell>
          <cell r="O14">
            <v>235</v>
          </cell>
          <cell r="P14" t="str">
            <v>COMFORT XL</v>
          </cell>
        </row>
        <row r="15">
          <cell r="A15">
            <v>213</v>
          </cell>
          <cell r="B15">
            <v>213</v>
          </cell>
          <cell r="C15" t="str">
            <v>CERO MATRICULA</v>
          </cell>
          <cell r="D15" t="str">
            <v>ACTIVO</v>
          </cell>
          <cell r="E15" t="str">
            <v>BXG178</v>
          </cell>
          <cell r="F15" t="str">
            <v>RODRIGUEZ DONAYRE MIGUEL ANGEL</v>
          </cell>
          <cell r="G15" t="str">
            <v>RODRIGUEZ DONAYRE MIGUEL ANGEL</v>
          </cell>
          <cell r="H15" t="str">
            <v>44043019</v>
          </cell>
          <cell r="I15" t="str">
            <v>BCP</v>
          </cell>
          <cell r="J15" t="str">
            <v>191-32772892-0-29</v>
          </cell>
          <cell r="K15" t="str">
            <v>DNI</v>
          </cell>
          <cell r="L15">
            <v>10440430193</v>
          </cell>
          <cell r="M15" t="str">
            <v>AEROPUERTO</v>
          </cell>
          <cell r="N15">
            <v>44767</v>
          </cell>
          <cell r="O15">
            <v>265</v>
          </cell>
          <cell r="P15" t="str">
            <v>LITE</v>
          </cell>
        </row>
        <row r="16">
          <cell r="A16">
            <v>214</v>
          </cell>
          <cell r="B16">
            <v>214</v>
          </cell>
          <cell r="C16" t="str">
            <v>CERO MATRICULA</v>
          </cell>
          <cell r="D16" t="str">
            <v>ACTIVO</v>
          </cell>
          <cell r="E16" t="str">
            <v>BSD426</v>
          </cell>
          <cell r="F16" t="str">
            <v>GOMEZ OCHOA LUISNEY</v>
          </cell>
          <cell r="G16" t="str">
            <v>GOMEZ OCHOA LUISNEY</v>
          </cell>
          <cell r="H16" t="str">
            <v>002596004</v>
          </cell>
          <cell r="I16" t="str">
            <v>BCP</v>
          </cell>
          <cell r="J16" t="str">
            <v>191-03813801-0-23</v>
          </cell>
          <cell r="K16" t="str">
            <v>CE</v>
          </cell>
          <cell r="L16">
            <v>15604585161</v>
          </cell>
          <cell r="M16" t="str">
            <v>AEROPUERTO</v>
          </cell>
          <cell r="N16">
            <v>44464</v>
          </cell>
          <cell r="O16">
            <v>265</v>
          </cell>
          <cell r="P16" t="str">
            <v>LITE</v>
          </cell>
        </row>
        <row r="17">
          <cell r="A17">
            <v>215</v>
          </cell>
          <cell r="B17">
            <v>215</v>
          </cell>
          <cell r="C17" t="str">
            <v>CERO MATRICULA</v>
          </cell>
          <cell r="D17" t="str">
            <v>ACTIVO</v>
          </cell>
          <cell r="E17" t="str">
            <v>BJQ396</v>
          </cell>
          <cell r="F17" t="str">
            <v>PIZAN NUÑEZ CRISTIAN</v>
          </cell>
          <cell r="G17" t="str">
            <v>PIZAN NUÑEZ CRISTIAN</v>
          </cell>
          <cell r="H17" t="str">
            <v>47953975</v>
          </cell>
          <cell r="I17" t="str">
            <v>BBVA</v>
          </cell>
          <cell r="J17" t="str">
            <v>0011-0814-0231522595</v>
          </cell>
          <cell r="K17" t="str">
            <v>DNI</v>
          </cell>
          <cell r="L17">
            <v>10479539753</v>
          </cell>
          <cell r="M17" t="str">
            <v>AEROPUERTO</v>
          </cell>
          <cell r="N17">
            <v>44792</v>
          </cell>
          <cell r="O17">
            <v>235</v>
          </cell>
          <cell r="P17" t="str">
            <v>COMFORT XL</v>
          </cell>
        </row>
        <row r="18">
          <cell r="A18">
            <v>216</v>
          </cell>
          <cell r="B18">
            <v>216</v>
          </cell>
          <cell r="C18" t="str">
            <v>CERO MATRICULA</v>
          </cell>
          <cell r="D18" t="str">
            <v>ACTIVO</v>
          </cell>
          <cell r="E18" t="str">
            <v>BKB382</v>
          </cell>
          <cell r="F18" t="str">
            <v>DAGA ZUÑIGA CRISTHIAN ROY</v>
          </cell>
          <cell r="G18" t="str">
            <v>DAGA ZUÑIGA CRISTHIAN ROY</v>
          </cell>
          <cell r="H18" t="str">
            <v>71097387</v>
          </cell>
          <cell r="I18" t="str">
            <v>BCP</v>
          </cell>
          <cell r="J18" t="str">
            <v>193-95783665-0-74</v>
          </cell>
          <cell r="K18" t="str">
            <v>DNI</v>
          </cell>
          <cell r="L18">
            <v>10710973879</v>
          </cell>
          <cell r="M18" t="str">
            <v>URBANO</v>
          </cell>
          <cell r="N18">
            <v>44796</v>
          </cell>
          <cell r="O18">
            <v>0</v>
          </cell>
          <cell r="P18" t="str">
            <v>LITE</v>
          </cell>
        </row>
        <row r="19">
          <cell r="A19">
            <v>217</v>
          </cell>
          <cell r="B19">
            <v>217</v>
          </cell>
          <cell r="C19" t="str">
            <v>CERO MATRICULA</v>
          </cell>
          <cell r="D19" t="str">
            <v>ACTIVO</v>
          </cell>
          <cell r="E19" t="str">
            <v>ACL366</v>
          </cell>
          <cell r="F19" t="str">
            <v>GONZALEZ MALLQUI ALEJANDRO HILVER</v>
          </cell>
          <cell r="G19" t="str">
            <v>GONZALEZ MALLQUI ALEJANDRO HILVER</v>
          </cell>
          <cell r="H19" t="str">
            <v>09910436</v>
          </cell>
          <cell r="I19" t="str">
            <v>INTERBANK</v>
          </cell>
          <cell r="J19" t="str">
            <v>8983398872462</v>
          </cell>
          <cell r="K19" t="str">
            <v>DNI</v>
          </cell>
          <cell r="L19">
            <v>10099104363</v>
          </cell>
          <cell r="M19" t="str">
            <v>AEROPUERTO</v>
          </cell>
          <cell r="N19" t="str">
            <v>PENDIENTE</v>
          </cell>
          <cell r="O19">
            <v>235</v>
          </cell>
          <cell r="P19" t="str">
            <v>COMFORT XL</v>
          </cell>
        </row>
        <row r="20">
          <cell r="A20">
            <v>218</v>
          </cell>
          <cell r="B20">
            <v>218</v>
          </cell>
          <cell r="C20" t="str">
            <v>CERO MATRICULA</v>
          </cell>
          <cell r="D20" t="str">
            <v>ACTIVO</v>
          </cell>
          <cell r="E20" t="str">
            <v>AHJ337</v>
          </cell>
          <cell r="F20" t="str">
            <v>OCAÑA IZQUIERDO EDGAR</v>
          </cell>
          <cell r="G20" t="str">
            <v>OCAÑA IZQUIERDO EDGAR</v>
          </cell>
          <cell r="H20" t="str">
            <v>41607254</v>
          </cell>
          <cell r="I20" t="str">
            <v>BCP</v>
          </cell>
          <cell r="J20" t="str">
            <v>192-34893763-0-23</v>
          </cell>
          <cell r="K20" t="str">
            <v>DNI</v>
          </cell>
          <cell r="L20">
            <v>10416072545</v>
          </cell>
          <cell r="M20" t="str">
            <v>AEROPUERTO</v>
          </cell>
          <cell r="N20">
            <v>44488</v>
          </cell>
          <cell r="O20">
            <v>265</v>
          </cell>
          <cell r="P20" t="str">
            <v>LITE</v>
          </cell>
        </row>
        <row r="21">
          <cell r="A21">
            <v>220</v>
          </cell>
          <cell r="B21">
            <v>220</v>
          </cell>
          <cell r="C21" t="str">
            <v>CERO MATRICULA</v>
          </cell>
          <cell r="D21" t="str">
            <v>ACTIVO</v>
          </cell>
          <cell r="E21" t="str">
            <v>BVI697</v>
          </cell>
          <cell r="F21" t="str">
            <v>GUEVARA GARCIA JESUS JHONATAN</v>
          </cell>
          <cell r="G21" t="str">
            <v>GUEVARA GARCIA JESUS JHONATAN</v>
          </cell>
          <cell r="H21" t="str">
            <v>46496293</v>
          </cell>
          <cell r="I21" t="str">
            <v>BBVA</v>
          </cell>
          <cell r="J21" t="str">
            <v>0011-0814-0295858562</v>
          </cell>
          <cell r="K21" t="str">
            <v>DNI</v>
          </cell>
          <cell r="L21">
            <v>10464962935</v>
          </cell>
          <cell r="M21" t="str">
            <v>AEROPUERTO</v>
          </cell>
          <cell r="N21" t="str">
            <v>PENDIENTE</v>
          </cell>
          <cell r="O21">
            <v>240</v>
          </cell>
          <cell r="P21" t="str">
            <v>XL</v>
          </cell>
        </row>
        <row r="22">
          <cell r="A22">
            <v>221</v>
          </cell>
          <cell r="B22">
            <v>221</v>
          </cell>
          <cell r="C22" t="str">
            <v>CERO MATRICULA</v>
          </cell>
          <cell r="D22" t="str">
            <v>ACTIVO</v>
          </cell>
          <cell r="E22" t="str">
            <v>BAS253</v>
          </cell>
          <cell r="F22" t="str">
            <v>ROJAS ALANYA HUGO VICTOR</v>
          </cell>
          <cell r="G22" t="str">
            <v>ROJAS ALANYA HUGO VICTOR</v>
          </cell>
          <cell r="H22" t="str">
            <v>09901351</v>
          </cell>
          <cell r="I22" t="str">
            <v>BCP</v>
          </cell>
          <cell r="J22" t="str">
            <v>192-36792570-0-10</v>
          </cell>
          <cell r="K22" t="str">
            <v>DNI</v>
          </cell>
          <cell r="L22">
            <v>10099013511</v>
          </cell>
          <cell r="M22" t="str">
            <v>AEROPUERTO</v>
          </cell>
          <cell r="N22" t="str">
            <v>PENDIENTE</v>
          </cell>
          <cell r="O22">
            <v>265</v>
          </cell>
          <cell r="P22" t="str">
            <v>LITE</v>
          </cell>
        </row>
        <row r="23">
          <cell r="A23">
            <v>222</v>
          </cell>
          <cell r="B23">
            <v>222</v>
          </cell>
          <cell r="C23" t="str">
            <v>CERO MATRICULA</v>
          </cell>
          <cell r="D23" t="str">
            <v>ACTIVO</v>
          </cell>
          <cell r="E23" t="str">
            <v>F9P237</v>
          </cell>
          <cell r="F23" t="str">
            <v>HUALLULLO ULLOA LUIS OSWALDO</v>
          </cell>
          <cell r="G23" t="str">
            <v>HUALLULLO ULLOA LUIS OSWALDO</v>
          </cell>
          <cell r="H23" t="str">
            <v>42839370</v>
          </cell>
          <cell r="I23" t="str">
            <v>BBVA</v>
          </cell>
          <cell r="J23" t="str">
            <v>0011-0252-0200345267</v>
          </cell>
          <cell r="K23" t="str">
            <v>DNI</v>
          </cell>
          <cell r="L23">
            <v>10428393703</v>
          </cell>
          <cell r="M23" t="str">
            <v>AEROPUERTO</v>
          </cell>
          <cell r="N23" t="str">
            <v>PENDIENTE</v>
          </cell>
          <cell r="O23">
            <v>235</v>
          </cell>
          <cell r="P23" t="str">
            <v>COMFORT XL</v>
          </cell>
        </row>
        <row r="24">
          <cell r="A24">
            <v>223</v>
          </cell>
          <cell r="B24">
            <v>223</v>
          </cell>
          <cell r="C24" t="str">
            <v>CERO MATRICULA</v>
          </cell>
          <cell r="D24" t="str">
            <v>ACTIVO</v>
          </cell>
          <cell r="E24" t="str">
            <v>AJO016</v>
          </cell>
          <cell r="F24" t="str">
            <v>FLORES RAMIREZ JIMMY RENE</v>
          </cell>
          <cell r="G24" t="str">
            <v>FLORES RAMIREZ JIMMY RENE</v>
          </cell>
          <cell r="H24" t="str">
            <v>41146507</v>
          </cell>
          <cell r="I24" t="str">
            <v>BBVA</v>
          </cell>
          <cell r="J24" t="str">
            <v>001108140200451665</v>
          </cell>
          <cell r="K24" t="str">
            <v>DNI</v>
          </cell>
          <cell r="L24">
            <v>10411465077</v>
          </cell>
          <cell r="M24" t="str">
            <v>AEROPUERTO</v>
          </cell>
          <cell r="N24" t="str">
            <v>PENDIENTE</v>
          </cell>
          <cell r="O24">
            <v>235</v>
          </cell>
          <cell r="P24" t="str">
            <v>COMFORT XL</v>
          </cell>
        </row>
        <row r="25">
          <cell r="A25">
            <v>224</v>
          </cell>
          <cell r="B25">
            <v>224</v>
          </cell>
          <cell r="C25" t="str">
            <v>CERO MATRICULA</v>
          </cell>
          <cell r="D25" t="str">
            <v>ACTIVO</v>
          </cell>
          <cell r="E25" t="str">
            <v>AMK255</v>
          </cell>
          <cell r="F25" t="str">
            <v>LINGAN ANAMPA DANNY JOEL</v>
          </cell>
          <cell r="G25" t="str">
            <v>ROSARIO ESMERALDA CARRASCO LAVADO</v>
          </cell>
          <cell r="H25" t="str">
            <v>10621776</v>
          </cell>
          <cell r="I25" t="str">
            <v>INTERBANK</v>
          </cell>
          <cell r="J25" t="str">
            <v>1403423398630</v>
          </cell>
          <cell r="K25" t="str">
            <v>DNI</v>
          </cell>
          <cell r="L25">
            <v>10106217764</v>
          </cell>
          <cell r="M25" t="str">
            <v>URBANO PARTNER</v>
          </cell>
          <cell r="N25">
            <v>44704</v>
          </cell>
          <cell r="O25">
            <v>0</v>
          </cell>
          <cell r="P25" t="str">
            <v>COMFORT XL</v>
          </cell>
        </row>
        <row r="26">
          <cell r="A26">
            <v>225</v>
          </cell>
          <cell r="B26">
            <v>225</v>
          </cell>
          <cell r="C26" t="str">
            <v>CERO MATRICULA</v>
          </cell>
          <cell r="D26" t="str">
            <v>ACTIVO</v>
          </cell>
          <cell r="E26" t="str">
            <v>BMB626</v>
          </cell>
          <cell r="F26" t="str">
            <v>RODRIGUEZ MACHADO DIOGENES ALBERTO</v>
          </cell>
          <cell r="G26" t="str">
            <v>RODRIGUEZ MACHADO DIOGENES ALBERTO</v>
          </cell>
          <cell r="H26" t="str">
            <v>002064052</v>
          </cell>
          <cell r="I26" t="str">
            <v>BCP</v>
          </cell>
          <cell r="J26" t="str">
            <v>191-39850116-0-41</v>
          </cell>
          <cell r="K26" t="str">
            <v>CE</v>
          </cell>
          <cell r="L26">
            <v>15602846757</v>
          </cell>
          <cell r="M26" t="str">
            <v>URBANO</v>
          </cell>
          <cell r="N26">
            <v>45103</v>
          </cell>
          <cell r="O26">
            <v>0</v>
          </cell>
          <cell r="P26" t="str">
            <v>COMFORT</v>
          </cell>
        </row>
        <row r="27">
          <cell r="A27">
            <v>226</v>
          </cell>
          <cell r="B27">
            <v>226</v>
          </cell>
          <cell r="C27" t="str">
            <v>CERO MATRICULA</v>
          </cell>
          <cell r="D27" t="str">
            <v>ACTIVO</v>
          </cell>
          <cell r="E27" t="str">
            <v>ATU353</v>
          </cell>
          <cell r="F27" t="str">
            <v>CASTILLON QUILCA JAIME PEDRO</v>
          </cell>
          <cell r="G27" t="str">
            <v>CASTILLON QUILCA JAIME PEDRO</v>
          </cell>
          <cell r="H27" t="str">
            <v>46684526</v>
          </cell>
          <cell r="I27" t="str">
            <v>BBVA</v>
          </cell>
          <cell r="J27" t="str">
            <v>0011-0286-0200174948-26</v>
          </cell>
          <cell r="K27"/>
          <cell r="L27">
            <v>10466845260</v>
          </cell>
          <cell r="M27" t="str">
            <v>AEROPUERTO</v>
          </cell>
          <cell r="N27" t="str">
            <v>PENDIENTE</v>
          </cell>
          <cell r="O27">
            <v>240</v>
          </cell>
          <cell r="P27" t="str">
            <v>XL</v>
          </cell>
        </row>
        <row r="28">
          <cell r="A28">
            <v>227</v>
          </cell>
          <cell r="B28">
            <v>227</v>
          </cell>
          <cell r="C28" t="str">
            <v>CERO MATRICULA</v>
          </cell>
          <cell r="D28" t="str">
            <v>ACTIVO</v>
          </cell>
          <cell r="E28" t="str">
            <v>BFT573</v>
          </cell>
          <cell r="F28" t="str">
            <v>CASTILLON QUILCA RUDY ENRIQUE</v>
          </cell>
          <cell r="G28" t="str">
            <v>CASTILLON QUILCA RUDY ENRIQUE</v>
          </cell>
          <cell r="H28" t="str">
            <v>47980890</v>
          </cell>
          <cell r="I28" t="str">
            <v>BBVA</v>
          </cell>
          <cell r="J28" t="str">
            <v>001100570238467412</v>
          </cell>
          <cell r="K28"/>
          <cell r="L28">
            <v>10479808908</v>
          </cell>
          <cell r="M28" t="str">
            <v>AEROPUERTO</v>
          </cell>
          <cell r="N28" t="str">
            <v>PENDIENTE</v>
          </cell>
          <cell r="O28">
            <v>265</v>
          </cell>
          <cell r="P28" t="str">
            <v>LITE</v>
          </cell>
        </row>
        <row r="29">
          <cell r="A29">
            <v>228</v>
          </cell>
          <cell r="B29">
            <v>228</v>
          </cell>
          <cell r="C29" t="str">
            <v>CERO MATRICULA</v>
          </cell>
          <cell r="D29" t="str">
            <v>ACTIVO</v>
          </cell>
          <cell r="E29" t="str">
            <v>AJM534</v>
          </cell>
          <cell r="F29" t="str">
            <v>HINOSTROZA ZARZOSA JUAN CARLOS</v>
          </cell>
          <cell r="G29" t="str">
            <v>HINOSTROZA ZARZOSA JUAN CARLOS</v>
          </cell>
          <cell r="H29" t="str">
            <v>10398027</v>
          </cell>
          <cell r="I29" t="str">
            <v>BCP</v>
          </cell>
          <cell r="J29" t="str">
            <v>19134907723024</v>
          </cell>
          <cell r="K29" t="str">
            <v>DNI</v>
          </cell>
          <cell r="L29">
            <v>10103980271</v>
          </cell>
          <cell r="M29" t="str">
            <v>AEROPUERTO</v>
          </cell>
          <cell r="N29">
            <v>44599</v>
          </cell>
          <cell r="O29">
            <v>240</v>
          </cell>
          <cell r="P29" t="str">
            <v>COMFORT</v>
          </cell>
        </row>
        <row r="30">
          <cell r="A30">
            <v>229</v>
          </cell>
          <cell r="B30">
            <v>229</v>
          </cell>
          <cell r="C30" t="str">
            <v>CERO MATRICULA</v>
          </cell>
          <cell r="D30" t="str">
            <v>ACTIVO</v>
          </cell>
          <cell r="E30" t="str">
            <v>ARG589</v>
          </cell>
          <cell r="F30" t="str">
            <v>AYALA RETUERTO KHRUSHCHEV VICENTE</v>
          </cell>
          <cell r="G30" t="str">
            <v>AYALA RETUERTO VICENTE</v>
          </cell>
          <cell r="H30" t="str">
            <v>08577351</v>
          </cell>
          <cell r="I30" t="str">
            <v>BCP</v>
          </cell>
          <cell r="J30" t="str">
            <v>19135478684052</v>
          </cell>
          <cell r="K30"/>
          <cell r="L30">
            <v>10085773513</v>
          </cell>
          <cell r="M30" t="str">
            <v>AEROPUERTO</v>
          </cell>
          <cell r="N30" t="str">
            <v>PENDIENTE</v>
          </cell>
          <cell r="O30">
            <v>265</v>
          </cell>
          <cell r="P30" t="str">
            <v>LITE</v>
          </cell>
        </row>
        <row r="31">
          <cell r="A31">
            <v>230</v>
          </cell>
          <cell r="B31">
            <v>230</v>
          </cell>
          <cell r="C31" t="str">
            <v>CERO MATRICULA</v>
          </cell>
          <cell r="D31" t="str">
            <v>ACTIVO</v>
          </cell>
          <cell r="E31" t="str">
            <v>AJV272</v>
          </cell>
          <cell r="F31" t="str">
            <v>POZO  CASTILLON YOVERTH BRAYAN</v>
          </cell>
          <cell r="G31" t="str">
            <v>POZO  CASTILLON YOVERTH BRAYAN</v>
          </cell>
          <cell r="H31" t="str">
            <v>75440194</v>
          </cell>
          <cell r="I31" t="str">
            <v>BBVA</v>
          </cell>
          <cell r="J31" t="str">
            <v>0011-0857-0200312694</v>
          </cell>
          <cell r="K31" t="str">
            <v>DNI</v>
          </cell>
          <cell r="L31">
            <v>10754401945</v>
          </cell>
          <cell r="M31" t="str">
            <v>AEROPUERTO</v>
          </cell>
          <cell r="N31" t="str">
            <v>PENDIENTE</v>
          </cell>
          <cell r="O31">
            <v>265</v>
          </cell>
          <cell r="P31" t="str">
            <v>LITE</v>
          </cell>
        </row>
        <row r="32">
          <cell r="A32">
            <v>231</v>
          </cell>
          <cell r="B32">
            <v>231</v>
          </cell>
          <cell r="C32" t="str">
            <v>CERO MATRICULA</v>
          </cell>
          <cell r="D32" t="str">
            <v>ACTIVO</v>
          </cell>
          <cell r="E32" t="str">
            <v>V7S171</v>
          </cell>
          <cell r="F32" t="str">
            <v>HUAMAN CHAMBI OSWALDO MAGNO</v>
          </cell>
          <cell r="G32" t="str">
            <v>HUAMAN CHAMBI OSWALDO MAGNO</v>
          </cell>
          <cell r="H32" t="str">
            <v>07647327</v>
          </cell>
          <cell r="I32" t="str">
            <v>INTERBANK</v>
          </cell>
          <cell r="J32" t="str">
            <v>144-3059045119</v>
          </cell>
          <cell r="K32" t="str">
            <v>DNI</v>
          </cell>
          <cell r="L32">
            <v>10076473272</v>
          </cell>
          <cell r="M32" t="str">
            <v>AEROPUERTO</v>
          </cell>
          <cell r="N32">
            <v>44907</v>
          </cell>
          <cell r="O32">
            <v>265</v>
          </cell>
          <cell r="P32" t="str">
            <v>LITE</v>
          </cell>
        </row>
        <row r="33">
          <cell r="A33">
            <v>232</v>
          </cell>
          <cell r="B33">
            <v>232</v>
          </cell>
          <cell r="C33" t="str">
            <v>CERO MATRICULA</v>
          </cell>
          <cell r="D33" t="str">
            <v>ACTIVO</v>
          </cell>
          <cell r="E33" t="str">
            <v>APF514</v>
          </cell>
          <cell r="F33" t="str">
            <v>BOBADILLA HINOJOSA CHRISTOPHER FERNANDO</v>
          </cell>
          <cell r="G33" t="str">
            <v>BOBADILLA HINOJOSA CHRISTOPHER FERNANDO</v>
          </cell>
          <cell r="H33" t="str">
            <v>44782785</v>
          </cell>
          <cell r="I33" t="str">
            <v>INTERBANK</v>
          </cell>
          <cell r="J33" t="str">
            <v>1443148799755</v>
          </cell>
          <cell r="K33" t="str">
            <v>DNI</v>
          </cell>
          <cell r="L33">
            <v>10447827854</v>
          </cell>
          <cell r="M33" t="str">
            <v>AEROPUERTO</v>
          </cell>
          <cell r="N33">
            <v>44534</v>
          </cell>
          <cell r="O33">
            <v>265</v>
          </cell>
          <cell r="P33" t="str">
            <v>LITE</v>
          </cell>
        </row>
        <row r="34">
          <cell r="A34">
            <v>233</v>
          </cell>
          <cell r="B34">
            <v>233</v>
          </cell>
          <cell r="C34" t="str">
            <v>CERO MATRICULA</v>
          </cell>
          <cell r="D34" t="str">
            <v>ACTIVO</v>
          </cell>
          <cell r="E34" t="str">
            <v>BUA648</v>
          </cell>
          <cell r="F34" t="str">
            <v>LEIVA ROMERO SAUL VALENTIN</v>
          </cell>
          <cell r="G34" t="str">
            <v>OLIVA PAREDES MARYORIE CHELSI</v>
          </cell>
          <cell r="H34" t="str">
            <v>74742939</v>
          </cell>
          <cell r="I34" t="str">
            <v>BCP</v>
          </cell>
          <cell r="J34" t="str">
            <v>191-91920148-0-32</v>
          </cell>
          <cell r="K34" t="str">
            <v>DNI</v>
          </cell>
          <cell r="L34">
            <v>10747429397</v>
          </cell>
          <cell r="M34" t="str">
            <v>AEROPUERTO</v>
          </cell>
          <cell r="N34">
            <v>44541</v>
          </cell>
          <cell r="O34">
            <v>235</v>
          </cell>
          <cell r="P34" t="str">
            <v>COMFORT XL</v>
          </cell>
        </row>
        <row r="35">
          <cell r="A35">
            <v>234</v>
          </cell>
          <cell r="B35">
            <v>234</v>
          </cell>
          <cell r="C35" t="str">
            <v>CERO MATRICULA</v>
          </cell>
          <cell r="D35" t="str">
            <v>ACTIVO</v>
          </cell>
          <cell r="E35" t="str">
            <v>F0E316</v>
          </cell>
          <cell r="F35" t="str">
            <v>YAMOTANTA MEGO MANUEL RAFAEL</v>
          </cell>
          <cell r="G35" t="str">
            <v>YAMOTANTA MEGO MANUEL RAFAEL</v>
          </cell>
          <cell r="H35" t="str">
            <v>70945668</v>
          </cell>
          <cell r="I35" t="str">
            <v>BCP</v>
          </cell>
          <cell r="J35" t="str">
            <v>192-06657056-0-97</v>
          </cell>
          <cell r="K35" t="str">
            <v>DNI</v>
          </cell>
          <cell r="L35">
            <v>10709456682</v>
          </cell>
          <cell r="M35" t="str">
            <v>URBANO PARTNER</v>
          </cell>
          <cell r="N35">
            <v>44550</v>
          </cell>
          <cell r="O35">
            <v>0</v>
          </cell>
          <cell r="P35" t="str">
            <v>XL</v>
          </cell>
        </row>
        <row r="36">
          <cell r="A36">
            <v>237</v>
          </cell>
          <cell r="B36">
            <v>237</v>
          </cell>
          <cell r="C36" t="str">
            <v>CERO MATRICULA</v>
          </cell>
          <cell r="D36" t="str">
            <v>ACTIVO</v>
          </cell>
          <cell r="E36" t="str">
            <v>Z6M175</v>
          </cell>
          <cell r="F36" t="str">
            <v>CHOURIO FARFAN MAURICIO JOSE</v>
          </cell>
          <cell r="G36" t="str">
            <v>CHOURIO FARFAN MAURICIO JOSE</v>
          </cell>
          <cell r="H36" t="str">
            <v>002915977</v>
          </cell>
          <cell r="I36" t="str">
            <v>BCP</v>
          </cell>
          <cell r="J36">
            <v>19195455700097</v>
          </cell>
          <cell r="K36" t="str">
            <v>CE</v>
          </cell>
          <cell r="L36">
            <v>15604593953</v>
          </cell>
          <cell r="M36" t="str">
            <v>AEROPUERTO</v>
          </cell>
          <cell r="N36">
            <v>44588</v>
          </cell>
          <cell r="O36">
            <v>265</v>
          </cell>
          <cell r="P36" t="str">
            <v>LITE</v>
          </cell>
        </row>
        <row r="37">
          <cell r="A37">
            <v>238</v>
          </cell>
          <cell r="B37">
            <v>238</v>
          </cell>
          <cell r="C37" t="str">
            <v>CERO MATRICULA</v>
          </cell>
          <cell r="D37" t="str">
            <v>ACTIVO</v>
          </cell>
          <cell r="E37" t="str">
            <v>BBM488</v>
          </cell>
          <cell r="F37" t="str">
            <v>MOLINA SUAREZ CARLOS AUGUSTO</v>
          </cell>
          <cell r="G37" t="str">
            <v>MOLINA SUAREZ CARLOS AUGUSTO</v>
          </cell>
          <cell r="H37" t="str">
            <v>003217867</v>
          </cell>
          <cell r="I37" t="str">
            <v>BCP</v>
          </cell>
          <cell r="J37" t="str">
            <v>192-90501950-0-09</v>
          </cell>
          <cell r="K37" t="str">
            <v>CE</v>
          </cell>
          <cell r="L37">
            <v>15606219129</v>
          </cell>
          <cell r="M37" t="str">
            <v>AEROPUERTO</v>
          </cell>
          <cell r="N37">
            <v>44768</v>
          </cell>
          <cell r="O37">
            <v>240</v>
          </cell>
          <cell r="P37" t="str">
            <v>XL</v>
          </cell>
        </row>
        <row r="38">
          <cell r="A38">
            <v>239</v>
          </cell>
          <cell r="B38">
            <v>239</v>
          </cell>
          <cell r="C38" t="str">
            <v>CERO MATRICULA</v>
          </cell>
          <cell r="D38" t="str">
            <v>ACTIVO</v>
          </cell>
          <cell r="E38" t="str">
            <v>BYB664</v>
          </cell>
          <cell r="F38" t="str">
            <v>OZAR ARRABAL MERGUI KATHERINE</v>
          </cell>
          <cell r="G38" t="str">
            <v>OZAR ARRABAL MERGUI KATHERINE</v>
          </cell>
          <cell r="H38" t="str">
            <v>002662388</v>
          </cell>
          <cell r="I38" t="str">
            <v>BCP</v>
          </cell>
          <cell r="J38" t="str">
            <v>19190124444090</v>
          </cell>
          <cell r="K38" t="str">
            <v>CE</v>
          </cell>
          <cell r="L38">
            <v>15606391169</v>
          </cell>
          <cell r="M38" t="str">
            <v>AEROPUERTO</v>
          </cell>
          <cell r="N38">
            <v>44590</v>
          </cell>
          <cell r="O38">
            <v>265</v>
          </cell>
          <cell r="P38" t="str">
            <v>LITE</v>
          </cell>
        </row>
        <row r="39">
          <cell r="A39">
            <v>240</v>
          </cell>
          <cell r="B39">
            <v>240</v>
          </cell>
          <cell r="C39" t="str">
            <v>CERO MATRICULA</v>
          </cell>
          <cell r="D39" t="str">
            <v>ACTIVO</v>
          </cell>
          <cell r="E39" t="str">
            <v>BYT048</v>
          </cell>
          <cell r="F39" t="str">
            <v>LOPEZ HERNANDEZ JOSE MANUEL</v>
          </cell>
          <cell r="G39" t="str">
            <v>LOPEZ HERNANDEZ JOSE MANUEL</v>
          </cell>
          <cell r="H39" t="str">
            <v>09311903</v>
          </cell>
          <cell r="I39" t="str">
            <v>SCOTIABANK</v>
          </cell>
          <cell r="J39" t="str">
            <v>131-06244-89</v>
          </cell>
          <cell r="K39" t="str">
            <v>DNI</v>
          </cell>
          <cell r="L39">
            <v>10093119032</v>
          </cell>
          <cell r="M39" t="str">
            <v>AEROPUERTO</v>
          </cell>
          <cell r="N39">
            <v>44797</v>
          </cell>
          <cell r="O39">
            <v>240</v>
          </cell>
          <cell r="P39" t="str">
            <v>COMFORT</v>
          </cell>
        </row>
        <row r="40">
          <cell r="A40">
            <v>241</v>
          </cell>
          <cell r="B40">
            <v>241</v>
          </cell>
          <cell r="C40" t="str">
            <v>CERO MATRICULA</v>
          </cell>
          <cell r="D40" t="str">
            <v>ACTIVO</v>
          </cell>
          <cell r="E40" t="str">
            <v>BHR433</v>
          </cell>
          <cell r="F40" t="str">
            <v>PAEZ SANCHEZ ANGEL ESTEBAN</v>
          </cell>
          <cell r="G40" t="str">
            <v>PAEZ SANCHEZ ANGEL ESTEBAN</v>
          </cell>
          <cell r="H40" t="str">
            <v>003431865</v>
          </cell>
          <cell r="I40" t="str">
            <v>BCP</v>
          </cell>
          <cell r="J40" t="str">
            <v>19140187301032</v>
          </cell>
          <cell r="K40" t="str">
            <v>CE</v>
          </cell>
          <cell r="L40">
            <v>15603808239</v>
          </cell>
          <cell r="M40" t="str">
            <v>URBANO</v>
          </cell>
          <cell r="N40">
            <v>45088</v>
          </cell>
          <cell r="O40">
            <v>0</v>
          </cell>
          <cell r="P40" t="str">
            <v>LITE</v>
          </cell>
        </row>
        <row r="41">
          <cell r="A41">
            <v>242</v>
          </cell>
          <cell r="B41">
            <v>242</v>
          </cell>
          <cell r="C41" t="str">
            <v>CERO MATRICULA</v>
          </cell>
          <cell r="D41" t="str">
            <v>ACTIVO</v>
          </cell>
          <cell r="E41" t="str">
            <v>BCE632</v>
          </cell>
          <cell r="F41" t="str">
            <v>DEL AGUILA CRUZ NELSON CHRISTIAN</v>
          </cell>
          <cell r="G41" t="str">
            <v>DEL AGUILA CRUZ NELSON CHRISTIAN</v>
          </cell>
          <cell r="H41" t="str">
            <v>07619463</v>
          </cell>
          <cell r="I41" t="str">
            <v>BBVA</v>
          </cell>
          <cell r="J41" t="str">
            <v>001108140217718754</v>
          </cell>
          <cell r="K41" t="str">
            <v>DNI</v>
          </cell>
          <cell r="L41">
            <v>10076194632</v>
          </cell>
          <cell r="M41" t="str">
            <v>AEROPUERTO</v>
          </cell>
          <cell r="N41">
            <v>44655</v>
          </cell>
          <cell r="O41">
            <v>265</v>
          </cell>
          <cell r="P41" t="str">
            <v>LITE</v>
          </cell>
        </row>
        <row r="42">
          <cell r="A42">
            <v>243</v>
          </cell>
          <cell r="B42">
            <v>243</v>
          </cell>
          <cell r="C42" t="str">
            <v>CERO MATRICULA</v>
          </cell>
          <cell r="D42" t="str">
            <v>ACTIVO</v>
          </cell>
          <cell r="E42" t="str">
            <v>D0L224</v>
          </cell>
          <cell r="F42" t="str">
            <v>CASTILLO VILLANUEVA DIEGO BERNARDO</v>
          </cell>
          <cell r="G42" t="str">
            <v>CASTILLO VILLANUEVA DIEGO BERNARDO</v>
          </cell>
          <cell r="H42" t="str">
            <v>43010802</v>
          </cell>
          <cell r="I42" t="str">
            <v>BBVA</v>
          </cell>
          <cell r="J42" t="str">
            <v>001100570234449525</v>
          </cell>
          <cell r="K42" t="str">
            <v>DNI</v>
          </cell>
          <cell r="L42">
            <v>10430108021</v>
          </cell>
          <cell r="M42" t="str">
            <v>AEROPUERTO</v>
          </cell>
          <cell r="N42">
            <v>44655</v>
          </cell>
          <cell r="O42">
            <v>235</v>
          </cell>
          <cell r="P42" t="str">
            <v>COMFORT XL</v>
          </cell>
        </row>
        <row r="43">
          <cell r="A43">
            <v>245</v>
          </cell>
          <cell r="B43">
            <v>245</v>
          </cell>
          <cell r="C43" t="str">
            <v>CERO MATRICULA</v>
          </cell>
          <cell r="D43" t="str">
            <v>ACTIVO</v>
          </cell>
          <cell r="E43" t="str">
            <v>BFO116</v>
          </cell>
          <cell r="F43" t="str">
            <v>TENORIO GUIMET JORGE ENRIQUE</v>
          </cell>
          <cell r="G43" t="str">
            <v>TENORIO GUIMET JORGE ENRIQUE</v>
          </cell>
          <cell r="H43" t="str">
            <v>10314154</v>
          </cell>
          <cell r="I43" t="str">
            <v>BCP</v>
          </cell>
          <cell r="J43" t="str">
            <v>1939773741505910</v>
          </cell>
          <cell r="K43" t="str">
            <v>DNI</v>
          </cell>
          <cell r="L43">
            <v>10103141546</v>
          </cell>
          <cell r="M43" t="str">
            <v>AEROPUERTO</v>
          </cell>
          <cell r="N43">
            <v>44663</v>
          </cell>
          <cell r="O43">
            <v>240</v>
          </cell>
          <cell r="P43" t="str">
            <v>COMFORT</v>
          </cell>
        </row>
        <row r="44">
          <cell r="A44">
            <v>246</v>
          </cell>
          <cell r="B44">
            <v>246</v>
          </cell>
          <cell r="C44" t="str">
            <v>CERO MATRICULA</v>
          </cell>
          <cell r="D44" t="str">
            <v>ACTIVO</v>
          </cell>
          <cell r="E44" t="str">
            <v>BYX562</v>
          </cell>
          <cell r="F44" t="str">
            <v>TINEO ROMAYNA MARLON WILMER</v>
          </cell>
          <cell r="G44" t="str">
            <v>TINEO ROMAYNA MARLON WILMER</v>
          </cell>
          <cell r="H44" t="str">
            <v>09965532</v>
          </cell>
          <cell r="I44" t="str">
            <v>BCP</v>
          </cell>
          <cell r="J44">
            <v>19170314166008</v>
          </cell>
          <cell r="K44" t="str">
            <v>DNI</v>
          </cell>
          <cell r="L44">
            <v>10099655327</v>
          </cell>
          <cell r="M44" t="str">
            <v>AEROPUERTO</v>
          </cell>
          <cell r="N44">
            <v>44739</v>
          </cell>
          <cell r="O44">
            <v>265</v>
          </cell>
          <cell r="P44" t="str">
            <v>LITE</v>
          </cell>
        </row>
        <row r="45">
          <cell r="A45">
            <v>248</v>
          </cell>
          <cell r="B45">
            <v>248</v>
          </cell>
          <cell r="C45" t="str">
            <v>CERO MATRICULA</v>
          </cell>
          <cell r="D45" t="str">
            <v>ACTIVO</v>
          </cell>
          <cell r="E45" t="str">
            <v>ALL-244</v>
          </cell>
          <cell r="F45" t="str">
            <v>VILCHEZ TINEO VLADIMIR ANTENOGENES</v>
          </cell>
          <cell r="G45" t="str">
            <v>VILCHEZ TINEO VLADIMIR ANTENOGENES</v>
          </cell>
          <cell r="H45" t="str">
            <v>09648553</v>
          </cell>
          <cell r="I45" t="str">
            <v>BBVA</v>
          </cell>
          <cell r="J45" t="str">
            <v>0011-0814-0235098798</v>
          </cell>
          <cell r="K45" t="str">
            <v>DNI</v>
          </cell>
          <cell r="L45">
            <v>10096485536</v>
          </cell>
          <cell r="M45" t="str">
            <v>AEROPUERTO</v>
          </cell>
          <cell r="N45">
            <v>44767</v>
          </cell>
          <cell r="O45">
            <v>235</v>
          </cell>
          <cell r="P45" t="str">
            <v>COMFORT XL</v>
          </cell>
        </row>
        <row r="46">
          <cell r="A46">
            <v>249</v>
          </cell>
          <cell r="B46">
            <v>249</v>
          </cell>
          <cell r="C46" t="str">
            <v>CERO MATRICULA</v>
          </cell>
          <cell r="D46" t="str">
            <v>ACTIVO</v>
          </cell>
          <cell r="E46" t="str">
            <v>BMB626</v>
          </cell>
          <cell r="F46" t="str">
            <v>ORTUÑO GUERRA CARLOS JOSE</v>
          </cell>
          <cell r="G46" t="str">
            <v>ORTUÑO GUERRA CARLOS JOSE</v>
          </cell>
          <cell r="H46" t="str">
            <v>002928243</v>
          </cell>
          <cell r="I46" t="str">
            <v>BCP</v>
          </cell>
          <cell r="J46">
            <v>19193620201058</v>
          </cell>
          <cell r="K46" t="str">
            <v>CE</v>
          </cell>
          <cell r="L46">
            <v>15608109754</v>
          </cell>
          <cell r="M46" t="str">
            <v>AEROPUERTO</v>
          </cell>
          <cell r="N46">
            <v>44697</v>
          </cell>
          <cell r="O46">
            <v>265</v>
          </cell>
          <cell r="P46" t="str">
            <v>LITE</v>
          </cell>
        </row>
        <row r="47">
          <cell r="A47">
            <v>250</v>
          </cell>
          <cell r="B47">
            <v>250</v>
          </cell>
          <cell r="C47" t="str">
            <v>CERO MATRICULA</v>
          </cell>
          <cell r="D47" t="str">
            <v>ACTIVO</v>
          </cell>
          <cell r="E47" t="str">
            <v>BRN109</v>
          </cell>
          <cell r="F47" t="str">
            <v>SCOLA NOGUERA DIXON CARMELO</v>
          </cell>
          <cell r="G47" t="str">
            <v>SCOLA NOGUERA DIXON CARMELO</v>
          </cell>
          <cell r="H47" t="str">
            <v>002540581</v>
          </cell>
          <cell r="I47" t="str">
            <v>INTERBANK</v>
          </cell>
          <cell r="J47" t="str">
            <v>2993159602682</v>
          </cell>
          <cell r="K47" t="str">
            <v>CE</v>
          </cell>
          <cell r="L47">
            <v>15606315683</v>
          </cell>
          <cell r="M47" t="str">
            <v>AEROPUERTO</v>
          </cell>
          <cell r="N47">
            <v>44753</v>
          </cell>
          <cell r="O47">
            <v>265</v>
          </cell>
          <cell r="P47" t="str">
            <v>LITE</v>
          </cell>
        </row>
        <row r="48">
          <cell r="A48">
            <v>251</v>
          </cell>
          <cell r="B48">
            <v>251</v>
          </cell>
          <cell r="C48" t="str">
            <v>CERO MATRICULA</v>
          </cell>
          <cell r="D48" t="str">
            <v>ACTIVO</v>
          </cell>
          <cell r="E48" t="str">
            <v>BEI573</v>
          </cell>
          <cell r="F48" t="str">
            <v xml:space="preserve">DE LA CRUZ YUPANQUI ALEX ADRIAN </v>
          </cell>
          <cell r="G48" t="str">
            <v>ALEX ADRIAN DE LA CRUZ YUPANQUI</v>
          </cell>
          <cell r="H48" t="str">
            <v>42198007</v>
          </cell>
          <cell r="I48" t="str">
            <v xml:space="preserve">Interbank </v>
          </cell>
          <cell r="J48" t="str">
            <v>763121838702</v>
          </cell>
          <cell r="K48" t="str">
            <v>DNI</v>
          </cell>
          <cell r="L48">
            <v>10421980077</v>
          </cell>
          <cell r="M48" t="str">
            <v>AEROPUERTO</v>
          </cell>
          <cell r="N48">
            <v>44711</v>
          </cell>
          <cell r="O48">
            <v>265</v>
          </cell>
          <cell r="P48" t="str">
            <v>LITE</v>
          </cell>
        </row>
        <row r="49">
          <cell r="A49">
            <v>252</v>
          </cell>
          <cell r="B49">
            <v>252</v>
          </cell>
          <cell r="C49" t="str">
            <v>CERO MATRICULA</v>
          </cell>
          <cell r="D49" t="str">
            <v>ACTIVO</v>
          </cell>
          <cell r="E49" t="str">
            <v>BFH660</v>
          </cell>
          <cell r="F49" t="str">
            <v>PEÑA CHIRINOS JOSE ANTONIO</v>
          </cell>
          <cell r="G49" t="str">
            <v>LUCAS SOMOZA LUIS</v>
          </cell>
          <cell r="H49" t="str">
            <v>15735882</v>
          </cell>
          <cell r="I49" t="str">
            <v>INTERBANK</v>
          </cell>
          <cell r="J49">
            <v>2843217361554</v>
          </cell>
          <cell r="K49" t="str">
            <v>DNI</v>
          </cell>
          <cell r="L49">
            <v>10157358826</v>
          </cell>
          <cell r="M49" t="str">
            <v>AEROPUERTO</v>
          </cell>
          <cell r="N49">
            <v>44722</v>
          </cell>
          <cell r="O49">
            <v>265</v>
          </cell>
          <cell r="P49" t="str">
            <v>LITE</v>
          </cell>
        </row>
        <row r="50">
          <cell r="A50">
            <v>253</v>
          </cell>
          <cell r="B50">
            <v>253</v>
          </cell>
          <cell r="C50" t="str">
            <v>CERO MATRICULA</v>
          </cell>
          <cell r="D50" t="str">
            <v>ACTIVO</v>
          </cell>
          <cell r="E50" t="str">
            <v>BJB365</v>
          </cell>
          <cell r="F50" t="str">
            <v>CHAVEZ HERNANDEZ ARMANDO JESUS</v>
          </cell>
          <cell r="G50" t="str">
            <v>CHAVEZ HERNANDEZ ARMANDO JESUS</v>
          </cell>
          <cell r="H50" t="str">
            <v>004079858</v>
          </cell>
          <cell r="I50" t="str">
            <v>BCP</v>
          </cell>
          <cell r="J50">
            <v>19304851172072</v>
          </cell>
          <cell r="K50" t="str">
            <v>CE</v>
          </cell>
          <cell r="L50">
            <v>15609564269</v>
          </cell>
          <cell r="M50" t="str">
            <v>AEROPUERTO</v>
          </cell>
          <cell r="N50">
            <v>44811</v>
          </cell>
          <cell r="O50">
            <v>265</v>
          </cell>
          <cell r="P50" t="str">
            <v>LITE</v>
          </cell>
        </row>
        <row r="51">
          <cell r="A51">
            <v>254</v>
          </cell>
          <cell r="B51">
            <v>254</v>
          </cell>
          <cell r="C51" t="str">
            <v>CERO MATRICULA</v>
          </cell>
          <cell r="D51" t="str">
            <v>ACTIVO</v>
          </cell>
          <cell r="E51" t="str">
            <v>BZE493</v>
          </cell>
          <cell r="F51" t="str">
            <v>LUNA MATTEY JESUS ALFREDO</v>
          </cell>
          <cell r="G51" t="str">
            <v>LUNA MATTEY JESUS ALFREDO</v>
          </cell>
          <cell r="H51" t="str">
            <v>004712421</v>
          </cell>
          <cell r="I51" t="str">
            <v>BBVA</v>
          </cell>
          <cell r="J51" t="str">
            <v>00110832350200506670</v>
          </cell>
          <cell r="K51" t="str">
            <v>CE</v>
          </cell>
          <cell r="L51">
            <v>15609343874</v>
          </cell>
          <cell r="M51" t="str">
            <v>AEROPUERTO</v>
          </cell>
          <cell r="N51">
            <v>44725</v>
          </cell>
          <cell r="O51">
            <v>265</v>
          </cell>
          <cell r="P51" t="str">
            <v>LITE</v>
          </cell>
        </row>
        <row r="52">
          <cell r="A52">
            <v>255</v>
          </cell>
          <cell r="B52">
            <v>255</v>
          </cell>
          <cell r="C52" t="str">
            <v>CERO MATRICULA</v>
          </cell>
          <cell r="D52" t="str">
            <v>ACTIVO</v>
          </cell>
          <cell r="E52" t="str">
            <v>BWZ096</v>
          </cell>
          <cell r="F52" t="str">
            <v xml:space="preserve">PEREZ MARTINEZ CARLOS LUIS </v>
          </cell>
          <cell r="G52" t="str">
            <v xml:space="preserve">PEREZ MARTINEZ CARLOS LUIS </v>
          </cell>
          <cell r="H52" t="str">
            <v>003498067</v>
          </cell>
          <cell r="I52" t="str">
            <v>BCP</v>
          </cell>
          <cell r="J52" t="str">
            <v>19193384145017</v>
          </cell>
          <cell r="K52" t="str">
            <v>CE</v>
          </cell>
          <cell r="L52">
            <v>15603891161</v>
          </cell>
          <cell r="M52" t="str">
            <v>AEROPUERTO</v>
          </cell>
          <cell r="N52">
            <v>44739</v>
          </cell>
          <cell r="O52">
            <v>265</v>
          </cell>
          <cell r="P52" t="str">
            <v>LITE</v>
          </cell>
        </row>
        <row r="53">
          <cell r="A53">
            <v>257</v>
          </cell>
          <cell r="B53">
            <v>257</v>
          </cell>
          <cell r="C53" t="str">
            <v>CERO MATRICULA</v>
          </cell>
          <cell r="D53" t="str">
            <v>ACTIVO</v>
          </cell>
          <cell r="E53" t="str">
            <v>CAE460</v>
          </cell>
          <cell r="F53" t="str">
            <v>JERI BRUGOS ALEX AFREDO</v>
          </cell>
          <cell r="G53" t="str">
            <v>JERI BRUGOS ALEX AFREDO</v>
          </cell>
          <cell r="H53" t="str">
            <v>42887744</v>
          </cell>
          <cell r="I53" t="str">
            <v>BCP</v>
          </cell>
          <cell r="J53" t="str">
            <v>19199892090098</v>
          </cell>
          <cell r="K53" t="str">
            <v>DNI</v>
          </cell>
          <cell r="L53">
            <v>10428877441</v>
          </cell>
          <cell r="M53" t="str">
            <v>URBANO</v>
          </cell>
          <cell r="N53">
            <v>44853</v>
          </cell>
          <cell r="O53">
            <v>0</v>
          </cell>
          <cell r="P53" t="str">
            <v>LITE</v>
          </cell>
        </row>
        <row r="54">
          <cell r="A54">
            <v>258</v>
          </cell>
          <cell r="B54">
            <v>258</v>
          </cell>
          <cell r="C54" t="str">
            <v>CERO MATRICULA</v>
          </cell>
          <cell r="D54" t="str">
            <v>ACTIVO</v>
          </cell>
          <cell r="E54" t="str">
            <v>BUF385</v>
          </cell>
          <cell r="F54" t="str">
            <v>VILLANUEVA ESTRADA RIGOBERTO</v>
          </cell>
          <cell r="G54" t="str">
            <v>VILLANUEVA ESTRADA RIGOBERTO</v>
          </cell>
          <cell r="H54" t="str">
            <v>07766700</v>
          </cell>
          <cell r="I54" t="str">
            <v>INTERBANK</v>
          </cell>
          <cell r="J54" t="str">
            <v>257-3187124087</v>
          </cell>
          <cell r="K54" t="str">
            <v>DNI</v>
          </cell>
          <cell r="L54">
            <v>10077667003</v>
          </cell>
          <cell r="M54" t="str">
            <v>URBANO</v>
          </cell>
          <cell r="N54">
            <v>44753</v>
          </cell>
          <cell r="O54">
            <v>0</v>
          </cell>
          <cell r="P54" t="str">
            <v>COMFORT XL</v>
          </cell>
        </row>
        <row r="55">
          <cell r="A55">
            <v>259</v>
          </cell>
          <cell r="B55">
            <v>259</v>
          </cell>
          <cell r="C55" t="str">
            <v>CERO MATRICULA</v>
          </cell>
          <cell r="D55" t="str">
            <v>ACTIVO</v>
          </cell>
          <cell r="E55" t="str">
            <v xml:space="preserve">ARI487 </v>
          </cell>
          <cell r="F55" t="str">
            <v>BREA CARICOTE DOUGLAS RAMON</v>
          </cell>
          <cell r="G55" t="str">
            <v>BREA CARICOTE DOUGLAS RAMON</v>
          </cell>
          <cell r="H55" t="str">
            <v>003092174</v>
          </cell>
          <cell r="I55" t="str">
            <v>BCP</v>
          </cell>
          <cell r="J55" t="str">
            <v>19105169088099</v>
          </cell>
          <cell r="K55" t="str">
            <v>CE</v>
          </cell>
          <cell r="L55">
            <v>15609744828</v>
          </cell>
          <cell r="M55" t="str">
            <v>URBANO</v>
          </cell>
          <cell r="N55">
            <v>44781</v>
          </cell>
          <cell r="O55">
            <v>0</v>
          </cell>
          <cell r="P55" t="str">
            <v>COMFORT</v>
          </cell>
        </row>
        <row r="56">
          <cell r="A56">
            <v>260</v>
          </cell>
          <cell r="B56">
            <v>260</v>
          </cell>
          <cell r="C56" t="str">
            <v>CERO MATRICULA</v>
          </cell>
          <cell r="D56" t="str">
            <v>ACTIVO</v>
          </cell>
          <cell r="E56" t="str">
            <v xml:space="preserve">F3G618 </v>
          </cell>
          <cell r="F56" t="str">
            <v>PAUCAR CHUQUIHUANGA EDILIO</v>
          </cell>
          <cell r="G56" t="str">
            <v>PAUCAR CHUQUIHUANGA EDILIO</v>
          </cell>
          <cell r="H56" t="str">
            <v>46526358</v>
          </cell>
          <cell r="I56" t="str">
            <v>BCP</v>
          </cell>
          <cell r="J56" t="str">
            <v>19104038473064</v>
          </cell>
          <cell r="K56" t="str">
            <v>DNI</v>
          </cell>
          <cell r="L56">
            <v>10465263585</v>
          </cell>
          <cell r="M56" t="str">
            <v>AEROPUERTO</v>
          </cell>
          <cell r="N56">
            <v>44753</v>
          </cell>
          <cell r="O56">
            <v>265</v>
          </cell>
          <cell r="P56" t="str">
            <v>LITE</v>
          </cell>
        </row>
        <row r="57">
          <cell r="A57">
            <v>261</v>
          </cell>
          <cell r="B57">
            <v>261</v>
          </cell>
          <cell r="C57" t="str">
            <v>CERO MATRICULA</v>
          </cell>
          <cell r="D57" t="str">
            <v>ACTIVO</v>
          </cell>
          <cell r="E57" t="str">
            <v>AYE040</v>
          </cell>
          <cell r="F57" t="str">
            <v>CHATA CRUZ JOSE LUIS</v>
          </cell>
          <cell r="G57" t="str">
            <v xml:space="preserve">CHATA CRUZ JOSE LUIS </v>
          </cell>
          <cell r="H57" t="str">
            <v>44194835</v>
          </cell>
          <cell r="I57" t="str">
            <v>INTERBANK</v>
          </cell>
          <cell r="J57" t="str">
            <v>3683195652229</v>
          </cell>
          <cell r="K57" t="str">
            <v>DNI</v>
          </cell>
          <cell r="L57">
            <v>10441948358</v>
          </cell>
          <cell r="M57" t="str">
            <v>AEROPUERTO</v>
          </cell>
          <cell r="N57">
            <v>44757</v>
          </cell>
          <cell r="O57">
            <v>265</v>
          </cell>
          <cell r="P57" t="str">
            <v>LITE</v>
          </cell>
        </row>
        <row r="58">
          <cell r="A58">
            <v>262</v>
          </cell>
          <cell r="B58">
            <v>262</v>
          </cell>
          <cell r="C58" t="str">
            <v>CERO MATRICULA</v>
          </cell>
          <cell r="D58" t="str">
            <v>ACTIVO</v>
          </cell>
          <cell r="E58" t="str">
            <v>BNM579</v>
          </cell>
          <cell r="F58" t="str">
            <v>GUTIERREZ  JOSE FELIPE</v>
          </cell>
          <cell r="G58" t="str">
            <v>GUTIERREZ JOSE FELIPE</v>
          </cell>
          <cell r="H58" t="str">
            <v>002592690</v>
          </cell>
          <cell r="I58" t="str">
            <v>BCP</v>
          </cell>
          <cell r="J58" t="str">
            <v>191-94925835-0-79</v>
          </cell>
          <cell r="K58" t="str">
            <v>CE</v>
          </cell>
          <cell r="L58">
            <v>15603049966</v>
          </cell>
          <cell r="M58" t="str">
            <v>AEROPUERTO</v>
          </cell>
          <cell r="N58">
            <v>44753</v>
          </cell>
          <cell r="O58">
            <v>240</v>
          </cell>
          <cell r="P58" t="str">
            <v>COMFORT</v>
          </cell>
        </row>
        <row r="59">
          <cell r="A59">
            <v>263</v>
          </cell>
          <cell r="B59">
            <v>263</v>
          </cell>
          <cell r="C59" t="str">
            <v>CERO MATRICULA</v>
          </cell>
          <cell r="D59" t="str">
            <v>ACTIVO</v>
          </cell>
          <cell r="E59" t="str">
            <v>BMH323</v>
          </cell>
          <cell r="F59" t="str">
            <v>PALOMINO FUENTES LUIS ALBERTO</v>
          </cell>
          <cell r="G59" t="str">
            <v>PALOMINO FUENTES LUIS ALBERTO</v>
          </cell>
          <cell r="H59" t="str">
            <v>40446999</v>
          </cell>
          <cell r="I59" t="str">
            <v>INTERBANK</v>
          </cell>
          <cell r="J59" t="str">
            <v>8983179137471</v>
          </cell>
          <cell r="K59" t="str">
            <v>DNI</v>
          </cell>
          <cell r="L59">
            <v>10404469997</v>
          </cell>
          <cell r="M59" t="str">
            <v>URBANO</v>
          </cell>
          <cell r="N59">
            <v>44795</v>
          </cell>
          <cell r="O59">
            <v>0</v>
          </cell>
          <cell r="P59" t="str">
            <v>LITE</v>
          </cell>
        </row>
        <row r="60">
          <cell r="A60">
            <v>264</v>
          </cell>
          <cell r="B60">
            <v>264</v>
          </cell>
          <cell r="C60" t="str">
            <v>CERO MATRICULA</v>
          </cell>
          <cell r="D60" t="str">
            <v>ACTIVO</v>
          </cell>
          <cell r="E60" t="str">
            <v>BPF062</v>
          </cell>
          <cell r="F60" t="str">
            <v>UGALDE RAMOS RICHARD TOMAS</v>
          </cell>
          <cell r="G60" t="str">
            <v>UGALDE RAMOS RICHARD TOMAS</v>
          </cell>
          <cell r="H60" t="str">
            <v>42706664</v>
          </cell>
          <cell r="I60" t="str">
            <v>BCP</v>
          </cell>
          <cell r="J60" t="str">
            <v>191-90457870-0-83</v>
          </cell>
          <cell r="K60" t="str">
            <v>DNI</v>
          </cell>
          <cell r="L60">
            <v>10427066644</v>
          </cell>
          <cell r="M60" t="str">
            <v>AEROPUERTO</v>
          </cell>
          <cell r="N60">
            <v>44778</v>
          </cell>
          <cell r="O60">
            <v>240</v>
          </cell>
          <cell r="P60" t="str">
            <v>XL</v>
          </cell>
        </row>
        <row r="61">
          <cell r="A61">
            <v>266</v>
          </cell>
          <cell r="B61">
            <v>266</v>
          </cell>
          <cell r="C61" t="str">
            <v>CERO MATRICULA</v>
          </cell>
          <cell r="D61" t="str">
            <v>ACTIVO</v>
          </cell>
          <cell r="E61" t="str">
            <v>ASD027</v>
          </cell>
          <cell r="F61" t="str">
            <v>OLIVAS ASMAT HUGO</v>
          </cell>
          <cell r="G61" t="str">
            <v>DANERI ROMERO RITA VICTORIA</v>
          </cell>
          <cell r="H61" t="str">
            <v>25705331</v>
          </cell>
          <cell r="I61" t="str">
            <v>BCP</v>
          </cell>
          <cell r="J61" t="str">
            <v>192-07285637-0-28</v>
          </cell>
          <cell r="K61" t="str">
            <v>DNI</v>
          </cell>
          <cell r="L61">
            <v>10257053313</v>
          </cell>
          <cell r="M61" t="str">
            <v>AEROPUERTO</v>
          </cell>
          <cell r="N61">
            <v>44765</v>
          </cell>
          <cell r="O61">
            <v>240</v>
          </cell>
          <cell r="P61" t="str">
            <v>COMFORT</v>
          </cell>
        </row>
        <row r="62">
          <cell r="A62">
            <v>267</v>
          </cell>
          <cell r="B62">
            <v>267</v>
          </cell>
          <cell r="C62" t="str">
            <v>CERO MATRICULA</v>
          </cell>
          <cell r="D62" t="str">
            <v>ACTIVO</v>
          </cell>
          <cell r="E62" t="str">
            <v>CCG246</v>
          </cell>
          <cell r="F62" t="str">
            <v>FIESTAS PISFIL CARLOS ALBERTO</v>
          </cell>
          <cell r="G62" t="str">
            <v>FIESTAS PISFIL CARLOS ALBERTO</v>
          </cell>
          <cell r="H62" t="str">
            <v>46507620</v>
          </cell>
          <cell r="I62" t="str">
            <v>SCOTIABANK</v>
          </cell>
          <cell r="J62" t="str">
            <v xml:space="preserve">820-6029905 </v>
          </cell>
          <cell r="K62" t="str">
            <v>DNI</v>
          </cell>
          <cell r="L62">
            <v>10465076203</v>
          </cell>
          <cell r="M62" t="str">
            <v>URBANO</v>
          </cell>
          <cell r="N62">
            <v>44887</v>
          </cell>
          <cell r="O62">
            <v>0</v>
          </cell>
          <cell r="P62" t="str">
            <v>XL</v>
          </cell>
        </row>
        <row r="63">
          <cell r="A63">
            <v>268</v>
          </cell>
          <cell r="B63">
            <v>268</v>
          </cell>
          <cell r="C63" t="str">
            <v>CERO MATRICULA</v>
          </cell>
          <cell r="D63" t="str">
            <v>ACTIVO</v>
          </cell>
          <cell r="E63" t="str">
            <v>BNY299</v>
          </cell>
          <cell r="F63" t="str">
            <v>VALLES ALVAREZ GUSTAVO ALEJANDRO</v>
          </cell>
          <cell r="G63" t="str">
            <v>VALLES ALVAREZ GUSTAVO ALEJANDRO</v>
          </cell>
          <cell r="H63" t="str">
            <v>005125998</v>
          </cell>
          <cell r="I63" t="str">
            <v>BCP</v>
          </cell>
          <cell r="J63" t="str">
            <v>192-94815771-0-03</v>
          </cell>
          <cell r="K63" t="str">
            <v>CE</v>
          </cell>
          <cell r="L63">
            <v>15608709735</v>
          </cell>
          <cell r="M63" t="str">
            <v>AEROPUERTO</v>
          </cell>
          <cell r="N63">
            <v>44816</v>
          </cell>
          <cell r="O63">
            <v>235</v>
          </cell>
          <cell r="P63" t="str">
            <v>COMFORT XL</v>
          </cell>
        </row>
        <row r="64">
          <cell r="A64">
            <v>269</v>
          </cell>
          <cell r="B64">
            <v>269</v>
          </cell>
          <cell r="C64" t="str">
            <v>CERO MATRICULA</v>
          </cell>
          <cell r="D64" t="str">
            <v>ACTIVO</v>
          </cell>
          <cell r="E64" t="str">
            <v>BML538</v>
          </cell>
          <cell r="F64" t="str">
            <v>ROMERO CASTILLO JOSE ANTONIO</v>
          </cell>
          <cell r="G64" t="str">
            <v>CHAVEZ TORRES ELSA ALICIA</v>
          </cell>
          <cell r="H64">
            <v>40943513</v>
          </cell>
          <cell r="I64" t="str">
            <v>BCP</v>
          </cell>
          <cell r="J64" t="str">
            <v>19219362367045</v>
          </cell>
          <cell r="K64" t="str">
            <v>DNI</v>
          </cell>
          <cell r="L64">
            <v>10409435136</v>
          </cell>
          <cell r="M64" t="str">
            <v>URBANO</v>
          </cell>
          <cell r="N64">
            <v>44823</v>
          </cell>
          <cell r="O64">
            <v>0</v>
          </cell>
          <cell r="P64" t="str">
            <v>LITE</v>
          </cell>
        </row>
        <row r="65">
          <cell r="A65">
            <v>271</v>
          </cell>
          <cell r="B65">
            <v>271</v>
          </cell>
          <cell r="C65" t="str">
            <v>CERO MATRICULA</v>
          </cell>
          <cell r="D65" t="str">
            <v>ACTIVO</v>
          </cell>
          <cell r="E65" t="str">
            <v>AZR233</v>
          </cell>
          <cell r="F65" t="str">
            <v>ZAMBRANO  ALEXIS GUSTAVO</v>
          </cell>
          <cell r="G65" t="str">
            <v>ZAMBRANO  ALEXIS GUSTAVO</v>
          </cell>
          <cell r="H65" t="str">
            <v>004438708</v>
          </cell>
          <cell r="I65" t="str">
            <v>BCP</v>
          </cell>
          <cell r="J65" t="str">
            <v>192-95443735-0-11</v>
          </cell>
          <cell r="K65" t="str">
            <v>CE</v>
          </cell>
          <cell r="L65">
            <v>15605067635</v>
          </cell>
          <cell r="M65" t="str">
            <v>URBANO PARTNER</v>
          </cell>
          <cell r="N65">
            <v>44824</v>
          </cell>
          <cell r="O65">
            <v>0</v>
          </cell>
          <cell r="P65" t="str">
            <v>COMFORT XL</v>
          </cell>
        </row>
        <row r="66">
          <cell r="A66">
            <v>272</v>
          </cell>
          <cell r="B66">
            <v>272</v>
          </cell>
          <cell r="C66" t="str">
            <v>CERO MATRICULA</v>
          </cell>
          <cell r="D66" t="str">
            <v>ACTIVO</v>
          </cell>
          <cell r="E66" t="str">
            <v>BWL613</v>
          </cell>
          <cell r="F66" t="str">
            <v>CHAVEZ CESPEDES JORGE LUIS</v>
          </cell>
          <cell r="G66" t="str">
            <v>CHAVEZ CESPEDES JORGE LUIS</v>
          </cell>
          <cell r="H66" t="str">
            <v>43252258</v>
          </cell>
          <cell r="I66" t="str">
            <v>INTERBANK</v>
          </cell>
          <cell r="J66" t="str">
            <v>144-3255906955</v>
          </cell>
          <cell r="K66" t="str">
            <v>DNI</v>
          </cell>
          <cell r="L66">
            <v>10432522585</v>
          </cell>
          <cell r="M66" t="str">
            <v>AEROPUERTO</v>
          </cell>
          <cell r="N66">
            <v>44823</v>
          </cell>
          <cell r="O66">
            <v>235</v>
          </cell>
          <cell r="P66" t="str">
            <v>COMFORT XL</v>
          </cell>
        </row>
        <row r="67">
          <cell r="A67">
            <v>273</v>
          </cell>
          <cell r="B67">
            <v>273</v>
          </cell>
          <cell r="C67" t="str">
            <v>CERO MATRICULA</v>
          </cell>
          <cell r="D67" t="str">
            <v>ACTIVO</v>
          </cell>
          <cell r="E67" t="str">
            <v>APQ256</v>
          </cell>
          <cell r="F67" t="str">
            <v>JULON TERRONES WALTER</v>
          </cell>
          <cell r="G67" t="str">
            <v>JULON TERRONES WALTER</v>
          </cell>
          <cell r="H67" t="str">
            <v>44355125</v>
          </cell>
          <cell r="I67" t="str">
            <v>BBVA</v>
          </cell>
          <cell r="J67" t="str">
            <v>0011-0814-0250931900</v>
          </cell>
          <cell r="K67" t="str">
            <v>DNI</v>
          </cell>
          <cell r="L67">
            <v>10443551251</v>
          </cell>
          <cell r="M67" t="str">
            <v>AEROPUERTO</v>
          </cell>
          <cell r="N67">
            <v>44823</v>
          </cell>
          <cell r="O67">
            <v>265</v>
          </cell>
          <cell r="P67" t="str">
            <v>LITE</v>
          </cell>
        </row>
        <row r="68">
          <cell r="A68">
            <v>274</v>
          </cell>
          <cell r="B68">
            <v>274</v>
          </cell>
          <cell r="C68" t="str">
            <v>CERO MATRICULA</v>
          </cell>
          <cell r="D68" t="str">
            <v>ACTIVO</v>
          </cell>
          <cell r="E68" t="str">
            <v>BHP321</v>
          </cell>
          <cell r="F68" t="str">
            <v>CASTILLO RIVERA ALEJANDRO</v>
          </cell>
          <cell r="G68" t="str">
            <v>CASTILLO RIVERA ALEJANDRO</v>
          </cell>
          <cell r="H68" t="str">
            <v>10407544</v>
          </cell>
          <cell r="I68" t="str">
            <v>BCP</v>
          </cell>
          <cell r="J68" t="str">
            <v>194-37189092-0-37</v>
          </cell>
          <cell r="K68" t="str">
            <v>DNI</v>
          </cell>
          <cell r="L68">
            <v>10104075440</v>
          </cell>
          <cell r="M68" t="str">
            <v>AEROPUERTO</v>
          </cell>
          <cell r="N68">
            <v>44832</v>
          </cell>
          <cell r="O68">
            <v>235</v>
          </cell>
          <cell r="P68" t="str">
            <v>COMFORT XL</v>
          </cell>
        </row>
        <row r="69">
          <cell r="A69">
            <v>275</v>
          </cell>
          <cell r="B69">
            <v>275</v>
          </cell>
          <cell r="C69" t="str">
            <v>CERO MATRICULA</v>
          </cell>
          <cell r="D69" t="str">
            <v>ACTIVO</v>
          </cell>
          <cell r="E69" t="str">
            <v>BRG512</v>
          </cell>
          <cell r="F69" t="str">
            <v>GARCIA GRANADO DANIEL EDUARDO</v>
          </cell>
          <cell r="G69" t="str">
            <v>GARCIA GRANADO DANIEL EDUARDO</v>
          </cell>
          <cell r="H69" t="str">
            <v>003236804</v>
          </cell>
          <cell r="I69" t="str">
            <v>BCP</v>
          </cell>
          <cell r="J69" t="str">
            <v>192-02378917-0-45</v>
          </cell>
          <cell r="K69" t="str">
            <v>CE</v>
          </cell>
          <cell r="L69">
            <v>15607283882</v>
          </cell>
          <cell r="M69" t="str">
            <v>AEROPUERTO</v>
          </cell>
          <cell r="N69">
            <v>44832</v>
          </cell>
          <cell r="O69">
            <v>265</v>
          </cell>
          <cell r="P69" t="str">
            <v>LITE</v>
          </cell>
        </row>
        <row r="70">
          <cell r="A70">
            <v>276</v>
          </cell>
          <cell r="B70">
            <v>276</v>
          </cell>
          <cell r="C70" t="str">
            <v>CERO MATRICULA</v>
          </cell>
          <cell r="D70" t="str">
            <v>ACTIVO</v>
          </cell>
          <cell r="E70" t="str">
            <v>BRY357</v>
          </cell>
          <cell r="F70" t="str">
            <v>ARIAS PADILLA DANTE JESUS</v>
          </cell>
          <cell r="G70" t="str">
            <v>ARIAS PADILLA DANTE JESUS</v>
          </cell>
          <cell r="H70" t="str">
            <v>42294381</v>
          </cell>
          <cell r="I70" t="str">
            <v>BCP</v>
          </cell>
          <cell r="J70">
            <v>19139774720083</v>
          </cell>
          <cell r="K70" t="str">
            <v>DNI</v>
          </cell>
          <cell r="L70">
            <v>10422943817</v>
          </cell>
          <cell r="M70" t="str">
            <v>AEROPUERTO</v>
          </cell>
          <cell r="N70">
            <v>44837</v>
          </cell>
          <cell r="O70">
            <v>265</v>
          </cell>
          <cell r="P70" t="str">
            <v>LITE</v>
          </cell>
        </row>
        <row r="71">
          <cell r="A71">
            <v>277</v>
          </cell>
          <cell r="B71">
            <v>277</v>
          </cell>
          <cell r="C71" t="str">
            <v>CERO MATRICULA</v>
          </cell>
          <cell r="D71" t="str">
            <v>ACTIVO</v>
          </cell>
          <cell r="E71" t="str">
            <v>BUO203</v>
          </cell>
          <cell r="F71" t="str">
            <v>SOTO MULLO DAVID DANIEL</v>
          </cell>
          <cell r="G71" t="str">
            <v>SOTO MULLO DAVID DANIEL</v>
          </cell>
          <cell r="H71" t="str">
            <v>46702101</v>
          </cell>
          <cell r="I71" t="str">
            <v>INTERBANK</v>
          </cell>
          <cell r="J71">
            <v>3783208483390</v>
          </cell>
          <cell r="K71" t="str">
            <v>DNI</v>
          </cell>
          <cell r="L71">
            <v>10467021015</v>
          </cell>
          <cell r="M71" t="str">
            <v>AEROPUERTO</v>
          </cell>
          <cell r="N71">
            <v>44837</v>
          </cell>
          <cell r="O71">
            <v>235</v>
          </cell>
          <cell r="P71" t="str">
            <v>COMFORT XL</v>
          </cell>
        </row>
        <row r="72">
          <cell r="A72">
            <v>279</v>
          </cell>
          <cell r="B72">
            <v>279</v>
          </cell>
          <cell r="C72" t="str">
            <v>CERO MATRICULA</v>
          </cell>
          <cell r="D72" t="str">
            <v>ACTIVO</v>
          </cell>
          <cell r="E72" t="str">
            <v>BMT267</v>
          </cell>
          <cell r="F72" t="str">
            <v>JARA TARAZONA JESUS ANIBAL</v>
          </cell>
          <cell r="G72" t="str">
            <v>JARA TARAZONA JESUS ANIBAL</v>
          </cell>
          <cell r="H72" t="str">
            <v>07418883</v>
          </cell>
          <cell r="I72" t="str">
            <v>BCP</v>
          </cell>
          <cell r="J72" t="str">
            <v>192-76364906-0-67</v>
          </cell>
          <cell r="K72" t="str">
            <v>DNI</v>
          </cell>
          <cell r="L72">
            <v>10074188830</v>
          </cell>
          <cell r="M72" t="str">
            <v>AEROPUERTO</v>
          </cell>
          <cell r="N72">
            <v>44872</v>
          </cell>
          <cell r="O72">
            <v>240</v>
          </cell>
          <cell r="P72" t="str">
            <v>XL</v>
          </cell>
        </row>
        <row r="73">
          <cell r="A73">
            <v>281</v>
          </cell>
          <cell r="B73">
            <v>281</v>
          </cell>
          <cell r="C73" t="str">
            <v>CERO MATRICULA</v>
          </cell>
          <cell r="D73" t="str">
            <v>ACTIVO</v>
          </cell>
          <cell r="E73" t="str">
            <v>AZR234</v>
          </cell>
          <cell r="F73" t="str">
            <v>CALZADILLA VALERIO MOISES DAVID</v>
          </cell>
          <cell r="G73" t="str">
            <v>CALZADILLA VALERIO MOISES DAVID</v>
          </cell>
          <cell r="H73" t="str">
            <v>003746111</v>
          </cell>
          <cell r="I73" t="str">
            <v>BCP</v>
          </cell>
          <cell r="J73" t="str">
            <v>194-03292389-0-44</v>
          </cell>
          <cell r="K73" t="str">
            <v>CE</v>
          </cell>
          <cell r="L73">
            <v>15605548871</v>
          </cell>
          <cell r="M73" t="str">
            <v>AEROPUERTO</v>
          </cell>
          <cell r="N73">
            <v>44832</v>
          </cell>
          <cell r="O73">
            <v>265</v>
          </cell>
          <cell r="P73" t="str">
            <v>LITE</v>
          </cell>
        </row>
        <row r="74">
          <cell r="A74">
            <v>282</v>
          </cell>
          <cell r="B74">
            <v>282</v>
          </cell>
          <cell r="C74" t="str">
            <v>CERO MATRICULA</v>
          </cell>
          <cell r="D74" t="str">
            <v>ACTIVO</v>
          </cell>
          <cell r="E74" t="str">
            <v>BPV266</v>
          </cell>
          <cell r="F74" t="str">
            <v>ZAVALETA ROA YILBERTH YORDANO</v>
          </cell>
          <cell r="G74" t="str">
            <v>ZAVALETA ROA YILBERTH YORDANO</v>
          </cell>
          <cell r="H74" t="str">
            <v>49076644</v>
          </cell>
          <cell r="I74" t="str">
            <v>BCP</v>
          </cell>
          <cell r="J74" t="str">
            <v>194-94820708-0-91</v>
          </cell>
          <cell r="K74" t="str">
            <v>DNI</v>
          </cell>
          <cell r="L74">
            <v>15610138281</v>
          </cell>
          <cell r="M74" t="str">
            <v>AEROPUERTO</v>
          </cell>
          <cell r="N74">
            <v>44865</v>
          </cell>
          <cell r="O74">
            <v>240</v>
          </cell>
          <cell r="P74" t="str">
            <v>XL</v>
          </cell>
        </row>
        <row r="75">
          <cell r="A75">
            <v>283</v>
          </cell>
          <cell r="B75">
            <v>283</v>
          </cell>
          <cell r="C75" t="str">
            <v>CERO MATRICULA</v>
          </cell>
          <cell r="D75" t="str">
            <v>ACTIVO</v>
          </cell>
          <cell r="E75" t="str">
            <v>BWO651</v>
          </cell>
          <cell r="F75" t="str">
            <v>MARTINEZ RESPALDIZA ANDY MARLON</v>
          </cell>
          <cell r="G75" t="str">
            <v>MARTINEZ RESPALDIZA ANDY MARLON</v>
          </cell>
          <cell r="H75" t="str">
            <v>10491601</v>
          </cell>
          <cell r="I75" t="str">
            <v>BCP</v>
          </cell>
          <cell r="J75" t="str">
            <v>191-99563910-0-04</v>
          </cell>
          <cell r="K75" t="str">
            <v>DNI</v>
          </cell>
          <cell r="L75">
            <v>10104916011</v>
          </cell>
          <cell r="M75" t="str">
            <v>AEROPUERTO</v>
          </cell>
          <cell r="N75">
            <v>44846</v>
          </cell>
          <cell r="O75">
            <v>235</v>
          </cell>
          <cell r="P75" t="str">
            <v>COMFORT XL</v>
          </cell>
        </row>
        <row r="76">
          <cell r="A76">
            <v>284</v>
          </cell>
          <cell r="B76">
            <v>284</v>
          </cell>
          <cell r="C76" t="str">
            <v>CERO MATRICULA</v>
          </cell>
          <cell r="D76" t="str">
            <v>ACTIVO</v>
          </cell>
          <cell r="E76" t="str">
            <v>BPL067</v>
          </cell>
          <cell r="F76" t="str">
            <v>ROSALES MARILUZ DAVID EDWARD</v>
          </cell>
          <cell r="G76" t="str">
            <v>ROSALES MARILUZ DAVID EDWARD</v>
          </cell>
          <cell r="H76" t="str">
            <v>09908479</v>
          </cell>
          <cell r="I76" t="str">
            <v>BCP</v>
          </cell>
          <cell r="J76" t="str">
            <v>191-06886023-0-77</v>
          </cell>
          <cell r="K76" t="str">
            <v>DNI</v>
          </cell>
          <cell r="L76">
            <v>10099084796</v>
          </cell>
          <cell r="M76" t="str">
            <v>AEROPUERTO</v>
          </cell>
          <cell r="N76">
            <v>44846</v>
          </cell>
          <cell r="O76">
            <v>235</v>
          </cell>
          <cell r="P76" t="str">
            <v>COMFORT XL</v>
          </cell>
        </row>
        <row r="77">
          <cell r="A77">
            <v>285</v>
          </cell>
          <cell r="B77">
            <v>285</v>
          </cell>
          <cell r="C77" t="str">
            <v>CERO MATRICULA</v>
          </cell>
          <cell r="D77" t="str">
            <v>ACTIVO</v>
          </cell>
          <cell r="E77" t="str">
            <v>BSW309</v>
          </cell>
          <cell r="F77" t="str">
            <v>POMACANCHARI RAMOS JHON ROSMEL</v>
          </cell>
          <cell r="G77" t="str">
            <v>POMACANCHARI RAMOS JHON ROSMEL</v>
          </cell>
          <cell r="H77" t="str">
            <v>45203817</v>
          </cell>
          <cell r="I77" t="str">
            <v>BCP</v>
          </cell>
          <cell r="J77" t="str">
            <v>19127463578086</v>
          </cell>
          <cell r="K77" t="str">
            <v>DNI</v>
          </cell>
          <cell r="L77">
            <v>10452038175</v>
          </cell>
          <cell r="M77" t="str">
            <v>URBANO</v>
          </cell>
          <cell r="N77">
            <v>44858</v>
          </cell>
          <cell r="O77">
            <v>0</v>
          </cell>
          <cell r="P77" t="str">
            <v>COMFORT XL</v>
          </cell>
        </row>
        <row r="78">
          <cell r="A78">
            <v>287</v>
          </cell>
          <cell r="B78">
            <v>287</v>
          </cell>
          <cell r="C78" t="str">
            <v>CERO MATRICULA</v>
          </cell>
          <cell r="D78" t="str">
            <v>ACTIVO</v>
          </cell>
          <cell r="E78" t="str">
            <v>ALG337</v>
          </cell>
          <cell r="F78" t="str">
            <v>ESPINOZA SULCA FERNANDO JINES</v>
          </cell>
          <cell r="G78" t="str">
            <v>ESPINOZA SULCA FERNANDO JINES</v>
          </cell>
          <cell r="H78" t="str">
            <v>44098304</v>
          </cell>
          <cell r="I78" t="str">
            <v>BCP</v>
          </cell>
          <cell r="J78" t="str">
            <v>191-71031040-0-24</v>
          </cell>
          <cell r="K78" t="str">
            <v>DNI</v>
          </cell>
          <cell r="L78">
            <v>10440983044</v>
          </cell>
          <cell r="M78" t="str">
            <v>AEROPUERTO</v>
          </cell>
          <cell r="N78">
            <v>44846</v>
          </cell>
          <cell r="O78">
            <v>265</v>
          </cell>
          <cell r="P78" t="str">
            <v>LITE</v>
          </cell>
        </row>
        <row r="79">
          <cell r="A79">
            <v>288</v>
          </cell>
          <cell r="B79">
            <v>288</v>
          </cell>
          <cell r="C79" t="str">
            <v>CERO MATRICULA</v>
          </cell>
          <cell r="D79" t="str">
            <v>ACTIVO</v>
          </cell>
          <cell r="E79" t="str">
            <v>V0B053</v>
          </cell>
          <cell r="F79" t="str">
            <v>JAIMES JORGE LUIS</v>
          </cell>
          <cell r="G79" t="str">
            <v>JAIMES JORGE LUIS</v>
          </cell>
          <cell r="H79" t="str">
            <v>002163781</v>
          </cell>
          <cell r="I79" t="str">
            <v>BCP</v>
          </cell>
          <cell r="J79" t="str">
            <v>191-90313109-0-61</v>
          </cell>
          <cell r="K79" t="str">
            <v>CE</v>
          </cell>
          <cell r="L79">
            <v>15607890436</v>
          </cell>
          <cell r="M79" t="str">
            <v>AEROPUERTO</v>
          </cell>
          <cell r="N79">
            <v>44846</v>
          </cell>
          <cell r="O79">
            <v>265</v>
          </cell>
          <cell r="P79" t="str">
            <v>LITE</v>
          </cell>
        </row>
        <row r="80">
          <cell r="A80">
            <v>289</v>
          </cell>
          <cell r="B80">
            <v>289</v>
          </cell>
          <cell r="C80" t="str">
            <v>CERO MATRICULA</v>
          </cell>
          <cell r="D80" t="str">
            <v>ACTIVO</v>
          </cell>
          <cell r="E80" t="str">
            <v>BHI620</v>
          </cell>
          <cell r="F80" t="str">
            <v>RUBIO BAUTISTA JOSE LUIS JULIO</v>
          </cell>
          <cell r="G80" t="str">
            <v>RUBIO BAUTISTA JOSE LUIS JULIO</v>
          </cell>
          <cell r="H80" t="str">
            <v>45796482</v>
          </cell>
          <cell r="I80" t="str">
            <v>BCP</v>
          </cell>
          <cell r="J80" t="str">
            <v>191-97816966-0-13</v>
          </cell>
          <cell r="K80" t="str">
            <v>DNI</v>
          </cell>
          <cell r="L80">
            <v>10457964825</v>
          </cell>
          <cell r="M80" t="str">
            <v>URBANO</v>
          </cell>
          <cell r="N80">
            <v>44865</v>
          </cell>
          <cell r="O80">
            <v>0</v>
          </cell>
          <cell r="P80" t="str">
            <v>LITE</v>
          </cell>
        </row>
        <row r="81">
          <cell r="A81">
            <v>291</v>
          </cell>
          <cell r="B81">
            <v>291</v>
          </cell>
          <cell r="C81" t="str">
            <v>CERO MATRICULA</v>
          </cell>
          <cell r="D81" t="str">
            <v>ACTIVO</v>
          </cell>
          <cell r="E81" t="str">
            <v>BSB588</v>
          </cell>
          <cell r="F81" t="str">
            <v>CAMARENA MENA LUIS ALBERTO</v>
          </cell>
          <cell r="G81" t="str">
            <v>CAMARENA MENA LUIS ALBERTO</v>
          </cell>
          <cell r="H81" t="str">
            <v>25804192</v>
          </cell>
          <cell r="I81" t="str">
            <v>BCP</v>
          </cell>
          <cell r="J81" t="str">
            <v>191-2806163-0-80</v>
          </cell>
          <cell r="K81" t="str">
            <v>DNI</v>
          </cell>
          <cell r="L81">
            <v>10258041921</v>
          </cell>
          <cell r="M81" t="str">
            <v>AEROPUERTO</v>
          </cell>
          <cell r="N81">
            <v>44851</v>
          </cell>
          <cell r="O81">
            <v>235</v>
          </cell>
          <cell r="P81" t="str">
            <v>COMFORT XL</v>
          </cell>
        </row>
        <row r="82">
          <cell r="A82">
            <v>292</v>
          </cell>
          <cell r="B82">
            <v>292</v>
          </cell>
          <cell r="C82" t="str">
            <v>CERO MATRICULA</v>
          </cell>
          <cell r="D82" t="str">
            <v>ACTIVO</v>
          </cell>
          <cell r="E82" t="str">
            <v>AZT003</v>
          </cell>
          <cell r="F82" t="str">
            <v>BAUTISTA VALENTIN GIANCARLO ANDRE</v>
          </cell>
          <cell r="G82" t="str">
            <v>BAUTISTA VALENTIN GIANCARLO ANDRE</v>
          </cell>
          <cell r="H82" t="str">
            <v>47780692</v>
          </cell>
          <cell r="I82" t="str">
            <v>BCP</v>
          </cell>
          <cell r="J82" t="str">
            <v>191-37457142-0-95</v>
          </cell>
          <cell r="K82" t="str">
            <v>DNI</v>
          </cell>
          <cell r="L82">
            <v>10477806924</v>
          </cell>
          <cell r="M82" t="str">
            <v>AEROPUERTO</v>
          </cell>
          <cell r="N82">
            <v>44887</v>
          </cell>
          <cell r="O82">
            <v>235</v>
          </cell>
          <cell r="P82" t="str">
            <v>COMFORT XL</v>
          </cell>
        </row>
        <row r="83">
          <cell r="A83">
            <v>293</v>
          </cell>
          <cell r="B83">
            <v>293</v>
          </cell>
          <cell r="C83" t="str">
            <v>CERO MATRICULA</v>
          </cell>
          <cell r="D83" t="str">
            <v>ACTIVO</v>
          </cell>
          <cell r="E83" t="str">
            <v>C9P301</v>
          </cell>
          <cell r="F83" t="str">
            <v>NIEVES GARCIA PABLO MANUEL</v>
          </cell>
          <cell r="G83" t="str">
            <v>PEREZ FERNANDEZ JULISSA ALEJANDRINA</v>
          </cell>
          <cell r="H83" t="str">
            <v>07628353</v>
          </cell>
          <cell r="I83" t="str">
            <v>BCP</v>
          </cell>
          <cell r="J83" t="str">
            <v>19133835870044</v>
          </cell>
          <cell r="K83" t="str">
            <v>DNI</v>
          </cell>
          <cell r="L83">
            <v>10076283538</v>
          </cell>
          <cell r="M83" t="str">
            <v>AEROLINEAS</v>
          </cell>
          <cell r="N83">
            <v>44858</v>
          </cell>
          <cell r="O83">
            <v>0</v>
          </cell>
          <cell r="P83" t="str">
            <v>COMFORT</v>
          </cell>
        </row>
        <row r="84">
          <cell r="A84">
            <v>294</v>
          </cell>
          <cell r="B84">
            <v>294</v>
          </cell>
          <cell r="C84" t="str">
            <v>CERO MATRICULA</v>
          </cell>
          <cell r="D84" t="str">
            <v>ACTIVO</v>
          </cell>
          <cell r="E84" t="str">
            <v>BAX067</v>
          </cell>
          <cell r="F84" t="str">
            <v>DIAZ DIAZ CARLOS EDUARDO</v>
          </cell>
          <cell r="G84" t="str">
            <v>DIAZ DIAZ CARLOS EDUARDO</v>
          </cell>
          <cell r="H84" t="str">
            <v>002356802</v>
          </cell>
          <cell r="I84" t="str">
            <v>BCP</v>
          </cell>
          <cell r="J84" t="str">
            <v>19139870743076</v>
          </cell>
          <cell r="K84" t="str">
            <v>CE</v>
          </cell>
          <cell r="L84">
            <v>15610154813</v>
          </cell>
          <cell r="M84" t="str">
            <v>AEROPUERTO</v>
          </cell>
          <cell r="N84">
            <v>44867</v>
          </cell>
          <cell r="O84">
            <v>265</v>
          </cell>
          <cell r="P84" t="str">
            <v>LITE</v>
          </cell>
        </row>
        <row r="85">
          <cell r="A85">
            <v>295</v>
          </cell>
          <cell r="B85">
            <v>295</v>
          </cell>
          <cell r="C85" t="str">
            <v>CERO MATRICULA</v>
          </cell>
          <cell r="D85" t="str">
            <v>ACTIVO</v>
          </cell>
          <cell r="E85" t="str">
            <v>BPH300</v>
          </cell>
          <cell r="F85" t="str">
            <v>URQUIA SILVA EDGAR DANIEL</v>
          </cell>
          <cell r="G85" t="str">
            <v>URQUIA SILVA EDGAR DANIEL</v>
          </cell>
          <cell r="H85" t="str">
            <v>006262664</v>
          </cell>
          <cell r="I85" t="str">
            <v>BCP</v>
          </cell>
          <cell r="J85">
            <v>19307064328084</v>
          </cell>
          <cell r="K85" t="str">
            <v>CE</v>
          </cell>
          <cell r="L85">
            <v>15609053485</v>
          </cell>
          <cell r="M85" t="str">
            <v>AEROPUERTO</v>
          </cell>
          <cell r="N85">
            <v>44855</v>
          </cell>
          <cell r="O85">
            <v>235</v>
          </cell>
          <cell r="P85" t="str">
            <v>COMFORT XL</v>
          </cell>
        </row>
        <row r="86">
          <cell r="A86">
            <v>296</v>
          </cell>
          <cell r="B86">
            <v>296</v>
          </cell>
          <cell r="C86" t="str">
            <v>CERO MATRICULA</v>
          </cell>
          <cell r="D86" t="str">
            <v>ACTIVO</v>
          </cell>
          <cell r="E86" t="str">
            <v>BKE535</v>
          </cell>
          <cell r="F86" t="str">
            <v>LECTOR ZAVALU KHRISTOPHER GUIORDANNI</v>
          </cell>
          <cell r="G86" t="str">
            <v>LECTOR ZAVALU KHRISTOPHER GUIORDANNI</v>
          </cell>
          <cell r="H86" t="str">
            <v>74978935</v>
          </cell>
          <cell r="I86" t="str">
            <v>BBVA</v>
          </cell>
          <cell r="J86" t="str">
            <v>0011-0609-0200181205</v>
          </cell>
          <cell r="K86" t="str">
            <v>DNI</v>
          </cell>
          <cell r="L86">
            <v>10749789358</v>
          </cell>
          <cell r="M86" t="str">
            <v>URBANO</v>
          </cell>
          <cell r="N86">
            <v>44909</v>
          </cell>
          <cell r="O86">
            <v>0</v>
          </cell>
          <cell r="P86" t="str">
            <v>COMFORT</v>
          </cell>
        </row>
        <row r="87">
          <cell r="A87">
            <v>297</v>
          </cell>
          <cell r="B87">
            <v>297</v>
          </cell>
          <cell r="C87" t="str">
            <v>CERO MATRICULA</v>
          </cell>
          <cell r="D87" t="str">
            <v>ACTIVO</v>
          </cell>
          <cell r="E87" t="str">
            <v>BXC376</v>
          </cell>
          <cell r="F87" t="str">
            <v>CHAVEZ VASQUEZ BRESLY</v>
          </cell>
          <cell r="G87" t="str">
            <v>CHAVEZ VASQUEZ BRESLY</v>
          </cell>
          <cell r="H87" t="str">
            <v>71637703</v>
          </cell>
          <cell r="I87" t="str">
            <v>INTERBANK</v>
          </cell>
          <cell r="J87" t="str">
            <v>8983180480627</v>
          </cell>
          <cell r="K87" t="str">
            <v>DNI</v>
          </cell>
          <cell r="L87">
            <v>10716377038</v>
          </cell>
          <cell r="M87" t="str">
            <v>AEROPUERTO</v>
          </cell>
          <cell r="N87">
            <v>44869</v>
          </cell>
          <cell r="O87">
            <v>265</v>
          </cell>
          <cell r="P87" t="str">
            <v>LITE</v>
          </cell>
        </row>
        <row r="88">
          <cell r="A88">
            <v>298</v>
          </cell>
          <cell r="B88">
            <v>298</v>
          </cell>
          <cell r="C88" t="str">
            <v>CERO MATRICULA</v>
          </cell>
          <cell r="D88" t="str">
            <v>ACTIVO</v>
          </cell>
          <cell r="E88" t="str">
            <v>CAC302</v>
          </cell>
          <cell r="F88" t="str">
            <v>SANTANA VILLALBA HURIKANE DAVID</v>
          </cell>
          <cell r="G88" t="str">
            <v>SANTANA VILLALBA HURIKANE DAVID</v>
          </cell>
          <cell r="H88" t="str">
            <v>003049661</v>
          </cell>
          <cell r="I88" t="str">
            <v>BCP</v>
          </cell>
          <cell r="J88" t="str">
            <v>19439983295064</v>
          </cell>
          <cell r="K88" t="str">
            <v>CE</v>
          </cell>
          <cell r="L88">
            <v>15606315454</v>
          </cell>
          <cell r="M88" t="str">
            <v>URBANO</v>
          </cell>
          <cell r="N88">
            <v>44869</v>
          </cell>
          <cell r="O88">
            <v>0</v>
          </cell>
          <cell r="P88" t="str">
            <v>LITE</v>
          </cell>
        </row>
        <row r="89">
          <cell r="A89">
            <v>299</v>
          </cell>
          <cell r="B89">
            <v>299</v>
          </cell>
          <cell r="C89" t="str">
            <v>CERO MATRICULA</v>
          </cell>
          <cell r="D89" t="str">
            <v>ACTIVO</v>
          </cell>
          <cell r="E89" t="str">
            <v>BJH684</v>
          </cell>
          <cell r="F89" t="str">
            <v>ARRIETA ACUÑA PEDRO MANUEL</v>
          </cell>
          <cell r="G89" t="str">
            <v>HERRERA VILLAR LORENA CAROLINA</v>
          </cell>
          <cell r="H89" t="str">
            <v>003143686</v>
          </cell>
          <cell r="I89" t="str">
            <v>BCP</v>
          </cell>
          <cell r="J89" t="str">
            <v>192-90363179-0-36</v>
          </cell>
          <cell r="K89" t="str">
            <v>CE</v>
          </cell>
          <cell r="L89">
            <v>15609301373</v>
          </cell>
          <cell r="M89" t="str">
            <v>AEROPUERTO</v>
          </cell>
          <cell r="N89">
            <v>44872</v>
          </cell>
          <cell r="O89">
            <v>265</v>
          </cell>
          <cell r="P89" t="str">
            <v>LITE</v>
          </cell>
        </row>
        <row r="90">
          <cell r="A90">
            <v>301</v>
          </cell>
          <cell r="B90">
            <v>301</v>
          </cell>
          <cell r="C90" t="str">
            <v>CERO MATRICULA</v>
          </cell>
          <cell r="D90" t="str">
            <v>ACTIVO</v>
          </cell>
          <cell r="E90" t="str">
            <v>BEU666</v>
          </cell>
          <cell r="F90" t="str">
            <v>MAURTUA HUAMBACHANO ANGEL ALFREDO</v>
          </cell>
          <cell r="G90" t="str">
            <v>MAURTUA HUAMBACHANO ANGEL ALFREDO</v>
          </cell>
          <cell r="H90" t="str">
            <v>08658673</v>
          </cell>
          <cell r="I90" t="str">
            <v>BCP</v>
          </cell>
          <cell r="J90" t="str">
            <v>191-20976799-0-83</v>
          </cell>
          <cell r="K90" t="str">
            <v>DNI</v>
          </cell>
          <cell r="L90">
            <v>10086586733</v>
          </cell>
          <cell r="M90" t="str">
            <v>URBANO</v>
          </cell>
          <cell r="N90" t="str">
            <v>PENDIENTE</v>
          </cell>
          <cell r="O90">
            <v>0</v>
          </cell>
          <cell r="P90" t="str">
            <v>LITE</v>
          </cell>
        </row>
        <row r="91">
          <cell r="A91">
            <v>302</v>
          </cell>
          <cell r="B91">
            <v>302</v>
          </cell>
          <cell r="C91" t="str">
            <v>CERO MATRICULA</v>
          </cell>
          <cell r="D91" t="str">
            <v>ACTIVO</v>
          </cell>
          <cell r="E91" t="str">
            <v>BDE506</v>
          </cell>
          <cell r="F91" t="str">
            <v>ESPINOZA GOICOCHEA VICTOR RAUL</v>
          </cell>
          <cell r="G91" t="str">
            <v>ESPINOZA GOICOCHEA VICTOR RAUL</v>
          </cell>
          <cell r="H91" t="str">
            <v>09926779</v>
          </cell>
          <cell r="I91" t="str">
            <v>SCOTIABANK</v>
          </cell>
          <cell r="J91" t="str">
            <v>080-7275383</v>
          </cell>
          <cell r="K91" t="str">
            <v>DNI</v>
          </cell>
          <cell r="L91">
            <v>10099267793</v>
          </cell>
          <cell r="M91" t="str">
            <v>URBANO</v>
          </cell>
          <cell r="N91" t="str">
            <v>PENDIENTE</v>
          </cell>
          <cell r="O91">
            <v>0</v>
          </cell>
          <cell r="P91" t="str">
            <v>COMFORT</v>
          </cell>
        </row>
        <row r="92">
          <cell r="A92">
            <v>304</v>
          </cell>
          <cell r="B92">
            <v>304</v>
          </cell>
          <cell r="C92" t="str">
            <v>CERO MATRICULA</v>
          </cell>
          <cell r="D92" t="str">
            <v>ACTIVO</v>
          </cell>
          <cell r="E92" t="e">
            <v>#N/A</v>
          </cell>
          <cell r="F92" t="str">
            <v>GRADOS PORTOCARRERO NELSON SAUL</v>
          </cell>
          <cell r="G92" t="str">
            <v>MULTITRANSPORTE SR S.A.C.</v>
          </cell>
          <cell r="H92" t="str">
            <v>20606338482</v>
          </cell>
          <cell r="I92" t="str">
            <v>INTERBANK</v>
          </cell>
          <cell r="J92" t="str">
            <v>4153003481661</v>
          </cell>
          <cell r="K92" t="str">
            <v>RUC</v>
          </cell>
          <cell r="L92">
            <v>20606338482</v>
          </cell>
          <cell r="M92" t="str">
            <v>URBANO</v>
          </cell>
          <cell r="N92" t="str">
            <v>PENDIENTE</v>
          </cell>
          <cell r="O92">
            <v>0</v>
          </cell>
          <cell r="P92" t="str">
            <v>COMFORT XL</v>
          </cell>
        </row>
        <row r="93">
          <cell r="A93">
            <v>307</v>
          </cell>
          <cell r="B93">
            <v>307</v>
          </cell>
          <cell r="C93" t="str">
            <v>CERO MATRICULA</v>
          </cell>
          <cell r="D93" t="str">
            <v>ACTIVO</v>
          </cell>
          <cell r="E93" t="str">
            <v>BPB071</v>
          </cell>
          <cell r="F93" t="str">
            <v>LIRA CCORISONCCO EMILIANO</v>
          </cell>
          <cell r="G93" t="str">
            <v>INVERSIONES ELANDAR E.I.R.L.</v>
          </cell>
          <cell r="H93" t="str">
            <v>20608693433</v>
          </cell>
          <cell r="I93" t="str">
            <v>BBVA</v>
          </cell>
          <cell r="J93" t="str">
            <v>0011-0109-0100097934</v>
          </cell>
          <cell r="K93" t="str">
            <v>DNI</v>
          </cell>
          <cell r="L93">
            <v>20608693433</v>
          </cell>
          <cell r="M93" t="str">
            <v>URBANO</v>
          </cell>
          <cell r="N93" t="str">
            <v>PENDIENTE</v>
          </cell>
          <cell r="O93">
            <v>0</v>
          </cell>
          <cell r="P93" t="str">
            <v>COMFORT XL</v>
          </cell>
        </row>
        <row r="94">
          <cell r="A94">
            <v>310</v>
          </cell>
          <cell r="B94">
            <v>310</v>
          </cell>
          <cell r="C94" t="str">
            <v>CERO MATRICULA</v>
          </cell>
          <cell r="D94" t="str">
            <v>ACTIVO</v>
          </cell>
          <cell r="E94" t="str">
            <v>BAK605</v>
          </cell>
          <cell r="F94" t="str">
            <v xml:space="preserve">ESPINOZA CUBAS JORGE EBERTH </v>
          </cell>
          <cell r="G94" t="str">
            <v>ESPINOZA CUBAS JORGE EBERTH</v>
          </cell>
          <cell r="H94" t="str">
            <v>43697530</v>
          </cell>
          <cell r="I94" t="str">
            <v>BCP</v>
          </cell>
          <cell r="J94" t="str">
            <v>191-99414919-0-08</v>
          </cell>
          <cell r="K94" t="str">
            <v>DNI</v>
          </cell>
          <cell r="L94">
            <v>10436975304</v>
          </cell>
          <cell r="M94" t="str">
            <v>URBANO</v>
          </cell>
          <cell r="N94">
            <v>44777</v>
          </cell>
          <cell r="O94">
            <v>0</v>
          </cell>
          <cell r="P94" t="str">
            <v>XL</v>
          </cell>
        </row>
        <row r="95">
          <cell r="A95">
            <v>316</v>
          </cell>
          <cell r="B95">
            <v>316</v>
          </cell>
          <cell r="C95" t="str">
            <v>CERO MATRICULA</v>
          </cell>
          <cell r="D95" t="str">
            <v>ACTIVO</v>
          </cell>
          <cell r="E95" t="str">
            <v>BKQ611</v>
          </cell>
          <cell r="F95" t="str">
            <v>MARAÑON RODRIGUEZ CESAR ENRIQUE</v>
          </cell>
          <cell r="G95" t="str">
            <v>MARAÑON RODRIGUEZ CESAR ENRIQUE</v>
          </cell>
          <cell r="H95" t="str">
            <v>09602886</v>
          </cell>
          <cell r="I95" t="str">
            <v>BCP</v>
          </cell>
          <cell r="J95" t="str">
            <v>19198458494021</v>
          </cell>
          <cell r="K95" t="str">
            <v>DNI</v>
          </cell>
          <cell r="L95">
            <v>10096028861</v>
          </cell>
          <cell r="M95" t="str">
            <v>URBANO</v>
          </cell>
          <cell r="N95">
            <v>44648</v>
          </cell>
          <cell r="O95">
            <v>0</v>
          </cell>
          <cell r="P95" t="str">
            <v>COMFORT XL</v>
          </cell>
        </row>
        <row r="96">
          <cell r="A96">
            <v>317</v>
          </cell>
          <cell r="B96">
            <v>317</v>
          </cell>
          <cell r="C96" t="str">
            <v>CERO MATRICULA</v>
          </cell>
          <cell r="D96" t="str">
            <v>ACTIVO</v>
          </cell>
          <cell r="E96" t="str">
            <v>BVU670</v>
          </cell>
          <cell r="F96" t="str">
            <v>TELLO SAMILLAN CESAR MANUEL</v>
          </cell>
          <cell r="G96" t="str">
            <v>TELLO SAMILLAN CESAR MANUEL</v>
          </cell>
          <cell r="H96" t="str">
            <v>40654343</v>
          </cell>
          <cell r="I96" t="str">
            <v>BCP</v>
          </cell>
          <cell r="J96" t="str">
            <v>193-8499364-0-59</v>
          </cell>
          <cell r="K96" t="str">
            <v>DNI</v>
          </cell>
          <cell r="L96">
            <v>10406543434</v>
          </cell>
          <cell r="M96" t="str">
            <v>URBANO</v>
          </cell>
          <cell r="N96">
            <v>44852</v>
          </cell>
          <cell r="O96">
            <v>0</v>
          </cell>
          <cell r="P96" t="str">
            <v>COMFORT XL</v>
          </cell>
        </row>
        <row r="97">
          <cell r="A97">
            <v>319</v>
          </cell>
          <cell r="B97">
            <v>319</v>
          </cell>
          <cell r="C97" t="str">
            <v>CERO MATRICULA</v>
          </cell>
          <cell r="D97" t="str">
            <v>ACTIVO</v>
          </cell>
          <cell r="E97" t="str">
            <v>ARC060</v>
          </cell>
          <cell r="F97" t="str">
            <v>TORO SERVALLI JOSE FERNANDO</v>
          </cell>
          <cell r="G97" t="str">
            <v>TORO SERVALLI JOSE FERNANDO</v>
          </cell>
          <cell r="H97" t="str">
            <v>09883783</v>
          </cell>
          <cell r="I97" t="str">
            <v>BCP</v>
          </cell>
          <cell r="J97" t="str">
            <v>191-36431654049</v>
          </cell>
          <cell r="K97" t="str">
            <v>DNI</v>
          </cell>
          <cell r="L97">
            <v>10098837839</v>
          </cell>
          <cell r="M97" t="str">
            <v>URBANO PARTNER</v>
          </cell>
          <cell r="N97" t="str">
            <v>PENDIENTE</v>
          </cell>
          <cell r="O97">
            <v>0</v>
          </cell>
          <cell r="P97" t="str">
            <v>COMFORT</v>
          </cell>
        </row>
        <row r="98">
          <cell r="A98">
            <v>320</v>
          </cell>
          <cell r="B98">
            <v>320</v>
          </cell>
          <cell r="C98" t="str">
            <v>CERO MATRICULA</v>
          </cell>
          <cell r="D98" t="str">
            <v>ACTIVO</v>
          </cell>
          <cell r="E98" t="str">
            <v>ACP421</v>
          </cell>
          <cell r="F98" t="str">
            <v>JERI BURGOS ALEX ALFREDO</v>
          </cell>
          <cell r="G98" t="str">
            <v>JERI BURGOS ALEX ALFREDO</v>
          </cell>
          <cell r="H98" t="str">
            <v>42887744</v>
          </cell>
          <cell r="I98" t="str">
            <v>BCP</v>
          </cell>
          <cell r="J98" t="str">
            <v>191-99892090-0-98</v>
          </cell>
          <cell r="K98" t="str">
            <v>DNI</v>
          </cell>
          <cell r="L98">
            <v>10428877441</v>
          </cell>
          <cell r="M98" t="str">
            <v>URBANO</v>
          </cell>
          <cell r="N98">
            <v>44524</v>
          </cell>
          <cell r="O98">
            <v>0</v>
          </cell>
          <cell r="P98" t="str">
            <v>LITE</v>
          </cell>
        </row>
        <row r="99">
          <cell r="A99">
            <v>321</v>
          </cell>
          <cell r="B99">
            <v>321</v>
          </cell>
          <cell r="C99" t="str">
            <v>CERO MATRICULA</v>
          </cell>
          <cell r="D99" t="str">
            <v>ACTIVO</v>
          </cell>
          <cell r="E99" t="str">
            <v>CMH593</v>
          </cell>
          <cell r="F99" t="str">
            <v xml:space="preserve">Huaman  Cristobal Miullerth Wilverth </v>
          </cell>
          <cell r="G99" t="str">
            <v xml:space="preserve">Huaman  Cristobal Miullerth Wilverth </v>
          </cell>
          <cell r="H99" t="str">
            <v>44780801</v>
          </cell>
          <cell r="I99" t="str">
            <v>BCP</v>
          </cell>
          <cell r="J99" t="str">
            <v>19104899957049</v>
          </cell>
          <cell r="K99" t="str">
            <v>DNI</v>
          </cell>
          <cell r="L99">
            <v>10447808019</v>
          </cell>
          <cell r="M99" t="str">
            <v>AEROPUERTO</v>
          </cell>
          <cell r="N99">
            <v>45509</v>
          </cell>
          <cell r="O99">
            <v>235</v>
          </cell>
          <cell r="P99" t="str">
            <v>COMFORT XL</v>
          </cell>
        </row>
        <row r="100">
          <cell r="A100">
            <v>322</v>
          </cell>
          <cell r="B100">
            <v>322</v>
          </cell>
          <cell r="C100" t="str">
            <v>CERO MATRICULA</v>
          </cell>
          <cell r="D100" t="str">
            <v>ACTIVO</v>
          </cell>
          <cell r="E100" t="str">
            <v>BNE010</v>
          </cell>
          <cell r="F100" t="str">
            <v>MEZA AYALA YAHIR ANGEL</v>
          </cell>
          <cell r="G100" t="str">
            <v>MEZA AYALA YAHIR ANGEL</v>
          </cell>
          <cell r="H100" t="str">
            <v>70225187</v>
          </cell>
          <cell r="I100" t="str">
            <v>BCP</v>
          </cell>
          <cell r="J100" t="str">
            <v>191-93995268-0-12</v>
          </cell>
          <cell r="K100" t="str">
            <v>DNI</v>
          </cell>
          <cell r="L100">
            <v>10702251872</v>
          </cell>
          <cell r="M100" t="str">
            <v>URBANO</v>
          </cell>
          <cell r="N100">
            <v>44495</v>
          </cell>
          <cell r="O100">
            <v>0</v>
          </cell>
          <cell r="P100" t="str">
            <v>LITE</v>
          </cell>
        </row>
        <row r="101">
          <cell r="A101">
            <v>324</v>
          </cell>
          <cell r="B101">
            <v>324</v>
          </cell>
          <cell r="C101" t="str">
            <v>CERO MATRICULA</v>
          </cell>
          <cell r="D101" t="str">
            <v>ACTIVO</v>
          </cell>
          <cell r="E101" t="str">
            <v>Z6H139</v>
          </cell>
          <cell r="F101" t="str">
            <v>JOYA ILLESCAS LUIS FELIPE</v>
          </cell>
          <cell r="G101" t="str">
            <v>JOYA ILLESCAS LUIS FELIPE</v>
          </cell>
          <cell r="H101" t="str">
            <v>41558638</v>
          </cell>
          <cell r="I101" t="str">
            <v>BCP</v>
          </cell>
          <cell r="J101" t="str">
            <v>31539791578009</v>
          </cell>
          <cell r="K101" t="str">
            <v>DNI</v>
          </cell>
          <cell r="L101">
            <v>10415586383</v>
          </cell>
          <cell r="M101" t="str">
            <v>URBANO</v>
          </cell>
          <cell r="N101">
            <v>44492</v>
          </cell>
          <cell r="O101">
            <v>0</v>
          </cell>
          <cell r="P101">
            <v>0</v>
          </cell>
        </row>
        <row r="102">
          <cell r="A102">
            <v>325</v>
          </cell>
          <cell r="B102">
            <v>325</v>
          </cell>
          <cell r="C102" t="str">
            <v>CERO MATRICULA</v>
          </cell>
          <cell r="D102" t="str">
            <v>ACTIVO</v>
          </cell>
          <cell r="E102" t="str">
            <v>W4G600</v>
          </cell>
          <cell r="F102" t="str">
            <v>FIGUEROA TORRES SAMUEL BENJAMIN</v>
          </cell>
          <cell r="G102" t="str">
            <v>FIGUEROA TORRES SAMUEL BENJAMIN</v>
          </cell>
          <cell r="H102" t="str">
            <v>47343553</v>
          </cell>
          <cell r="I102" t="str">
            <v>BBVA</v>
          </cell>
          <cell r="J102" t="str">
            <v>0011-0921-0200233155</v>
          </cell>
          <cell r="K102" t="str">
            <v>DNI</v>
          </cell>
          <cell r="L102">
            <v>10473435531</v>
          </cell>
          <cell r="M102" t="str">
            <v>URBANO</v>
          </cell>
          <cell r="N102">
            <v>44497</v>
          </cell>
          <cell r="O102">
            <v>0</v>
          </cell>
          <cell r="P102" t="str">
            <v>COMFORT XL</v>
          </cell>
        </row>
        <row r="103">
          <cell r="A103">
            <v>326</v>
          </cell>
          <cell r="B103">
            <v>326</v>
          </cell>
          <cell r="C103" t="str">
            <v>CERO MATRICULA</v>
          </cell>
          <cell r="D103" t="str">
            <v>ACTIVO</v>
          </cell>
          <cell r="E103" t="str">
            <v>F3N661</v>
          </cell>
          <cell r="F103" t="str">
            <v>CRUZ TUNQUE WILBER</v>
          </cell>
          <cell r="G103" t="str">
            <v>CRUZ TUNQUE WILBER</v>
          </cell>
          <cell r="H103" t="str">
            <v>42504387</v>
          </cell>
          <cell r="I103" t="str">
            <v>BCP</v>
          </cell>
          <cell r="J103" t="str">
            <v>191-90448791-0-12</v>
          </cell>
          <cell r="K103" t="str">
            <v>DNI</v>
          </cell>
          <cell r="L103">
            <v>10425043876</v>
          </cell>
          <cell r="M103" t="str">
            <v>URBANO</v>
          </cell>
          <cell r="N103">
            <v>44502</v>
          </cell>
          <cell r="O103">
            <v>0</v>
          </cell>
          <cell r="P103" t="str">
            <v>COMFORT</v>
          </cell>
        </row>
        <row r="104">
          <cell r="A104">
            <v>330</v>
          </cell>
          <cell r="B104">
            <v>330</v>
          </cell>
          <cell r="C104" t="str">
            <v>CERO MATRICULA</v>
          </cell>
          <cell r="D104" t="str">
            <v>ACTIVO</v>
          </cell>
          <cell r="E104" t="str">
            <v>BAR069</v>
          </cell>
          <cell r="F104" t="str">
            <v>BENAVIDES GAMBOA ANGEL RAFAEL</v>
          </cell>
          <cell r="G104" t="str">
            <v>BENAVIDES GAMBOA ANGEL RAFAEL</v>
          </cell>
          <cell r="H104" t="str">
            <v>43223681</v>
          </cell>
          <cell r="I104" t="str">
            <v>BCP</v>
          </cell>
          <cell r="J104" t="str">
            <v>191-37404778-0-02</v>
          </cell>
          <cell r="K104" t="str">
            <v>DNI</v>
          </cell>
          <cell r="L104">
            <v>10432236817</v>
          </cell>
          <cell r="M104" t="str">
            <v>URBANO</v>
          </cell>
          <cell r="N104">
            <v>44845</v>
          </cell>
          <cell r="O104">
            <v>0</v>
          </cell>
          <cell r="P104" t="str">
            <v>XL</v>
          </cell>
        </row>
        <row r="105">
          <cell r="A105">
            <v>331</v>
          </cell>
          <cell r="B105">
            <v>331</v>
          </cell>
          <cell r="C105" t="str">
            <v>CERO MATRICULA</v>
          </cell>
          <cell r="D105" t="str">
            <v>ACTIVO</v>
          </cell>
          <cell r="E105" t="str">
            <v>Z6E603</v>
          </cell>
          <cell r="F105" t="str">
            <v>CHAVEZ AGUILAR JAIME</v>
          </cell>
          <cell r="G105" t="str">
            <v>CHAVEZ AGUILAR JAIME</v>
          </cell>
          <cell r="H105" t="str">
            <v>47048745</v>
          </cell>
          <cell r="I105" t="str">
            <v>BCP</v>
          </cell>
          <cell r="J105" t="str">
            <v>1913486520007252</v>
          </cell>
          <cell r="K105" t="str">
            <v>DNI</v>
          </cell>
          <cell r="L105">
            <v>10470487459</v>
          </cell>
          <cell r="M105" t="str">
            <v>URBANO PARTNER</v>
          </cell>
          <cell r="N105">
            <v>44499</v>
          </cell>
          <cell r="O105">
            <v>0</v>
          </cell>
          <cell r="P105" t="str">
            <v>COMFORT XL</v>
          </cell>
        </row>
        <row r="106">
          <cell r="A106">
            <v>332</v>
          </cell>
          <cell r="B106">
            <v>332</v>
          </cell>
          <cell r="C106" t="str">
            <v>CERO MATRICULA</v>
          </cell>
          <cell r="D106" t="str">
            <v>ACTIVO</v>
          </cell>
          <cell r="E106" t="str">
            <v>BHM102</v>
          </cell>
          <cell r="F106" t="str">
            <v>CÁCERES LINARES YOVANNY ANTONIO</v>
          </cell>
          <cell r="G106" t="str">
            <v>CÁCERES LINARES YOVANNY ANTONIO</v>
          </cell>
          <cell r="H106" t="str">
            <v>003783580</v>
          </cell>
          <cell r="I106" t="str">
            <v>BCP</v>
          </cell>
          <cell r="J106" t="str">
            <v>19393193520067</v>
          </cell>
          <cell r="K106" t="str">
            <v>CE</v>
          </cell>
          <cell r="L106">
            <v>15604117311</v>
          </cell>
          <cell r="M106" t="str">
            <v>URBANO</v>
          </cell>
          <cell r="N106">
            <v>44690</v>
          </cell>
          <cell r="O106">
            <v>0</v>
          </cell>
          <cell r="P106" t="str">
            <v>LITE</v>
          </cell>
        </row>
        <row r="107">
          <cell r="A107">
            <v>333</v>
          </cell>
          <cell r="B107">
            <v>333</v>
          </cell>
          <cell r="C107" t="str">
            <v>CERO MATRICULA</v>
          </cell>
          <cell r="D107" t="str">
            <v>ACTIVO</v>
          </cell>
          <cell r="E107" t="str">
            <v>AWH470</v>
          </cell>
          <cell r="F107" t="str">
            <v>BOHORQUEZ LEON CARLOS JULIO</v>
          </cell>
          <cell r="G107" t="str">
            <v>BOHORQUEZ LEON CARLOS JULIO</v>
          </cell>
          <cell r="H107" t="str">
            <v>3553214</v>
          </cell>
          <cell r="I107" t="str">
            <v>BCP</v>
          </cell>
          <cell r="J107" t="str">
            <v>192-92439032-0-57</v>
          </cell>
          <cell r="K107" t="str">
            <v>CE</v>
          </cell>
          <cell r="L107">
            <v>15606789812</v>
          </cell>
          <cell r="M107" t="str">
            <v>URBANO</v>
          </cell>
          <cell r="N107">
            <v>44499</v>
          </cell>
          <cell r="O107">
            <v>0</v>
          </cell>
          <cell r="P107" t="str">
            <v>LITE</v>
          </cell>
        </row>
        <row r="108">
          <cell r="A108">
            <v>334</v>
          </cell>
          <cell r="B108">
            <v>334</v>
          </cell>
          <cell r="C108" t="str">
            <v>CERO MATRICULA</v>
          </cell>
          <cell r="D108" t="str">
            <v>ACTIVO</v>
          </cell>
          <cell r="E108" t="str">
            <v>BAX244</v>
          </cell>
          <cell r="F108" t="str">
            <v xml:space="preserve">ROJAS RUBINA ORLANDO </v>
          </cell>
          <cell r="G108" t="str">
            <v xml:space="preserve">ROJAS RUBINA ORLANDO </v>
          </cell>
          <cell r="H108" t="str">
            <v>44664747</v>
          </cell>
          <cell r="I108" t="str">
            <v>BCP</v>
          </cell>
          <cell r="J108" t="str">
            <v>191-94587979-0-10</v>
          </cell>
          <cell r="K108" t="str">
            <v>DNI</v>
          </cell>
          <cell r="L108">
            <v>10446647470</v>
          </cell>
          <cell r="M108" t="str">
            <v>URBANO</v>
          </cell>
          <cell r="N108">
            <v>44506</v>
          </cell>
          <cell r="O108">
            <v>0</v>
          </cell>
          <cell r="P108">
            <v>0</v>
          </cell>
        </row>
        <row r="109">
          <cell r="A109">
            <v>336</v>
          </cell>
          <cell r="B109">
            <v>336</v>
          </cell>
          <cell r="C109" t="str">
            <v>CERO MATRICULA</v>
          </cell>
          <cell r="D109" t="str">
            <v>ACTIVO</v>
          </cell>
          <cell r="E109" t="str">
            <v>AXB434</v>
          </cell>
          <cell r="F109" t="str">
            <v>LORETO MISSEL JOSE WLADIMIR</v>
          </cell>
          <cell r="G109" t="str">
            <v>LORETO MISSEL JOSE WLADIMIR</v>
          </cell>
          <cell r="H109" t="str">
            <v>003757675</v>
          </cell>
          <cell r="I109" t="str">
            <v>BBVA</v>
          </cell>
          <cell r="J109" t="str">
            <v>0011-0259-020035402791</v>
          </cell>
          <cell r="K109" t="str">
            <v>CE</v>
          </cell>
          <cell r="L109">
            <v>15605381984</v>
          </cell>
          <cell r="M109" t="str">
            <v>URBANO</v>
          </cell>
          <cell r="N109">
            <v>44513</v>
          </cell>
          <cell r="O109">
            <v>0</v>
          </cell>
          <cell r="P109" t="str">
            <v>XL</v>
          </cell>
        </row>
        <row r="110">
          <cell r="A110">
            <v>337</v>
          </cell>
          <cell r="B110">
            <v>337</v>
          </cell>
          <cell r="C110" t="str">
            <v>CERO MATRICULA</v>
          </cell>
          <cell r="D110" t="str">
            <v>ACTIVO</v>
          </cell>
          <cell r="E110" t="str">
            <v>AJD141</v>
          </cell>
          <cell r="F110" t="str">
            <v>CALDERON VERA RUBEN KENEDY</v>
          </cell>
          <cell r="G110" t="str">
            <v>CALDERON VERA RUBEN KENEDY</v>
          </cell>
          <cell r="H110" t="str">
            <v>45952810</v>
          </cell>
          <cell r="I110" t="str">
            <v>BCP</v>
          </cell>
          <cell r="J110" t="str">
            <v>194-32957572-0-74</v>
          </cell>
          <cell r="K110" t="str">
            <v>DNI</v>
          </cell>
          <cell r="L110">
            <v>10459528101</v>
          </cell>
          <cell r="M110" t="str">
            <v>URBANO</v>
          </cell>
          <cell r="N110">
            <v>44515</v>
          </cell>
          <cell r="O110">
            <v>0</v>
          </cell>
          <cell r="P110" t="str">
            <v>LITE</v>
          </cell>
        </row>
        <row r="111">
          <cell r="A111">
            <v>338</v>
          </cell>
          <cell r="B111">
            <v>338</v>
          </cell>
          <cell r="C111" t="str">
            <v>CERO MATRICULA</v>
          </cell>
          <cell r="D111" t="str">
            <v>ACTIVO</v>
          </cell>
          <cell r="E111" t="str">
            <v>BVL585</v>
          </cell>
          <cell r="F111" t="str">
            <v>REYES SUAREZ HEIZAN JOSE</v>
          </cell>
          <cell r="G111" t="str">
            <v>REYES SUAREZ HEIZAN JOSE</v>
          </cell>
          <cell r="H111" t="str">
            <v>1545128</v>
          </cell>
          <cell r="I111" t="str">
            <v>BBVA</v>
          </cell>
          <cell r="J111" t="str">
            <v>0011-0109-0200703688</v>
          </cell>
          <cell r="K111" t="str">
            <v>CE</v>
          </cell>
          <cell r="L111">
            <v>15602099439</v>
          </cell>
          <cell r="M111" t="str">
            <v>URBANO</v>
          </cell>
          <cell r="N111">
            <v>44515</v>
          </cell>
          <cell r="O111">
            <v>0</v>
          </cell>
          <cell r="P111" t="str">
            <v>LITE</v>
          </cell>
        </row>
        <row r="112">
          <cell r="A112">
            <v>339</v>
          </cell>
          <cell r="B112">
            <v>339</v>
          </cell>
          <cell r="C112" t="str">
            <v>CERO MATRICULA</v>
          </cell>
          <cell r="D112" t="str">
            <v>ACTIVO</v>
          </cell>
          <cell r="E112" t="str">
            <v>F9C199</v>
          </cell>
          <cell r="F112" t="str">
            <v>SILVA BARREDA JUAN JOEL</v>
          </cell>
          <cell r="G112" t="str">
            <v>SILVA BARREDA JUAN JOEL</v>
          </cell>
          <cell r="H112" t="str">
            <v>46840964</v>
          </cell>
          <cell r="I112" t="str">
            <v>BCP</v>
          </cell>
          <cell r="J112" t="str">
            <v>192-95008476-0-55</v>
          </cell>
          <cell r="K112" t="str">
            <v>DNI</v>
          </cell>
          <cell r="L112">
            <v>10468409645</v>
          </cell>
          <cell r="M112" t="str">
            <v>URBANO</v>
          </cell>
          <cell r="N112">
            <v>44516</v>
          </cell>
          <cell r="O112">
            <v>0</v>
          </cell>
          <cell r="P112" t="str">
            <v>LITE</v>
          </cell>
        </row>
        <row r="113">
          <cell r="A113">
            <v>342</v>
          </cell>
          <cell r="B113">
            <v>342</v>
          </cell>
          <cell r="C113" t="str">
            <v>CERO MATRICULA</v>
          </cell>
          <cell r="D113" t="str">
            <v>ACTIVO</v>
          </cell>
          <cell r="E113" t="str">
            <v>AXP679</v>
          </cell>
          <cell r="F113" t="str">
            <v>VALENCIA PALOMINO JORGE ALBERTO</v>
          </cell>
          <cell r="G113" t="str">
            <v>VALENCIA PALOMINO JORGE ALBERTO</v>
          </cell>
          <cell r="H113" t="str">
            <v>42085437</v>
          </cell>
          <cell r="I113" t="str">
            <v>BBVA</v>
          </cell>
          <cell r="J113" t="str">
            <v>0011-0178-0200528572</v>
          </cell>
          <cell r="K113" t="str">
            <v>DNI</v>
          </cell>
          <cell r="L113">
            <v>10420854370</v>
          </cell>
          <cell r="M113" t="str">
            <v>URBANO</v>
          </cell>
          <cell r="N113">
            <v>44522</v>
          </cell>
          <cell r="O113">
            <v>0</v>
          </cell>
          <cell r="P113" t="str">
            <v>COMFORT</v>
          </cell>
        </row>
        <row r="114">
          <cell r="A114">
            <v>343</v>
          </cell>
          <cell r="B114">
            <v>343</v>
          </cell>
          <cell r="C114" t="str">
            <v>CERO MATRICULA</v>
          </cell>
          <cell r="D114" t="str">
            <v>ACTIVO</v>
          </cell>
          <cell r="E114" t="str">
            <v>BEZ210</v>
          </cell>
          <cell r="F114" t="str">
            <v>AGUILAR AMBUKKA DIEGO ARMANDO</v>
          </cell>
          <cell r="G114" t="str">
            <v>AGUILAR AMBUKKA DIEGO ARMANDO</v>
          </cell>
          <cell r="H114">
            <v>47463180</v>
          </cell>
          <cell r="I114" t="str">
            <v>BBVA</v>
          </cell>
          <cell r="J114" t="str">
            <v>0011-0383-0200267005</v>
          </cell>
          <cell r="K114" t="str">
            <v>DNI</v>
          </cell>
          <cell r="L114">
            <v>10474631805</v>
          </cell>
          <cell r="M114" t="str">
            <v>URBANO</v>
          </cell>
          <cell r="N114">
            <v>44513</v>
          </cell>
          <cell r="O114">
            <v>0</v>
          </cell>
          <cell r="P114" t="str">
            <v>LITE</v>
          </cell>
        </row>
        <row r="115">
          <cell r="A115">
            <v>346</v>
          </cell>
          <cell r="B115">
            <v>346</v>
          </cell>
          <cell r="C115" t="str">
            <v>CERO MATRICULA</v>
          </cell>
          <cell r="D115" t="str">
            <v>ACTIVO</v>
          </cell>
          <cell r="E115" t="str">
            <v>ACQ156</v>
          </cell>
          <cell r="F115" t="str">
            <v>OSCCORIMA NUÑEZ FERNANDO</v>
          </cell>
          <cell r="G115" t="str">
            <v>OSCCORIMA NUÑEZ FERNANDO</v>
          </cell>
          <cell r="H115">
            <v>40417995</v>
          </cell>
          <cell r="I115" t="str">
            <v>BCP</v>
          </cell>
          <cell r="J115" t="str">
            <v>194-35357969-0-18</v>
          </cell>
          <cell r="K115" t="str">
            <v>DNI</v>
          </cell>
          <cell r="L115">
            <v>10404179956</v>
          </cell>
          <cell r="M115" t="str">
            <v>URBANO</v>
          </cell>
          <cell r="N115">
            <v>44527</v>
          </cell>
          <cell r="O115">
            <v>0</v>
          </cell>
          <cell r="P115" t="str">
            <v>LITE</v>
          </cell>
        </row>
        <row r="116">
          <cell r="A116">
            <v>348</v>
          </cell>
          <cell r="B116">
            <v>348</v>
          </cell>
          <cell r="C116" t="str">
            <v>CERO MATRICULA</v>
          </cell>
          <cell r="D116" t="str">
            <v>ACTIVO</v>
          </cell>
          <cell r="E116" t="str">
            <v>BCQ489</v>
          </cell>
          <cell r="F116" t="str">
            <v>RAMIREZ MODESTO DAVID SAUL</v>
          </cell>
          <cell r="G116" t="str">
            <v>RAMIREZ MODESTO DAVID SAUL</v>
          </cell>
          <cell r="H116" t="str">
            <v>43597502</v>
          </cell>
          <cell r="I116" t="str">
            <v>INTERBANK</v>
          </cell>
          <cell r="J116" t="str">
            <v>0423-117694578</v>
          </cell>
          <cell r="K116" t="str">
            <v>DNI</v>
          </cell>
          <cell r="L116">
            <v>10435975025</v>
          </cell>
          <cell r="M116" t="str">
            <v>URBANO</v>
          </cell>
          <cell r="N116">
            <v>44527</v>
          </cell>
          <cell r="O116">
            <v>0</v>
          </cell>
          <cell r="P116" t="str">
            <v>LITE</v>
          </cell>
        </row>
        <row r="117">
          <cell r="A117">
            <v>350</v>
          </cell>
          <cell r="B117">
            <v>350</v>
          </cell>
          <cell r="C117" t="str">
            <v>CERO MATRICULA</v>
          </cell>
          <cell r="D117" t="str">
            <v>ACTIVO</v>
          </cell>
          <cell r="E117" t="str">
            <v>BWE109</v>
          </cell>
          <cell r="F117" t="str">
            <v>SANTISTEBAN SIESQUEN ALLEN</v>
          </cell>
          <cell r="G117" t="str">
            <v>SANTISTEBAN SIESQUEN ALLEN</v>
          </cell>
          <cell r="H117" t="str">
            <v>75503535</v>
          </cell>
          <cell r="I117" t="str">
            <v>BCP</v>
          </cell>
          <cell r="J117" t="str">
            <v>19199941785095</v>
          </cell>
          <cell r="K117" t="str">
            <v>DNI</v>
          </cell>
          <cell r="L117">
            <v>10755035357</v>
          </cell>
          <cell r="M117" t="str">
            <v>URBANO</v>
          </cell>
          <cell r="N117">
            <v>44851</v>
          </cell>
          <cell r="O117">
            <v>0</v>
          </cell>
          <cell r="P117" t="str">
            <v>COMFORT</v>
          </cell>
        </row>
        <row r="118">
          <cell r="A118">
            <v>351</v>
          </cell>
          <cell r="B118">
            <v>351</v>
          </cell>
          <cell r="C118" t="str">
            <v>CERO MATRICULA</v>
          </cell>
          <cell r="D118" t="str">
            <v>ACTIVO</v>
          </cell>
          <cell r="E118" t="str">
            <v>BKJ120</v>
          </cell>
          <cell r="F118" t="str">
            <v>AGURTO VELASQUEZ HERLES WILLIANS</v>
          </cell>
          <cell r="G118" t="str">
            <v>AGURTO VELASQUEZ HERLES WILLIANS</v>
          </cell>
          <cell r="H118" t="str">
            <v>00200628</v>
          </cell>
          <cell r="I118" t="str">
            <v>BBVA</v>
          </cell>
          <cell r="J118">
            <v>1101080200375000</v>
          </cell>
          <cell r="K118" t="str">
            <v>DNI</v>
          </cell>
          <cell r="L118">
            <v>10002006281</v>
          </cell>
          <cell r="M118" t="str">
            <v>URBANO</v>
          </cell>
          <cell r="N118">
            <v>44534</v>
          </cell>
          <cell r="O118">
            <v>0</v>
          </cell>
          <cell r="P118" t="str">
            <v>LITE</v>
          </cell>
        </row>
        <row r="119">
          <cell r="A119">
            <v>353</v>
          </cell>
          <cell r="B119">
            <v>353</v>
          </cell>
          <cell r="C119" t="str">
            <v>CERO MATRICULA</v>
          </cell>
          <cell r="D119" t="str">
            <v>ACTIVO</v>
          </cell>
          <cell r="E119" t="str">
            <v>BXO282</v>
          </cell>
          <cell r="F119" t="str">
            <v>MORENO CASTILLO JOSE MARIA</v>
          </cell>
          <cell r="G119" t="str">
            <v>MORENO CASTILLO JOSE MARIA</v>
          </cell>
          <cell r="H119" t="str">
            <v>40743906</v>
          </cell>
          <cell r="I119" t="str">
            <v>BBVA</v>
          </cell>
          <cell r="J119" t="str">
            <v>001108140220234199</v>
          </cell>
          <cell r="K119" t="str">
            <v>DNI</v>
          </cell>
          <cell r="L119">
            <v>10407439061</v>
          </cell>
          <cell r="M119" t="str">
            <v>URBANO</v>
          </cell>
          <cell r="N119">
            <v>44543</v>
          </cell>
          <cell r="O119">
            <v>0</v>
          </cell>
          <cell r="P119" t="str">
            <v>LITE</v>
          </cell>
        </row>
        <row r="120">
          <cell r="A120">
            <v>356</v>
          </cell>
          <cell r="B120">
            <v>356</v>
          </cell>
          <cell r="C120" t="str">
            <v>CERO MATRICULA</v>
          </cell>
          <cell r="D120" t="str">
            <v>ACTIVO</v>
          </cell>
          <cell r="E120" t="str">
            <v>ATD382</v>
          </cell>
          <cell r="F120" t="str">
            <v>BARRERA MARTINEZ EDWIN RAUL</v>
          </cell>
          <cell r="G120" t="str">
            <v>BARRERA MARTINEZ EDWIN RAUL</v>
          </cell>
          <cell r="H120" t="str">
            <v>41450301</v>
          </cell>
          <cell r="I120" t="str">
            <v>BBVA</v>
          </cell>
          <cell r="J120" t="str">
            <v>001105080200127139</v>
          </cell>
          <cell r="K120" t="str">
            <v>DNI</v>
          </cell>
          <cell r="L120">
            <v>10414503018</v>
          </cell>
          <cell r="M120" t="str">
            <v>URBANO</v>
          </cell>
          <cell r="N120">
            <v>44541</v>
          </cell>
          <cell r="O120">
            <v>0</v>
          </cell>
          <cell r="P120" t="str">
            <v>LITE</v>
          </cell>
        </row>
        <row r="121">
          <cell r="A121">
            <v>359</v>
          </cell>
          <cell r="B121">
            <v>359</v>
          </cell>
          <cell r="C121" t="str">
            <v>CERO MATRICULA</v>
          </cell>
          <cell r="D121" t="str">
            <v>ACTIVO</v>
          </cell>
          <cell r="E121" t="str">
            <v>AWA448</v>
          </cell>
          <cell r="F121" t="str">
            <v>QUILCAT VASQUEZ ANTUANET BARBARA</v>
          </cell>
          <cell r="G121" t="str">
            <v>QUILCAT VASQUEZ ANTUANET BARBARA</v>
          </cell>
          <cell r="H121" t="str">
            <v>41238235</v>
          </cell>
          <cell r="I121" t="str">
            <v>INTERBANK</v>
          </cell>
          <cell r="J121" t="str">
            <v>898-3275656870</v>
          </cell>
          <cell r="K121" t="str">
            <v>DNI</v>
          </cell>
          <cell r="L121">
            <v>10412382353</v>
          </cell>
          <cell r="M121" t="str">
            <v>URBANO</v>
          </cell>
          <cell r="N121">
            <v>44915</v>
          </cell>
          <cell r="O121">
            <v>0</v>
          </cell>
          <cell r="P121" t="str">
            <v>XL</v>
          </cell>
        </row>
        <row r="122">
          <cell r="A122">
            <v>361</v>
          </cell>
          <cell r="B122">
            <v>361</v>
          </cell>
          <cell r="C122" t="str">
            <v>CERO MATRICULA</v>
          </cell>
          <cell r="D122" t="str">
            <v>ACTIVO</v>
          </cell>
          <cell r="E122" t="str">
            <v>B3S046</v>
          </cell>
          <cell r="F122" t="str">
            <v>CUSTODIO FIESTAS HENRY JAVIER</v>
          </cell>
          <cell r="G122" t="str">
            <v>CUSTODIO FIESTAS HENRY JAVIER</v>
          </cell>
          <cell r="H122" t="str">
            <v>41261927</v>
          </cell>
          <cell r="I122" t="str">
            <v>BCP</v>
          </cell>
          <cell r="J122">
            <v>19199096011079</v>
          </cell>
          <cell r="K122" t="str">
            <v>DNI</v>
          </cell>
          <cell r="L122">
            <v>10412619272</v>
          </cell>
          <cell r="M122" t="str">
            <v>URBANO</v>
          </cell>
          <cell r="N122">
            <v>44565</v>
          </cell>
          <cell r="O122">
            <v>0</v>
          </cell>
          <cell r="P122" t="str">
            <v>COMFORT XL</v>
          </cell>
        </row>
        <row r="123">
          <cell r="A123">
            <v>364</v>
          </cell>
          <cell r="B123">
            <v>364</v>
          </cell>
          <cell r="C123" t="str">
            <v>CERO MATRICULA</v>
          </cell>
          <cell r="D123" t="str">
            <v>ACTIVO</v>
          </cell>
          <cell r="E123"/>
          <cell r="F123" t="str">
            <v>ARENAS LARA ALCIDES</v>
          </cell>
          <cell r="G123" t="str">
            <v>ARENAS LARA ALCIDES</v>
          </cell>
          <cell r="H123" t="str">
            <v>45769880</v>
          </cell>
          <cell r="I123" t="str">
            <v>BCP</v>
          </cell>
          <cell r="J123" t="str">
            <v>19199488754088</v>
          </cell>
          <cell r="K123" t="str">
            <v>DNI</v>
          </cell>
          <cell r="L123">
            <v>10457698807</v>
          </cell>
          <cell r="M123" t="str">
            <v>URBANO</v>
          </cell>
          <cell r="N123">
            <v>44585</v>
          </cell>
          <cell r="O123">
            <v>0</v>
          </cell>
          <cell r="P123" t="str">
            <v>LITE</v>
          </cell>
        </row>
        <row r="124">
          <cell r="A124">
            <v>365</v>
          </cell>
          <cell r="B124">
            <v>365</v>
          </cell>
          <cell r="C124" t="str">
            <v>CERO MATRICULA</v>
          </cell>
          <cell r="D124" t="str">
            <v>ACTIVO</v>
          </cell>
          <cell r="E124"/>
          <cell r="F124" t="str">
            <v>ESPINOZA SOTO JUAN MAURELIO</v>
          </cell>
          <cell r="G124" t="str">
            <v>ESPINOZA SOTO JUAN MAURELIO</v>
          </cell>
          <cell r="H124" t="str">
            <v>06795235</v>
          </cell>
          <cell r="I124" t="str">
            <v>INTERBANK</v>
          </cell>
          <cell r="J124" t="str">
            <v>122 3093590033</v>
          </cell>
          <cell r="K124" t="str">
            <v>DNI</v>
          </cell>
          <cell r="L124">
            <v>15292219366</v>
          </cell>
          <cell r="M124" t="str">
            <v>URBANO</v>
          </cell>
          <cell r="N124">
            <v>44585</v>
          </cell>
          <cell r="O124">
            <v>0</v>
          </cell>
          <cell r="P124" t="str">
            <v>LITE</v>
          </cell>
        </row>
        <row r="125">
          <cell r="A125">
            <v>370</v>
          </cell>
          <cell r="B125">
            <v>370</v>
          </cell>
          <cell r="C125" t="str">
            <v>CERO MATRICULA</v>
          </cell>
          <cell r="D125" t="str">
            <v>ACTIVO</v>
          </cell>
          <cell r="E125" t="str">
            <v>D3O503</v>
          </cell>
          <cell r="F125" t="str">
            <v>GONZALES PECHO YURI WALDO</v>
          </cell>
          <cell r="G125" t="str">
            <v>GONZALES PECHO YURI WALDO</v>
          </cell>
          <cell r="H125">
            <v>40054892</v>
          </cell>
          <cell r="I125" t="str">
            <v>BCP</v>
          </cell>
          <cell r="J125">
            <v>19101299309032</v>
          </cell>
          <cell r="K125" t="str">
            <v>DNI</v>
          </cell>
          <cell r="L125">
            <v>10400548922</v>
          </cell>
          <cell r="M125" t="str">
            <v>URBANO</v>
          </cell>
          <cell r="N125">
            <v>44592</v>
          </cell>
          <cell r="O125">
            <v>0</v>
          </cell>
          <cell r="P125" t="str">
            <v>COMFORT</v>
          </cell>
        </row>
        <row r="126">
          <cell r="A126">
            <v>371</v>
          </cell>
          <cell r="B126">
            <v>371</v>
          </cell>
          <cell r="C126" t="str">
            <v>CERO MATRICULA</v>
          </cell>
          <cell r="D126" t="str">
            <v>ACTIVO</v>
          </cell>
          <cell r="E126" t="str">
            <v>AWE523</v>
          </cell>
          <cell r="F126" t="str">
            <v>CEDEÑO VILLAHERMOSA KEWYS JOSE</v>
          </cell>
          <cell r="G126" t="str">
            <v>CEDEÑO VILLAHERMOSA KEWYS JOSE</v>
          </cell>
          <cell r="H126" t="str">
            <v>001769124</v>
          </cell>
          <cell r="I126" t="str">
            <v>BCP</v>
          </cell>
          <cell r="J126">
            <v>19190645134039</v>
          </cell>
          <cell r="K126" t="str">
            <v>CE</v>
          </cell>
          <cell r="L126">
            <v>15604411901</v>
          </cell>
          <cell r="M126" t="str">
            <v>URBANO</v>
          </cell>
          <cell r="N126">
            <v>44592</v>
          </cell>
          <cell r="O126">
            <v>0</v>
          </cell>
          <cell r="P126" t="str">
            <v>LITE</v>
          </cell>
        </row>
        <row r="127">
          <cell r="A127">
            <v>372</v>
          </cell>
          <cell r="B127">
            <v>372</v>
          </cell>
          <cell r="C127" t="str">
            <v>CERO MATRICULA</v>
          </cell>
          <cell r="D127" t="str">
            <v>ACTIVO</v>
          </cell>
          <cell r="E127" t="str">
            <v>BWU598</v>
          </cell>
          <cell r="F127" t="str">
            <v>REQUENA MAVARES LUIS ALEXANDER</v>
          </cell>
          <cell r="G127" t="str">
            <v>REQUENA MAVARES LUIS ALEXANDER</v>
          </cell>
          <cell r="H127" t="str">
            <v>004638103</v>
          </cell>
          <cell r="I127" t="str">
            <v>BCP</v>
          </cell>
          <cell r="J127" t="str">
            <v>19390370358088</v>
          </cell>
          <cell r="K127" t="str">
            <v>CE</v>
          </cell>
          <cell r="L127">
            <v>15606052674</v>
          </cell>
          <cell r="M127" t="str">
            <v>URBANO</v>
          </cell>
          <cell r="N127">
            <v>44600</v>
          </cell>
          <cell r="O127">
            <v>0</v>
          </cell>
          <cell r="P127" t="str">
            <v>LITE</v>
          </cell>
        </row>
        <row r="128">
          <cell r="A128">
            <v>373</v>
          </cell>
          <cell r="B128">
            <v>373</v>
          </cell>
          <cell r="C128" t="str">
            <v>CERO MATRICULA</v>
          </cell>
          <cell r="D128" t="str">
            <v>ACTIVO</v>
          </cell>
          <cell r="E128" t="str">
            <v>AZV175</v>
          </cell>
          <cell r="F128" t="str">
            <v>PIZARRO VEGA EDDER YANCARLO</v>
          </cell>
          <cell r="G128" t="str">
            <v>PIZARRO VEGA EDDER YANCARLO</v>
          </cell>
          <cell r="H128" t="str">
            <v>46617273</v>
          </cell>
          <cell r="I128" t="str">
            <v>INTERBANK</v>
          </cell>
          <cell r="J128" t="str">
            <v>8983271052369</v>
          </cell>
          <cell r="K128" t="str">
            <v>DNI</v>
          </cell>
          <cell r="L128">
            <v>10466172737</v>
          </cell>
          <cell r="M128" t="str">
            <v>MEMBRESÍA URBANO</v>
          </cell>
          <cell r="N128">
            <v>44592</v>
          </cell>
          <cell r="O128">
            <v>280</v>
          </cell>
          <cell r="P128" t="str">
            <v>COMFORT</v>
          </cell>
        </row>
        <row r="129">
          <cell r="A129">
            <v>374</v>
          </cell>
          <cell r="B129">
            <v>374</v>
          </cell>
          <cell r="C129" t="str">
            <v>CERO MATRICULA</v>
          </cell>
          <cell r="D129" t="str">
            <v>ACTIVO</v>
          </cell>
          <cell r="E129" t="str">
            <v>BNH004</v>
          </cell>
          <cell r="F129" t="str">
            <v>VARELA MAZA JOSE GREGORIO</v>
          </cell>
          <cell r="G129" t="str">
            <v>VARELA MAZA JOSE GREGORIO</v>
          </cell>
          <cell r="H129" t="str">
            <v>002003576</v>
          </cell>
          <cell r="I129" t="str">
            <v>BCP</v>
          </cell>
          <cell r="J129">
            <v>19194387366071</v>
          </cell>
          <cell r="K129" t="str">
            <v>CE</v>
          </cell>
          <cell r="L129">
            <v>15602651344</v>
          </cell>
          <cell r="M129" t="str">
            <v>URBANO</v>
          </cell>
          <cell r="N129">
            <v>44602</v>
          </cell>
          <cell r="O129">
            <v>0</v>
          </cell>
          <cell r="P129" t="str">
            <v>LITE</v>
          </cell>
        </row>
        <row r="130">
          <cell r="A130">
            <v>375</v>
          </cell>
          <cell r="B130">
            <v>375</v>
          </cell>
          <cell r="C130" t="str">
            <v>CERO MATRICULA</v>
          </cell>
          <cell r="D130" t="str">
            <v>ACTIVO</v>
          </cell>
          <cell r="E130" t="str">
            <v>BKG642</v>
          </cell>
          <cell r="F130" t="str">
            <v>ABARCA ARANA ROBERTO</v>
          </cell>
          <cell r="G130" t="str">
            <v>CABRERA CHU PAOLA</v>
          </cell>
          <cell r="H130" t="str">
            <v>76461214</v>
          </cell>
          <cell r="I130" t="str">
            <v>BCP</v>
          </cell>
          <cell r="J130" t="str">
            <v>19403319773004</v>
          </cell>
          <cell r="K130" t="str">
            <v>DNI</v>
          </cell>
          <cell r="L130">
            <v>10764612146</v>
          </cell>
          <cell r="M130" t="str">
            <v>URBANO</v>
          </cell>
          <cell r="N130">
            <v>44863</v>
          </cell>
          <cell r="O130">
            <v>0</v>
          </cell>
          <cell r="P130" t="str">
            <v>LITE</v>
          </cell>
        </row>
        <row r="131">
          <cell r="A131">
            <v>377</v>
          </cell>
          <cell r="B131">
            <v>377</v>
          </cell>
          <cell r="C131" t="str">
            <v>CERO MATRICULA</v>
          </cell>
          <cell r="D131" t="str">
            <v>ACTIVO</v>
          </cell>
          <cell r="E131" t="str">
            <v>BFP116</v>
          </cell>
          <cell r="F131" t="str">
            <v>RIOS ESPINOZA GINO ANTONY</v>
          </cell>
          <cell r="G131" t="str">
            <v>RIOS ESPINOZA GINO ANTONY</v>
          </cell>
          <cell r="H131" t="str">
            <v>41590120</v>
          </cell>
          <cell r="I131" t="str">
            <v>INTERBANK</v>
          </cell>
          <cell r="J131">
            <v>2003097034996</v>
          </cell>
          <cell r="K131" t="str">
            <v>DNI</v>
          </cell>
          <cell r="L131">
            <v>10415901297</v>
          </cell>
          <cell r="M131" t="str">
            <v>URBANO</v>
          </cell>
          <cell r="N131">
            <v>44600</v>
          </cell>
          <cell r="O131">
            <v>0</v>
          </cell>
          <cell r="P131" t="str">
            <v>COMFORT</v>
          </cell>
        </row>
        <row r="132">
          <cell r="A132">
            <v>379</v>
          </cell>
          <cell r="B132">
            <v>379</v>
          </cell>
          <cell r="C132" t="str">
            <v>CERO MATRICULA</v>
          </cell>
          <cell r="D132" t="str">
            <v>ACTIVO</v>
          </cell>
          <cell r="E132"/>
          <cell r="F132" t="str">
            <v>PIÑA GUEDEZ DHEIVIT ALEXANDER</v>
          </cell>
          <cell r="G132" t="str">
            <v>PIÑA GUEDEZ DHEIVIT ALEXANDER</v>
          </cell>
          <cell r="H132" t="str">
            <v>002694372</v>
          </cell>
          <cell r="I132" t="str">
            <v>BCP</v>
          </cell>
          <cell r="J132" t="str">
            <v>19140170313073</v>
          </cell>
          <cell r="K132" t="str">
            <v>CE</v>
          </cell>
          <cell r="L132">
            <v>15605900965</v>
          </cell>
          <cell r="M132" t="str">
            <v>URBANO</v>
          </cell>
          <cell r="N132">
            <v>44613</v>
          </cell>
          <cell r="O132">
            <v>0</v>
          </cell>
          <cell r="P132" t="str">
            <v>LITE</v>
          </cell>
        </row>
        <row r="133">
          <cell r="A133">
            <v>380</v>
          </cell>
          <cell r="B133">
            <v>380</v>
          </cell>
          <cell r="C133" t="str">
            <v>CERO MATRICULA</v>
          </cell>
          <cell r="D133" t="str">
            <v>ACTIVO</v>
          </cell>
          <cell r="E133" t="str">
            <v>BFR215</v>
          </cell>
          <cell r="F133" t="str">
            <v>PEREZ DIAZ ANTERO</v>
          </cell>
          <cell r="G133" t="str">
            <v>PEREZ DIAZ ANTERO</v>
          </cell>
          <cell r="H133" t="str">
            <v>42853695</v>
          </cell>
          <cell r="I133" t="str">
            <v>BCP</v>
          </cell>
          <cell r="J133">
            <v>19192325080054</v>
          </cell>
          <cell r="K133" t="str">
            <v>DNI</v>
          </cell>
          <cell r="L133">
            <v>10428536954</v>
          </cell>
          <cell r="M133" t="str">
            <v>MEMBRESÍA URBANO</v>
          </cell>
          <cell r="N133">
            <v>44620</v>
          </cell>
          <cell r="O133">
            <v>280</v>
          </cell>
          <cell r="P133" t="str">
            <v>LITE</v>
          </cell>
        </row>
        <row r="134">
          <cell r="A134">
            <v>381</v>
          </cell>
          <cell r="B134">
            <v>381</v>
          </cell>
          <cell r="C134" t="str">
            <v>CERO MATRICULA</v>
          </cell>
          <cell r="D134" t="str">
            <v>ACTIVO</v>
          </cell>
          <cell r="E134" t="str">
            <v>DYF394</v>
          </cell>
          <cell r="F134" t="str">
            <v>GONZALES GUTIERREZ JESUS ALFREDO</v>
          </cell>
          <cell r="G134" t="str">
            <v>QUIÑONES FARRO ESTHER MARLENE</v>
          </cell>
          <cell r="H134" t="str">
            <v>07916421</v>
          </cell>
          <cell r="I134" t="str">
            <v>BCP</v>
          </cell>
          <cell r="J134">
            <v>19324705265011</v>
          </cell>
          <cell r="K134" t="str">
            <v>DNI</v>
          </cell>
          <cell r="L134">
            <v>10079164211</v>
          </cell>
          <cell r="M134" t="str">
            <v>URBANO</v>
          </cell>
          <cell r="N134">
            <v>44627</v>
          </cell>
          <cell r="O134">
            <v>0</v>
          </cell>
          <cell r="P134" t="str">
            <v>COMFORT</v>
          </cell>
        </row>
        <row r="135">
          <cell r="A135">
            <v>382</v>
          </cell>
          <cell r="B135">
            <v>382</v>
          </cell>
          <cell r="C135" t="str">
            <v>CERO MATRICULA</v>
          </cell>
          <cell r="D135" t="str">
            <v>ACTIVO</v>
          </cell>
          <cell r="E135" t="str">
            <v>BVH446</v>
          </cell>
          <cell r="F135" t="str">
            <v>ALFARO FERRER MATILDE JANNETTE</v>
          </cell>
          <cell r="G135" t="str">
            <v>ALFARO FERRER MATILDE JANNETTE</v>
          </cell>
          <cell r="H135" t="str">
            <v>49004250</v>
          </cell>
          <cell r="I135" t="str">
            <v>BCP</v>
          </cell>
          <cell r="J135" t="str">
            <v>191-95516313-0-22</v>
          </cell>
          <cell r="K135" t="str">
            <v>DNI</v>
          </cell>
          <cell r="L135">
            <v>10490042500</v>
          </cell>
          <cell r="M135" t="str">
            <v>URBANO</v>
          </cell>
          <cell r="N135">
            <v>44904</v>
          </cell>
          <cell r="O135">
            <v>0</v>
          </cell>
          <cell r="P135" t="str">
            <v>LITE</v>
          </cell>
        </row>
        <row r="136">
          <cell r="A136">
            <v>383</v>
          </cell>
          <cell r="B136">
            <v>383</v>
          </cell>
          <cell r="C136" t="str">
            <v>CERO MATRICULA</v>
          </cell>
          <cell r="D136" t="str">
            <v>ACTIVO</v>
          </cell>
          <cell r="E136" t="str">
            <v>C0O164</v>
          </cell>
          <cell r="F136" t="str">
            <v>CUBAS HUALLPA GINO EDWIN</v>
          </cell>
          <cell r="G136" t="str">
            <v>CUBAS HUALLPA GINO EDWIN</v>
          </cell>
          <cell r="H136" t="str">
            <v>10630171</v>
          </cell>
          <cell r="I136" t="str">
            <v>BCP</v>
          </cell>
          <cell r="J136">
            <v>19311800915015</v>
          </cell>
          <cell r="K136" t="str">
            <v>DNI</v>
          </cell>
          <cell r="L136">
            <v>10106301714</v>
          </cell>
          <cell r="M136" t="str">
            <v>URBANO</v>
          </cell>
          <cell r="N136">
            <v>44687</v>
          </cell>
          <cell r="O136">
            <v>0</v>
          </cell>
          <cell r="P136" t="str">
            <v>LITE</v>
          </cell>
        </row>
        <row r="137">
          <cell r="A137">
            <v>385</v>
          </cell>
          <cell r="B137">
            <v>385</v>
          </cell>
          <cell r="C137" t="str">
            <v>CERO MATRICULA</v>
          </cell>
          <cell r="D137" t="str">
            <v>ACTIVO</v>
          </cell>
          <cell r="E137" t="str">
            <v>BFR066</v>
          </cell>
          <cell r="F137" t="str">
            <v>TRUJILLO MENDOZA PERCY</v>
          </cell>
          <cell r="G137" t="str">
            <v>TRUJILLO MENDOZA PERCY</v>
          </cell>
          <cell r="H137" t="str">
            <v>41099341</v>
          </cell>
          <cell r="I137" t="str">
            <v>BCP</v>
          </cell>
          <cell r="J137" t="str">
            <v>194-07510234-0-94</v>
          </cell>
          <cell r="K137" t="str">
            <v>DNI</v>
          </cell>
          <cell r="L137">
            <v>10410993410</v>
          </cell>
          <cell r="M137" t="str">
            <v>URBANO</v>
          </cell>
          <cell r="N137">
            <v>44775</v>
          </cell>
          <cell r="O137">
            <v>0</v>
          </cell>
          <cell r="P137" t="str">
            <v>LITE</v>
          </cell>
        </row>
        <row r="138">
          <cell r="A138">
            <v>387</v>
          </cell>
          <cell r="B138">
            <v>387</v>
          </cell>
          <cell r="C138" t="str">
            <v>CERO MATRICULA</v>
          </cell>
          <cell r="D138" t="str">
            <v>ACTIVO</v>
          </cell>
          <cell r="E138" t="str">
            <v>F6H356</v>
          </cell>
          <cell r="F138" t="str">
            <v>FRANCO LEUREYROS JORGE RAUL</v>
          </cell>
          <cell r="G138" t="str">
            <v>BAILON PRINCIPE CARLOS</v>
          </cell>
          <cell r="H138" t="str">
            <v>42821645</v>
          </cell>
          <cell r="I138" t="str">
            <v>INTERBANK</v>
          </cell>
          <cell r="J138">
            <v>423120139682</v>
          </cell>
          <cell r="K138" t="str">
            <v>DNI</v>
          </cell>
          <cell r="L138">
            <v>10428216453</v>
          </cell>
          <cell r="M138" t="str">
            <v>URBANO</v>
          </cell>
          <cell r="N138">
            <v>44713</v>
          </cell>
          <cell r="O138">
            <v>0</v>
          </cell>
          <cell r="P138" t="str">
            <v>LITE</v>
          </cell>
        </row>
        <row r="139">
          <cell r="A139">
            <v>388</v>
          </cell>
          <cell r="B139">
            <v>388</v>
          </cell>
          <cell r="C139" t="str">
            <v>CERO MATRICULA</v>
          </cell>
          <cell r="D139" t="str">
            <v>ACTIVO</v>
          </cell>
          <cell r="E139" t="str">
            <v>BYX447</v>
          </cell>
          <cell r="F139" t="str">
            <v>CAVERO OCHOA JUAN GUILLERMO</v>
          </cell>
          <cell r="G139" t="str">
            <v>CAVERO OCHOA JUAN GUILLERMO</v>
          </cell>
          <cell r="H139" t="str">
            <v>10145697</v>
          </cell>
          <cell r="I139" t="str">
            <v>INTERBANK</v>
          </cell>
          <cell r="J139" t="str">
            <v>898-3250482622</v>
          </cell>
          <cell r="K139" t="str">
            <v>DNI</v>
          </cell>
          <cell r="L139">
            <v>10101456973</v>
          </cell>
          <cell r="M139" t="str">
            <v>URBANO PARTNER</v>
          </cell>
          <cell r="N139">
            <v>44852</v>
          </cell>
          <cell r="O139">
            <v>0</v>
          </cell>
          <cell r="P139" t="str">
            <v>COMFORT XL</v>
          </cell>
        </row>
        <row r="140">
          <cell r="A140">
            <v>390</v>
          </cell>
          <cell r="B140">
            <v>390</v>
          </cell>
          <cell r="C140" t="str">
            <v>CERO MATRICULA</v>
          </cell>
          <cell r="D140" t="str">
            <v>ACTIVO</v>
          </cell>
          <cell r="E140" t="str">
            <v>ANY692</v>
          </cell>
          <cell r="F140" t="str">
            <v>SULLCA VILLEGAS REYMUNDO</v>
          </cell>
          <cell r="G140" t="str">
            <v>SULLCA VILLEGAS REYMUNDO</v>
          </cell>
          <cell r="H140" t="str">
            <v>41760946</v>
          </cell>
          <cell r="I140" t="str">
            <v>BCP</v>
          </cell>
          <cell r="J140" t="str">
            <v>19435570520017</v>
          </cell>
          <cell r="K140" t="str">
            <v>DNI</v>
          </cell>
          <cell r="L140">
            <v>10417609461</v>
          </cell>
          <cell r="M140" t="str">
            <v>URBANO</v>
          </cell>
          <cell r="N140">
            <v>44718</v>
          </cell>
          <cell r="O140">
            <v>0</v>
          </cell>
          <cell r="P140" t="str">
            <v>XL</v>
          </cell>
        </row>
        <row r="141">
          <cell r="A141">
            <v>391</v>
          </cell>
          <cell r="B141">
            <v>391</v>
          </cell>
          <cell r="C141" t="str">
            <v>CERO MATRICULA</v>
          </cell>
          <cell r="D141" t="str">
            <v>ACTIVO</v>
          </cell>
          <cell r="E141" t="str">
            <v>CAF389</v>
          </cell>
          <cell r="F141" t="str">
            <v>ARANIBAR QUISA ALEXANDER</v>
          </cell>
          <cell r="G141" t="str">
            <v>ARANIBAR QUISA ALEXANDER</v>
          </cell>
          <cell r="H141" t="str">
            <v>47860417</v>
          </cell>
          <cell r="I141" t="str">
            <v>INTERBANK</v>
          </cell>
          <cell r="J141">
            <v>13258958351</v>
          </cell>
          <cell r="K141" t="str">
            <v>DNI</v>
          </cell>
          <cell r="L141">
            <v>10478604179</v>
          </cell>
          <cell r="M141" t="str">
            <v>URBANO</v>
          </cell>
          <cell r="N141">
            <v>44719</v>
          </cell>
          <cell r="O141">
            <v>0</v>
          </cell>
          <cell r="P141" t="str">
            <v>LITE</v>
          </cell>
        </row>
        <row r="142">
          <cell r="A142">
            <v>392</v>
          </cell>
          <cell r="B142">
            <v>392</v>
          </cell>
          <cell r="C142" t="str">
            <v>CERO MATRICULA</v>
          </cell>
          <cell r="D142" t="str">
            <v>ACTIVO</v>
          </cell>
          <cell r="E142" t="str">
            <v>D5O262</v>
          </cell>
          <cell r="F142" t="str">
            <v>RUIZ TIRADO CONCEPCION JAVIER</v>
          </cell>
          <cell r="G142" t="str">
            <v>RUIZ TIRADO SANTOS PALERMO</v>
          </cell>
          <cell r="H142" t="str">
            <v>43356240</v>
          </cell>
          <cell r="I142" t="str">
            <v>BBVA</v>
          </cell>
          <cell r="J142" t="str">
            <v>001102840200554553</v>
          </cell>
          <cell r="K142" t="str">
            <v>DNI</v>
          </cell>
          <cell r="L142">
            <v>10433562408</v>
          </cell>
          <cell r="M142" t="str">
            <v>URBANO</v>
          </cell>
          <cell r="N142">
            <v>44721</v>
          </cell>
          <cell r="O142">
            <v>0</v>
          </cell>
          <cell r="P142" t="str">
            <v>LITE</v>
          </cell>
        </row>
        <row r="143">
          <cell r="A143">
            <v>394</v>
          </cell>
          <cell r="B143">
            <v>394</v>
          </cell>
          <cell r="C143" t="str">
            <v>CERO MATRICULA</v>
          </cell>
          <cell r="D143" t="str">
            <v>ACTIVO</v>
          </cell>
          <cell r="E143" t="str">
            <v>ANV497</v>
          </cell>
          <cell r="F143" t="str">
            <v>GARCIA GOMEZ JAIRO FRANCISCO</v>
          </cell>
          <cell r="G143" t="str">
            <v>GARCIA GOMEZ JAIRO FRANCISCO</v>
          </cell>
          <cell r="H143" t="str">
            <v>004579286</v>
          </cell>
          <cell r="I143" t="str">
            <v>BCP</v>
          </cell>
          <cell r="J143" t="str">
            <v>19395053314047</v>
          </cell>
          <cell r="K143" t="str">
            <v>CE</v>
          </cell>
          <cell r="L143">
            <v>15605585091</v>
          </cell>
          <cell r="M143" t="str">
            <v>URBANO</v>
          </cell>
          <cell r="N143">
            <v>44869</v>
          </cell>
          <cell r="O143">
            <v>0</v>
          </cell>
          <cell r="P143" t="str">
            <v>COMFORT</v>
          </cell>
        </row>
        <row r="144">
          <cell r="A144">
            <v>395</v>
          </cell>
          <cell r="B144">
            <v>395</v>
          </cell>
          <cell r="C144" t="str">
            <v>CERO MATRICULA</v>
          </cell>
          <cell r="D144" t="str">
            <v>ACTIVO</v>
          </cell>
          <cell r="E144" t="str">
            <v>BDG539</v>
          </cell>
          <cell r="F144" t="str">
            <v>VARGAS ROCANO RICHARD NILO</v>
          </cell>
          <cell r="G144" t="str">
            <v>CANCHARI PARIONA ZONIA</v>
          </cell>
          <cell r="H144" t="str">
            <v>40882464</v>
          </cell>
          <cell r="I144" t="str">
            <v>BBVA</v>
          </cell>
          <cell r="J144" t="str">
            <v>0011-0791-0200126469</v>
          </cell>
          <cell r="K144" t="str">
            <v>DNI</v>
          </cell>
          <cell r="L144">
            <v>10408824643</v>
          </cell>
          <cell r="M144" t="str">
            <v>URBANO</v>
          </cell>
          <cell r="N144">
            <v>44760</v>
          </cell>
          <cell r="O144">
            <v>0</v>
          </cell>
          <cell r="P144" t="str">
            <v>COMFORT</v>
          </cell>
        </row>
        <row r="145">
          <cell r="A145">
            <v>396</v>
          </cell>
          <cell r="B145">
            <v>396</v>
          </cell>
          <cell r="C145" t="str">
            <v>CERO MATRICULA</v>
          </cell>
          <cell r="D145" t="str">
            <v>ACTIVO</v>
          </cell>
          <cell r="E145" t="str">
            <v>BEN567</v>
          </cell>
          <cell r="F145" t="str">
            <v>YAPIAS SAMATA ERICK AMADOR</v>
          </cell>
          <cell r="G145" t="str">
            <v>YAPIAS SAMATA ERICK AMADOR</v>
          </cell>
          <cell r="H145" t="str">
            <v>10644088</v>
          </cell>
          <cell r="I145" t="str">
            <v>INTERBANK</v>
          </cell>
          <cell r="J145" t="str">
            <v>1513183520272</v>
          </cell>
          <cell r="K145" t="str">
            <v>DNI</v>
          </cell>
          <cell r="L145">
            <v>10106440889</v>
          </cell>
          <cell r="M145" t="str">
            <v>URBANO</v>
          </cell>
          <cell r="N145">
            <v>44749</v>
          </cell>
          <cell r="O145">
            <v>0</v>
          </cell>
          <cell r="P145" t="str">
            <v>LITE</v>
          </cell>
        </row>
        <row r="146">
          <cell r="A146">
            <v>398</v>
          </cell>
          <cell r="B146">
            <v>398</v>
          </cell>
          <cell r="C146" t="str">
            <v>CERO MATRICULA</v>
          </cell>
          <cell r="D146" t="str">
            <v>ACTIVO</v>
          </cell>
          <cell r="E146" t="str">
            <v>BNZ512</v>
          </cell>
          <cell r="F146" t="str">
            <v>DELGADO CAMPOS KERBIN DE JESUS</v>
          </cell>
          <cell r="G146" t="str">
            <v>DELGADO CAMPOS KERBIN DE JESUS</v>
          </cell>
          <cell r="H146" t="str">
            <v>005407223</v>
          </cell>
          <cell r="I146" t="str">
            <v>BCP</v>
          </cell>
          <cell r="J146" t="str">
            <v>19399511324087</v>
          </cell>
          <cell r="K146" t="str">
            <v>CE</v>
          </cell>
          <cell r="L146">
            <v>15609708015</v>
          </cell>
          <cell r="M146" t="str">
            <v>URBANO PARTNER</v>
          </cell>
          <cell r="N146">
            <v>44749</v>
          </cell>
          <cell r="O146">
            <v>0</v>
          </cell>
          <cell r="P146" t="str">
            <v>COMFORT XL</v>
          </cell>
        </row>
        <row r="147">
          <cell r="A147">
            <v>399</v>
          </cell>
          <cell r="B147">
            <v>399</v>
          </cell>
          <cell r="C147" t="str">
            <v>CERO MATRICULA</v>
          </cell>
          <cell r="D147" t="str">
            <v>ACTIVO</v>
          </cell>
          <cell r="E147" t="str">
            <v>BPJ032</v>
          </cell>
          <cell r="F147" t="str">
            <v>VILLALOBOS NUCETTE ANDERSON GERARDO</v>
          </cell>
          <cell r="G147" t="str">
            <v>VILLALOBOS NUCETTE ANDERSON GERARDO</v>
          </cell>
          <cell r="H147" t="str">
            <v>005186893</v>
          </cell>
          <cell r="I147" t="str">
            <v>BCP</v>
          </cell>
          <cell r="J147" t="str">
            <v>19498949266050</v>
          </cell>
          <cell r="K147" t="str">
            <v>CE</v>
          </cell>
          <cell r="L147">
            <v>15606308440</v>
          </cell>
          <cell r="M147" t="str">
            <v>URBANO</v>
          </cell>
          <cell r="N147">
            <v>44753</v>
          </cell>
          <cell r="O147">
            <v>0</v>
          </cell>
          <cell r="P147" t="str">
            <v>COMFORT</v>
          </cell>
        </row>
        <row r="148">
          <cell r="A148">
            <v>400</v>
          </cell>
          <cell r="B148">
            <v>400</v>
          </cell>
          <cell r="C148" t="str">
            <v>CERO MATRICULA</v>
          </cell>
          <cell r="D148" t="str">
            <v>ACTIVO</v>
          </cell>
          <cell r="E148" t="str">
            <v>BXB377</v>
          </cell>
          <cell r="F148" t="str">
            <v>ARIAS  JHONNY ALBERTO</v>
          </cell>
          <cell r="G148" t="str">
            <v>ARIAS  JHONNY ALBERTO</v>
          </cell>
          <cell r="H148" t="str">
            <v>005286957</v>
          </cell>
          <cell r="I148" t="str">
            <v>BCP</v>
          </cell>
          <cell r="J148" t="str">
            <v>19393137211089</v>
          </cell>
          <cell r="K148" t="str">
            <v>CE</v>
          </cell>
          <cell r="L148">
            <v>15606138919</v>
          </cell>
          <cell r="M148" t="str">
            <v>URBANO</v>
          </cell>
          <cell r="N148">
            <v>44760</v>
          </cell>
          <cell r="O148">
            <v>0</v>
          </cell>
          <cell r="P148" t="str">
            <v>COMFORT XL</v>
          </cell>
        </row>
        <row r="149">
          <cell r="A149">
            <v>402</v>
          </cell>
          <cell r="B149">
            <v>402</v>
          </cell>
          <cell r="C149" t="str">
            <v>CERO MATRICULA</v>
          </cell>
          <cell r="D149" t="str">
            <v>ACTIVO</v>
          </cell>
          <cell r="E149" t="str">
            <v>AVQ091</v>
          </cell>
          <cell r="F149" t="str">
            <v>TOVAR OSNAYO ALEJANDRO</v>
          </cell>
          <cell r="G149" t="str">
            <v>AMAT Y LEON MAYURI CINTHIA ESTHER</v>
          </cell>
          <cell r="H149" t="str">
            <v>42758388</v>
          </cell>
          <cell r="I149" t="str">
            <v>BCP</v>
          </cell>
          <cell r="J149" t="str">
            <v>194-97877906-0-69</v>
          </cell>
          <cell r="K149" t="str">
            <v>DNI</v>
          </cell>
          <cell r="L149">
            <v>10427583886</v>
          </cell>
          <cell r="M149" t="str">
            <v>URBANO</v>
          </cell>
          <cell r="N149">
            <v>45068</v>
          </cell>
          <cell r="O149">
            <v>0</v>
          </cell>
          <cell r="P149" t="str">
            <v>LITE</v>
          </cell>
        </row>
        <row r="150">
          <cell r="A150">
            <v>403</v>
          </cell>
          <cell r="B150">
            <v>403</v>
          </cell>
          <cell r="C150" t="str">
            <v>CERO MATRICULA</v>
          </cell>
          <cell r="D150" t="str">
            <v>ACTIVO</v>
          </cell>
          <cell r="E150" t="str">
            <v>ASL008</v>
          </cell>
          <cell r="F150" t="str">
            <v>RAMOS MEDINA  GILBERTO</v>
          </cell>
          <cell r="G150" t="str">
            <v>RAMOS MEDINA GILBERTO</v>
          </cell>
          <cell r="H150" t="str">
            <v>40849611</v>
          </cell>
          <cell r="I150" t="str">
            <v>BBVA</v>
          </cell>
          <cell r="J150" t="str">
            <v>0011-0164-0200706415</v>
          </cell>
          <cell r="K150" t="str">
            <v>DNI</v>
          </cell>
          <cell r="L150">
            <v>10408496115</v>
          </cell>
          <cell r="M150" t="str">
            <v>URBANO</v>
          </cell>
          <cell r="N150" t="str">
            <v>PENDIENTE</v>
          </cell>
          <cell r="O150">
            <v>0</v>
          </cell>
          <cell r="P150" t="str">
            <v>LITE</v>
          </cell>
        </row>
        <row r="151">
          <cell r="A151">
            <v>404</v>
          </cell>
          <cell r="B151">
            <v>404</v>
          </cell>
          <cell r="C151" t="str">
            <v>CERO MATRICULA</v>
          </cell>
          <cell r="D151" t="str">
            <v>ACTIVO</v>
          </cell>
          <cell r="E151" t="str">
            <v>BJJ600</v>
          </cell>
          <cell r="F151" t="str">
            <v>ANCASI ROJAS PERCY ANDREE</v>
          </cell>
          <cell r="G151" t="str">
            <v>ZEVALLOS CALDERON ADRIAN ELIAS</v>
          </cell>
          <cell r="H151" t="str">
            <v>47136928</v>
          </cell>
          <cell r="I151" t="str">
            <v>INTERBANK</v>
          </cell>
          <cell r="J151" t="str">
            <v>0903095265884</v>
          </cell>
          <cell r="K151" t="str">
            <v>DNI</v>
          </cell>
          <cell r="L151">
            <v>10471369280</v>
          </cell>
          <cell r="M151" t="str">
            <v>URBANO</v>
          </cell>
          <cell r="N151">
            <v>44949</v>
          </cell>
          <cell r="O151">
            <v>0</v>
          </cell>
          <cell r="P151" t="str">
            <v>LITE</v>
          </cell>
        </row>
        <row r="152">
          <cell r="A152">
            <v>406</v>
          </cell>
          <cell r="B152">
            <v>406</v>
          </cell>
          <cell r="C152" t="str">
            <v>CERO MATRICULA</v>
          </cell>
          <cell r="D152" t="str">
            <v>ACTIVO</v>
          </cell>
          <cell r="E152" t="str">
            <v>BEI449</v>
          </cell>
          <cell r="F152" t="str">
            <v>RIVAS CHINCHILLA OSMEIVI ENRIQUE</v>
          </cell>
          <cell r="G152" t="str">
            <v>RIVAS CHINCHILLA OSMEIVI ENRIQUE</v>
          </cell>
          <cell r="H152" t="str">
            <v>002336608</v>
          </cell>
          <cell r="I152" t="str">
            <v>BCP</v>
          </cell>
          <cell r="J152" t="str">
            <v>191-40097709-0-35</v>
          </cell>
          <cell r="K152" t="str">
            <v>CE</v>
          </cell>
          <cell r="L152">
            <v>15603439829</v>
          </cell>
          <cell r="M152" t="str">
            <v>URBANO</v>
          </cell>
          <cell r="N152" t="str">
            <v>PENDIENTE</v>
          </cell>
          <cell r="O152">
            <v>0</v>
          </cell>
          <cell r="P152" t="str">
            <v>LITE</v>
          </cell>
        </row>
        <row r="153">
          <cell r="A153">
            <v>407</v>
          </cell>
          <cell r="B153">
            <v>407</v>
          </cell>
          <cell r="C153" t="str">
            <v>CERO MATRICULA</v>
          </cell>
          <cell r="D153" t="str">
            <v>ACTIVO</v>
          </cell>
          <cell r="E153" t="str">
            <v>BDA163</v>
          </cell>
          <cell r="F153" t="str">
            <v>MERINO BALLONA CESAR IVAN</v>
          </cell>
          <cell r="G153" t="str">
            <v>MERINO BALLONA CESAR IVAN</v>
          </cell>
          <cell r="H153" t="str">
            <v>43546743</v>
          </cell>
          <cell r="I153" t="str">
            <v>BCP</v>
          </cell>
          <cell r="J153" t="str">
            <v>19125667856025</v>
          </cell>
          <cell r="K153" t="str">
            <v>DNI</v>
          </cell>
          <cell r="L153">
            <v>10435467437</v>
          </cell>
          <cell r="M153" t="str">
            <v>URBANO</v>
          </cell>
          <cell r="N153" t="str">
            <v>PENDIENTE</v>
          </cell>
          <cell r="O153">
            <v>0</v>
          </cell>
          <cell r="P153" t="str">
            <v>LITE</v>
          </cell>
        </row>
        <row r="154">
          <cell r="A154">
            <v>408</v>
          </cell>
          <cell r="B154">
            <v>408</v>
          </cell>
          <cell r="C154" t="str">
            <v>CERO MATRICULA</v>
          </cell>
          <cell r="D154" t="str">
            <v>ACTIVO</v>
          </cell>
          <cell r="E154" t="str">
            <v>BKE299</v>
          </cell>
          <cell r="F154" t="str">
            <v>CERNA ÑAHUIS  SLANDER</v>
          </cell>
          <cell r="G154" t="str">
            <v>CERNA ÑAHUIS SLANDER</v>
          </cell>
          <cell r="H154" t="str">
            <v>43557920</v>
          </cell>
          <cell r="I154" t="str">
            <v>INTERBANK</v>
          </cell>
          <cell r="J154" t="str">
            <v>8983136309287</v>
          </cell>
          <cell r="K154" t="str">
            <v>DNI</v>
          </cell>
          <cell r="L154">
            <v>10435579201</v>
          </cell>
          <cell r="M154" t="str">
            <v>AEROLINEAS</v>
          </cell>
          <cell r="N154">
            <v>44935</v>
          </cell>
          <cell r="O154">
            <v>0</v>
          </cell>
          <cell r="P154" t="str">
            <v>COMFORT XL</v>
          </cell>
        </row>
        <row r="155">
          <cell r="A155">
            <v>411</v>
          </cell>
          <cell r="B155">
            <v>411</v>
          </cell>
          <cell r="C155" t="str">
            <v>CERO MATRICULA</v>
          </cell>
          <cell r="D155" t="str">
            <v>ACTIVO</v>
          </cell>
          <cell r="E155" t="str">
            <v>BEI521</v>
          </cell>
          <cell r="F155" t="str">
            <v>FLORES MALLMA FLORENCIO ROMULO</v>
          </cell>
          <cell r="G155" t="str">
            <v>FLORES MALLMA FLORENCIO ROMULO</v>
          </cell>
          <cell r="H155" t="str">
            <v>10253931</v>
          </cell>
          <cell r="I155" t="str">
            <v>BCP</v>
          </cell>
          <cell r="J155" t="str">
            <v xml:space="preserve">19193131723046 </v>
          </cell>
          <cell r="K155" t="str">
            <v>DNI</v>
          </cell>
          <cell r="L155">
            <v>10102539317</v>
          </cell>
          <cell r="M155" t="str">
            <v>URBANO</v>
          </cell>
          <cell r="N155" t="str">
            <v>PENDIENTE</v>
          </cell>
          <cell r="O155">
            <v>0</v>
          </cell>
          <cell r="P155" t="str">
            <v>COMFORT XL</v>
          </cell>
        </row>
        <row r="156">
          <cell r="A156">
            <v>412</v>
          </cell>
          <cell r="B156">
            <v>412</v>
          </cell>
          <cell r="C156" t="str">
            <v>CERO MATRICULA</v>
          </cell>
          <cell r="D156" t="str">
            <v>ACTIVO</v>
          </cell>
          <cell r="E156" t="str">
            <v>AJW633</v>
          </cell>
          <cell r="F156" t="str">
            <v>UNZUETA FAJARDO  RENAN STENDHAL</v>
          </cell>
          <cell r="G156" t="str">
            <v>UNZUETA FAJARDO RENAN STENDHAL</v>
          </cell>
          <cell r="H156" t="str">
            <v>21532173</v>
          </cell>
          <cell r="I156" t="str">
            <v xml:space="preserve">BBVA </v>
          </cell>
          <cell r="J156" t="str">
            <v>01181400029769573318</v>
          </cell>
          <cell r="K156" t="str">
            <v>DNI</v>
          </cell>
          <cell r="L156">
            <v>10215321733</v>
          </cell>
          <cell r="M156" t="str">
            <v>MEMBRESÍA URBANO</v>
          </cell>
          <cell r="N156" t="str">
            <v>PENDIENTE</v>
          </cell>
          <cell r="O156">
            <v>280</v>
          </cell>
          <cell r="P156" t="str">
            <v>COMFORT XL</v>
          </cell>
        </row>
        <row r="157">
          <cell r="A157">
            <v>414</v>
          </cell>
          <cell r="B157">
            <v>414</v>
          </cell>
          <cell r="C157" t="str">
            <v>CERO MATRICULA</v>
          </cell>
          <cell r="D157" t="str">
            <v>ACTIVO</v>
          </cell>
          <cell r="E157" t="str">
            <v>AWM039</v>
          </cell>
          <cell r="F157" t="str">
            <v>ESPINOZA SIRLUPU PERCY DAVID</v>
          </cell>
          <cell r="G157" t="str">
            <v>ESPINOZA SIRLUPU PERCY DAVID</v>
          </cell>
          <cell r="H157" t="str">
            <v>40861832</v>
          </cell>
          <cell r="I157" t="str">
            <v>BBVA</v>
          </cell>
          <cell r="J157" t="str">
            <v>0011-0814-0212793065</v>
          </cell>
          <cell r="K157" t="str">
            <v>DNI</v>
          </cell>
          <cell r="L157">
            <v>10408618326</v>
          </cell>
          <cell r="M157" t="str">
            <v>URBANO</v>
          </cell>
          <cell r="N157" t="str">
            <v>PENDIENTE</v>
          </cell>
          <cell r="O157">
            <v>0</v>
          </cell>
          <cell r="P157">
            <v>0</v>
          </cell>
        </row>
        <row r="158">
          <cell r="A158">
            <v>416</v>
          </cell>
          <cell r="B158">
            <v>416</v>
          </cell>
          <cell r="C158" t="str">
            <v>CERO MATRICULA</v>
          </cell>
          <cell r="D158" t="str">
            <v>ACTIVO</v>
          </cell>
          <cell r="E158" t="str">
            <v>BSV372</v>
          </cell>
          <cell r="F158" t="str">
            <v>QUEVEDO JOSE ALEJANDRO</v>
          </cell>
          <cell r="G158" t="str">
            <v>QUEVEDO JOSE ALEJANDRO</v>
          </cell>
          <cell r="H158" t="str">
            <v>002530798</v>
          </cell>
          <cell r="I158" t="str">
            <v>BCP</v>
          </cell>
          <cell r="J158" t="str">
            <v>191-96883485-0-03</v>
          </cell>
          <cell r="K158" t="str">
            <v>CE</v>
          </cell>
          <cell r="L158">
            <v>15604798342</v>
          </cell>
          <cell r="M158" t="str">
            <v>URBANO</v>
          </cell>
          <cell r="N158" t="str">
            <v>PENDIENTE</v>
          </cell>
          <cell r="O158">
            <v>0</v>
          </cell>
          <cell r="P158">
            <v>0</v>
          </cell>
        </row>
        <row r="159">
          <cell r="A159">
            <v>420</v>
          </cell>
          <cell r="B159">
            <v>420</v>
          </cell>
          <cell r="C159" t="str">
            <v>CERO MATRICULA</v>
          </cell>
          <cell r="D159" t="str">
            <v>ACTIVO</v>
          </cell>
          <cell r="E159" t="str">
            <v>BFG668</v>
          </cell>
          <cell r="F159" t="str">
            <v>ABAD GRANDA TEODOMIRO</v>
          </cell>
          <cell r="G159" t="str">
            <v>ABAD GRANDA TEODOMIRO</v>
          </cell>
          <cell r="H159" t="str">
            <v>10694449</v>
          </cell>
          <cell r="I159" t="str">
            <v>BCP</v>
          </cell>
          <cell r="J159" t="str">
            <v>191-35533135-0-54</v>
          </cell>
          <cell r="K159" t="str">
            <v>DNI</v>
          </cell>
          <cell r="L159">
            <v>10106944496</v>
          </cell>
          <cell r="M159" t="str">
            <v>URBANO</v>
          </cell>
          <cell r="N159" t="str">
            <v>PENDIENTE</v>
          </cell>
          <cell r="O159">
            <v>0</v>
          </cell>
          <cell r="P159" t="str">
            <v>COMFORT XL</v>
          </cell>
        </row>
        <row r="160">
          <cell r="A160">
            <v>423</v>
          </cell>
          <cell r="B160">
            <v>423</v>
          </cell>
          <cell r="C160" t="str">
            <v>CERO MATRICULA</v>
          </cell>
          <cell r="D160" t="str">
            <v>ACTIVO</v>
          </cell>
          <cell r="E160" t="str">
            <v>BMX033</v>
          </cell>
          <cell r="F160" t="str">
            <v>DIAZ MUNDACA NERLI</v>
          </cell>
          <cell r="G160" t="str">
            <v>DIAZ MUNDACA NERLI</v>
          </cell>
          <cell r="H160" t="str">
            <v>44855645</v>
          </cell>
          <cell r="I160" t="str">
            <v>BCP</v>
          </cell>
          <cell r="J160" t="str">
            <v>191-96948368-0-41</v>
          </cell>
          <cell r="K160" t="str">
            <v>DNI</v>
          </cell>
          <cell r="L160">
            <v>10448556455</v>
          </cell>
          <cell r="M160" t="str">
            <v>MEMBRESÍA URBANO</v>
          </cell>
          <cell r="N160" t="str">
            <v>PENDIENTE</v>
          </cell>
          <cell r="O160">
            <v>280</v>
          </cell>
          <cell r="P160" t="str">
            <v>LITE</v>
          </cell>
        </row>
        <row r="161">
          <cell r="A161">
            <v>425</v>
          </cell>
          <cell r="B161">
            <v>425</v>
          </cell>
          <cell r="C161" t="str">
            <v>CERO MATRICULA</v>
          </cell>
          <cell r="D161" t="str">
            <v>ACTIVO</v>
          </cell>
          <cell r="E161" t="str">
            <v>BMC640</v>
          </cell>
          <cell r="F161" t="str">
            <v>PEÑA LIQUIS JOHNNY RAFAEL</v>
          </cell>
          <cell r="G161" t="str">
            <v>PEÑA LIQUIS JOHNNY RAFAEL</v>
          </cell>
          <cell r="H161" t="str">
            <v>004071021</v>
          </cell>
          <cell r="I161" t="str">
            <v>BCP</v>
          </cell>
          <cell r="J161" t="str">
            <v>194-95688852-0-03</v>
          </cell>
          <cell r="K161" t="str">
            <v>CE</v>
          </cell>
          <cell r="L161">
            <v>15606899651</v>
          </cell>
          <cell r="M161" t="str">
            <v>URBANO</v>
          </cell>
          <cell r="N161" t="str">
            <v>PENDIENTE</v>
          </cell>
          <cell r="O161">
            <v>0</v>
          </cell>
          <cell r="P161" t="str">
            <v>LITE</v>
          </cell>
        </row>
        <row r="162">
          <cell r="A162">
            <v>426</v>
          </cell>
          <cell r="B162">
            <v>426</v>
          </cell>
          <cell r="C162" t="str">
            <v>CERO MATRICULA</v>
          </cell>
          <cell r="D162" t="str">
            <v>ACTIVO</v>
          </cell>
          <cell r="E162" t="str">
            <v>AWH470</v>
          </cell>
          <cell r="F162" t="str">
            <v>ARANA   ANTHONI STIWEN</v>
          </cell>
          <cell r="G162" t="str">
            <v>ARANA ANTHONI STIWEN</v>
          </cell>
          <cell r="H162" t="str">
            <v>003447002</v>
          </cell>
          <cell r="I162" t="str">
            <v>BCP</v>
          </cell>
          <cell r="J162" t="str">
            <v>19297737501046</v>
          </cell>
          <cell r="K162" t="str">
            <v>PTP</v>
          </cell>
          <cell r="L162">
            <v>15605782202</v>
          </cell>
          <cell r="M162" t="str">
            <v>URBANO</v>
          </cell>
          <cell r="N162" t="str">
            <v>PENDIENTE</v>
          </cell>
          <cell r="O162">
            <v>0</v>
          </cell>
          <cell r="P162" t="str">
            <v>XL</v>
          </cell>
        </row>
        <row r="163">
          <cell r="A163">
            <v>427</v>
          </cell>
          <cell r="B163">
            <v>427</v>
          </cell>
          <cell r="C163" t="str">
            <v>CERO MATRICULA</v>
          </cell>
          <cell r="D163" t="str">
            <v>ACTIVO</v>
          </cell>
          <cell r="E163" t="str">
            <v>BZG569</v>
          </cell>
          <cell r="F163" t="str">
            <v>BAUTISTA MENDOZA TOMAS ANGEL</v>
          </cell>
          <cell r="G163" t="str">
            <v>BAUTISTA MENDOZA TOMAS ANGEL</v>
          </cell>
          <cell r="H163" t="str">
            <v>08115098</v>
          </cell>
          <cell r="I163" t="str">
            <v>BCP</v>
          </cell>
          <cell r="J163" t="str">
            <v>19135276825055</v>
          </cell>
          <cell r="K163" t="str">
            <v>DNI</v>
          </cell>
          <cell r="L163">
            <v>10081150988</v>
          </cell>
          <cell r="M163" t="str">
            <v>URBANO</v>
          </cell>
          <cell r="N163">
            <v>44648</v>
          </cell>
          <cell r="O163">
            <v>0</v>
          </cell>
          <cell r="P163" t="str">
            <v>COMFORT XL</v>
          </cell>
        </row>
        <row r="164">
          <cell r="A164">
            <v>429</v>
          </cell>
          <cell r="B164">
            <v>429</v>
          </cell>
          <cell r="C164" t="str">
            <v>CERO MATRICULA</v>
          </cell>
          <cell r="D164" t="str">
            <v>ACTIVO</v>
          </cell>
          <cell r="E164" t="str">
            <v>BRW217</v>
          </cell>
          <cell r="F164" t="str">
            <v>GARCIA DENJOY IGOR DAVID</v>
          </cell>
          <cell r="G164" t="str">
            <v>GARCIA DENJOY IGOR DAVID</v>
          </cell>
          <cell r="H164" t="str">
            <v>002431056</v>
          </cell>
          <cell r="I164" t="str">
            <v>BCP</v>
          </cell>
          <cell r="J164" t="str">
            <v>19290335354030</v>
          </cell>
          <cell r="K164" t="str">
            <v>CE</v>
          </cell>
          <cell r="L164">
            <v>15603451233</v>
          </cell>
          <cell r="M164" t="str">
            <v>URBANO</v>
          </cell>
          <cell r="N164">
            <v>44676</v>
          </cell>
          <cell r="O164">
            <v>0</v>
          </cell>
          <cell r="P164" t="str">
            <v>XL</v>
          </cell>
        </row>
        <row r="165">
          <cell r="A165">
            <v>430</v>
          </cell>
          <cell r="B165">
            <v>430</v>
          </cell>
          <cell r="C165" t="str">
            <v>CERO MATRICULA</v>
          </cell>
          <cell r="D165" t="str">
            <v>ACTIVO</v>
          </cell>
          <cell r="E165" t="str">
            <v>BVS399</v>
          </cell>
          <cell r="F165" t="str">
            <v>SOTO CASTILLO MICHEL ALBERTO</v>
          </cell>
          <cell r="G165" t="str">
            <v>SOTO CASTILLO MICHEL ALBERTO</v>
          </cell>
          <cell r="H165" t="str">
            <v>10799542</v>
          </cell>
          <cell r="I165" t="str">
            <v>BCP</v>
          </cell>
          <cell r="J165">
            <v>19333116593002</v>
          </cell>
          <cell r="K165" t="str">
            <v>DNI</v>
          </cell>
          <cell r="L165">
            <v>10107995426</v>
          </cell>
          <cell r="M165" t="str">
            <v>URBANO</v>
          </cell>
          <cell r="N165">
            <v>44670</v>
          </cell>
          <cell r="O165">
            <v>0</v>
          </cell>
          <cell r="P165" t="str">
            <v>COMFORT XL</v>
          </cell>
        </row>
        <row r="166">
          <cell r="A166">
            <v>434</v>
          </cell>
          <cell r="B166">
            <v>434</v>
          </cell>
          <cell r="C166" t="str">
            <v>CERO MATRICULA</v>
          </cell>
          <cell r="D166" t="str">
            <v>ACTIVO</v>
          </cell>
          <cell r="E166" t="str">
            <v>BNT460</v>
          </cell>
          <cell r="F166" t="str">
            <v>CONTRERAS GONZALES GILBERTO RAUL</v>
          </cell>
          <cell r="G166" t="str">
            <v>CONTRERAS GONZALES GILBERTO RAUL</v>
          </cell>
          <cell r="H166" t="str">
            <v>002612857</v>
          </cell>
          <cell r="I166" t="str">
            <v>BCP</v>
          </cell>
          <cell r="J166" t="str">
            <v>19192281114045</v>
          </cell>
          <cell r="K166" t="str">
            <v>CE</v>
          </cell>
          <cell r="L166">
            <v>15604921071</v>
          </cell>
          <cell r="M166" t="str">
            <v>URBANO</v>
          </cell>
          <cell r="N166" t="str">
            <v>PENDIENTE</v>
          </cell>
          <cell r="O166">
            <v>0</v>
          </cell>
          <cell r="P166" t="str">
            <v>LITE</v>
          </cell>
        </row>
        <row r="167">
          <cell r="A167">
            <v>442</v>
          </cell>
          <cell r="B167">
            <v>442</v>
          </cell>
          <cell r="C167" t="str">
            <v>CERO MATRICULA</v>
          </cell>
          <cell r="D167" t="str">
            <v>ACTIVO</v>
          </cell>
          <cell r="E167" t="str">
            <v>ARD693</v>
          </cell>
          <cell r="F167" t="str">
            <v>NINA LAURA SERGIO</v>
          </cell>
          <cell r="G167" t="str">
            <v>FRETEL CALERO JUANA</v>
          </cell>
          <cell r="H167" t="str">
            <v>42788200</v>
          </cell>
          <cell r="I167" t="str">
            <v>INTERBANK</v>
          </cell>
          <cell r="J167" t="str">
            <v>2553120549469</v>
          </cell>
          <cell r="K167" t="str">
            <v>DNI</v>
          </cell>
          <cell r="L167">
            <v>10427882000</v>
          </cell>
          <cell r="M167" t="str">
            <v>URBANO</v>
          </cell>
          <cell r="N167" t="str">
            <v>PENDIENTE</v>
          </cell>
          <cell r="O167">
            <v>0</v>
          </cell>
          <cell r="P167" t="str">
            <v>LITE</v>
          </cell>
        </row>
        <row r="168">
          <cell r="A168">
            <v>443</v>
          </cell>
          <cell r="B168">
            <v>443</v>
          </cell>
          <cell r="C168" t="str">
            <v>CERO MATRICULA</v>
          </cell>
          <cell r="D168" t="str">
            <v>ACTIVO</v>
          </cell>
          <cell r="E168" t="str">
            <v>DDO556</v>
          </cell>
          <cell r="F168" t="str">
            <v>BRAVO RIOS CARLOS ALBERTO</v>
          </cell>
          <cell r="G168" t="str">
            <v>BRAVO RIOS CARLOS ALBERTO</v>
          </cell>
          <cell r="H168">
            <v>42972235</v>
          </cell>
          <cell r="I168" t="str">
            <v>BBVA</v>
          </cell>
          <cell r="J168" t="str">
            <v>0011-0177-0200536545</v>
          </cell>
          <cell r="K168" t="str">
            <v>DNI</v>
          </cell>
          <cell r="L168">
            <v>10429722352</v>
          </cell>
          <cell r="M168" t="str">
            <v>URBANO</v>
          </cell>
          <cell r="N168">
            <v>44479</v>
          </cell>
          <cell r="O168">
            <v>0</v>
          </cell>
          <cell r="P168">
            <v>0</v>
          </cell>
        </row>
        <row r="169">
          <cell r="A169">
            <v>444</v>
          </cell>
          <cell r="B169">
            <v>444</v>
          </cell>
          <cell r="C169" t="str">
            <v>CERO MATRICULA</v>
          </cell>
          <cell r="D169" t="str">
            <v>ACTIVO</v>
          </cell>
          <cell r="E169" t="str">
            <v>BVC105</v>
          </cell>
          <cell r="F169" t="str">
            <v>LARA RODRIGUEZ LUIS DARIO</v>
          </cell>
          <cell r="G169" t="str">
            <v>LARA RODRIGUEZ LUIS DARIO</v>
          </cell>
          <cell r="H169" t="str">
            <v>41717542</v>
          </cell>
          <cell r="I169" t="str">
            <v>BCP</v>
          </cell>
          <cell r="J169" t="str">
            <v>191-2808164-0-92</v>
          </cell>
          <cell r="K169" t="str">
            <v>DNI</v>
          </cell>
          <cell r="L169">
            <v>10417175429</v>
          </cell>
          <cell r="M169" t="str">
            <v>URBANO</v>
          </cell>
          <cell r="N169">
            <v>44781</v>
          </cell>
          <cell r="O169">
            <v>0</v>
          </cell>
          <cell r="P169" t="str">
            <v>COMFORT</v>
          </cell>
        </row>
        <row r="170">
          <cell r="A170">
            <v>447</v>
          </cell>
          <cell r="B170">
            <v>447</v>
          </cell>
          <cell r="C170" t="str">
            <v>CERO MATRICULA</v>
          </cell>
          <cell r="D170" t="str">
            <v>ACTIVO</v>
          </cell>
          <cell r="E170" t="str">
            <v>BSI009</v>
          </cell>
          <cell r="F170" t="str">
            <v>MARTINEZ CABEZA TUPAC AMARU SANDINO</v>
          </cell>
          <cell r="G170" t="str">
            <v>MARTINEZ CABEZA TUPAC AMARU SANDINO</v>
          </cell>
          <cell r="H170" t="str">
            <v>002657484</v>
          </cell>
          <cell r="I170" t="str">
            <v>BCP</v>
          </cell>
          <cell r="J170" t="str">
            <v>191-91387923-0-31</v>
          </cell>
          <cell r="K170" t="str">
            <v>CE</v>
          </cell>
          <cell r="L170">
            <v>15603674844</v>
          </cell>
          <cell r="M170" t="str">
            <v>URBANO</v>
          </cell>
          <cell r="N170" t="str">
            <v>PENDIENTE</v>
          </cell>
          <cell r="O170">
            <v>0</v>
          </cell>
          <cell r="P170">
            <v>0</v>
          </cell>
        </row>
        <row r="171">
          <cell r="A171">
            <v>448</v>
          </cell>
          <cell r="B171">
            <v>448</v>
          </cell>
          <cell r="C171" t="str">
            <v>CERO MATRICULA</v>
          </cell>
          <cell r="D171" t="str">
            <v>ACTIVO</v>
          </cell>
          <cell r="E171" t="str">
            <v>CAD512</v>
          </cell>
          <cell r="F171" t="str">
            <v>MOLINA TORRES ENRIQUE ANDRE</v>
          </cell>
          <cell r="G171" t="str">
            <v>MOLINA TORRES ENRIQUE ANDRE</v>
          </cell>
          <cell r="H171" t="str">
            <v>45667204</v>
          </cell>
          <cell r="I171" t="str">
            <v>BCP</v>
          </cell>
          <cell r="J171">
            <v>19195701110086</v>
          </cell>
          <cell r="K171" t="str">
            <v>DNI</v>
          </cell>
          <cell r="L171">
            <v>10456672049</v>
          </cell>
          <cell r="M171" t="str">
            <v>URBANO</v>
          </cell>
          <cell r="N171">
            <v>44753</v>
          </cell>
          <cell r="O171">
            <v>0</v>
          </cell>
          <cell r="P171" t="str">
            <v>LITE</v>
          </cell>
        </row>
        <row r="172">
          <cell r="A172">
            <v>449</v>
          </cell>
          <cell r="B172">
            <v>449</v>
          </cell>
          <cell r="C172" t="str">
            <v>CERO MATRICULA</v>
          </cell>
          <cell r="D172" t="str">
            <v>ACTIVO</v>
          </cell>
          <cell r="E172">
            <v>0</v>
          </cell>
          <cell r="F172" t="str">
            <v>MENCIA VASQUEZ GUILLERMO</v>
          </cell>
          <cell r="G172" t="str">
            <v>MENCIA DE LA FUENTE DAYANNA NICOLLE</v>
          </cell>
          <cell r="H172" t="str">
            <v>72361240</v>
          </cell>
          <cell r="I172" t="str">
            <v>BCP</v>
          </cell>
          <cell r="J172" t="str">
            <v>19140385847083</v>
          </cell>
          <cell r="K172" t="str">
            <v>DNI</v>
          </cell>
          <cell r="L172">
            <v>10723612409</v>
          </cell>
          <cell r="M172" t="str">
            <v>URBANO</v>
          </cell>
          <cell r="N172" t="str">
            <v>PENDIENTE</v>
          </cell>
          <cell r="O172">
            <v>0</v>
          </cell>
          <cell r="P172" t="str">
            <v>LITE</v>
          </cell>
        </row>
        <row r="173">
          <cell r="A173">
            <v>456</v>
          </cell>
          <cell r="B173">
            <v>456</v>
          </cell>
          <cell r="C173" t="str">
            <v>CERO MATRICULA</v>
          </cell>
          <cell r="D173" t="str">
            <v>ACTIVO</v>
          </cell>
          <cell r="E173" t="str">
            <v>BSE128</v>
          </cell>
          <cell r="F173" t="str">
            <v>VELASQUEZ OLIVAR FRANK ISAAC</v>
          </cell>
          <cell r="G173" t="str">
            <v>VELASQUEZ OLIVAR FRANK ISAAC</v>
          </cell>
          <cell r="H173" t="str">
            <v>002921674</v>
          </cell>
          <cell r="I173" t="str">
            <v>BCP</v>
          </cell>
          <cell r="J173" t="str">
            <v>194-01663816-0-21</v>
          </cell>
          <cell r="K173" t="str">
            <v>CE</v>
          </cell>
          <cell r="L173">
            <v>15607242582</v>
          </cell>
          <cell r="M173" t="str">
            <v>URBANO</v>
          </cell>
          <cell r="N173" t="str">
            <v>PENDIENTE</v>
          </cell>
          <cell r="O173">
            <v>0</v>
          </cell>
          <cell r="P173" t="str">
            <v>XL</v>
          </cell>
        </row>
        <row r="174">
          <cell r="A174">
            <v>458</v>
          </cell>
          <cell r="B174">
            <v>458</v>
          </cell>
          <cell r="C174" t="str">
            <v>CERO MATRICULA</v>
          </cell>
          <cell r="D174" t="str">
            <v>ACTIVO</v>
          </cell>
          <cell r="E174" t="str">
            <v>BJW314</v>
          </cell>
          <cell r="F174" t="str">
            <v>CAMPOS HERNANDEZ ADOLFO ALEJANDRO</v>
          </cell>
          <cell r="G174" t="str">
            <v>CAMPOS HERNANDEZ ADOLFO ALEJANDRO</v>
          </cell>
          <cell r="H174">
            <v>48974947</v>
          </cell>
          <cell r="I174" t="str">
            <v>BBVA</v>
          </cell>
          <cell r="J174" t="str">
            <v>0011-0057-0242322364</v>
          </cell>
          <cell r="K174" t="str">
            <v>DNI</v>
          </cell>
          <cell r="L174">
            <v>15600979873</v>
          </cell>
          <cell r="M174" t="str">
            <v>URBANO</v>
          </cell>
          <cell r="N174" t="str">
            <v>PENDIENTE</v>
          </cell>
          <cell r="O174">
            <v>0</v>
          </cell>
          <cell r="P174" t="str">
            <v>LITE</v>
          </cell>
        </row>
        <row r="175">
          <cell r="A175">
            <v>459</v>
          </cell>
          <cell r="B175">
            <v>459</v>
          </cell>
          <cell r="C175" t="str">
            <v>CERO MATRICULA</v>
          </cell>
          <cell r="D175" t="str">
            <v>ACTIVO</v>
          </cell>
          <cell r="E175" t="str">
            <v>BTY224</v>
          </cell>
          <cell r="F175" t="str">
            <v>QUEVEDO GARRIDO ALEXIS JUNIOR</v>
          </cell>
          <cell r="G175" t="str">
            <v>QUEVEDO GARRIDO ALEXIS JUNIOR</v>
          </cell>
          <cell r="H175" t="str">
            <v>02628238</v>
          </cell>
          <cell r="I175" t="str">
            <v>BCP</v>
          </cell>
          <cell r="J175" t="str">
            <v>191-91052692-0-14</v>
          </cell>
          <cell r="K175" t="str">
            <v>CE</v>
          </cell>
          <cell r="L175">
            <v>15603764444</v>
          </cell>
          <cell r="M175" t="str">
            <v>URBANO</v>
          </cell>
          <cell r="N175" t="str">
            <v>PENDIENTE</v>
          </cell>
          <cell r="O175">
            <v>0</v>
          </cell>
          <cell r="P175" t="str">
            <v>LITE</v>
          </cell>
        </row>
        <row r="176">
          <cell r="A176">
            <v>460</v>
          </cell>
          <cell r="B176">
            <v>460</v>
          </cell>
          <cell r="C176" t="str">
            <v>CERO MATRICULA</v>
          </cell>
          <cell r="D176" t="str">
            <v>ACTIVO</v>
          </cell>
          <cell r="E176" t="str">
            <v>BNY387</v>
          </cell>
          <cell r="F176" t="str">
            <v>VERGARA CAMARA CARLOS WILLIAMS</v>
          </cell>
          <cell r="G176" t="str">
            <v>VERGARA CAMARA CARLOS WILLIAMS</v>
          </cell>
          <cell r="H176" t="str">
            <v>40915140</v>
          </cell>
          <cell r="I176" t="str">
            <v>BBVA</v>
          </cell>
          <cell r="J176" t="str">
            <v>0011-0814-0200980889</v>
          </cell>
          <cell r="K176" t="str">
            <v>DNI</v>
          </cell>
          <cell r="L176">
            <v>10409151405</v>
          </cell>
          <cell r="M176" t="str">
            <v>URBANO</v>
          </cell>
          <cell r="N176" t="str">
            <v>PENDIENTE</v>
          </cell>
          <cell r="O176">
            <v>0</v>
          </cell>
          <cell r="P176" t="str">
            <v>XL</v>
          </cell>
        </row>
        <row r="177">
          <cell r="A177">
            <v>466</v>
          </cell>
          <cell r="B177">
            <v>466</v>
          </cell>
          <cell r="C177" t="str">
            <v>CERO MATRICULA</v>
          </cell>
          <cell r="D177" t="str">
            <v>ACTIVO</v>
          </cell>
          <cell r="E177" t="str">
            <v>BAO389</v>
          </cell>
          <cell r="F177" t="str">
            <v>RAMIREZ TORREJON JOSE LUIS</v>
          </cell>
          <cell r="G177" t="str">
            <v>RAMIREZ TORREJON JOSE LUIS</v>
          </cell>
          <cell r="H177" t="str">
            <v>42767292</v>
          </cell>
          <cell r="I177" t="str">
            <v>BCP</v>
          </cell>
          <cell r="J177" t="str">
            <v>191-19676586-0-37</v>
          </cell>
          <cell r="K177" t="str">
            <v>DNI</v>
          </cell>
          <cell r="L177">
            <v>10427672927</v>
          </cell>
          <cell r="M177" t="str">
            <v>URBANO</v>
          </cell>
          <cell r="N177" t="str">
            <v>PENDIENTE</v>
          </cell>
          <cell r="O177">
            <v>0</v>
          </cell>
          <cell r="P177" t="str">
            <v>XL</v>
          </cell>
        </row>
        <row r="178">
          <cell r="A178">
            <v>467</v>
          </cell>
          <cell r="B178">
            <v>467</v>
          </cell>
          <cell r="C178" t="str">
            <v>CERO MATRICULA</v>
          </cell>
          <cell r="D178" t="str">
            <v>ACTIVO</v>
          </cell>
          <cell r="E178" t="str">
            <v>BTE249</v>
          </cell>
          <cell r="F178" t="str">
            <v>TORRES RAMIREZ HUGO</v>
          </cell>
          <cell r="G178" t="str">
            <v>TORRES RAMIREZ HUGO</v>
          </cell>
          <cell r="H178" t="str">
            <v>25784955</v>
          </cell>
          <cell r="I178" t="str">
            <v>SCOTIABANK</v>
          </cell>
          <cell r="J178">
            <v>6610278357</v>
          </cell>
          <cell r="K178" t="str">
            <v>DNI</v>
          </cell>
          <cell r="L178">
            <v>10257849550</v>
          </cell>
          <cell r="M178" t="str">
            <v>URBANO</v>
          </cell>
          <cell r="N178" t="str">
            <v>PENDIENTE</v>
          </cell>
          <cell r="O178">
            <v>0</v>
          </cell>
          <cell r="P178" t="str">
            <v>LITE</v>
          </cell>
        </row>
        <row r="179">
          <cell r="A179">
            <v>472</v>
          </cell>
          <cell r="B179">
            <v>472</v>
          </cell>
          <cell r="C179" t="str">
            <v>CERO MATRICULA</v>
          </cell>
          <cell r="D179" t="str">
            <v>ACTIVO</v>
          </cell>
          <cell r="E179" t="str">
            <v>AZF571</v>
          </cell>
          <cell r="F179" t="str">
            <v>GONZALES POLANCO ALFONSO JOSE</v>
          </cell>
          <cell r="G179" t="str">
            <v>GONZALEZ POLANCO ALFONSO JOSE</v>
          </cell>
          <cell r="H179" t="str">
            <v>002729810</v>
          </cell>
          <cell r="I179" t="str">
            <v>BCP</v>
          </cell>
          <cell r="J179" t="str">
            <v>191-94424124-0-01</v>
          </cell>
          <cell r="K179" t="str">
            <v>CE</v>
          </cell>
          <cell r="L179">
            <v>15605606307</v>
          </cell>
          <cell r="M179" t="str">
            <v>URBANO PARTNER</v>
          </cell>
          <cell r="N179" t="str">
            <v>PENDIENTE</v>
          </cell>
          <cell r="O179">
            <v>0</v>
          </cell>
          <cell r="P179" t="str">
            <v>LITE</v>
          </cell>
        </row>
        <row r="180">
          <cell r="A180">
            <v>478</v>
          </cell>
          <cell r="B180">
            <v>478</v>
          </cell>
          <cell r="C180" t="str">
            <v>CERO MATRICULA</v>
          </cell>
          <cell r="D180" t="str">
            <v>ACTIVO</v>
          </cell>
          <cell r="E180" t="str">
            <v>BJS009</v>
          </cell>
          <cell r="F180" t="str">
            <v>ALBAN  SERNAQUE DAVID JONATHAN</v>
          </cell>
          <cell r="G180" t="str">
            <v>ALBAN  SERNAQUE DAVID JONATHAN</v>
          </cell>
          <cell r="H180" t="str">
            <v>73335050</v>
          </cell>
          <cell r="I180" t="str">
            <v>BBVA</v>
          </cell>
          <cell r="J180" t="str">
            <v>0011-0093-0200112781</v>
          </cell>
          <cell r="K180" t="str">
            <v>DNI</v>
          </cell>
          <cell r="L180">
            <v>10733350500</v>
          </cell>
          <cell r="M180" t="str">
            <v>URBANO</v>
          </cell>
          <cell r="N180" t="str">
            <v>PENDIENTE</v>
          </cell>
          <cell r="O180">
            <v>0</v>
          </cell>
          <cell r="P180" t="str">
            <v>LITE</v>
          </cell>
        </row>
        <row r="181">
          <cell r="A181">
            <v>479</v>
          </cell>
          <cell r="B181">
            <v>479</v>
          </cell>
          <cell r="C181" t="str">
            <v>CERO MATRICULA</v>
          </cell>
          <cell r="D181" t="str">
            <v>ACTIVO</v>
          </cell>
          <cell r="E181" t="str">
            <v>BJG311</v>
          </cell>
          <cell r="F181" t="str">
            <v>PALOMINO ESCOBAR JOSE CAMILO</v>
          </cell>
          <cell r="G181" t="str">
            <v>PALOMINO ESCOBAR JOSE CAMILO</v>
          </cell>
          <cell r="H181" t="str">
            <v>44080890</v>
          </cell>
          <cell r="I181" t="str">
            <v>INTERBANK</v>
          </cell>
          <cell r="J181" t="str">
            <v>8983185998969</v>
          </cell>
          <cell r="K181" t="str">
            <v>DNI</v>
          </cell>
          <cell r="L181">
            <v>10440808901</v>
          </cell>
          <cell r="M181" t="str">
            <v>URBANO</v>
          </cell>
          <cell r="N181" t="str">
            <v>PENDIENTE</v>
          </cell>
          <cell r="O181">
            <v>0</v>
          </cell>
          <cell r="P181" t="str">
            <v>COMFORT XL</v>
          </cell>
        </row>
        <row r="182">
          <cell r="A182">
            <v>480</v>
          </cell>
          <cell r="B182">
            <v>480</v>
          </cell>
          <cell r="C182" t="str">
            <v>CERO MATRICULA</v>
          </cell>
          <cell r="D182" t="str">
            <v>ACTIVO</v>
          </cell>
          <cell r="E182" t="str">
            <v>BXF010</v>
          </cell>
          <cell r="F182" t="str">
            <v>RETAMOSO INUMA MIGUEL ANGEL</v>
          </cell>
          <cell r="G182" t="str">
            <v>RETAMOZO INFANTE MIGUEL ALONSO</v>
          </cell>
          <cell r="H182">
            <v>73028880</v>
          </cell>
          <cell r="I182" t="str">
            <v>SCOTIABANK</v>
          </cell>
          <cell r="J182">
            <v>1760399327</v>
          </cell>
          <cell r="K182" t="str">
            <v>DNI</v>
          </cell>
          <cell r="L182">
            <v>10730288803</v>
          </cell>
          <cell r="M182" t="str">
            <v>URBANO</v>
          </cell>
          <cell r="N182">
            <v>44534</v>
          </cell>
          <cell r="O182">
            <v>0</v>
          </cell>
          <cell r="P182" t="str">
            <v>COMFORT XL</v>
          </cell>
        </row>
        <row r="183">
          <cell r="A183">
            <v>482</v>
          </cell>
          <cell r="B183">
            <v>482</v>
          </cell>
          <cell r="C183" t="str">
            <v>CERO MATRICULA</v>
          </cell>
          <cell r="D183" t="str">
            <v>ACTIVO</v>
          </cell>
          <cell r="E183"/>
          <cell r="F183" t="str">
            <v>TARAZONA GONZALES JOHNNY</v>
          </cell>
          <cell r="G183" t="str">
            <v>TARAZONA GONZALES JOHNNY</v>
          </cell>
          <cell r="H183">
            <v>43789079</v>
          </cell>
          <cell r="I183" t="str">
            <v>BANBIF</v>
          </cell>
          <cell r="J183" t="str">
            <v>03820910802157238834</v>
          </cell>
          <cell r="K183" t="str">
            <v>DNI</v>
          </cell>
          <cell r="L183">
            <v>10437890795</v>
          </cell>
          <cell r="M183" t="str">
            <v>URBANO</v>
          </cell>
          <cell r="N183" t="str">
            <v>PENDIENTE</v>
          </cell>
          <cell r="O183">
            <v>0</v>
          </cell>
          <cell r="P183" t="str">
            <v>LITE</v>
          </cell>
        </row>
        <row r="184">
          <cell r="A184">
            <v>483</v>
          </cell>
          <cell r="B184">
            <v>483</v>
          </cell>
          <cell r="C184" t="str">
            <v>CERO MATRICULA</v>
          </cell>
          <cell r="D184" t="str">
            <v>ACTIVO</v>
          </cell>
          <cell r="E184" t="str">
            <v>A6C130</v>
          </cell>
          <cell r="F184" t="str">
            <v>MARCHAN CRUZ JULIO CESAR</v>
          </cell>
          <cell r="G184" t="str">
            <v>VASQUEZ ORTIZ MARIA ANTONIA</v>
          </cell>
          <cell r="H184" t="str">
            <v>25718938</v>
          </cell>
          <cell r="I184" t="str">
            <v>BCP</v>
          </cell>
          <cell r="J184">
            <v>19235057489003</v>
          </cell>
          <cell r="K184" t="str">
            <v>DNI</v>
          </cell>
          <cell r="L184">
            <v>10257189380</v>
          </cell>
          <cell r="M184" t="str">
            <v>URBANO</v>
          </cell>
          <cell r="N184">
            <v>44527</v>
          </cell>
          <cell r="O184">
            <v>0</v>
          </cell>
          <cell r="P184" t="str">
            <v>LITE</v>
          </cell>
        </row>
        <row r="185">
          <cell r="A185">
            <v>486</v>
          </cell>
          <cell r="B185">
            <v>486</v>
          </cell>
          <cell r="C185" t="str">
            <v>CERO MATRICULA</v>
          </cell>
          <cell r="D185" t="str">
            <v>ACTIVO</v>
          </cell>
          <cell r="E185">
            <v>0</v>
          </cell>
          <cell r="F185" t="str">
            <v>LIMA MONTAÑO ANGEL LUIS</v>
          </cell>
          <cell r="G185" t="str">
            <v>LIMA MONTAÑO ANGEL LUIS</v>
          </cell>
          <cell r="H185" t="str">
            <v>004049028</v>
          </cell>
          <cell r="I185" t="str">
            <v>BCP</v>
          </cell>
          <cell r="J185" t="str">
            <v>191-01723246-0-51</v>
          </cell>
          <cell r="K185" t="str">
            <v>CE</v>
          </cell>
          <cell r="L185">
            <v>15606237879</v>
          </cell>
          <cell r="M185" t="str">
            <v>URBANO</v>
          </cell>
          <cell r="N185" t="str">
            <v>PENDIENTE</v>
          </cell>
          <cell r="O185">
            <v>0</v>
          </cell>
          <cell r="P185" t="str">
            <v>LITE</v>
          </cell>
        </row>
        <row r="186">
          <cell r="A186">
            <v>492</v>
          </cell>
          <cell r="B186">
            <v>492</v>
          </cell>
          <cell r="C186" t="str">
            <v>CERO MATRICULA</v>
          </cell>
          <cell r="D186" t="str">
            <v>ACTIVO</v>
          </cell>
          <cell r="E186"/>
          <cell r="F186" t="str">
            <v>MEDINA PERNIA DOUGLAS SEGUNDO</v>
          </cell>
          <cell r="G186" t="str">
            <v>MEDINA  PERNIA DOUGLAS SEGUNDO</v>
          </cell>
          <cell r="H186" t="str">
            <v>002854724</v>
          </cell>
          <cell r="I186" t="str">
            <v>BCP</v>
          </cell>
          <cell r="J186" t="str">
            <v>191-94628829-0-73</v>
          </cell>
          <cell r="K186" t="str">
            <v>CE</v>
          </cell>
          <cell r="L186">
            <v>15605785210</v>
          </cell>
          <cell r="M186" t="str">
            <v>URBANO</v>
          </cell>
          <cell r="N186" t="str">
            <v>PENDIENTE</v>
          </cell>
          <cell r="O186">
            <v>0</v>
          </cell>
          <cell r="P186">
            <v>0</v>
          </cell>
        </row>
        <row r="187">
          <cell r="A187">
            <v>499</v>
          </cell>
          <cell r="B187">
            <v>499</v>
          </cell>
          <cell r="C187" t="str">
            <v>CERO MATRICULA</v>
          </cell>
          <cell r="D187" t="str">
            <v>ACTIVO</v>
          </cell>
          <cell r="E187" t="str">
            <v>BEO660</v>
          </cell>
          <cell r="F187" t="str">
            <v>SANDOVAL ANGULO EDUARDO JOSE</v>
          </cell>
          <cell r="G187" t="str">
            <v>SANDOVAL ANGULO EDUARDO JOSE</v>
          </cell>
          <cell r="H187" t="str">
            <v>002728655</v>
          </cell>
          <cell r="I187" t="str">
            <v>BCP</v>
          </cell>
          <cell r="J187" t="str">
            <v>191-91736531-0-60</v>
          </cell>
          <cell r="K187" t="str">
            <v>CE</v>
          </cell>
          <cell r="L187">
            <v>15604172303</v>
          </cell>
          <cell r="M187" t="str">
            <v>URBANO</v>
          </cell>
          <cell r="N187" t="str">
            <v>PENDIENTE</v>
          </cell>
          <cell r="O187">
            <v>0</v>
          </cell>
          <cell r="P187" t="str">
            <v>LITE</v>
          </cell>
        </row>
        <row r="188">
          <cell r="A188">
            <v>502</v>
          </cell>
          <cell r="B188">
            <v>502</v>
          </cell>
          <cell r="C188" t="str">
            <v>CERO MATRICULA</v>
          </cell>
          <cell r="D188" t="str">
            <v>ACTIVO</v>
          </cell>
          <cell r="E188" t="str">
            <v>BTI507</v>
          </cell>
          <cell r="F188" t="str">
            <v>TORREALBA PEREZ PEDRO JOSE</v>
          </cell>
          <cell r="G188" t="str">
            <v>TORREALBA PEREZ PEDRO JOSE</v>
          </cell>
          <cell r="H188" t="str">
            <v>02430911</v>
          </cell>
          <cell r="I188" t="str">
            <v>BCP</v>
          </cell>
          <cell r="J188" t="str">
            <v>191-40013882-0-61</v>
          </cell>
          <cell r="K188" t="str">
            <v>CE</v>
          </cell>
          <cell r="L188">
            <v>15605308829</v>
          </cell>
          <cell r="M188" t="str">
            <v>URBANO</v>
          </cell>
          <cell r="N188" t="str">
            <v>PENDIENTE</v>
          </cell>
          <cell r="O188">
            <v>0</v>
          </cell>
          <cell r="P188">
            <v>0</v>
          </cell>
        </row>
        <row r="189">
          <cell r="A189">
            <v>504</v>
          </cell>
          <cell r="B189">
            <v>504</v>
          </cell>
          <cell r="C189" t="str">
            <v>CERO MATRICULA</v>
          </cell>
          <cell r="D189" t="str">
            <v>ACTIVO</v>
          </cell>
          <cell r="E189" t="str">
            <v>BTK353</v>
          </cell>
          <cell r="F189" t="str">
            <v>POMA AREVALO SAMUEL LUCIO</v>
          </cell>
          <cell r="G189" t="str">
            <v>POMA AREVALO SAMUEL LUCIO</v>
          </cell>
          <cell r="H189" t="str">
            <v>21117488</v>
          </cell>
          <cell r="I189" t="str">
            <v>BCP</v>
          </cell>
          <cell r="J189" t="str">
            <v>191-96321505048</v>
          </cell>
          <cell r="K189" t="str">
            <v>DNI</v>
          </cell>
          <cell r="L189">
            <v>10211174884</v>
          </cell>
          <cell r="M189" t="str">
            <v>URBANO</v>
          </cell>
          <cell r="N189" t="str">
            <v>PENDIENTE</v>
          </cell>
          <cell r="O189">
            <v>0</v>
          </cell>
          <cell r="P189" t="str">
            <v>LITE</v>
          </cell>
        </row>
        <row r="190">
          <cell r="A190">
            <v>507</v>
          </cell>
          <cell r="B190">
            <v>507</v>
          </cell>
          <cell r="C190" t="str">
            <v>CERO MATRICULA</v>
          </cell>
          <cell r="D190" t="str">
            <v>ACTIVO</v>
          </cell>
          <cell r="E190" t="str">
            <v>ABJ309</v>
          </cell>
          <cell r="F190" t="str">
            <v>ARENAS  TAIPE  CELESTINO</v>
          </cell>
          <cell r="G190" t="str">
            <v>Marléne Arenas Palomino</v>
          </cell>
          <cell r="H190" t="str">
            <v>41959677</v>
          </cell>
          <cell r="I190" t="str">
            <v>BCP</v>
          </cell>
          <cell r="J190" t="str">
            <v>19494228758061</v>
          </cell>
          <cell r="K190" t="str">
            <v>DNI</v>
          </cell>
          <cell r="L190">
            <v>10419596774</v>
          </cell>
          <cell r="M190" t="str">
            <v>URBANO</v>
          </cell>
          <cell r="N190" t="str">
            <v>PENDIENTE</v>
          </cell>
          <cell r="O190">
            <v>0</v>
          </cell>
          <cell r="P190" t="str">
            <v>COMFORT</v>
          </cell>
        </row>
        <row r="191">
          <cell r="A191">
            <v>512</v>
          </cell>
          <cell r="B191">
            <v>512</v>
          </cell>
          <cell r="C191" t="str">
            <v>CERO MATRICULA</v>
          </cell>
          <cell r="D191" t="str">
            <v>ACTIVO</v>
          </cell>
          <cell r="E191" t="str">
            <v>ANX172</v>
          </cell>
          <cell r="F191" t="str">
            <v>BACA ARIZA CRISTHIAN EDUARDO</v>
          </cell>
          <cell r="G191" t="str">
            <v>BACA ARIZA CRISTHIAN EDUARDO</v>
          </cell>
          <cell r="H191" t="str">
            <v>45989178</v>
          </cell>
          <cell r="I191" t="str">
            <v>BCP</v>
          </cell>
          <cell r="J191" t="str">
            <v>194-35348771-0-27</v>
          </cell>
          <cell r="K191" t="str">
            <v>DNI</v>
          </cell>
          <cell r="L191">
            <v>10459891787</v>
          </cell>
          <cell r="M191" t="str">
            <v>URBANO</v>
          </cell>
          <cell r="N191" t="str">
            <v>PENDIENTE</v>
          </cell>
          <cell r="O191">
            <v>0</v>
          </cell>
          <cell r="P191" t="str">
            <v>LITE</v>
          </cell>
        </row>
        <row r="192">
          <cell r="A192">
            <v>513</v>
          </cell>
          <cell r="B192">
            <v>513</v>
          </cell>
          <cell r="C192" t="str">
            <v>CERO MATRICULA</v>
          </cell>
          <cell r="D192" t="str">
            <v>ACTIVO</v>
          </cell>
          <cell r="E192" t="str">
            <v>AWM287</v>
          </cell>
          <cell r="F192" t="str">
            <v>VARGAS BAUTISTA CRHISTIAN JEAN CARLOS</v>
          </cell>
          <cell r="G192" t="str">
            <v>VARGAS BAUTISTA CRHISTIAN JEAN CARLOS</v>
          </cell>
          <cell r="H192" t="str">
            <v>42800507</v>
          </cell>
          <cell r="I192" t="str">
            <v>BCP</v>
          </cell>
          <cell r="J192" t="str">
            <v>19396881353050</v>
          </cell>
          <cell r="K192" t="str">
            <v>DNI</v>
          </cell>
          <cell r="L192">
            <v>10428005070</v>
          </cell>
          <cell r="M192" t="str">
            <v>URBANO</v>
          </cell>
          <cell r="N192" t="str">
            <v>PENDIENTE</v>
          </cell>
          <cell r="O192">
            <v>0</v>
          </cell>
          <cell r="P192" t="str">
            <v>LITE</v>
          </cell>
        </row>
        <row r="193">
          <cell r="A193">
            <v>514</v>
          </cell>
          <cell r="B193">
            <v>514</v>
          </cell>
          <cell r="C193" t="str">
            <v>CERO MATRICULA</v>
          </cell>
          <cell r="D193" t="str">
            <v>ACTIVO</v>
          </cell>
          <cell r="E193" t="str">
            <v>BUO156</v>
          </cell>
          <cell r="F193" t="str">
            <v>SANTANDER QUEVEDO RICARDO MOISES</v>
          </cell>
          <cell r="G193" t="str">
            <v>SANTANDER QUEVEDO RICARDO MOISES</v>
          </cell>
          <cell r="H193" t="str">
            <v>40708950</v>
          </cell>
          <cell r="I193" t="str">
            <v>BBVA</v>
          </cell>
          <cell r="J193" t="str">
            <v>0011-0141-0200529089</v>
          </cell>
          <cell r="K193" t="str">
            <v>DNI</v>
          </cell>
          <cell r="L193">
            <v>10407089508</v>
          </cell>
          <cell r="M193" t="str">
            <v>URBANO</v>
          </cell>
          <cell r="N193" t="str">
            <v>PENDIENTE</v>
          </cell>
          <cell r="O193">
            <v>0</v>
          </cell>
          <cell r="P193" t="str">
            <v>COMFORT</v>
          </cell>
        </row>
        <row r="194">
          <cell r="A194">
            <v>515</v>
          </cell>
          <cell r="B194">
            <v>515</v>
          </cell>
          <cell r="C194" t="str">
            <v>CERO MATRICULA</v>
          </cell>
          <cell r="D194" t="str">
            <v>ACTIVO</v>
          </cell>
          <cell r="E194" t="str">
            <v>BCU609</v>
          </cell>
          <cell r="F194" t="str">
            <v>TERAN TERAN JOSE RAFAEL</v>
          </cell>
          <cell r="G194" t="str">
            <v>TERAN TERAN JOSE RAFAEL</v>
          </cell>
          <cell r="H194" t="str">
            <v>003252707</v>
          </cell>
          <cell r="I194" t="str">
            <v>BCP</v>
          </cell>
          <cell r="J194" t="str">
            <v>19393097032004</v>
          </cell>
          <cell r="K194" t="str">
            <v>CE</v>
          </cell>
          <cell r="L194">
            <v>15604069791</v>
          </cell>
          <cell r="M194" t="str">
            <v>URBANO</v>
          </cell>
          <cell r="N194">
            <v>45096</v>
          </cell>
          <cell r="O194">
            <v>0</v>
          </cell>
          <cell r="P194" t="str">
            <v>COMFORT</v>
          </cell>
        </row>
        <row r="195">
          <cell r="A195">
            <v>517</v>
          </cell>
          <cell r="B195">
            <v>517</v>
          </cell>
          <cell r="C195" t="str">
            <v>CERO MATRICULA</v>
          </cell>
          <cell r="D195" t="str">
            <v>ACTIVO</v>
          </cell>
          <cell r="E195" t="str">
            <v>D5H661</v>
          </cell>
          <cell r="F195" t="str">
            <v>SANTOS GUIMARAY LUIS ALBERTO</v>
          </cell>
          <cell r="G195" t="str">
            <v>Luis Fernando Sarmiento Vidal</v>
          </cell>
          <cell r="H195" t="str">
            <v>09437968</v>
          </cell>
          <cell r="I195" t="str">
            <v>BCP</v>
          </cell>
          <cell r="J195" t="str">
            <v>191-28542489-0-95</v>
          </cell>
          <cell r="K195" t="str">
            <v>DNI</v>
          </cell>
          <cell r="L195">
            <v>10094379682</v>
          </cell>
          <cell r="M195" t="str">
            <v>URBANO PARTNER</v>
          </cell>
          <cell r="N195">
            <v>45726</v>
          </cell>
          <cell r="O195">
            <v>0</v>
          </cell>
          <cell r="P195" t="str">
            <v>COMFORT</v>
          </cell>
        </row>
        <row r="196">
          <cell r="A196">
            <v>519</v>
          </cell>
          <cell r="B196">
            <v>519</v>
          </cell>
          <cell r="C196" t="str">
            <v>CERO MATRICULA</v>
          </cell>
          <cell r="D196" t="str">
            <v>ACTIVO</v>
          </cell>
          <cell r="E196" t="str">
            <v>BBR090</v>
          </cell>
          <cell r="F196" t="str">
            <v>POMA ARELLANO JAVIER JESUS</v>
          </cell>
          <cell r="G196" t="str">
            <v>POMA AREVALO SAMUEL LUCIO</v>
          </cell>
          <cell r="H196" t="str">
            <v>21117488</v>
          </cell>
          <cell r="I196" t="str">
            <v>BCP</v>
          </cell>
          <cell r="J196" t="str">
            <v>191-96321505-0-48</v>
          </cell>
          <cell r="K196" t="str">
            <v>DNI</v>
          </cell>
          <cell r="L196">
            <v>10211174884</v>
          </cell>
          <cell r="M196" t="str">
            <v>URBANO</v>
          </cell>
          <cell r="N196" t="str">
            <v>PENDIENTE</v>
          </cell>
          <cell r="O196">
            <v>0</v>
          </cell>
          <cell r="P196" t="str">
            <v>LITE</v>
          </cell>
        </row>
        <row r="197">
          <cell r="A197">
            <v>520</v>
          </cell>
          <cell r="B197">
            <v>520</v>
          </cell>
          <cell r="C197" t="str">
            <v>CERO MATRICULA</v>
          </cell>
          <cell r="D197" t="str">
            <v>ACTIVO</v>
          </cell>
          <cell r="E197" t="str">
            <v>AVP572</v>
          </cell>
          <cell r="F197" t="str">
            <v>RIVERO RODRIGUEZ ROLANDO RAFAEL</v>
          </cell>
          <cell r="G197" t="str">
            <v>RIVERO RODRIGUEZ ROLANDO RAFAEL</v>
          </cell>
          <cell r="H197" t="str">
            <v>099043755</v>
          </cell>
          <cell r="I197" t="str">
            <v>BCP</v>
          </cell>
          <cell r="J197" t="str">
            <v>191-99227301-0-95</v>
          </cell>
          <cell r="K197" t="str">
            <v>PASAPORTE</v>
          </cell>
          <cell r="L197">
            <v>15606457674</v>
          </cell>
          <cell r="M197" t="str">
            <v>URBANO</v>
          </cell>
          <cell r="N197" t="str">
            <v>PENDIENTE</v>
          </cell>
          <cell r="O197">
            <v>0</v>
          </cell>
          <cell r="P197" t="str">
            <v>LITE</v>
          </cell>
        </row>
        <row r="198">
          <cell r="A198">
            <v>521</v>
          </cell>
          <cell r="B198">
            <v>521</v>
          </cell>
          <cell r="C198" t="str">
            <v>CERO MATRICULA</v>
          </cell>
          <cell r="D198" t="str">
            <v>ACTIVO</v>
          </cell>
          <cell r="E198" t="str">
            <v>BAX269</v>
          </cell>
          <cell r="F198" t="str">
            <v>CCOYLLO CASTRO WILBER MICHAEL</v>
          </cell>
          <cell r="G198" t="str">
            <v>CCOYLLO CASTRO WILBER MICHAEL</v>
          </cell>
          <cell r="H198" t="str">
            <v>46714206</v>
          </cell>
          <cell r="I198" t="str">
            <v>BCP</v>
          </cell>
          <cell r="J198">
            <v>19402033616057</v>
          </cell>
          <cell r="K198" t="str">
            <v>DNI</v>
          </cell>
          <cell r="L198">
            <v>10467142068</v>
          </cell>
          <cell r="M198" t="str">
            <v>URBANO</v>
          </cell>
          <cell r="N198">
            <v>44729</v>
          </cell>
          <cell r="O198">
            <v>0</v>
          </cell>
          <cell r="P198" t="str">
            <v>LITE</v>
          </cell>
        </row>
        <row r="199">
          <cell r="A199">
            <v>523</v>
          </cell>
          <cell r="B199">
            <v>523</v>
          </cell>
          <cell r="C199" t="str">
            <v>CERO MATRICULA</v>
          </cell>
          <cell r="D199" t="str">
            <v>ACTIVO</v>
          </cell>
          <cell r="E199" t="str">
            <v>F0A026</v>
          </cell>
          <cell r="F199" t="str">
            <v>QUISPE CHIPANA EVERARDO</v>
          </cell>
          <cell r="G199" t="str">
            <v>QUISPE CHIPANA EVERARDO</v>
          </cell>
          <cell r="H199" t="str">
            <v>09682485</v>
          </cell>
          <cell r="I199" t="str">
            <v>BCP</v>
          </cell>
          <cell r="J199" t="str">
            <v>19395135035093</v>
          </cell>
          <cell r="K199" t="str">
            <v>DNI</v>
          </cell>
          <cell r="L199">
            <v>10096824853</v>
          </cell>
          <cell r="M199" t="str">
            <v>URBANO</v>
          </cell>
          <cell r="N199" t="str">
            <v>PENDIENTE</v>
          </cell>
          <cell r="O199">
            <v>0</v>
          </cell>
          <cell r="P199" t="str">
            <v>LITE</v>
          </cell>
        </row>
        <row r="200">
          <cell r="A200">
            <v>524</v>
          </cell>
          <cell r="B200">
            <v>524</v>
          </cell>
          <cell r="C200" t="str">
            <v>CERO MATRICULA</v>
          </cell>
          <cell r="D200" t="str">
            <v>ACTIVO</v>
          </cell>
          <cell r="E200" t="str">
            <v>BAW114</v>
          </cell>
          <cell r="F200" t="str">
            <v>GUTIERREZ ZAMBRANO FRANK YOANY</v>
          </cell>
          <cell r="G200" t="str">
            <v>GUTIERREZ ZAMBRANO FRANK YOANY</v>
          </cell>
          <cell r="H200" t="str">
            <v>002179973</v>
          </cell>
          <cell r="I200" t="str">
            <v>BBVA</v>
          </cell>
          <cell r="J200" t="str">
            <v>0011-0876-0200155495</v>
          </cell>
          <cell r="K200" t="str">
            <v>CE</v>
          </cell>
          <cell r="L200">
            <v>15608526720</v>
          </cell>
          <cell r="M200" t="str">
            <v>URBANO</v>
          </cell>
          <cell r="N200">
            <v>44473</v>
          </cell>
          <cell r="O200">
            <v>0</v>
          </cell>
          <cell r="P200">
            <v>0</v>
          </cell>
        </row>
        <row r="201">
          <cell r="A201">
            <v>525</v>
          </cell>
          <cell r="B201">
            <v>525</v>
          </cell>
          <cell r="C201" t="str">
            <v>CERO MATRICULA</v>
          </cell>
          <cell r="D201" t="str">
            <v>ACTIVO</v>
          </cell>
          <cell r="E201" t="str">
            <v>BMF648</v>
          </cell>
          <cell r="F201" t="str">
            <v>RAMOS SALCEDO WILHEN</v>
          </cell>
          <cell r="G201" t="str">
            <v>RAMOS SALCEDO WILHEN</v>
          </cell>
          <cell r="H201">
            <v>40007575</v>
          </cell>
          <cell r="I201" t="str">
            <v>BCP</v>
          </cell>
          <cell r="J201" t="str">
            <v>191-01732174-0-69</v>
          </cell>
          <cell r="K201" t="str">
            <v>DNI</v>
          </cell>
          <cell r="L201">
            <v>10400075757</v>
          </cell>
          <cell r="M201" t="str">
            <v>URBANO</v>
          </cell>
          <cell r="N201">
            <v>44471</v>
          </cell>
          <cell r="O201">
            <v>0</v>
          </cell>
          <cell r="P201" t="str">
            <v>LITE</v>
          </cell>
        </row>
        <row r="202">
          <cell r="A202">
            <v>527</v>
          </cell>
          <cell r="B202">
            <v>527</v>
          </cell>
          <cell r="C202" t="str">
            <v>CERO MATRICULA</v>
          </cell>
          <cell r="D202" t="str">
            <v>ACTIVO</v>
          </cell>
          <cell r="E202" t="str">
            <v>BEE106</v>
          </cell>
          <cell r="F202" t="str">
            <v>ZEGARRA COLQUE ELAN YSAAC</v>
          </cell>
          <cell r="G202" t="str">
            <v>DAGA ZUÑIGA MARY CARMEN</v>
          </cell>
          <cell r="H202">
            <v>46141970</v>
          </cell>
          <cell r="I202" t="str">
            <v>BCP</v>
          </cell>
          <cell r="J202" t="str">
            <v>19197829943021</v>
          </cell>
          <cell r="K202" t="str">
            <v>DNI</v>
          </cell>
          <cell r="L202">
            <v>10461419700</v>
          </cell>
          <cell r="M202" t="str">
            <v>URBANO</v>
          </cell>
          <cell r="N202">
            <v>44470</v>
          </cell>
          <cell r="O202">
            <v>0</v>
          </cell>
          <cell r="P202" t="str">
            <v>LITE</v>
          </cell>
        </row>
        <row r="203">
          <cell r="A203">
            <v>529</v>
          </cell>
          <cell r="B203">
            <v>529</v>
          </cell>
          <cell r="C203" t="str">
            <v>CERO MATRICULA</v>
          </cell>
          <cell r="D203" t="str">
            <v>ACTIVO</v>
          </cell>
          <cell r="E203" t="str">
            <v>AUW007</v>
          </cell>
          <cell r="F203" t="str">
            <v>CAMASCA NUÑEZ CESAR ABRAHAM</v>
          </cell>
          <cell r="G203" t="str">
            <v>CAMASCA NUÑEZ CESAR ABRAHAM</v>
          </cell>
          <cell r="H203" t="str">
            <v>41567992</v>
          </cell>
          <cell r="I203" t="str">
            <v>BCP</v>
          </cell>
          <cell r="J203" t="str">
            <v>19192644386085</v>
          </cell>
          <cell r="K203" t="str">
            <v>DNI</v>
          </cell>
          <cell r="L203">
            <v>10415679926</v>
          </cell>
          <cell r="M203" t="str">
            <v>URBANO</v>
          </cell>
          <cell r="N203" t="str">
            <v>PENDIENTE</v>
          </cell>
          <cell r="O203">
            <v>0</v>
          </cell>
          <cell r="P203" t="str">
            <v>COMFORT</v>
          </cell>
        </row>
        <row r="204">
          <cell r="A204">
            <v>532</v>
          </cell>
          <cell r="B204">
            <v>532</v>
          </cell>
          <cell r="C204" t="str">
            <v>CERO MATRICULA</v>
          </cell>
          <cell r="D204" t="str">
            <v>ACTIVO</v>
          </cell>
          <cell r="E204" t="str">
            <v>ASU682</v>
          </cell>
          <cell r="F204" t="str">
            <v>MODRAGON BRUNO JUAN MARTIN</v>
          </cell>
          <cell r="G204" t="str">
            <v>MODRAGON BRUNO JUAN MARTIN</v>
          </cell>
          <cell r="H204" t="str">
            <v>42541501</v>
          </cell>
          <cell r="I204" t="str">
            <v>INTERBANK</v>
          </cell>
          <cell r="J204" t="str">
            <v>0943087695408</v>
          </cell>
          <cell r="K204" t="str">
            <v>DNI</v>
          </cell>
          <cell r="L204">
            <v>10425415013</v>
          </cell>
          <cell r="M204" t="str">
            <v>URBANO</v>
          </cell>
          <cell r="N204" t="str">
            <v>PENDIENTE</v>
          </cell>
          <cell r="O204">
            <v>0</v>
          </cell>
          <cell r="P204" t="str">
            <v>COMFORT XL</v>
          </cell>
        </row>
        <row r="205">
          <cell r="A205">
            <v>537</v>
          </cell>
          <cell r="B205">
            <v>537</v>
          </cell>
          <cell r="C205" t="str">
            <v>CERO MATRICULA</v>
          </cell>
          <cell r="D205" t="str">
            <v>ACTIVO</v>
          </cell>
          <cell r="E205" t="str">
            <v>BVC223</v>
          </cell>
          <cell r="F205" t="str">
            <v>RUIZ  MENDOZA KELVIN ALBERTO</v>
          </cell>
          <cell r="G205" t="str">
            <v>RUIZ  MENDOZA KELVIN ALBERTO</v>
          </cell>
          <cell r="H205" t="str">
            <v>003628613</v>
          </cell>
          <cell r="I205" t="str">
            <v>BCP</v>
          </cell>
          <cell r="J205" t="str">
            <v>192-95318586-0-97</v>
          </cell>
          <cell r="K205" t="str">
            <v>CE</v>
          </cell>
          <cell r="L205">
            <v>15605347034</v>
          </cell>
          <cell r="M205" t="str">
            <v>AEROPUERTO</v>
          </cell>
          <cell r="N205">
            <v>44865</v>
          </cell>
          <cell r="O205">
            <v>265</v>
          </cell>
          <cell r="P205" t="str">
            <v>LITE</v>
          </cell>
        </row>
        <row r="206">
          <cell r="A206">
            <v>539</v>
          </cell>
          <cell r="B206">
            <v>539</v>
          </cell>
          <cell r="C206" t="str">
            <v>CERO MATRICULA</v>
          </cell>
          <cell r="D206" t="str">
            <v>ACTIVO</v>
          </cell>
          <cell r="E206" t="str">
            <v>BHL197</v>
          </cell>
          <cell r="F206" t="str">
            <v>URVIOLA OCHOCHOQUE RENE</v>
          </cell>
          <cell r="G206" t="str">
            <v>URVIOLA OCHOCHOQUE RENE</v>
          </cell>
          <cell r="H206" t="str">
            <v>01317081</v>
          </cell>
          <cell r="I206" t="str">
            <v>BCP</v>
          </cell>
          <cell r="J206" t="str">
            <v>194-26449885-0-53</v>
          </cell>
          <cell r="K206" t="str">
            <v>DNI</v>
          </cell>
          <cell r="L206">
            <v>10013170814</v>
          </cell>
          <cell r="M206" t="str">
            <v>URBANO</v>
          </cell>
          <cell r="N206" t="str">
            <v>PENDIENTE</v>
          </cell>
          <cell r="O206">
            <v>0</v>
          </cell>
          <cell r="P206" t="str">
            <v>COMFORT</v>
          </cell>
        </row>
        <row r="207">
          <cell r="A207">
            <v>541</v>
          </cell>
          <cell r="B207">
            <v>541</v>
          </cell>
          <cell r="C207" t="str">
            <v>CERO MATRICULA</v>
          </cell>
          <cell r="D207" t="str">
            <v>ACTIVO</v>
          </cell>
          <cell r="E207" t="str">
            <v>C5X423</v>
          </cell>
          <cell r="F207" t="str">
            <v>HUAMANI TACO URSULO JORGE</v>
          </cell>
          <cell r="G207" t="str">
            <v>HUAMANI TACO URSULO JORGE</v>
          </cell>
          <cell r="H207" t="str">
            <v>10412866</v>
          </cell>
          <cell r="I207" t="str">
            <v>BCP</v>
          </cell>
          <cell r="J207" t="str">
            <v>19123609348024</v>
          </cell>
          <cell r="K207" t="str">
            <v>DNI</v>
          </cell>
          <cell r="L207">
            <v>10104128667</v>
          </cell>
          <cell r="M207" t="str">
            <v>URBANO</v>
          </cell>
          <cell r="N207" t="str">
            <v>PENDIENTE</v>
          </cell>
          <cell r="O207">
            <v>0</v>
          </cell>
          <cell r="P207" t="str">
            <v>LITE</v>
          </cell>
        </row>
        <row r="208">
          <cell r="A208">
            <v>542</v>
          </cell>
          <cell r="B208">
            <v>542</v>
          </cell>
          <cell r="C208" t="str">
            <v>CERO MATRICULA</v>
          </cell>
          <cell r="D208" t="str">
            <v>ACTIVO</v>
          </cell>
          <cell r="E208" t="str">
            <v>BRY607</v>
          </cell>
          <cell r="F208" t="str">
            <v>RODRIGUEZ CASTILLO MEJICO OSCAR</v>
          </cell>
          <cell r="G208" t="str">
            <v>RODRIGUEZ CASTILLO ANTIDIA DORA</v>
          </cell>
          <cell r="H208" t="str">
            <v>15591072</v>
          </cell>
          <cell r="I208" t="str">
            <v>BBVA</v>
          </cell>
          <cell r="J208" t="str">
            <v>0011-0368-0200342390</v>
          </cell>
          <cell r="K208" t="str">
            <v>DNI</v>
          </cell>
          <cell r="L208">
            <v>10155910726</v>
          </cell>
          <cell r="M208" t="str">
            <v>URBANO</v>
          </cell>
          <cell r="N208" t="str">
            <v>PENDIENTE</v>
          </cell>
          <cell r="O208">
            <v>0</v>
          </cell>
          <cell r="P208" t="str">
            <v>LITE</v>
          </cell>
        </row>
        <row r="209">
          <cell r="A209">
            <v>546</v>
          </cell>
          <cell r="B209">
            <v>546</v>
          </cell>
          <cell r="C209" t="str">
            <v>CERO MATRICULA</v>
          </cell>
          <cell r="D209" t="str">
            <v>ACTIVO</v>
          </cell>
          <cell r="E209" t="str">
            <v>BSJ552</v>
          </cell>
          <cell r="F209" t="str">
            <v>ESCALANTE CASTRO YORJAN ALFREDO</v>
          </cell>
          <cell r="G209" t="str">
            <v>ESCALANTE CASTRO YORJAN ALFREDO</v>
          </cell>
          <cell r="H209" t="str">
            <v>02478782</v>
          </cell>
          <cell r="I209" t="str">
            <v>BCP</v>
          </cell>
          <cell r="J209" t="str">
            <v>191-91588126-0-56</v>
          </cell>
          <cell r="K209" t="str">
            <v>CE</v>
          </cell>
          <cell r="L209">
            <v>15603858091</v>
          </cell>
          <cell r="M209" t="str">
            <v>URBANO</v>
          </cell>
          <cell r="N209">
            <v>44923</v>
          </cell>
          <cell r="O209">
            <v>0</v>
          </cell>
          <cell r="P209" t="str">
            <v>LITE</v>
          </cell>
        </row>
        <row r="210">
          <cell r="A210">
            <v>547</v>
          </cell>
          <cell r="B210">
            <v>547</v>
          </cell>
          <cell r="C210" t="str">
            <v>CERO MATRICULA</v>
          </cell>
          <cell r="D210" t="str">
            <v>ACTIVO</v>
          </cell>
          <cell r="E210" t="str">
            <v>BRW502</v>
          </cell>
          <cell r="F210" t="str">
            <v>LEON PERALTA YORBI ANTONIO</v>
          </cell>
          <cell r="G210" t="str">
            <v>LEON PERALTA YORBI ANTONIO</v>
          </cell>
          <cell r="H210" t="str">
            <v>002044462</v>
          </cell>
          <cell r="I210" t="str">
            <v>BCP</v>
          </cell>
          <cell r="J210" t="str">
            <v>19139403714030</v>
          </cell>
          <cell r="K210" t="str">
            <v>CE</v>
          </cell>
          <cell r="L210">
            <v>15605661103</v>
          </cell>
          <cell r="M210" t="str">
            <v>URBANO</v>
          </cell>
          <cell r="N210" t="str">
            <v>PENDIENTE</v>
          </cell>
          <cell r="O210">
            <v>0</v>
          </cell>
          <cell r="P210" t="str">
            <v>LITE</v>
          </cell>
        </row>
        <row r="211">
          <cell r="A211">
            <v>553</v>
          </cell>
          <cell r="B211">
            <v>553</v>
          </cell>
          <cell r="C211" t="str">
            <v>CERO MATRICULA</v>
          </cell>
          <cell r="D211" t="str">
            <v>ACTIVO</v>
          </cell>
          <cell r="E211" t="str">
            <v>AZO111</v>
          </cell>
          <cell r="F211" t="str">
            <v>CHINCHAY BAYON LUCAS LEONIDAS</v>
          </cell>
          <cell r="G211" t="str">
            <v>CHINCHAY BAYON LUCAS LEONIDAS</v>
          </cell>
          <cell r="H211" t="str">
            <v>06816644</v>
          </cell>
          <cell r="I211" t="str">
            <v>BCP</v>
          </cell>
          <cell r="J211" t="str">
            <v>19192860431013</v>
          </cell>
          <cell r="K211" t="str">
            <v>DNI</v>
          </cell>
          <cell r="L211">
            <v>10068166441</v>
          </cell>
          <cell r="M211" t="str">
            <v>URBANO</v>
          </cell>
          <cell r="N211" t="str">
            <v>PENDIENTE</v>
          </cell>
          <cell r="O211">
            <v>0</v>
          </cell>
          <cell r="P211" t="str">
            <v>COMFORT</v>
          </cell>
        </row>
        <row r="212">
          <cell r="A212">
            <v>554</v>
          </cell>
          <cell r="B212">
            <v>554</v>
          </cell>
          <cell r="C212" t="str">
            <v>CERO MATRICULA</v>
          </cell>
          <cell r="D212" t="str">
            <v>ACTIVO</v>
          </cell>
          <cell r="E212" t="str">
            <v>BTD579</v>
          </cell>
          <cell r="F212" t="str">
            <v>OROSCO  RUMAY EDUARDO RAMON</v>
          </cell>
          <cell r="G212" t="str">
            <v>OROSCO RUMAY EDUARDO RAMON</v>
          </cell>
          <cell r="H212" t="str">
            <v>003087467</v>
          </cell>
          <cell r="I212" t="str">
            <v>BBVA</v>
          </cell>
          <cell r="J212" t="str">
            <v>001107910200279990</v>
          </cell>
          <cell r="K212" t="str">
            <v>CE</v>
          </cell>
          <cell r="L212">
            <v>15607404248</v>
          </cell>
          <cell r="M212" t="str">
            <v>URBANO</v>
          </cell>
          <cell r="N212" t="str">
            <v>PENDIENTE</v>
          </cell>
          <cell r="O212">
            <v>0</v>
          </cell>
          <cell r="P212" t="str">
            <v>LITE</v>
          </cell>
        </row>
        <row r="213">
          <cell r="A213">
            <v>557</v>
          </cell>
          <cell r="B213">
            <v>557</v>
          </cell>
          <cell r="C213" t="str">
            <v>CERO MATRICULA</v>
          </cell>
          <cell r="D213" t="str">
            <v>ACTIVO</v>
          </cell>
          <cell r="E213" t="str">
            <v>BTB460</v>
          </cell>
          <cell r="F213" t="str">
            <v>HERRERA DELGADO REYES ALBERTO</v>
          </cell>
          <cell r="G213" t="str">
            <v>HERRERA DELGADO REYES ALBERTO</v>
          </cell>
          <cell r="H213" t="str">
            <v>07200384</v>
          </cell>
          <cell r="I213" t="str">
            <v>BCP</v>
          </cell>
          <cell r="J213" t="str">
            <v>19321618848018</v>
          </cell>
          <cell r="K213" t="str">
            <v>DNI</v>
          </cell>
          <cell r="L213">
            <v>10072003841</v>
          </cell>
          <cell r="M213" t="str">
            <v>URBANO</v>
          </cell>
          <cell r="N213" t="str">
            <v>PENDIENTE</v>
          </cell>
          <cell r="O213">
            <v>0</v>
          </cell>
          <cell r="P213" t="str">
            <v>LITE</v>
          </cell>
        </row>
        <row r="214">
          <cell r="A214">
            <v>559</v>
          </cell>
          <cell r="B214">
            <v>559</v>
          </cell>
          <cell r="C214" t="str">
            <v>CERO MATRICULA</v>
          </cell>
          <cell r="D214" t="str">
            <v>ACTIVO</v>
          </cell>
          <cell r="E214" t="str">
            <v>BVD639</v>
          </cell>
          <cell r="F214" t="str">
            <v>PAUCAR HUACHIN MIGUEL LEONCIO</v>
          </cell>
          <cell r="G214" t="str">
            <v>PAUCAR HUACHIN MIGUEL LEONCIO</v>
          </cell>
          <cell r="H214" t="str">
            <v>08471581</v>
          </cell>
          <cell r="I214" t="str">
            <v>BBVA</v>
          </cell>
          <cell r="J214" t="str">
            <v>0011-0057-0205504665</v>
          </cell>
          <cell r="K214" t="str">
            <v>DNI</v>
          </cell>
          <cell r="L214">
            <v>10084715811</v>
          </cell>
          <cell r="M214" t="str">
            <v>URBANO</v>
          </cell>
          <cell r="N214">
            <v>44606</v>
          </cell>
          <cell r="O214">
            <v>0</v>
          </cell>
          <cell r="P214" t="str">
            <v>LITE</v>
          </cell>
        </row>
        <row r="215">
          <cell r="A215">
            <v>561</v>
          </cell>
          <cell r="B215">
            <v>561</v>
          </cell>
          <cell r="C215" t="str">
            <v>CERO MATRICULA</v>
          </cell>
          <cell r="D215" t="str">
            <v>ACTIVO</v>
          </cell>
          <cell r="E215" t="str">
            <v>BTN137</v>
          </cell>
          <cell r="F215" t="str">
            <v>SALAZAR MONTAÑEZ OMAR ANTONIO</v>
          </cell>
          <cell r="G215" t="str">
            <v>SALAZAR MONTAÑEZ OMAR ANTONIO</v>
          </cell>
          <cell r="H215" t="str">
            <v>002422372</v>
          </cell>
          <cell r="I215" t="str">
            <v>BCP</v>
          </cell>
          <cell r="J215" t="str">
            <v>19140292847044</v>
          </cell>
          <cell r="K215" t="str">
            <v>CE</v>
          </cell>
          <cell r="L215">
            <v>15603501362</v>
          </cell>
          <cell r="M215" t="str">
            <v>MEMBRESÍA URBANO</v>
          </cell>
          <cell r="N215">
            <v>44756</v>
          </cell>
          <cell r="O215">
            <v>280</v>
          </cell>
          <cell r="P215" t="str">
            <v>COMFORT</v>
          </cell>
        </row>
        <row r="216">
          <cell r="A216">
            <v>562</v>
          </cell>
          <cell r="B216">
            <v>562</v>
          </cell>
          <cell r="C216" t="str">
            <v>CERO MATRICULA</v>
          </cell>
          <cell r="D216" t="str">
            <v>ACTIVO</v>
          </cell>
          <cell r="E216" t="str">
            <v>CAF182</v>
          </cell>
          <cell r="F216" t="str">
            <v>ROSALES ROSALES JESUS EDUARDO</v>
          </cell>
          <cell r="G216" t="str">
            <v>ROSALES ROSALES JESUS EDUARDO</v>
          </cell>
          <cell r="H216" t="str">
            <v>003608794</v>
          </cell>
          <cell r="I216" t="str">
            <v>BBVA</v>
          </cell>
          <cell r="J216" t="str">
            <v>001101050200395310</v>
          </cell>
          <cell r="K216" t="str">
            <v>CE</v>
          </cell>
          <cell r="L216">
            <v>15607830522</v>
          </cell>
          <cell r="M216" t="str">
            <v>URBANO</v>
          </cell>
          <cell r="N216">
            <v>44760</v>
          </cell>
          <cell r="O216">
            <v>0</v>
          </cell>
          <cell r="P216" t="str">
            <v>LITE</v>
          </cell>
        </row>
        <row r="217">
          <cell r="A217">
            <v>563</v>
          </cell>
          <cell r="B217">
            <v>563</v>
          </cell>
          <cell r="C217" t="str">
            <v>CERO MATRICULA</v>
          </cell>
          <cell r="D217" t="str">
            <v>ACTIVO</v>
          </cell>
          <cell r="E217" t="str">
            <v>D7O525</v>
          </cell>
          <cell r="F217" t="str">
            <v>RACCHUMI MIRANDA  JESUS GABRIEL</v>
          </cell>
          <cell r="G217" t="str">
            <v>RACCHUMI MIRANDA  JESUS GABRIEL</v>
          </cell>
          <cell r="H217" t="str">
            <v>73043206</v>
          </cell>
          <cell r="I217" t="str">
            <v>BBVA</v>
          </cell>
          <cell r="J217" t="str">
            <v>0011-0141-0200527485</v>
          </cell>
          <cell r="K217" t="str">
            <v>DNI</v>
          </cell>
          <cell r="L217">
            <v>10730432068</v>
          </cell>
          <cell r="M217" t="str">
            <v>URBANO</v>
          </cell>
          <cell r="N217">
            <v>44775</v>
          </cell>
          <cell r="O217">
            <v>0</v>
          </cell>
          <cell r="P217" t="str">
            <v>LITE</v>
          </cell>
        </row>
        <row r="218">
          <cell r="A218">
            <v>564</v>
          </cell>
          <cell r="B218">
            <v>564</v>
          </cell>
          <cell r="C218" t="str">
            <v>CERO MATRICULA</v>
          </cell>
          <cell r="D218" t="str">
            <v>ACTIVO</v>
          </cell>
          <cell r="E218" t="str">
            <v>Z7G173</v>
          </cell>
          <cell r="F218" t="str">
            <v>RUIZ MONTOYA RICARDO ALBERTO</v>
          </cell>
          <cell r="G218" t="str">
            <v>RUIZ MONTOYA RICARDO ALBERTO</v>
          </cell>
          <cell r="H218" t="str">
            <v>09288084</v>
          </cell>
          <cell r="I218" t="str">
            <v>BCP</v>
          </cell>
          <cell r="J218" t="str">
            <v>191-04010000-0-05</v>
          </cell>
          <cell r="K218" t="str">
            <v>DNI</v>
          </cell>
          <cell r="L218">
            <v>10092880848</v>
          </cell>
          <cell r="M218" t="str">
            <v>URBANO</v>
          </cell>
          <cell r="N218">
            <v>45111</v>
          </cell>
          <cell r="O218">
            <v>0</v>
          </cell>
          <cell r="P218" t="str">
            <v>LITE</v>
          </cell>
        </row>
        <row r="219">
          <cell r="A219">
            <v>569</v>
          </cell>
          <cell r="B219">
            <v>569</v>
          </cell>
          <cell r="C219" t="str">
            <v>CERO MATRICULA</v>
          </cell>
          <cell r="D219" t="str">
            <v>ACTIVO</v>
          </cell>
          <cell r="E219" t="str">
            <v>BSI213</v>
          </cell>
          <cell r="F219" t="str">
            <v>GASLAC MAS ALBERTO</v>
          </cell>
          <cell r="G219" t="str">
            <v>GASLAC MAS ALBERTO</v>
          </cell>
          <cell r="H219" t="str">
            <v>42090542</v>
          </cell>
          <cell r="I219" t="str">
            <v>BCP</v>
          </cell>
          <cell r="J219" t="str">
            <v>192-03770857-0-45</v>
          </cell>
          <cell r="K219" t="str">
            <v>DNI</v>
          </cell>
          <cell r="L219">
            <v>10420905420</v>
          </cell>
          <cell r="M219" t="str">
            <v>URBANO</v>
          </cell>
          <cell r="N219">
            <v>44886</v>
          </cell>
          <cell r="O219">
            <v>0</v>
          </cell>
          <cell r="P219" t="str">
            <v>LITE</v>
          </cell>
        </row>
        <row r="220">
          <cell r="A220">
            <v>570</v>
          </cell>
          <cell r="B220">
            <v>570</v>
          </cell>
          <cell r="C220" t="str">
            <v>CERO MATRICULA</v>
          </cell>
          <cell r="D220" t="str">
            <v>ACTIVO</v>
          </cell>
          <cell r="E220" t="str">
            <v>T5R398</v>
          </cell>
          <cell r="F220" t="str">
            <v>MIRELES GUTIERREZ JOSE GABRIEL</v>
          </cell>
          <cell r="G220" t="str">
            <v>RINCON DE MIRESLES JURAIMA COROMOTO</v>
          </cell>
          <cell r="H220" t="str">
            <v>03729406</v>
          </cell>
          <cell r="I220" t="str">
            <v>BCP</v>
          </cell>
          <cell r="J220" t="str">
            <v>19206691111097</v>
          </cell>
          <cell r="K220" t="str">
            <v>CE</v>
          </cell>
          <cell r="L220">
            <v>15603924948</v>
          </cell>
          <cell r="M220" t="str">
            <v>URBANO</v>
          </cell>
          <cell r="N220">
            <v>44620</v>
          </cell>
          <cell r="O220">
            <v>0</v>
          </cell>
          <cell r="P220">
            <v>0</v>
          </cell>
        </row>
        <row r="221">
          <cell r="A221">
            <v>571</v>
          </cell>
          <cell r="B221">
            <v>571</v>
          </cell>
          <cell r="C221" t="str">
            <v>CERO MATRICULA</v>
          </cell>
          <cell r="D221" t="str">
            <v>ACTIVO</v>
          </cell>
          <cell r="E221" t="str">
            <v>BMQ637</v>
          </cell>
          <cell r="F221" t="str">
            <v>PETROCCELLI CONDOR CESAR AUGUSTO</v>
          </cell>
          <cell r="G221" t="str">
            <v>PETROCCELLI CONDOR CESAR AUGUSTO</v>
          </cell>
          <cell r="H221" t="str">
            <v>06804724</v>
          </cell>
          <cell r="I221" t="str">
            <v>INTERBANK</v>
          </cell>
          <cell r="J221" t="str">
            <v>003087013081911004-45</v>
          </cell>
          <cell r="K221" t="str">
            <v>DNI</v>
          </cell>
          <cell r="L221">
            <v>10068047248</v>
          </cell>
          <cell r="M221" t="str">
            <v>URBANO</v>
          </cell>
          <cell r="N221" t="str">
            <v>PENDIENTE</v>
          </cell>
          <cell r="O221">
            <v>0</v>
          </cell>
          <cell r="P221" t="str">
            <v>LITE</v>
          </cell>
        </row>
        <row r="222">
          <cell r="A222">
            <v>573</v>
          </cell>
          <cell r="B222">
            <v>573</v>
          </cell>
          <cell r="C222" t="str">
            <v>CERO MATRICULA</v>
          </cell>
          <cell r="D222" t="str">
            <v>ACTIVO</v>
          </cell>
          <cell r="E222" t="str">
            <v>BTA151</v>
          </cell>
          <cell r="F222" t="str">
            <v>ALBERTO BARJA JHON MICHAEL</v>
          </cell>
          <cell r="G222" t="str">
            <v>ALBERTO BARJA JHON MICHAEL</v>
          </cell>
          <cell r="H222">
            <v>44621671</v>
          </cell>
          <cell r="I222" t="str">
            <v>BCP</v>
          </cell>
          <cell r="J222" t="str">
            <v>191-94534597-0-89</v>
          </cell>
          <cell r="K222" t="str">
            <v>DNI</v>
          </cell>
          <cell r="L222">
            <v>10446216711</v>
          </cell>
          <cell r="M222" t="str">
            <v>URBANO</v>
          </cell>
          <cell r="N222" t="str">
            <v>PENDIENTE</v>
          </cell>
          <cell r="O222">
            <v>0</v>
          </cell>
          <cell r="P222" t="str">
            <v>XL</v>
          </cell>
        </row>
        <row r="223">
          <cell r="A223">
            <v>575</v>
          </cell>
          <cell r="B223">
            <v>575</v>
          </cell>
          <cell r="C223" t="str">
            <v>CERO MATRICULA</v>
          </cell>
          <cell r="D223" t="str">
            <v>ACTIVO</v>
          </cell>
          <cell r="E223" t="str">
            <v>BAW114</v>
          </cell>
          <cell r="F223" t="str">
            <v>ROSAS ROMERO ERMILO RAUL</v>
          </cell>
          <cell r="G223" t="str">
            <v>ROSAS ROMERO ERMILO RAUL</v>
          </cell>
          <cell r="H223" t="str">
            <v>001308991</v>
          </cell>
          <cell r="I223" t="str">
            <v>INTERBANK</v>
          </cell>
          <cell r="J223" t="str">
            <v>056-3137990389</v>
          </cell>
          <cell r="K223" t="str">
            <v>CE</v>
          </cell>
          <cell r="L223">
            <v>15602070694</v>
          </cell>
          <cell r="M223" t="str">
            <v>URBANO</v>
          </cell>
          <cell r="N223" t="str">
            <v>PENDIENTE</v>
          </cell>
          <cell r="O223">
            <v>0</v>
          </cell>
          <cell r="P223" t="str">
            <v>LITE</v>
          </cell>
        </row>
        <row r="224">
          <cell r="A224">
            <v>576</v>
          </cell>
          <cell r="B224">
            <v>576</v>
          </cell>
          <cell r="C224" t="str">
            <v>CERO MATRICULA</v>
          </cell>
          <cell r="D224" t="str">
            <v>ACTIVO</v>
          </cell>
          <cell r="E224" t="e">
            <v>#N/A</v>
          </cell>
          <cell r="F224" t="str">
            <v>VILLEGAS ESPINAL CARLOS ALIPIO</v>
          </cell>
          <cell r="G224" t="str">
            <v>JULCA BECERRA CLEMENCIA</v>
          </cell>
          <cell r="H224">
            <v>43032920</v>
          </cell>
          <cell r="I224" t="str">
            <v>BCP</v>
          </cell>
          <cell r="J224" t="str">
            <v>19390478448069</v>
          </cell>
          <cell r="K224" t="str">
            <v>DNI</v>
          </cell>
          <cell r="L224">
            <v>10430329206</v>
          </cell>
          <cell r="M224" t="str">
            <v>URBANO</v>
          </cell>
          <cell r="N224" t="str">
            <v>PENDIENTE</v>
          </cell>
          <cell r="O224">
            <v>0</v>
          </cell>
          <cell r="P224" t="str">
            <v>XL</v>
          </cell>
        </row>
        <row r="225">
          <cell r="A225">
            <v>578</v>
          </cell>
          <cell r="B225">
            <v>578</v>
          </cell>
          <cell r="C225" t="str">
            <v>CERO MATRICULA</v>
          </cell>
          <cell r="D225" t="str">
            <v>ACTIVO</v>
          </cell>
          <cell r="E225" t="str">
            <v>BPM318</v>
          </cell>
          <cell r="F225" t="str">
            <v>VALLEJOS BACA YANCARLO</v>
          </cell>
          <cell r="G225" t="str">
            <v>VALLEJOS BACA YANCARLO</v>
          </cell>
          <cell r="H225" t="str">
            <v>47074089</v>
          </cell>
          <cell r="I225" t="str">
            <v>BCP</v>
          </cell>
          <cell r="J225" t="str">
            <v>191-91216472-0-48</v>
          </cell>
          <cell r="K225" t="str">
            <v>DNI</v>
          </cell>
          <cell r="L225">
            <v>10470740898</v>
          </cell>
          <cell r="M225" t="str">
            <v>URBANO</v>
          </cell>
          <cell r="N225" t="str">
            <v>PENDIENTE</v>
          </cell>
          <cell r="O225">
            <v>0</v>
          </cell>
          <cell r="P225" t="str">
            <v>LITE</v>
          </cell>
        </row>
        <row r="226">
          <cell r="A226">
            <v>581</v>
          </cell>
          <cell r="B226">
            <v>581</v>
          </cell>
          <cell r="C226" t="str">
            <v>CERO MATRICULA</v>
          </cell>
          <cell r="D226" t="str">
            <v>ACTIVO</v>
          </cell>
          <cell r="E226" t="str">
            <v>BBO174</v>
          </cell>
          <cell r="F226" t="str">
            <v>COLORADO GONZALEZ LUIS GERARDO</v>
          </cell>
          <cell r="G226" t="str">
            <v>COLORADO GONZALES LUIS GERARDO</v>
          </cell>
          <cell r="H226" t="str">
            <v>003553738</v>
          </cell>
          <cell r="I226" t="str">
            <v>BCP</v>
          </cell>
          <cell r="J226" t="str">
            <v>19395739101060</v>
          </cell>
          <cell r="K226" t="str">
            <v>CE</v>
          </cell>
          <cell r="L226">
            <v>15607434058</v>
          </cell>
          <cell r="M226" t="str">
            <v>URBANO</v>
          </cell>
          <cell r="N226" t="str">
            <v>PENDIENTE</v>
          </cell>
          <cell r="O226">
            <v>0</v>
          </cell>
          <cell r="P226" t="str">
            <v>LITE</v>
          </cell>
        </row>
        <row r="227">
          <cell r="A227">
            <v>583</v>
          </cell>
          <cell r="B227">
            <v>583</v>
          </cell>
          <cell r="C227" t="str">
            <v>CERO MATRICULA</v>
          </cell>
          <cell r="D227" t="str">
            <v>ACTIVO</v>
          </cell>
          <cell r="E227" t="str">
            <v>AWM039</v>
          </cell>
          <cell r="F227" t="str">
            <v>ESPINOZA SIRLUPU JAVIER TOMAS</v>
          </cell>
          <cell r="G227" t="str">
            <v>TALLEDO RAMIREZ LUIS DANIEL</v>
          </cell>
          <cell r="H227" t="str">
            <v>72762735</v>
          </cell>
          <cell r="I227" t="str">
            <v>BCP</v>
          </cell>
          <cell r="J227" t="str">
            <v>19270362608040</v>
          </cell>
          <cell r="K227" t="str">
            <v>DNI</v>
          </cell>
          <cell r="L227">
            <v>10727627354</v>
          </cell>
          <cell r="M227" t="str">
            <v>URBANO PARTNER</v>
          </cell>
          <cell r="N227">
            <v>44779</v>
          </cell>
          <cell r="O227">
            <v>0</v>
          </cell>
          <cell r="P227" t="str">
            <v>LITE</v>
          </cell>
        </row>
        <row r="228">
          <cell r="A228">
            <v>591</v>
          </cell>
          <cell r="B228">
            <v>591</v>
          </cell>
          <cell r="C228" t="str">
            <v>CERO MATRICULA</v>
          </cell>
          <cell r="D228" t="str">
            <v>ACTIVO</v>
          </cell>
          <cell r="E228" t="str">
            <v>BRH392</v>
          </cell>
          <cell r="F228" t="str">
            <v>SERRANO ALDANA YHORMAN HELI</v>
          </cell>
          <cell r="G228" t="str">
            <v>SERRANO ALDANA YHORMAN HELI</v>
          </cell>
          <cell r="H228" t="str">
            <v>002166771</v>
          </cell>
          <cell r="I228" t="str">
            <v>BBVA</v>
          </cell>
          <cell r="J228" t="str">
            <v>0011-0999-0200127105</v>
          </cell>
          <cell r="K228" t="str">
            <v>CE</v>
          </cell>
          <cell r="L228">
            <v>15606507761</v>
          </cell>
          <cell r="M228" t="str">
            <v>URBANO PARTNER</v>
          </cell>
          <cell r="N228">
            <v>45173</v>
          </cell>
          <cell r="O228">
            <v>0</v>
          </cell>
          <cell r="P228" t="str">
            <v>LITE</v>
          </cell>
        </row>
        <row r="229">
          <cell r="A229">
            <v>593</v>
          </cell>
          <cell r="B229">
            <v>593</v>
          </cell>
          <cell r="C229" t="str">
            <v>CERO MATRICULA</v>
          </cell>
          <cell r="D229" t="str">
            <v>ACTIVO</v>
          </cell>
          <cell r="E229" t="str">
            <v>BRS603</v>
          </cell>
          <cell r="F229" t="str">
            <v>BOADA LLOVERA VICTOR JAVIER</v>
          </cell>
          <cell r="G229" t="str">
            <v>BOADA LLOVERA VICTOR JAVIER</v>
          </cell>
          <cell r="H229" t="str">
            <v>02467565</v>
          </cell>
          <cell r="I229" t="str">
            <v>BCP</v>
          </cell>
          <cell r="J229" t="str">
            <v>192-91566012-0-19</v>
          </cell>
          <cell r="K229" t="str">
            <v>CE</v>
          </cell>
          <cell r="L229">
            <v>15606364854</v>
          </cell>
          <cell r="M229" t="str">
            <v>URBANO</v>
          </cell>
          <cell r="N229" t="str">
            <v>PENDIENTE</v>
          </cell>
          <cell r="O229">
            <v>0</v>
          </cell>
          <cell r="P229" t="str">
            <v>XL</v>
          </cell>
        </row>
        <row r="230">
          <cell r="A230">
            <v>594</v>
          </cell>
          <cell r="B230">
            <v>594</v>
          </cell>
          <cell r="C230" t="str">
            <v>CERO MATRICULA</v>
          </cell>
          <cell r="D230" t="str">
            <v>ACTIVO</v>
          </cell>
          <cell r="E230" t="str">
            <v>AYG091</v>
          </cell>
          <cell r="F230" t="str">
            <v>CARRASCO SEQUEIROS MARCO ANTONIO</v>
          </cell>
          <cell r="G230" t="str">
            <v>CARRASCO SEQUEIROS MARCO ANTONIO</v>
          </cell>
          <cell r="H230">
            <v>10123411</v>
          </cell>
          <cell r="I230" t="str">
            <v>BCP</v>
          </cell>
          <cell r="J230" t="str">
            <v>191-38356659-0-98</v>
          </cell>
          <cell r="K230" t="str">
            <v>DNI</v>
          </cell>
          <cell r="L230">
            <v>10101234113</v>
          </cell>
          <cell r="M230" t="str">
            <v>URBANO</v>
          </cell>
          <cell r="N230" t="str">
            <v>PENDIENTE</v>
          </cell>
          <cell r="O230">
            <v>0</v>
          </cell>
          <cell r="P230">
            <v>0</v>
          </cell>
        </row>
        <row r="231">
          <cell r="A231">
            <v>596</v>
          </cell>
          <cell r="B231">
            <v>596</v>
          </cell>
          <cell r="C231" t="str">
            <v>CERO MATRICULA</v>
          </cell>
          <cell r="D231" t="str">
            <v>ACTIVO</v>
          </cell>
          <cell r="E231" t="str">
            <v>C0T281</v>
          </cell>
          <cell r="F231" t="str">
            <v>LIMAHUAYA BARRANTES AGUSTIN</v>
          </cell>
          <cell r="G231" t="str">
            <v>Ana María Limahuaya Barrantes</v>
          </cell>
          <cell r="H231" t="str">
            <v>72184813</v>
          </cell>
          <cell r="I231" t="str">
            <v>BCP</v>
          </cell>
          <cell r="J231" t="str">
            <v>19108373182058</v>
          </cell>
          <cell r="K231" t="str">
            <v>DNI</v>
          </cell>
          <cell r="L231">
            <v>10721848138</v>
          </cell>
          <cell r="M231" t="str">
            <v>URBANO</v>
          </cell>
          <cell r="N231" t="str">
            <v>PENDIENTE</v>
          </cell>
          <cell r="O231">
            <v>0</v>
          </cell>
          <cell r="P231" t="str">
            <v>LITE</v>
          </cell>
        </row>
        <row r="232">
          <cell r="A232">
            <v>602</v>
          </cell>
          <cell r="B232">
            <v>602</v>
          </cell>
          <cell r="C232" t="str">
            <v>CERO MATRICULA</v>
          </cell>
          <cell r="D232" t="str">
            <v>ACTIVO</v>
          </cell>
          <cell r="E232" t="str">
            <v>ASY150</v>
          </cell>
          <cell r="F232" t="str">
            <v>LEON DOMNGUEZ WILLIAM ARMANDO</v>
          </cell>
          <cell r="G232" t="str">
            <v>LEON DOMNGUEZ WILLIAM ARMANDO</v>
          </cell>
          <cell r="H232" t="str">
            <v>40692975</v>
          </cell>
          <cell r="I232" t="str">
            <v>INTERBANK</v>
          </cell>
          <cell r="J232" t="str">
            <v>7443144330942</v>
          </cell>
          <cell r="K232" t="str">
            <v>DNI</v>
          </cell>
          <cell r="L232">
            <v>10406929758</v>
          </cell>
          <cell r="M232" t="str">
            <v>URBANO</v>
          </cell>
          <cell r="N232" t="str">
            <v>PENDIENTE</v>
          </cell>
          <cell r="O232">
            <v>0</v>
          </cell>
          <cell r="P232" t="str">
            <v>LITE</v>
          </cell>
        </row>
        <row r="233">
          <cell r="A233">
            <v>614</v>
          </cell>
          <cell r="B233">
            <v>614</v>
          </cell>
          <cell r="C233" t="str">
            <v>CERO MATRICULA</v>
          </cell>
          <cell r="D233" t="str">
            <v>ACTIVO</v>
          </cell>
          <cell r="E233" t="str">
            <v>BMB360</v>
          </cell>
          <cell r="F233" t="str">
            <v>CASTAÑEDA  PUSCAN JOSE DE LA ROSA</v>
          </cell>
          <cell r="G233" t="str">
            <v>CASTAÑEDA  PUSCAN JOSE DE LA ROSA</v>
          </cell>
          <cell r="H233" t="str">
            <v>42888854</v>
          </cell>
          <cell r="I233" t="str">
            <v>BCP</v>
          </cell>
          <cell r="J233" t="str">
            <v>191-01274037-0-05</v>
          </cell>
          <cell r="K233" t="str">
            <v>DNI</v>
          </cell>
          <cell r="L233">
            <v>10428888541</v>
          </cell>
          <cell r="M233" t="str">
            <v>URBANO</v>
          </cell>
          <cell r="N233" t="str">
            <v>PENDIENTE</v>
          </cell>
          <cell r="O233">
            <v>0</v>
          </cell>
          <cell r="P233" t="str">
            <v>LITE</v>
          </cell>
        </row>
        <row r="234">
          <cell r="A234">
            <v>618</v>
          </cell>
          <cell r="B234">
            <v>618</v>
          </cell>
          <cell r="C234" t="str">
            <v>CERO MATRICULA</v>
          </cell>
          <cell r="D234" t="str">
            <v>ACTIVO</v>
          </cell>
          <cell r="E234" t="str">
            <v>F4A615</v>
          </cell>
          <cell r="F234" t="str">
            <v>SAC DEL AGUILA CHRISTIAN FERNANDO</v>
          </cell>
          <cell r="G234" t="str">
            <v>SAC DEL AGUILA CHRISTIAN FERNANDO</v>
          </cell>
          <cell r="H234">
            <v>43959931</v>
          </cell>
          <cell r="I234" t="str">
            <v>BBVA</v>
          </cell>
          <cell r="J234" t="str">
            <v>0011-0814-0216337099</v>
          </cell>
          <cell r="K234" t="str">
            <v>DNI</v>
          </cell>
          <cell r="L234">
            <v>10439599311</v>
          </cell>
          <cell r="M234" t="str">
            <v>URBANO</v>
          </cell>
          <cell r="N234">
            <v>44434</v>
          </cell>
          <cell r="O234">
            <v>0</v>
          </cell>
          <cell r="P234">
            <v>0</v>
          </cell>
        </row>
        <row r="235">
          <cell r="A235">
            <v>621</v>
          </cell>
          <cell r="B235">
            <v>621</v>
          </cell>
          <cell r="C235" t="str">
            <v>CERO MATRICULA</v>
          </cell>
          <cell r="D235" t="str">
            <v>ACTIVO</v>
          </cell>
          <cell r="E235" t="str">
            <v>AKK248</v>
          </cell>
          <cell r="F235" t="str">
            <v>Galeno Tovar Luis</v>
          </cell>
          <cell r="G235" t="str">
            <v>GALENO TOVAR LUIS ALEJANDRO</v>
          </cell>
          <cell r="H235" t="str">
            <v>002189522</v>
          </cell>
          <cell r="I235" t="str">
            <v>BCP</v>
          </cell>
          <cell r="J235" t="str">
            <v>19394425895089</v>
          </cell>
          <cell r="K235" t="str">
            <v>CE</v>
          </cell>
          <cell r="L235">
            <v>15604221304</v>
          </cell>
          <cell r="M235" t="str">
            <v>AEROPUERTO</v>
          </cell>
          <cell r="N235">
            <v>45454</v>
          </cell>
          <cell r="O235">
            <v>240</v>
          </cell>
          <cell r="P235" t="str">
            <v>XL</v>
          </cell>
        </row>
        <row r="236">
          <cell r="A236">
            <v>624</v>
          </cell>
          <cell r="B236">
            <v>624</v>
          </cell>
          <cell r="C236" t="str">
            <v>CERO MATRICULA</v>
          </cell>
          <cell r="D236" t="str">
            <v>ACTIVO</v>
          </cell>
          <cell r="E236" t="str">
            <v>APC449</v>
          </cell>
          <cell r="F236" t="str">
            <v>MARQUEZ CASTILLO LEONARDO DAVINCI</v>
          </cell>
          <cell r="G236" t="str">
            <v>MARQUEZ CASTILLO LEONARDO DAVINCI</v>
          </cell>
          <cell r="H236" t="str">
            <v>004720431</v>
          </cell>
          <cell r="I236" t="str">
            <v>BCP</v>
          </cell>
          <cell r="J236" t="str">
            <v>193-92421668-0-18</v>
          </cell>
          <cell r="K236" t="str">
            <v>CE</v>
          </cell>
          <cell r="L236">
            <v>15608399558</v>
          </cell>
          <cell r="M236" t="str">
            <v>URBANO</v>
          </cell>
          <cell r="N236">
            <v>44439</v>
          </cell>
          <cell r="O236">
            <v>0</v>
          </cell>
          <cell r="P236">
            <v>0</v>
          </cell>
        </row>
        <row r="237">
          <cell r="A237">
            <v>626</v>
          </cell>
          <cell r="B237">
            <v>626</v>
          </cell>
          <cell r="C237" t="str">
            <v>CERO MATRICULA</v>
          </cell>
          <cell r="D237" t="str">
            <v>ACTIVO</v>
          </cell>
          <cell r="E237" t="str">
            <v>AWC054</v>
          </cell>
          <cell r="F237" t="str">
            <v>ARCA SOTOMAYOR ELEAN HERALDO</v>
          </cell>
          <cell r="G237" t="str">
            <v>ARCA SOTOMAYOR ELEAN HERALDO</v>
          </cell>
          <cell r="H237" t="str">
            <v>47989765</v>
          </cell>
          <cell r="I237" t="str">
            <v>BCP</v>
          </cell>
          <cell r="J237" t="str">
            <v>193-79263795-0-37</v>
          </cell>
          <cell r="K237" t="str">
            <v>DNI</v>
          </cell>
          <cell r="L237">
            <v>10479897650</v>
          </cell>
          <cell r="M237" t="str">
            <v>URBANO</v>
          </cell>
          <cell r="N237">
            <v>44881</v>
          </cell>
          <cell r="O237">
            <v>0</v>
          </cell>
          <cell r="P237" t="str">
            <v>LITE</v>
          </cell>
        </row>
        <row r="238">
          <cell r="A238">
            <v>627</v>
          </cell>
          <cell r="B238">
            <v>627</v>
          </cell>
          <cell r="C238" t="str">
            <v>CERO MATRICULA</v>
          </cell>
          <cell r="D238" t="str">
            <v>ACTIVO</v>
          </cell>
          <cell r="E238" t="str">
            <v>BTQ115</v>
          </cell>
          <cell r="F238" t="str">
            <v>MORALES RUMICHE ANGEL SMITH</v>
          </cell>
          <cell r="G238" t="str">
            <v>MORALES RUMICHE ANGEL SMITH</v>
          </cell>
          <cell r="H238" t="str">
            <v>47978081</v>
          </cell>
          <cell r="I238" t="str">
            <v>SCOTIABANK</v>
          </cell>
          <cell r="J238" t="str">
            <v>070-7480869</v>
          </cell>
          <cell r="K238" t="str">
            <v>DNI</v>
          </cell>
          <cell r="L238">
            <v>10479780817</v>
          </cell>
          <cell r="M238" t="str">
            <v>URBANO</v>
          </cell>
          <cell r="N238">
            <v>44949</v>
          </cell>
          <cell r="O238">
            <v>0</v>
          </cell>
          <cell r="P238" t="str">
            <v>LITE</v>
          </cell>
        </row>
        <row r="239">
          <cell r="A239">
            <v>628</v>
          </cell>
          <cell r="B239">
            <v>628</v>
          </cell>
          <cell r="C239" t="str">
            <v>CERO MATRICULA</v>
          </cell>
          <cell r="D239" t="str">
            <v>ACTIVO</v>
          </cell>
          <cell r="E239" t="str">
            <v>BBK355</v>
          </cell>
          <cell r="F239" t="str">
            <v>LEON ROMANI LUIS</v>
          </cell>
          <cell r="G239" t="str">
            <v>LEON ROMANI LUIS</v>
          </cell>
          <cell r="H239" t="str">
            <v>06308866</v>
          </cell>
          <cell r="I239" t="str">
            <v>INTERBANK</v>
          </cell>
          <cell r="J239" t="str">
            <v>2463118042808</v>
          </cell>
          <cell r="K239" t="str">
            <v>DNI</v>
          </cell>
          <cell r="L239">
            <v>10063088663</v>
          </cell>
          <cell r="M239" t="str">
            <v>URBANO</v>
          </cell>
          <cell r="N239">
            <v>44442</v>
          </cell>
          <cell r="O239">
            <v>0</v>
          </cell>
          <cell r="P239">
            <v>0</v>
          </cell>
        </row>
        <row r="240">
          <cell r="A240">
            <v>629</v>
          </cell>
          <cell r="B240">
            <v>629</v>
          </cell>
          <cell r="C240" t="str">
            <v>CERO MATRICULA</v>
          </cell>
          <cell r="D240" t="str">
            <v>ACTIVO</v>
          </cell>
          <cell r="E240" t="str">
            <v>BTP037</v>
          </cell>
          <cell r="F240" t="str">
            <v>RETAMOZO RONCEROS RONALD MARTIN</v>
          </cell>
          <cell r="G240" t="str">
            <v>RETAMOZO RONCEROS RONALD MARTIN</v>
          </cell>
          <cell r="H240" t="str">
            <v>08348473</v>
          </cell>
          <cell r="I240" t="str">
            <v>BBVA</v>
          </cell>
          <cell r="J240" t="str">
            <v>0011-0387-0200442518</v>
          </cell>
          <cell r="K240" t="str">
            <v>DNI</v>
          </cell>
          <cell r="L240">
            <v>10083484735</v>
          </cell>
          <cell r="M240" t="str">
            <v>AEROLINEAS</v>
          </cell>
          <cell r="N240">
            <v>44442</v>
          </cell>
          <cell r="O240">
            <v>0</v>
          </cell>
          <cell r="P240" t="str">
            <v>LITE</v>
          </cell>
        </row>
        <row r="241">
          <cell r="A241">
            <v>632</v>
          </cell>
          <cell r="B241">
            <v>632</v>
          </cell>
          <cell r="C241" t="str">
            <v>CERO MATRICULA</v>
          </cell>
          <cell r="D241" t="str">
            <v>ACTIVO</v>
          </cell>
          <cell r="E241" t="str">
            <v>BVS409</v>
          </cell>
          <cell r="F241" t="str">
            <v>AMADO MUNIVES GABRIEL CARMELO</v>
          </cell>
          <cell r="G241" t="str">
            <v>AMADO MUNIVES GABRIEL CARMELO</v>
          </cell>
          <cell r="H241">
            <v>10646957</v>
          </cell>
          <cell r="I241" t="str">
            <v>BBVA</v>
          </cell>
          <cell r="J241" t="str">
            <v>0011-0338-0200277110</v>
          </cell>
          <cell r="K241" t="str">
            <v>DNI</v>
          </cell>
          <cell r="L241">
            <v>10106469577</v>
          </cell>
          <cell r="M241" t="str">
            <v>URBANO</v>
          </cell>
          <cell r="N241">
            <v>44448</v>
          </cell>
          <cell r="O241">
            <v>0</v>
          </cell>
          <cell r="P241" t="str">
            <v>XL</v>
          </cell>
        </row>
        <row r="242">
          <cell r="A242">
            <v>633</v>
          </cell>
          <cell r="B242">
            <v>633</v>
          </cell>
          <cell r="C242" t="str">
            <v>CERO MATRICULA</v>
          </cell>
          <cell r="D242" t="str">
            <v>ACTIVO</v>
          </cell>
          <cell r="E242" t="str">
            <v>AZC196</v>
          </cell>
          <cell r="F242" t="str">
            <v>LAZARO CHOQUE JOSE LUIS</v>
          </cell>
          <cell r="G242" t="str">
            <v>JOSE LUIS LAZARO CHOQUE</v>
          </cell>
          <cell r="H242" t="str">
            <v xml:space="preserve">41239409 </v>
          </cell>
          <cell r="I242" t="str">
            <v>BCP</v>
          </cell>
          <cell r="J242" t="str">
            <v>19199035495051</v>
          </cell>
          <cell r="K242" t="str">
            <v>DNI</v>
          </cell>
          <cell r="L242">
            <v>10412394092</v>
          </cell>
          <cell r="M242" t="str">
            <v>URBANO</v>
          </cell>
          <cell r="N242">
            <v>44448</v>
          </cell>
          <cell r="O242">
            <v>0</v>
          </cell>
          <cell r="P242" t="str">
            <v>LITE</v>
          </cell>
        </row>
        <row r="243">
          <cell r="A243">
            <v>634</v>
          </cell>
          <cell r="B243">
            <v>634</v>
          </cell>
          <cell r="C243" t="str">
            <v>CERO MATRICULA</v>
          </cell>
          <cell r="D243" t="str">
            <v>ACTIVO</v>
          </cell>
          <cell r="E243" t="str">
            <v>BRG119</v>
          </cell>
          <cell r="F243" t="str">
            <v>RODRIGUEZ MORGADO RAUL ALEXIS</v>
          </cell>
          <cell r="G243" t="str">
            <v>RODRIGUEZ MORGADO RAUL ALEXIS</v>
          </cell>
          <cell r="H243" t="str">
            <v>002206316</v>
          </cell>
          <cell r="I243" t="str">
            <v>BCP</v>
          </cell>
          <cell r="J243" t="str">
            <v>191-95164094-0-45</v>
          </cell>
          <cell r="K243" t="str">
            <v>CE</v>
          </cell>
          <cell r="L243">
            <v>15604856407</v>
          </cell>
          <cell r="M243" t="str">
            <v>URBANO</v>
          </cell>
          <cell r="N243">
            <v>44448</v>
          </cell>
          <cell r="O243">
            <v>0</v>
          </cell>
          <cell r="P243" t="str">
            <v>LITE</v>
          </cell>
        </row>
        <row r="244">
          <cell r="A244">
            <v>636</v>
          </cell>
          <cell r="B244">
            <v>636</v>
          </cell>
          <cell r="C244" t="str">
            <v>CERO MATRICULA</v>
          </cell>
          <cell r="D244" t="str">
            <v>ACTIVO</v>
          </cell>
          <cell r="E244" t="str">
            <v>BVM098</v>
          </cell>
          <cell r="F244" t="str">
            <v>RODRIGUEZ VALDERRAMA ALFONZO DE JESUS</v>
          </cell>
          <cell r="G244" t="str">
            <v>RODRIGUEZ VALDERRAMA ALFONZO DE JESUS</v>
          </cell>
          <cell r="H244" t="str">
            <v>003719170</v>
          </cell>
          <cell r="I244" t="str">
            <v>BCP</v>
          </cell>
          <cell r="J244" t="str">
            <v>191-04765872-0-10</v>
          </cell>
          <cell r="K244" t="str">
            <v>CE</v>
          </cell>
          <cell r="L244">
            <v>15607977370</v>
          </cell>
          <cell r="M244" t="str">
            <v>URBANO</v>
          </cell>
          <cell r="N244">
            <v>44449</v>
          </cell>
          <cell r="O244">
            <v>0</v>
          </cell>
          <cell r="P244">
            <v>0</v>
          </cell>
        </row>
        <row r="245">
          <cell r="A245">
            <v>638</v>
          </cell>
          <cell r="B245">
            <v>638</v>
          </cell>
          <cell r="C245" t="str">
            <v>CERO MATRICULA</v>
          </cell>
          <cell r="D245" t="str">
            <v>ACTIVO</v>
          </cell>
          <cell r="E245" t="str">
            <v>BTH033</v>
          </cell>
          <cell r="F245" t="str">
            <v>FERNANDEZ MORENO PERCY WERNER</v>
          </cell>
          <cell r="G245" t="str">
            <v>FERNANDEZ MORENO PERCY WERNER</v>
          </cell>
          <cell r="H245">
            <v>43306590</v>
          </cell>
          <cell r="I245" t="str">
            <v>SCOTIABANK</v>
          </cell>
          <cell r="J245">
            <v>4010086975</v>
          </cell>
          <cell r="K245" t="str">
            <v>DNI</v>
          </cell>
          <cell r="L245">
            <v>10433065901</v>
          </cell>
          <cell r="M245" t="str">
            <v>URBANO</v>
          </cell>
          <cell r="N245">
            <v>44449</v>
          </cell>
          <cell r="O245">
            <v>0</v>
          </cell>
          <cell r="P245">
            <v>0</v>
          </cell>
        </row>
        <row r="246">
          <cell r="A246">
            <v>639</v>
          </cell>
          <cell r="B246">
            <v>639</v>
          </cell>
          <cell r="C246" t="str">
            <v>CERO MATRICULA</v>
          </cell>
          <cell r="D246" t="str">
            <v>ACTIVO</v>
          </cell>
          <cell r="E246" t="str">
            <v>BRR007</v>
          </cell>
          <cell r="F246" t="str">
            <v>ESCOBAR ACOSTA ROGGERS EDIKSON</v>
          </cell>
          <cell r="G246" t="str">
            <v>ESCOBAR ACOSTA ROGGERS EDIKSON</v>
          </cell>
          <cell r="H246" t="str">
            <v>003008167</v>
          </cell>
          <cell r="I246" t="str">
            <v>BBVA</v>
          </cell>
          <cell r="J246" t="str">
            <v>0011-0323-0200740854</v>
          </cell>
          <cell r="K246" t="str">
            <v>CE</v>
          </cell>
          <cell r="L246">
            <v>15604056443</v>
          </cell>
          <cell r="M246" t="str">
            <v>URBANO</v>
          </cell>
          <cell r="N246">
            <v>44449</v>
          </cell>
          <cell r="O246">
            <v>0</v>
          </cell>
          <cell r="P246" t="str">
            <v>XL</v>
          </cell>
        </row>
        <row r="247">
          <cell r="A247">
            <v>641</v>
          </cell>
          <cell r="B247">
            <v>641</v>
          </cell>
          <cell r="C247" t="str">
            <v>CERO MATRICULA</v>
          </cell>
          <cell r="D247" t="str">
            <v>ACTIVO</v>
          </cell>
          <cell r="E247" t="str">
            <v>BSS683</v>
          </cell>
          <cell r="F247" t="str">
            <v>NESTARES ORTIZ RICHARD EDGAR</v>
          </cell>
          <cell r="G247" t="str">
            <v>NESTARES ORTIZ RICHARD EDGAR</v>
          </cell>
          <cell r="H247">
            <v>80116757</v>
          </cell>
          <cell r="I247" t="str">
            <v>BCP</v>
          </cell>
          <cell r="J247" t="str">
            <v>191-97965458-0-05</v>
          </cell>
          <cell r="K247" t="str">
            <v>DNI</v>
          </cell>
          <cell r="L247">
            <v>10801167573</v>
          </cell>
          <cell r="M247" t="str">
            <v>URBANO</v>
          </cell>
          <cell r="N247">
            <v>44450</v>
          </cell>
          <cell r="O247">
            <v>0</v>
          </cell>
          <cell r="P247">
            <v>0</v>
          </cell>
        </row>
        <row r="248">
          <cell r="A248">
            <v>642</v>
          </cell>
          <cell r="B248">
            <v>642</v>
          </cell>
          <cell r="C248" t="str">
            <v>CERO MATRICULA</v>
          </cell>
          <cell r="D248" t="str">
            <v>ACTIVO</v>
          </cell>
          <cell r="E248" t="str">
            <v>BSO437</v>
          </cell>
          <cell r="F248" t="str">
            <v>BECERRA GUEVARA JULIAN</v>
          </cell>
          <cell r="G248" t="str">
            <v>BECERRA GUEVARA JULIAN</v>
          </cell>
          <cell r="H248">
            <v>10539631</v>
          </cell>
          <cell r="I248" t="str">
            <v>BCP</v>
          </cell>
          <cell r="J248" t="str">
            <v>193-02344025-0-01</v>
          </cell>
          <cell r="K248" t="str">
            <v>DNI</v>
          </cell>
          <cell r="L248">
            <v>10105396312</v>
          </cell>
          <cell r="M248" t="str">
            <v>URBANO</v>
          </cell>
          <cell r="N248">
            <v>44453</v>
          </cell>
          <cell r="O248">
            <v>0</v>
          </cell>
          <cell r="P248" t="str">
            <v>COMFORT XL</v>
          </cell>
        </row>
        <row r="249">
          <cell r="A249">
            <v>643</v>
          </cell>
          <cell r="B249">
            <v>643</v>
          </cell>
          <cell r="C249" t="str">
            <v>CERO MATRICULA</v>
          </cell>
          <cell r="D249" t="str">
            <v>ACTIVO</v>
          </cell>
          <cell r="E249" t="str">
            <v>BFV216</v>
          </cell>
          <cell r="F249" t="str">
            <v>RODRIGUEZ MILLA JOSE ANTONIO</v>
          </cell>
          <cell r="G249" t="str">
            <v>CHAPIANA MANGIA TRACY MICHOL</v>
          </cell>
          <cell r="H249" t="str">
            <v>70204120</v>
          </cell>
          <cell r="I249" t="str">
            <v>BCP</v>
          </cell>
          <cell r="J249" t="str">
            <v>191-00152900-0-44</v>
          </cell>
          <cell r="K249" t="str">
            <v>DNI</v>
          </cell>
          <cell r="L249">
            <v>10702041207</v>
          </cell>
          <cell r="M249" t="str">
            <v>MEMBRESÍA URBANO</v>
          </cell>
          <cell r="N249">
            <v>44932</v>
          </cell>
          <cell r="O249">
            <v>280</v>
          </cell>
          <cell r="P249" t="str">
            <v>COMFORT XL</v>
          </cell>
        </row>
        <row r="250">
          <cell r="A250">
            <v>646</v>
          </cell>
          <cell r="B250">
            <v>646</v>
          </cell>
          <cell r="C250" t="str">
            <v>CERO MATRICULA</v>
          </cell>
          <cell r="D250" t="str">
            <v>ACTIVO</v>
          </cell>
          <cell r="E250" t="str">
            <v>BNM459</v>
          </cell>
          <cell r="F250" t="str">
            <v>SARMIENTO ESTRADA ANDERSON</v>
          </cell>
          <cell r="G250" t="str">
            <v>SARMIENTO ESTRADA ANDERSON</v>
          </cell>
          <cell r="H250">
            <v>47785413</v>
          </cell>
          <cell r="I250" t="str">
            <v>BCP</v>
          </cell>
          <cell r="J250" t="str">
            <v>191-99172483-0-23</v>
          </cell>
          <cell r="K250" t="str">
            <v>DNI</v>
          </cell>
          <cell r="L250">
            <v>10477854139</v>
          </cell>
          <cell r="M250" t="str">
            <v>URBANO</v>
          </cell>
          <cell r="N250">
            <v>44453</v>
          </cell>
          <cell r="O250">
            <v>0</v>
          </cell>
          <cell r="P250">
            <v>0</v>
          </cell>
        </row>
        <row r="251">
          <cell r="A251">
            <v>647</v>
          </cell>
          <cell r="B251">
            <v>647</v>
          </cell>
          <cell r="C251" t="str">
            <v>CERO MATRICULA</v>
          </cell>
          <cell r="D251" t="str">
            <v>ACTIVO</v>
          </cell>
          <cell r="E251" t="str">
            <v>BFD428</v>
          </cell>
          <cell r="F251" t="str">
            <v>RODRIGUEZ RIERA ALI DANIEL</v>
          </cell>
          <cell r="G251" t="str">
            <v>RODRIGUEZ RIERA ALI DANIEL</v>
          </cell>
          <cell r="H251" t="str">
            <v>003491156</v>
          </cell>
          <cell r="I251" t="str">
            <v>BCP</v>
          </cell>
          <cell r="J251" t="str">
            <v>191-93239144-0-51</v>
          </cell>
          <cell r="K251" t="str">
            <v>CE</v>
          </cell>
          <cell r="L251">
            <v>15605046212</v>
          </cell>
          <cell r="M251" t="str">
            <v>URBANO</v>
          </cell>
          <cell r="N251">
            <v>44663</v>
          </cell>
          <cell r="O251">
            <v>0</v>
          </cell>
          <cell r="P251" t="str">
            <v>LITE</v>
          </cell>
        </row>
        <row r="252">
          <cell r="A252">
            <v>654</v>
          </cell>
          <cell r="B252">
            <v>654</v>
          </cell>
          <cell r="C252" t="str">
            <v>CERO MATRICULA</v>
          </cell>
          <cell r="D252" t="str">
            <v>ACTIVO</v>
          </cell>
          <cell r="E252" t="str">
            <v>BVI364</v>
          </cell>
          <cell r="F252" t="str">
            <v>PIRELA PEÑA YOERVIS GREGORIO</v>
          </cell>
          <cell r="G252" t="str">
            <v>PIRELA PEÑA YOERVIS GREGORIO</v>
          </cell>
          <cell r="H252" t="str">
            <v>003236093</v>
          </cell>
          <cell r="I252" t="str">
            <v>BCP</v>
          </cell>
          <cell r="J252" t="str">
            <v>191-93008786-0-66</v>
          </cell>
          <cell r="K252" t="str">
            <v>CE</v>
          </cell>
          <cell r="L252">
            <v>15607229250</v>
          </cell>
          <cell r="M252" t="str">
            <v>URBANO</v>
          </cell>
          <cell r="N252">
            <v>44457</v>
          </cell>
          <cell r="O252">
            <v>0</v>
          </cell>
          <cell r="P252" t="str">
            <v>LITE</v>
          </cell>
        </row>
        <row r="253">
          <cell r="A253">
            <v>657</v>
          </cell>
          <cell r="B253">
            <v>657</v>
          </cell>
          <cell r="C253" t="str">
            <v>CERO MATRICULA</v>
          </cell>
          <cell r="D253" t="str">
            <v>ACTIVO</v>
          </cell>
          <cell r="E253" t="str">
            <v>BAX487</v>
          </cell>
          <cell r="F253" t="str">
            <v>FERNANDEZ SANTOS DIEGO ANDREE</v>
          </cell>
          <cell r="G253" t="str">
            <v>FERNANDEZ SANTOS DIEGO ANDREE</v>
          </cell>
          <cell r="H253" t="str">
            <v>77378034</v>
          </cell>
          <cell r="I253" t="str">
            <v>INTERBANK</v>
          </cell>
          <cell r="J253" t="str">
            <v>8983157204795</v>
          </cell>
          <cell r="K253" t="str">
            <v>DNI</v>
          </cell>
          <cell r="L253">
            <v>10773780345</v>
          </cell>
          <cell r="M253" t="str">
            <v>URBANO</v>
          </cell>
          <cell r="N253">
            <v>44466</v>
          </cell>
          <cell r="O253">
            <v>0</v>
          </cell>
          <cell r="P253" t="str">
            <v>LITE</v>
          </cell>
        </row>
        <row r="254">
          <cell r="A254">
            <v>658</v>
          </cell>
          <cell r="B254">
            <v>658</v>
          </cell>
          <cell r="C254" t="str">
            <v>CERO MATRICULA</v>
          </cell>
          <cell r="D254" t="str">
            <v>ACTIVO</v>
          </cell>
          <cell r="E254" t="str">
            <v>BJC358</v>
          </cell>
          <cell r="F254" t="str">
            <v>ROMAN AMANCAY JOSE LUIS</v>
          </cell>
          <cell r="G254" t="str">
            <v>ROMAN AMANCAY JOSE LUIS</v>
          </cell>
          <cell r="H254" t="str">
            <v>48114110</v>
          </cell>
          <cell r="I254" t="str">
            <v>SCOTIABANK</v>
          </cell>
          <cell r="J254">
            <v>1310486400</v>
          </cell>
          <cell r="K254" t="str">
            <v>DNI</v>
          </cell>
          <cell r="L254">
            <v>10481141104</v>
          </cell>
          <cell r="M254" t="str">
            <v>URBANO</v>
          </cell>
          <cell r="N254">
            <v>44464</v>
          </cell>
          <cell r="O254">
            <v>0</v>
          </cell>
          <cell r="P254" t="str">
            <v>COMFORT</v>
          </cell>
        </row>
        <row r="255">
          <cell r="A255">
            <v>659</v>
          </cell>
          <cell r="B255">
            <v>659</v>
          </cell>
          <cell r="C255" t="str">
            <v>CERO MATRICULA</v>
          </cell>
          <cell r="D255" t="str">
            <v>ACTIVO</v>
          </cell>
          <cell r="E255" t="str">
            <v>BUR044</v>
          </cell>
          <cell r="F255" t="str">
            <v>RAMOS MARCELO JORGE LUIS</v>
          </cell>
          <cell r="G255" t="str">
            <v>RAMOS MARCELO JORGE LUIS</v>
          </cell>
          <cell r="H255" t="str">
            <v>09963181</v>
          </cell>
          <cell r="I255" t="str">
            <v>BCP</v>
          </cell>
          <cell r="J255" t="str">
            <v>193-15601213-0-00</v>
          </cell>
          <cell r="K255" t="str">
            <v>DNI</v>
          </cell>
          <cell r="L255">
            <v>10099631819</v>
          </cell>
          <cell r="M255" t="str">
            <v>URBANO</v>
          </cell>
          <cell r="N255">
            <v>44465</v>
          </cell>
          <cell r="O255">
            <v>0</v>
          </cell>
          <cell r="P255" t="str">
            <v>COMFORT XL</v>
          </cell>
        </row>
        <row r="256">
          <cell r="A256">
            <v>660</v>
          </cell>
          <cell r="B256">
            <v>660</v>
          </cell>
          <cell r="C256" t="str">
            <v>CERO MATRICULA</v>
          </cell>
          <cell r="D256" t="str">
            <v>ACTIVO</v>
          </cell>
          <cell r="E256" t="str">
            <v>AWL341</v>
          </cell>
          <cell r="F256" t="str">
            <v>MINAYA ARAUCANO ROMEL ENRIQUE</v>
          </cell>
          <cell r="G256" t="str">
            <v>MINAYA ARAUCANO ROMEL ENRIQUE</v>
          </cell>
          <cell r="H256" t="str">
            <v>07495538</v>
          </cell>
          <cell r="I256" t="str">
            <v>BCP</v>
          </cell>
          <cell r="J256" t="str">
            <v>193-94164548-0-03</v>
          </cell>
          <cell r="K256" t="str">
            <v>DNI</v>
          </cell>
          <cell r="L256">
            <v>10074955385</v>
          </cell>
          <cell r="M256" t="str">
            <v>URBANO</v>
          </cell>
          <cell r="N256">
            <v>44464</v>
          </cell>
          <cell r="O256">
            <v>0</v>
          </cell>
          <cell r="P256" t="str">
            <v>COMFORT</v>
          </cell>
        </row>
        <row r="257">
          <cell r="A257">
            <v>662</v>
          </cell>
          <cell r="B257">
            <v>662</v>
          </cell>
          <cell r="C257" t="str">
            <v>CERO MATRICULA</v>
          </cell>
          <cell r="D257" t="str">
            <v>ACTIVO</v>
          </cell>
          <cell r="E257" t="str">
            <v>BFN095</v>
          </cell>
          <cell r="F257" t="str">
            <v>SURCO QUISPE ODVI EDWARD</v>
          </cell>
          <cell r="G257" t="str">
            <v>SURCO QUISPE ODVI EDWARD</v>
          </cell>
          <cell r="H257" t="str">
            <v>44188466</v>
          </cell>
          <cell r="I257" t="str">
            <v>BCP</v>
          </cell>
          <cell r="J257" t="str">
            <v>194-36203267-0-55</v>
          </cell>
          <cell r="K257" t="str">
            <v>DNI</v>
          </cell>
          <cell r="L257">
            <v>10441884660</v>
          </cell>
          <cell r="M257" t="str">
            <v>URBANO PARTNER</v>
          </cell>
          <cell r="N257">
            <v>44462</v>
          </cell>
          <cell r="O257">
            <v>0</v>
          </cell>
          <cell r="P257" t="str">
            <v>LITE</v>
          </cell>
        </row>
        <row r="258">
          <cell r="A258">
            <v>663</v>
          </cell>
          <cell r="B258">
            <v>663</v>
          </cell>
          <cell r="C258" t="str">
            <v>CERO MATRICULA</v>
          </cell>
          <cell r="D258" t="str">
            <v>ACTIVO</v>
          </cell>
          <cell r="E258" t="str">
            <v>AAE018</v>
          </cell>
          <cell r="F258" t="str">
            <v>ADAMA HUAMAN ALEXANDER GILMER</v>
          </cell>
          <cell r="G258" t="str">
            <v>ADAMA HUAMAN ALEXANDER GILMER</v>
          </cell>
          <cell r="H258" t="str">
            <v>43170143</v>
          </cell>
          <cell r="I258" t="str">
            <v>BBVA</v>
          </cell>
          <cell r="J258" t="str">
            <v>0011-0183-0201042298</v>
          </cell>
          <cell r="K258" t="str">
            <v>DNI</v>
          </cell>
          <cell r="L258">
            <v>10431701435</v>
          </cell>
          <cell r="M258" t="str">
            <v>URBANO</v>
          </cell>
          <cell r="N258">
            <v>44464</v>
          </cell>
          <cell r="O258">
            <v>0</v>
          </cell>
          <cell r="P258" t="str">
            <v>LITE</v>
          </cell>
        </row>
        <row r="259">
          <cell r="A259">
            <v>664</v>
          </cell>
          <cell r="B259">
            <v>664</v>
          </cell>
          <cell r="C259" t="str">
            <v>CERO MATRICULA</v>
          </cell>
          <cell r="D259" t="str">
            <v>ACTIVO</v>
          </cell>
          <cell r="E259" t="str">
            <v>BWP053</v>
          </cell>
          <cell r="F259" t="str">
            <v>LOBATON COELLO ANTHONY GUISEPPE</v>
          </cell>
          <cell r="G259" t="str">
            <v>HUAMAN BELLOTA ANA ROSA</v>
          </cell>
          <cell r="H259">
            <v>46668274</v>
          </cell>
          <cell r="I259" t="str">
            <v>BCP</v>
          </cell>
          <cell r="J259" t="str">
            <v>191-04571163-0-35</v>
          </cell>
          <cell r="K259" t="str">
            <v>DNI</v>
          </cell>
          <cell r="L259">
            <v>10466682743</v>
          </cell>
          <cell r="M259" t="str">
            <v>URBANO</v>
          </cell>
          <cell r="N259">
            <v>44753</v>
          </cell>
          <cell r="O259">
            <v>0</v>
          </cell>
          <cell r="P259" t="str">
            <v>COMFORT XL</v>
          </cell>
        </row>
        <row r="260">
          <cell r="A260">
            <v>666</v>
          </cell>
          <cell r="B260">
            <v>666</v>
          </cell>
          <cell r="C260" t="str">
            <v>CERO MATRICULA</v>
          </cell>
          <cell r="D260" t="str">
            <v>ACTIVO</v>
          </cell>
          <cell r="E260" t="str">
            <v>BAZ575</v>
          </cell>
          <cell r="F260" t="str">
            <v>CHAVEZ HUAMANI JOSE LUIS</v>
          </cell>
          <cell r="G260" t="str">
            <v>CHAVEZ HUAMANI JOSE LUIS</v>
          </cell>
          <cell r="H260" t="str">
            <v>42036847</v>
          </cell>
          <cell r="I260" t="str">
            <v>BCP</v>
          </cell>
          <cell r="J260" t="str">
            <v>192-34743537-0-80</v>
          </cell>
          <cell r="K260"/>
          <cell r="L260">
            <v>10420368475</v>
          </cell>
          <cell r="M260" t="str">
            <v>URBANO</v>
          </cell>
          <cell r="N260" t="str">
            <v>PENDIENTE</v>
          </cell>
          <cell r="O260">
            <v>0</v>
          </cell>
          <cell r="P260" t="str">
            <v>LITE</v>
          </cell>
        </row>
        <row r="261">
          <cell r="A261">
            <v>667</v>
          </cell>
          <cell r="B261">
            <v>667</v>
          </cell>
          <cell r="C261" t="str">
            <v>CERO MATRICULA</v>
          </cell>
          <cell r="D261" t="str">
            <v>ACTIVO</v>
          </cell>
          <cell r="E261" t="str">
            <v>BAV383</v>
          </cell>
          <cell r="F261" t="str">
            <v>ALIAGA MOLINA ALEXIS</v>
          </cell>
          <cell r="G261" t="str">
            <v>ALIAGA MOLINA ALEXIS</v>
          </cell>
          <cell r="H261" t="str">
            <v>09902462</v>
          </cell>
          <cell r="I261" t="str">
            <v>BCP</v>
          </cell>
          <cell r="J261" t="str">
            <v>191-93435770-0-63</v>
          </cell>
          <cell r="K261"/>
          <cell r="L261">
            <v>10099024629</v>
          </cell>
          <cell r="M261" t="str">
            <v>URBANO</v>
          </cell>
          <cell r="N261" t="str">
            <v>PENDIENTE</v>
          </cell>
          <cell r="O261">
            <v>0</v>
          </cell>
          <cell r="P261" t="str">
            <v>LITE</v>
          </cell>
        </row>
        <row r="262">
          <cell r="A262">
            <v>669</v>
          </cell>
          <cell r="B262">
            <v>669</v>
          </cell>
          <cell r="C262" t="str">
            <v>CERO MATRICULA</v>
          </cell>
          <cell r="D262" t="str">
            <v>ACTIVO</v>
          </cell>
          <cell r="E262" t="str">
            <v>BMX523</v>
          </cell>
          <cell r="F262" t="str">
            <v>GRANDEZ HUAMAN FLAVIO JHAN PIERRE</v>
          </cell>
          <cell r="G262" t="str">
            <v>GRANDEZ HUAMAN FLAVIO JHAN PIERRE</v>
          </cell>
          <cell r="H262" t="str">
            <v>46686451</v>
          </cell>
          <cell r="I262" t="str">
            <v>BCP</v>
          </cell>
          <cell r="J262" t="str">
            <v>193-01176421-0-03</v>
          </cell>
          <cell r="K262" t="str">
            <v>DNI</v>
          </cell>
          <cell r="L262">
            <v>10466864515</v>
          </cell>
          <cell r="M262" t="str">
            <v>URBANO</v>
          </cell>
          <cell r="N262" t="str">
            <v>PENDIENTE</v>
          </cell>
          <cell r="O262">
            <v>0</v>
          </cell>
          <cell r="P262" t="str">
            <v>LITE</v>
          </cell>
        </row>
        <row r="263">
          <cell r="A263">
            <v>670</v>
          </cell>
          <cell r="B263">
            <v>670</v>
          </cell>
          <cell r="C263" t="str">
            <v>CERO MATRICULA</v>
          </cell>
          <cell r="D263" t="str">
            <v>ACTIVO</v>
          </cell>
          <cell r="E263" t="str">
            <v>BFB651</v>
          </cell>
          <cell r="F263" t="str">
            <v>GALVEZ RETAMOZO RICARDO JESUS</v>
          </cell>
          <cell r="G263" t="str">
            <v>GALVEZ RETAMOZO RICARDO JESUS</v>
          </cell>
          <cell r="H263" t="str">
            <v>08138064</v>
          </cell>
          <cell r="I263" t="str">
            <v>BCP</v>
          </cell>
          <cell r="J263" t="str">
            <v>194-91614678-0-76</v>
          </cell>
          <cell r="K263"/>
          <cell r="L263">
            <v>10081380649</v>
          </cell>
          <cell r="M263" t="str">
            <v>URBANO</v>
          </cell>
          <cell r="N263" t="str">
            <v>PENDIENTE</v>
          </cell>
          <cell r="O263">
            <v>0</v>
          </cell>
          <cell r="P263" t="str">
            <v>LITE</v>
          </cell>
        </row>
        <row r="264">
          <cell r="A264">
            <v>671</v>
          </cell>
          <cell r="B264">
            <v>671</v>
          </cell>
          <cell r="C264" t="str">
            <v>CERO MATRICULA</v>
          </cell>
          <cell r="D264" t="str">
            <v>ACTIVO</v>
          </cell>
          <cell r="E264" t="str">
            <v>AMZ092</v>
          </cell>
          <cell r="F264" t="str">
            <v>ORBEZO DOMINGUEZ JUAN RUSKIN</v>
          </cell>
          <cell r="G264" t="str">
            <v>ORBEZO DOMIGUEZ JUAN RUSKIN</v>
          </cell>
          <cell r="H264">
            <v>10122034</v>
          </cell>
          <cell r="I264" t="str">
            <v>BBVA</v>
          </cell>
          <cell r="J264" t="str">
            <v>001100570234449169</v>
          </cell>
          <cell r="K264" t="str">
            <v>DNI</v>
          </cell>
          <cell r="L264">
            <v>10101220341</v>
          </cell>
          <cell r="M264" t="str">
            <v>URBANO</v>
          </cell>
          <cell r="N264" t="str">
            <v>PENDIENTE</v>
          </cell>
          <cell r="O264">
            <v>0</v>
          </cell>
          <cell r="P264" t="str">
            <v>LITE</v>
          </cell>
        </row>
        <row r="265">
          <cell r="A265">
            <v>672</v>
          </cell>
          <cell r="B265">
            <v>672</v>
          </cell>
          <cell r="C265" t="str">
            <v>CERO MATRICULA</v>
          </cell>
          <cell r="D265" t="str">
            <v>ACTIVO</v>
          </cell>
          <cell r="E265" t="str">
            <v>D3T677</v>
          </cell>
          <cell r="F265" t="str">
            <v>RODRIGUEZ PEÑA ALBERTO HECTOR</v>
          </cell>
          <cell r="G265" t="str">
            <v>RODRIGUEZ PEÑA ALBERTO HECTOR</v>
          </cell>
          <cell r="H265" t="str">
            <v>08130656</v>
          </cell>
          <cell r="I265" t="str">
            <v>BBVA</v>
          </cell>
          <cell r="J265" t="str">
            <v>00110057760234449037</v>
          </cell>
          <cell r="K265"/>
          <cell r="L265">
            <v>10081306562</v>
          </cell>
          <cell r="M265" t="str">
            <v>URBANO</v>
          </cell>
          <cell r="N265" t="str">
            <v>PENDIENTE</v>
          </cell>
          <cell r="O265">
            <v>0</v>
          </cell>
          <cell r="P265" t="str">
            <v>LITE</v>
          </cell>
        </row>
        <row r="266">
          <cell r="A266">
            <v>673</v>
          </cell>
          <cell r="B266">
            <v>673</v>
          </cell>
          <cell r="C266" t="str">
            <v>CERO MATRICULA</v>
          </cell>
          <cell r="D266" t="str">
            <v>ACTIVO</v>
          </cell>
          <cell r="E266" t="str">
            <v>AUO087</v>
          </cell>
          <cell r="F266" t="str">
            <v>SANCHEZ ESPINOZA CARLOS HENRY</v>
          </cell>
          <cell r="G266" t="str">
            <v>SANCHEZ ESPINOZA CARLOS HENRY</v>
          </cell>
          <cell r="H266">
            <v>40687262</v>
          </cell>
          <cell r="I266" t="str">
            <v>INTERBANK</v>
          </cell>
          <cell r="J266" t="str">
            <v>0893097394198</v>
          </cell>
          <cell r="K266" t="str">
            <v>DNI</v>
          </cell>
          <cell r="L266">
            <v>10406872624</v>
          </cell>
          <cell r="M266" t="str">
            <v>URBANO</v>
          </cell>
          <cell r="N266" t="str">
            <v>PENDIENTE</v>
          </cell>
          <cell r="O266">
            <v>0</v>
          </cell>
          <cell r="P266" t="str">
            <v>LITE</v>
          </cell>
        </row>
        <row r="267">
          <cell r="A267">
            <v>674</v>
          </cell>
          <cell r="B267">
            <v>674</v>
          </cell>
          <cell r="C267" t="str">
            <v>CERO MATRICULA</v>
          </cell>
          <cell r="D267" t="str">
            <v>ACTIVO</v>
          </cell>
          <cell r="E267" t="str">
            <v>AJN307</v>
          </cell>
          <cell r="F267" t="str">
            <v>SANTIAGO PALOMINO ALCIDES</v>
          </cell>
          <cell r="G267" t="str">
            <v>JARAMILLO CAMPAÑA NANCY</v>
          </cell>
          <cell r="H267" t="str">
            <v>00246466</v>
          </cell>
          <cell r="I267" t="str">
            <v>BCP</v>
          </cell>
          <cell r="J267" t="str">
            <v>191-29288622-0-65</v>
          </cell>
          <cell r="K267" t="str">
            <v>DNI</v>
          </cell>
          <cell r="L267">
            <v>10002464662</v>
          </cell>
          <cell r="M267" t="str">
            <v>URBANO</v>
          </cell>
          <cell r="N267">
            <v>45075</v>
          </cell>
          <cell r="O267">
            <v>0</v>
          </cell>
          <cell r="P267" t="str">
            <v>LITE</v>
          </cell>
        </row>
        <row r="268">
          <cell r="A268">
            <v>675</v>
          </cell>
          <cell r="B268">
            <v>675</v>
          </cell>
          <cell r="C268" t="str">
            <v>CERO MATRICULA</v>
          </cell>
          <cell r="D268" t="str">
            <v>ACTIVO</v>
          </cell>
          <cell r="E268" t="str">
            <v>AVE066</v>
          </cell>
          <cell r="F268" t="str">
            <v>LOPEZ PASTOR  ARISTIDES</v>
          </cell>
          <cell r="G268" t="str">
            <v>LOPEZ PASTOR ARISTIDES</v>
          </cell>
          <cell r="H268" t="str">
            <v>08721994</v>
          </cell>
          <cell r="I268" t="str">
            <v>BCP</v>
          </cell>
          <cell r="J268" t="str">
            <v>192-90462195-0-52</v>
          </cell>
          <cell r="K268"/>
          <cell r="L268">
            <v>10087219947</v>
          </cell>
          <cell r="M268" t="str">
            <v>URBANO</v>
          </cell>
          <cell r="N268" t="str">
            <v>PENDIENTE</v>
          </cell>
          <cell r="O268">
            <v>0</v>
          </cell>
          <cell r="P268" t="str">
            <v>LITE</v>
          </cell>
        </row>
        <row r="269">
          <cell r="A269">
            <v>676</v>
          </cell>
          <cell r="B269">
            <v>676</v>
          </cell>
          <cell r="C269" t="str">
            <v>CERO MATRICULA</v>
          </cell>
          <cell r="D269" t="str">
            <v>ACTIVO</v>
          </cell>
          <cell r="E269" t="str">
            <v>BAW250</v>
          </cell>
          <cell r="F269" t="str">
            <v>SARMIENTO CORDOVA WILMER JACINTO</v>
          </cell>
          <cell r="G269" t="str">
            <v>Luis sarmiento Vidal</v>
          </cell>
          <cell r="H269" t="str">
            <v>09437968</v>
          </cell>
          <cell r="I269" t="str">
            <v>BCP</v>
          </cell>
          <cell r="J269" t="str">
            <v>191-28542489-0-95</v>
          </cell>
          <cell r="K269" t="str">
            <v>DNI</v>
          </cell>
          <cell r="L269">
            <v>10094379682</v>
          </cell>
          <cell r="M269" t="str">
            <v>URBANO PARTNER</v>
          </cell>
          <cell r="N269">
            <v>44760</v>
          </cell>
          <cell r="O269">
            <v>0</v>
          </cell>
          <cell r="P269" t="str">
            <v>COMFORT XL</v>
          </cell>
        </row>
        <row r="270">
          <cell r="A270">
            <v>677</v>
          </cell>
          <cell r="B270">
            <v>677</v>
          </cell>
          <cell r="C270" t="str">
            <v>CERO MATRICULA</v>
          </cell>
          <cell r="D270" t="str">
            <v>ACTIVO</v>
          </cell>
          <cell r="E270" t="str">
            <v>ARO168</v>
          </cell>
          <cell r="F270" t="str">
            <v>VILLOSLADA MONDRAGON HERMINIO</v>
          </cell>
          <cell r="G270" t="str">
            <v>VILLOSLADA MONDRAGON HERMINIO</v>
          </cell>
          <cell r="H270" t="str">
            <v>41712036</v>
          </cell>
          <cell r="I270" t="str">
            <v>BCP</v>
          </cell>
          <cell r="J270" t="str">
            <v>192-91678007-0-45</v>
          </cell>
          <cell r="K270" t="str">
            <v>DNI</v>
          </cell>
          <cell r="L270">
            <v>10417120365</v>
          </cell>
          <cell r="M270" t="str">
            <v>AEROPUERTO</v>
          </cell>
          <cell r="N270" t="str">
            <v>PENDIENTE</v>
          </cell>
          <cell r="O270">
            <v>235</v>
          </cell>
          <cell r="P270" t="str">
            <v>COMFORT XL</v>
          </cell>
        </row>
        <row r="271">
          <cell r="A271">
            <v>678</v>
          </cell>
          <cell r="B271">
            <v>678</v>
          </cell>
          <cell r="C271" t="str">
            <v>CERO MATRICULA</v>
          </cell>
          <cell r="D271" t="str">
            <v>ACTIVO</v>
          </cell>
          <cell r="E271" t="str">
            <v>BXS416</v>
          </cell>
          <cell r="F271" t="str">
            <v>BEGAZO LAYNES ENRIQUE ELIAS</v>
          </cell>
          <cell r="G271" t="str">
            <v>BEGAZO LAYNES ENRIQUE ELIAS</v>
          </cell>
          <cell r="H271" t="str">
            <v>09486566</v>
          </cell>
          <cell r="I271" t="str">
            <v>BCP</v>
          </cell>
          <cell r="J271" t="str">
            <v>191-39304808-0-25</v>
          </cell>
          <cell r="K271" t="str">
            <v>DNI</v>
          </cell>
          <cell r="L271">
            <v>15157902293</v>
          </cell>
          <cell r="M271" t="str">
            <v>URBANO</v>
          </cell>
          <cell r="N271" t="str">
            <v>PENDIENTE</v>
          </cell>
          <cell r="O271">
            <v>0</v>
          </cell>
          <cell r="P271" t="str">
            <v>COMFORT</v>
          </cell>
        </row>
        <row r="272">
          <cell r="A272">
            <v>679</v>
          </cell>
          <cell r="B272">
            <v>679</v>
          </cell>
          <cell r="C272" t="str">
            <v>CERO MATRICULA</v>
          </cell>
          <cell r="D272" t="str">
            <v>ACTIVO</v>
          </cell>
          <cell r="E272" t="str">
            <v>W3J514</v>
          </cell>
          <cell r="F272" t="str">
            <v>MORAN MORY ALEJANDRO ENRIQUE</v>
          </cell>
          <cell r="G272" t="str">
            <v>QUEZADA GUERRERO ROSA MERCEDES</v>
          </cell>
          <cell r="H272" t="str">
            <v>43182979</v>
          </cell>
          <cell r="I272" t="str">
            <v>BCP</v>
          </cell>
          <cell r="J272" t="str">
            <v>193-40166123-0-40</v>
          </cell>
          <cell r="K272"/>
          <cell r="L272">
            <v>10431829792</v>
          </cell>
          <cell r="M272" t="str">
            <v>AEROPUERTO</v>
          </cell>
          <cell r="N272" t="str">
            <v>PENDIENTE</v>
          </cell>
          <cell r="O272">
            <v>265</v>
          </cell>
          <cell r="P272" t="str">
            <v>LITE</v>
          </cell>
        </row>
        <row r="273">
          <cell r="A273">
            <v>680</v>
          </cell>
          <cell r="B273">
            <v>680</v>
          </cell>
          <cell r="C273" t="str">
            <v>CERO MATRICULA</v>
          </cell>
          <cell r="D273" t="str">
            <v>ACTIVO</v>
          </cell>
          <cell r="E273" t="str">
            <v>BDD546</v>
          </cell>
          <cell r="F273" t="str">
            <v>CORI LORENZO JUAN CARLOS</v>
          </cell>
          <cell r="G273" t="str">
            <v>CORI LORENZO JUAN CARLOS</v>
          </cell>
          <cell r="H273" t="str">
            <v>43827079</v>
          </cell>
          <cell r="I273" t="str">
            <v>BBVA</v>
          </cell>
          <cell r="J273" t="str">
            <v>001100570234449606</v>
          </cell>
          <cell r="K273" t="str">
            <v>DNI</v>
          </cell>
          <cell r="L273">
            <v>10438270791</v>
          </cell>
          <cell r="M273" t="str">
            <v>URBANO</v>
          </cell>
          <cell r="N273" t="str">
            <v>PENDIENTE</v>
          </cell>
          <cell r="O273">
            <v>0</v>
          </cell>
          <cell r="P273" t="str">
            <v>COMFORT</v>
          </cell>
        </row>
        <row r="274">
          <cell r="A274">
            <v>684</v>
          </cell>
          <cell r="B274">
            <v>684</v>
          </cell>
          <cell r="C274" t="str">
            <v>CERO MATRICULA</v>
          </cell>
          <cell r="D274" t="str">
            <v>ACTIVO</v>
          </cell>
          <cell r="E274" t="str">
            <v>BBV473</v>
          </cell>
          <cell r="F274" t="str">
            <v>CISNEROS RODRIGUEZ MARIO ENRIQUE</v>
          </cell>
          <cell r="G274" t="str">
            <v>CISNEROS RODRIGUEZ MARIO ENRIQUE</v>
          </cell>
          <cell r="H274" t="str">
            <v>41447473</v>
          </cell>
          <cell r="I274" t="str">
            <v>BCP</v>
          </cell>
          <cell r="J274" t="str">
            <v>19192158694087</v>
          </cell>
          <cell r="K274" t="str">
            <v>DNI</v>
          </cell>
          <cell r="L274">
            <v>10414474735</v>
          </cell>
          <cell r="M274" t="str">
            <v>URBANO</v>
          </cell>
          <cell r="N274" t="str">
            <v>PENDIENTE</v>
          </cell>
          <cell r="O274">
            <v>0</v>
          </cell>
          <cell r="P274" t="str">
            <v>COMFORT XL</v>
          </cell>
        </row>
        <row r="275">
          <cell r="A275">
            <v>687</v>
          </cell>
          <cell r="B275">
            <v>687</v>
          </cell>
          <cell r="C275" t="str">
            <v>CERO MATRICULA</v>
          </cell>
          <cell r="D275" t="str">
            <v>ACTIVO</v>
          </cell>
          <cell r="E275" t="str">
            <v>BPG470</v>
          </cell>
          <cell r="F275" t="str">
            <v>BEGAZO ASPILLAGA ALFREDO ENRIQUE</v>
          </cell>
          <cell r="G275" t="str">
            <v>BEGAZO ASPILLAGA ALFREDO</v>
          </cell>
          <cell r="H275" t="str">
            <v>10793002</v>
          </cell>
          <cell r="I275" t="str">
            <v>BCP</v>
          </cell>
          <cell r="J275" t="str">
            <v>193-11765683-0-26</v>
          </cell>
          <cell r="K275"/>
          <cell r="L275">
            <v>10107930022</v>
          </cell>
          <cell r="M275" t="str">
            <v>URBANO</v>
          </cell>
          <cell r="N275" t="str">
            <v>PENDIENTE</v>
          </cell>
          <cell r="O275">
            <v>0</v>
          </cell>
          <cell r="P275" t="str">
            <v>XL</v>
          </cell>
        </row>
        <row r="276">
          <cell r="A276">
            <v>688</v>
          </cell>
          <cell r="B276">
            <v>688</v>
          </cell>
          <cell r="C276" t="str">
            <v>CERO MATRICULA</v>
          </cell>
          <cell r="D276" t="str">
            <v>ACTIVO</v>
          </cell>
          <cell r="E276" t="str">
            <v>BLJ032</v>
          </cell>
          <cell r="F276" t="str">
            <v>RODRIGUEZ SINARAHUA REMBERTO ARTURO</v>
          </cell>
          <cell r="G276" t="str">
            <v>RODRIGUEZ SINARAHUA REMBERTO ARTURO</v>
          </cell>
          <cell r="H276" t="str">
            <v>07501670</v>
          </cell>
          <cell r="I276" t="str">
            <v>BCP</v>
          </cell>
          <cell r="J276" t="str">
            <v>191-35207604-0-35</v>
          </cell>
          <cell r="K276" t="str">
            <v>DNI</v>
          </cell>
          <cell r="L276">
            <v>10075016706</v>
          </cell>
          <cell r="M276" t="str">
            <v>URBANO</v>
          </cell>
          <cell r="N276" t="str">
            <v>PENDIENTE</v>
          </cell>
          <cell r="O276">
            <v>0</v>
          </cell>
          <cell r="P276" t="str">
            <v>XL</v>
          </cell>
        </row>
        <row r="277">
          <cell r="A277">
            <v>689</v>
          </cell>
          <cell r="B277">
            <v>689</v>
          </cell>
          <cell r="C277" t="str">
            <v>CERO MATRICULA</v>
          </cell>
          <cell r="D277" t="str">
            <v>ACTIVO</v>
          </cell>
          <cell r="E277" t="str">
            <v>BLE041</v>
          </cell>
          <cell r="F277" t="str">
            <v>GARCIA AREVALO CHRISTIAN</v>
          </cell>
          <cell r="G277" t="str">
            <v>GARCIA AREVALO CHRISTIAN</v>
          </cell>
          <cell r="H277" t="str">
            <v>41200767</v>
          </cell>
          <cell r="I277" t="str">
            <v>BCP</v>
          </cell>
          <cell r="J277" t="str">
            <v>194-92882249-0-51</v>
          </cell>
          <cell r="K277" t="str">
            <v>DNI</v>
          </cell>
          <cell r="L277">
            <v>10412007676</v>
          </cell>
          <cell r="M277" t="str">
            <v>URBANO</v>
          </cell>
          <cell r="N277" t="str">
            <v>PENDIENTE</v>
          </cell>
          <cell r="O277">
            <v>0</v>
          </cell>
          <cell r="P277" t="str">
            <v>COMFORT</v>
          </cell>
        </row>
        <row r="278">
          <cell r="A278">
            <v>690</v>
          </cell>
          <cell r="B278">
            <v>690</v>
          </cell>
          <cell r="C278" t="str">
            <v>CERO MATRICULA</v>
          </cell>
          <cell r="D278" t="str">
            <v>ACTIVO</v>
          </cell>
          <cell r="E278" t="str">
            <v>ASF190</v>
          </cell>
          <cell r="F278" t="str">
            <v>ANYOSA PEREZ DE VELAZCO JULIO CESAR</v>
          </cell>
          <cell r="G278" t="str">
            <v>ANYOSA CORNEJO JULIO VICENTE</v>
          </cell>
          <cell r="H278" t="str">
            <v>10110365</v>
          </cell>
          <cell r="I278" t="str">
            <v>INTERBANK</v>
          </cell>
          <cell r="J278" t="str">
            <v>1393047861646</v>
          </cell>
          <cell r="K278" t="str">
            <v>DNI</v>
          </cell>
          <cell r="L278">
            <v>10101103655</v>
          </cell>
          <cell r="M278" t="str">
            <v>AEROPUERTO</v>
          </cell>
          <cell r="N278">
            <v>44830</v>
          </cell>
          <cell r="O278">
            <v>240</v>
          </cell>
          <cell r="P278" t="str">
            <v>XL</v>
          </cell>
        </row>
        <row r="279">
          <cell r="A279">
            <v>691</v>
          </cell>
          <cell r="B279">
            <v>691</v>
          </cell>
          <cell r="C279" t="str">
            <v>CERO MATRICULA</v>
          </cell>
          <cell r="D279" t="str">
            <v>ACTIVO</v>
          </cell>
          <cell r="E279" t="str">
            <v>AMD477</v>
          </cell>
          <cell r="F279" t="str">
            <v>ZAMORA HINOSTROZA EDUARDO</v>
          </cell>
          <cell r="G279" t="str">
            <v>ZAMORA HINOSTROZA EDUARDO</v>
          </cell>
          <cell r="H279" t="str">
            <v>10684192</v>
          </cell>
          <cell r="I279" t="str">
            <v>BCP</v>
          </cell>
          <cell r="J279" t="str">
            <v>191-904826260-90</v>
          </cell>
          <cell r="K279" t="str">
            <v>DNI</v>
          </cell>
          <cell r="L279">
            <v>10106841921</v>
          </cell>
          <cell r="M279" t="str">
            <v>URBANO</v>
          </cell>
          <cell r="N279">
            <v>44844</v>
          </cell>
          <cell r="O279">
            <v>0</v>
          </cell>
          <cell r="P279" t="str">
            <v>COMFORT</v>
          </cell>
        </row>
        <row r="280">
          <cell r="A280">
            <v>692</v>
          </cell>
          <cell r="B280">
            <v>692</v>
          </cell>
          <cell r="C280" t="str">
            <v>CERO MATRICULA</v>
          </cell>
          <cell r="D280" t="str">
            <v>ACTIVO</v>
          </cell>
          <cell r="E280" t="str">
            <v>BER310</v>
          </cell>
          <cell r="F280" t="str">
            <v>ORDOÑEZ CORDOVA MARCO ANTONIO</v>
          </cell>
          <cell r="G280" t="str">
            <v>ORDOÑEZ CORDOVA MARCO ANTONIO</v>
          </cell>
          <cell r="H280" t="str">
            <v>09631848</v>
          </cell>
          <cell r="I280" t="str">
            <v>SCOTIABANK</v>
          </cell>
          <cell r="J280" t="str">
            <v>013-0713183</v>
          </cell>
          <cell r="K280" t="str">
            <v>DNI</v>
          </cell>
          <cell r="L280">
            <v>10096318486</v>
          </cell>
          <cell r="M280" t="str">
            <v>URBANO</v>
          </cell>
          <cell r="N280">
            <v>45068</v>
          </cell>
          <cell r="O280">
            <v>0</v>
          </cell>
          <cell r="P280" t="str">
            <v>COMFORT XL</v>
          </cell>
        </row>
        <row r="281">
          <cell r="A281">
            <v>693</v>
          </cell>
          <cell r="B281">
            <v>693</v>
          </cell>
          <cell r="C281" t="str">
            <v>CERO MATRICULA</v>
          </cell>
          <cell r="D281" t="str">
            <v>ACTIVO</v>
          </cell>
          <cell r="E281" t="str">
            <v>BMZ099</v>
          </cell>
          <cell r="F281" t="str">
            <v>RENDON SANCHEZ JAIME RAUL</v>
          </cell>
          <cell r="G281" t="str">
            <v>RENDON SANCHEZ JAIME RAUL</v>
          </cell>
          <cell r="H281" t="str">
            <v>08407338</v>
          </cell>
          <cell r="I281" t="str">
            <v>BCP</v>
          </cell>
          <cell r="J281" t="str">
            <v>19300641944027</v>
          </cell>
          <cell r="K281" t="str">
            <v>DNI</v>
          </cell>
          <cell r="L281">
            <v>10084073381</v>
          </cell>
          <cell r="M281" t="str">
            <v>URBANO</v>
          </cell>
          <cell r="N281" t="str">
            <v>PENDIENTE</v>
          </cell>
          <cell r="O281">
            <v>0</v>
          </cell>
          <cell r="P281" t="str">
            <v>COMFORT XL</v>
          </cell>
        </row>
        <row r="282">
          <cell r="A282">
            <v>696</v>
          </cell>
          <cell r="B282">
            <v>696</v>
          </cell>
          <cell r="C282" t="str">
            <v>CERO MATRICULA</v>
          </cell>
          <cell r="D282" t="str">
            <v>ACTIVO</v>
          </cell>
          <cell r="E282" t="str">
            <v>BWD675</v>
          </cell>
          <cell r="F282" t="str">
            <v>CARHUARICRA ALEJO RAUL JAIME</v>
          </cell>
          <cell r="G282" t="str">
            <v>CARHUARICRA ALEJO RAUL JAIME</v>
          </cell>
          <cell r="H282" t="str">
            <v>46303243</v>
          </cell>
          <cell r="I282" t="str">
            <v>BCP</v>
          </cell>
          <cell r="J282" t="str">
            <v>191-96721463-0-45</v>
          </cell>
          <cell r="K282" t="str">
            <v>DNI</v>
          </cell>
          <cell r="L282">
            <v>10463032438</v>
          </cell>
          <cell r="M282" t="str">
            <v>URBANO</v>
          </cell>
          <cell r="N282">
            <v>45131</v>
          </cell>
          <cell r="O282">
            <v>0</v>
          </cell>
          <cell r="P282" t="str">
            <v>LITE</v>
          </cell>
        </row>
        <row r="283">
          <cell r="A283">
            <v>697</v>
          </cell>
          <cell r="B283">
            <v>697</v>
          </cell>
          <cell r="C283" t="str">
            <v>CERO MATRICULA</v>
          </cell>
          <cell r="D283" t="str">
            <v>ACTIVO</v>
          </cell>
          <cell r="E283" t="str">
            <v>AYO611</v>
          </cell>
          <cell r="F283" t="str">
            <v>GUILLERMO RODRIGUEZ FRANK ANGEL</v>
          </cell>
          <cell r="G283" t="str">
            <v>GUILLERMO RODRIGUEZ FRANK ANGEL</v>
          </cell>
          <cell r="H283">
            <v>44899558</v>
          </cell>
          <cell r="I283" t="str">
            <v>SCOTIABANK</v>
          </cell>
          <cell r="J283">
            <v>1240195659</v>
          </cell>
          <cell r="K283" t="str">
            <v>DNI</v>
          </cell>
          <cell r="L283">
            <v>10448995581</v>
          </cell>
          <cell r="M283" t="str">
            <v>URBANO</v>
          </cell>
          <cell r="N283">
            <v>44486</v>
          </cell>
          <cell r="O283">
            <v>0</v>
          </cell>
          <cell r="P283" t="str">
            <v>LITE</v>
          </cell>
        </row>
        <row r="284">
          <cell r="A284">
            <v>701</v>
          </cell>
          <cell r="B284">
            <v>701</v>
          </cell>
          <cell r="C284" t="str">
            <v>CERO MATRICULA</v>
          </cell>
          <cell r="D284" t="str">
            <v>ACTIVO</v>
          </cell>
          <cell r="E284" t="str">
            <v>BUL436</v>
          </cell>
          <cell r="F284" t="str">
            <v>MORA HERNANDEZ DOLIANA DEL CARMEN</v>
          </cell>
          <cell r="G284" t="str">
            <v>MORA HERNANDEZ DOLIANA DEL CARMEN</v>
          </cell>
          <cell r="H284" t="str">
            <v>005456508</v>
          </cell>
          <cell r="I284" t="str">
            <v>INTERBANK</v>
          </cell>
          <cell r="J284" t="str">
            <v>200-3308475692</v>
          </cell>
          <cell r="K284" t="str">
            <v>CE</v>
          </cell>
          <cell r="L284">
            <v>15602777836</v>
          </cell>
          <cell r="M284" t="str">
            <v>AEROPUERTO</v>
          </cell>
          <cell r="N284">
            <v>44876</v>
          </cell>
          <cell r="O284">
            <v>265</v>
          </cell>
          <cell r="P284" t="str">
            <v>LITE</v>
          </cell>
        </row>
        <row r="285">
          <cell r="A285">
            <v>702</v>
          </cell>
          <cell r="B285">
            <v>702</v>
          </cell>
          <cell r="C285" t="str">
            <v>CERO MATRICULA</v>
          </cell>
          <cell r="D285" t="str">
            <v>ACTIVO</v>
          </cell>
          <cell r="E285" t="str">
            <v>F6H356</v>
          </cell>
          <cell r="F285" t="str">
            <v>CASTILLO NORATO PEDRO PABLO</v>
          </cell>
          <cell r="G285" t="str">
            <v>CASTILLO NORATO PEDRO PABLO</v>
          </cell>
          <cell r="H285" t="str">
            <v>003036235</v>
          </cell>
          <cell r="I285" t="str">
            <v>BCP</v>
          </cell>
          <cell r="J285" t="str">
            <v>192-73969870-0-37</v>
          </cell>
          <cell r="K285" t="str">
            <v>CE</v>
          </cell>
          <cell r="L285">
            <v>15604643136</v>
          </cell>
          <cell r="M285" t="str">
            <v>AEROPUERTO</v>
          </cell>
          <cell r="N285">
            <v>44867</v>
          </cell>
          <cell r="O285">
            <v>265</v>
          </cell>
          <cell r="P285" t="str">
            <v>LITE</v>
          </cell>
        </row>
        <row r="286">
          <cell r="A286">
            <v>703</v>
          </cell>
          <cell r="B286">
            <v>703</v>
          </cell>
          <cell r="C286" t="str">
            <v>CERO MATRICULA</v>
          </cell>
          <cell r="D286" t="str">
            <v>ACTIVO</v>
          </cell>
          <cell r="E286" t="str">
            <v>M4K025</v>
          </cell>
          <cell r="F286" t="str">
            <v>CASTELLANO URBINA JONATHAN HARRY</v>
          </cell>
          <cell r="G286" t="str">
            <v>CASTELLANO URBINA JONATHAN HARRY</v>
          </cell>
          <cell r="H286" t="str">
            <v>004277255</v>
          </cell>
          <cell r="I286" t="str">
            <v>BCP</v>
          </cell>
          <cell r="J286" t="str">
            <v>191-94193844-0-95</v>
          </cell>
          <cell r="K286" t="str">
            <v>CE</v>
          </cell>
          <cell r="L286">
            <v>15604611013</v>
          </cell>
          <cell r="M286" t="str">
            <v>AEROPUERTO</v>
          </cell>
          <cell r="N286">
            <v>44887</v>
          </cell>
          <cell r="O286">
            <v>265</v>
          </cell>
          <cell r="P286" t="str">
            <v>LITE</v>
          </cell>
        </row>
        <row r="287">
          <cell r="A287">
            <v>704</v>
          </cell>
          <cell r="B287">
            <v>704</v>
          </cell>
          <cell r="C287" t="str">
            <v>CERO MATRICULA</v>
          </cell>
          <cell r="D287" t="str">
            <v>ACTIVO</v>
          </cell>
          <cell r="E287" t="str">
            <v>BTY339</v>
          </cell>
          <cell r="F287" t="str">
            <v>PORRO MAGALLANES JORGE ARMANDO</v>
          </cell>
          <cell r="G287" t="str">
            <v>PORRO MAGALLANES JORGE ARMANDO</v>
          </cell>
          <cell r="H287" t="str">
            <v>45490548</v>
          </cell>
          <cell r="I287" t="str">
            <v>BCP</v>
          </cell>
          <cell r="J287" t="str">
            <v>191-73816628-0-48</v>
          </cell>
          <cell r="K287" t="str">
            <v>DNI</v>
          </cell>
          <cell r="L287">
            <v>10454905488</v>
          </cell>
          <cell r="M287" t="str">
            <v>URBANO</v>
          </cell>
          <cell r="N287">
            <v>44887</v>
          </cell>
          <cell r="O287">
            <v>0</v>
          </cell>
          <cell r="P287" t="str">
            <v>LITE</v>
          </cell>
        </row>
        <row r="288">
          <cell r="A288">
            <v>705</v>
          </cell>
          <cell r="B288">
            <v>705</v>
          </cell>
          <cell r="C288" t="str">
            <v>CERO MATRICULA</v>
          </cell>
          <cell r="D288" t="str">
            <v>ACTIVO</v>
          </cell>
          <cell r="E288" t="str">
            <v>V8N156</v>
          </cell>
          <cell r="F288" t="str">
            <v xml:space="preserve">LOPEZ  JOSE FRANCISCO </v>
          </cell>
          <cell r="G288" t="str">
            <v xml:space="preserve">LOPEZ  JOSE FRANCISCO </v>
          </cell>
          <cell r="H288" t="str">
            <v>003390965</v>
          </cell>
          <cell r="I288" t="str">
            <v>INTERBANK</v>
          </cell>
          <cell r="J288" t="str">
            <v>1083-196324973</v>
          </cell>
          <cell r="K288" t="str">
            <v>CE</v>
          </cell>
          <cell r="L288">
            <v>15607119519</v>
          </cell>
          <cell r="M288" t="str">
            <v>URBANO</v>
          </cell>
          <cell r="N288">
            <v>44887</v>
          </cell>
          <cell r="O288">
            <v>0</v>
          </cell>
          <cell r="P288" t="str">
            <v>LITE</v>
          </cell>
        </row>
        <row r="289">
          <cell r="A289">
            <v>706</v>
          </cell>
          <cell r="B289">
            <v>706</v>
          </cell>
          <cell r="C289" t="str">
            <v>CERO MATRICULA</v>
          </cell>
          <cell r="D289" t="str">
            <v>ACTIVO</v>
          </cell>
          <cell r="E289" t="str">
            <v>BSU312</v>
          </cell>
          <cell r="F289" t="str">
            <v xml:space="preserve">CUADROS  FLORES LUIS ANTONIO </v>
          </cell>
          <cell r="G289" t="str">
            <v xml:space="preserve">CUADROS  FLORES LUIS ANTONIO </v>
          </cell>
          <cell r="H289" t="str">
            <v>25732755</v>
          </cell>
          <cell r="I289" t="str">
            <v>INTERBANK</v>
          </cell>
          <cell r="J289" t="str">
            <v>898-3329197290</v>
          </cell>
          <cell r="K289" t="str">
            <v>DNI</v>
          </cell>
          <cell r="L289">
            <v>10257327553</v>
          </cell>
          <cell r="M289" t="str">
            <v>AEROPUERTO</v>
          </cell>
          <cell r="N289">
            <v>44889</v>
          </cell>
          <cell r="O289">
            <v>235</v>
          </cell>
          <cell r="P289" t="str">
            <v>COMFORT XL</v>
          </cell>
        </row>
        <row r="290">
          <cell r="A290">
            <v>707</v>
          </cell>
          <cell r="B290">
            <v>707</v>
          </cell>
          <cell r="C290" t="str">
            <v>CERO MATRICULA</v>
          </cell>
          <cell r="D290" t="str">
            <v>ACTIVO</v>
          </cell>
          <cell r="E290" t="str">
            <v>BNV261</v>
          </cell>
          <cell r="F290" t="str">
            <v>RIVERA MONTENEGRO SIXTO</v>
          </cell>
          <cell r="G290" t="str">
            <v>RIVERA MONTENEGRO SIXTO</v>
          </cell>
          <cell r="H290" t="str">
            <v>09009362</v>
          </cell>
          <cell r="I290" t="str">
            <v>BCP</v>
          </cell>
          <cell r="J290" t="str">
            <v>192-29255152-0-57</v>
          </cell>
          <cell r="K290" t="str">
            <v>DNI</v>
          </cell>
          <cell r="L290">
            <v>10090093628</v>
          </cell>
          <cell r="M290" t="str">
            <v>AEROPUERTO</v>
          </cell>
          <cell r="N290">
            <v>44893</v>
          </cell>
          <cell r="O290">
            <v>240</v>
          </cell>
          <cell r="P290" t="str">
            <v>COMFORT</v>
          </cell>
        </row>
        <row r="291">
          <cell r="A291">
            <v>708</v>
          </cell>
          <cell r="B291">
            <v>708</v>
          </cell>
          <cell r="C291" t="str">
            <v>CERO MATRICULA</v>
          </cell>
          <cell r="D291" t="str">
            <v>ACTIVO</v>
          </cell>
          <cell r="E291" t="str">
            <v xml:space="preserve">F9L349 </v>
          </cell>
          <cell r="F291" t="str">
            <v>OBLITAS ESTELA  EBER</v>
          </cell>
          <cell r="G291" t="str">
            <v>OBLITAS ESTELA  EBER</v>
          </cell>
          <cell r="H291" t="str">
            <v>43377504</v>
          </cell>
          <cell r="I291" t="str">
            <v>BCP</v>
          </cell>
          <cell r="J291" t="str">
            <v>191-35903445-0-04</v>
          </cell>
          <cell r="K291" t="str">
            <v>DNI</v>
          </cell>
          <cell r="L291">
            <v>10433775045</v>
          </cell>
          <cell r="M291" t="str">
            <v>AEROPUERTO</v>
          </cell>
          <cell r="N291">
            <v>44893</v>
          </cell>
          <cell r="O291">
            <v>235</v>
          </cell>
          <cell r="P291" t="str">
            <v>COMFORT XL</v>
          </cell>
        </row>
        <row r="292">
          <cell r="A292">
            <v>709</v>
          </cell>
          <cell r="B292">
            <v>709</v>
          </cell>
          <cell r="C292" t="str">
            <v>CERO MATRICULA</v>
          </cell>
          <cell r="D292" t="str">
            <v>ACTIVO</v>
          </cell>
          <cell r="E292" t="str">
            <v>CCN312</v>
          </cell>
          <cell r="F292" t="str">
            <v>FOLLEGATTI GOPIA WUINBERR DAFNI</v>
          </cell>
          <cell r="G292" t="str">
            <v>FOLLEGATTI GOPIA WUINBERR DAFNI</v>
          </cell>
          <cell r="H292" t="str">
            <v>07458912</v>
          </cell>
          <cell r="I292" t="str">
            <v>BBVA</v>
          </cell>
          <cell r="J292" t="str">
            <v>0011-0814-0225706749</v>
          </cell>
          <cell r="K292" t="str">
            <v>DNI</v>
          </cell>
          <cell r="L292">
            <v>10074589125</v>
          </cell>
          <cell r="M292" t="str">
            <v>AEROLINEAS</v>
          </cell>
          <cell r="N292">
            <v>44901</v>
          </cell>
          <cell r="O292">
            <v>0</v>
          </cell>
          <cell r="P292" t="str">
            <v>COMFORT XL</v>
          </cell>
        </row>
        <row r="293">
          <cell r="A293">
            <v>710</v>
          </cell>
          <cell r="B293">
            <v>710</v>
          </cell>
          <cell r="C293" t="str">
            <v>CERO MATRICULA</v>
          </cell>
          <cell r="D293" t="str">
            <v>ACTIVO</v>
          </cell>
          <cell r="E293" t="str">
            <v xml:space="preserve">Z6M526 </v>
          </cell>
          <cell r="F293" t="str">
            <v>BECERRA CUBA RONALD JOSE</v>
          </cell>
          <cell r="G293" t="str">
            <v>BECERRA CUBA RONALD JOSE</v>
          </cell>
          <cell r="H293" t="str">
            <v>001845942</v>
          </cell>
          <cell r="I293" t="str">
            <v>BCP</v>
          </cell>
          <cell r="J293" t="str">
            <v>191-02958338-0-18</v>
          </cell>
          <cell r="K293" t="str">
            <v>CE</v>
          </cell>
          <cell r="L293">
            <v>15610402663</v>
          </cell>
          <cell r="M293" t="str">
            <v>URBANO</v>
          </cell>
          <cell r="N293">
            <v>44908</v>
          </cell>
          <cell r="O293">
            <v>0</v>
          </cell>
          <cell r="P293" t="str">
            <v>LITE</v>
          </cell>
        </row>
        <row r="294">
          <cell r="A294">
            <v>711</v>
          </cell>
          <cell r="B294">
            <v>711</v>
          </cell>
          <cell r="C294" t="str">
            <v>CERO MATRICULA</v>
          </cell>
          <cell r="D294" t="str">
            <v>ACTIVO</v>
          </cell>
          <cell r="E294" t="str">
            <v>BBV141</v>
          </cell>
          <cell r="F294" t="str">
            <v>CAMPOS NIÑO  WILFREDO</v>
          </cell>
          <cell r="G294" t="str">
            <v>CAMPOS NIÑO  WILFREDO</v>
          </cell>
          <cell r="H294" t="str">
            <v>004929337</v>
          </cell>
          <cell r="I294" t="str">
            <v>BCP</v>
          </cell>
          <cell r="J294" t="str">
            <v>194-04848862-0-38</v>
          </cell>
          <cell r="K294" t="str">
            <v>CE</v>
          </cell>
          <cell r="L294">
            <v>15608943690</v>
          </cell>
          <cell r="M294" t="str">
            <v>URBANO</v>
          </cell>
          <cell r="N294">
            <v>44916</v>
          </cell>
          <cell r="O294">
            <v>0</v>
          </cell>
          <cell r="P294" t="str">
            <v>LITE</v>
          </cell>
        </row>
        <row r="295">
          <cell r="A295">
            <v>712</v>
          </cell>
          <cell r="B295">
            <v>712</v>
          </cell>
          <cell r="C295" t="str">
            <v>CERO MATRICULA</v>
          </cell>
          <cell r="D295" t="str">
            <v>ACTIVO</v>
          </cell>
          <cell r="E295" t="str">
            <v>T4H337</v>
          </cell>
          <cell r="F295" t="str">
            <v>GONZALEZ MENDEZ JOHAN DANIEL</v>
          </cell>
          <cell r="G295" t="str">
            <v>GONZALEZ MENDEZ JOHAN DANIEL</v>
          </cell>
          <cell r="H295" t="str">
            <v>003488252</v>
          </cell>
          <cell r="I295" t="str">
            <v>BCP</v>
          </cell>
          <cell r="J295" t="str">
            <v>194-90596139-0-49</v>
          </cell>
          <cell r="K295" t="str">
            <v>CE</v>
          </cell>
          <cell r="L295">
            <v>15607136693</v>
          </cell>
          <cell r="M295" t="str">
            <v>URBANO</v>
          </cell>
          <cell r="N295">
            <v>44908</v>
          </cell>
          <cell r="O295">
            <v>0</v>
          </cell>
          <cell r="P295" t="str">
            <v>COMFORT XL</v>
          </cell>
        </row>
        <row r="296">
          <cell r="A296">
            <v>713</v>
          </cell>
          <cell r="B296">
            <v>713</v>
          </cell>
          <cell r="C296" t="str">
            <v>CERO MATRICULA</v>
          </cell>
          <cell r="D296" t="str">
            <v>ACTIVO</v>
          </cell>
          <cell r="E296" t="str">
            <v xml:space="preserve">BSE184 </v>
          </cell>
          <cell r="F296" t="str">
            <v>SANTIAGO PUENTES RAFAEL ALEJANDRO</v>
          </cell>
          <cell r="G296" t="str">
            <v>SANTIAGO PUENTES RAFAEL ALEJANDRO</v>
          </cell>
          <cell r="H296" t="str">
            <v>002152972</v>
          </cell>
          <cell r="I296" t="str">
            <v>BCP</v>
          </cell>
          <cell r="J296" t="str">
            <v>191-40319598-0-64</v>
          </cell>
          <cell r="K296" t="str">
            <v>CE</v>
          </cell>
          <cell r="L296">
            <v>15603388353</v>
          </cell>
          <cell r="M296" t="str">
            <v>AEROPUERTO</v>
          </cell>
          <cell r="N296">
            <v>44928</v>
          </cell>
          <cell r="O296">
            <v>235</v>
          </cell>
          <cell r="P296" t="str">
            <v>COMFORT XL</v>
          </cell>
        </row>
        <row r="297">
          <cell r="A297">
            <v>714</v>
          </cell>
          <cell r="B297">
            <v>714</v>
          </cell>
          <cell r="C297" t="str">
            <v>CERO MATRICULA</v>
          </cell>
          <cell r="D297" t="str">
            <v>ACTIVO</v>
          </cell>
          <cell r="E297" t="str">
            <v>F4L080</v>
          </cell>
          <cell r="F297" t="str">
            <v>ATOCSA GARCIA RICARDO NAZARIO</v>
          </cell>
          <cell r="G297" t="str">
            <v>ATOCSA GARCIA RICARDO NAZARIO</v>
          </cell>
          <cell r="H297" t="str">
            <v>44635035</v>
          </cell>
          <cell r="I297" t="str">
            <v>BCP</v>
          </cell>
          <cell r="J297" t="str">
            <v>193-97118093-0-81</v>
          </cell>
          <cell r="K297" t="str">
            <v>DNI</v>
          </cell>
          <cell r="L297">
            <v>10446350353</v>
          </cell>
          <cell r="M297" t="str">
            <v>URBANO</v>
          </cell>
          <cell r="N297">
            <v>44923</v>
          </cell>
          <cell r="O297">
            <v>0</v>
          </cell>
          <cell r="P297" t="str">
            <v>COMFORT</v>
          </cell>
        </row>
        <row r="298">
          <cell r="A298">
            <v>715</v>
          </cell>
          <cell r="B298">
            <v>715</v>
          </cell>
          <cell r="C298" t="str">
            <v>CERO MATRICULA</v>
          </cell>
          <cell r="D298" t="str">
            <v>ACTIVO</v>
          </cell>
          <cell r="E298" t="str">
            <v>CCR668</v>
          </cell>
          <cell r="F298" t="str">
            <v>HIDALGO TRUJILLO PEDRO</v>
          </cell>
          <cell r="G298" t="str">
            <v>Cristino climber segundo Cabrera</v>
          </cell>
          <cell r="H298" t="str">
            <v>22410560</v>
          </cell>
          <cell r="I298" t="str">
            <v>BCP</v>
          </cell>
          <cell r="J298">
            <v>19110259024049</v>
          </cell>
          <cell r="K298" t="str">
            <v>DNI</v>
          </cell>
          <cell r="L298">
            <v>10224105601</v>
          </cell>
          <cell r="M298" t="str">
            <v>AEROPUERTO</v>
          </cell>
          <cell r="N298">
            <v>44929</v>
          </cell>
          <cell r="O298">
            <v>235</v>
          </cell>
          <cell r="P298" t="str">
            <v>COMFORT XL</v>
          </cell>
        </row>
        <row r="299">
          <cell r="A299">
            <v>716</v>
          </cell>
          <cell r="B299">
            <v>716</v>
          </cell>
          <cell r="C299" t="str">
            <v>CERO MATRICULA</v>
          </cell>
          <cell r="D299" t="str">
            <v>ACTIVO</v>
          </cell>
          <cell r="E299" t="str">
            <v>BRG075</v>
          </cell>
          <cell r="F299" t="str">
            <v>JIMENEZ VALBUENA JOSE JAVIER</v>
          </cell>
          <cell r="G299" t="str">
            <v>JIMENEZ VALBUENA JOSE JAVIER</v>
          </cell>
          <cell r="H299" t="str">
            <v>002748087</v>
          </cell>
          <cell r="I299" t="str">
            <v>BCP</v>
          </cell>
          <cell r="J299" t="str">
            <v>193-99664998-0-12</v>
          </cell>
          <cell r="K299" t="str">
            <v>CE</v>
          </cell>
          <cell r="L299">
            <v>15604785097</v>
          </cell>
          <cell r="M299" t="str">
            <v>AEROPUERTO</v>
          </cell>
          <cell r="N299">
            <v>44928</v>
          </cell>
          <cell r="O299">
            <v>265</v>
          </cell>
          <cell r="P299" t="str">
            <v>LITE</v>
          </cell>
        </row>
        <row r="300">
          <cell r="A300">
            <v>717</v>
          </cell>
          <cell r="B300">
            <v>717</v>
          </cell>
          <cell r="C300" t="str">
            <v>CERO MATRICULA</v>
          </cell>
          <cell r="D300" t="str">
            <v>ACTIVO</v>
          </cell>
          <cell r="E300" t="str">
            <v>ALY132</v>
          </cell>
          <cell r="F300" t="str">
            <v>VILLANUEVA SARAVIA FRANCISCO ARTURO</v>
          </cell>
          <cell r="G300" t="str">
            <v>VILLANUEVA SARAVIA FRANCISCO ARTURO</v>
          </cell>
          <cell r="H300" t="str">
            <v>80477777</v>
          </cell>
          <cell r="I300" t="str">
            <v>BBVA</v>
          </cell>
          <cell r="J300" t="str">
            <v>0011-0814-0208187908</v>
          </cell>
          <cell r="K300" t="str">
            <v>DNI</v>
          </cell>
          <cell r="L300">
            <v>10804777771</v>
          </cell>
          <cell r="M300" t="str">
            <v>AEROPUERTO</v>
          </cell>
          <cell r="N300">
            <v>44937</v>
          </cell>
          <cell r="O300">
            <v>265</v>
          </cell>
          <cell r="P300" t="str">
            <v>LITE</v>
          </cell>
        </row>
        <row r="301">
          <cell r="A301">
            <v>719</v>
          </cell>
          <cell r="B301">
            <v>719</v>
          </cell>
          <cell r="C301" t="str">
            <v>CERO MATRICULA</v>
          </cell>
          <cell r="D301" t="str">
            <v>ACTIVO</v>
          </cell>
          <cell r="E301" t="str">
            <v>BHI620</v>
          </cell>
          <cell r="F301" t="str">
            <v>RODRIGUEZ CHU NELSON LUIS</v>
          </cell>
          <cell r="G301" t="str">
            <v>SAAVEDRA CHULLI JUAN VICENTE TORIBIO</v>
          </cell>
          <cell r="H301" t="str">
            <v>10542043</v>
          </cell>
          <cell r="I301" t="str">
            <v>BCP</v>
          </cell>
          <cell r="J301" t="str">
            <v>193-18026964-0-53</v>
          </cell>
          <cell r="K301" t="str">
            <v>DNI</v>
          </cell>
          <cell r="L301">
            <v>10105420434</v>
          </cell>
          <cell r="M301" t="str">
            <v>AEROPUERTO</v>
          </cell>
          <cell r="N301">
            <v>44940</v>
          </cell>
          <cell r="O301">
            <v>265</v>
          </cell>
          <cell r="P301" t="str">
            <v>LITE</v>
          </cell>
        </row>
        <row r="302">
          <cell r="A302">
            <v>722</v>
          </cell>
          <cell r="B302">
            <v>722</v>
          </cell>
          <cell r="C302" t="str">
            <v>CERO MATRICULA</v>
          </cell>
          <cell r="D302" t="str">
            <v>ACTIVO</v>
          </cell>
          <cell r="E302" t="str">
            <v>CCW-017</v>
          </cell>
          <cell r="F302" t="str">
            <v xml:space="preserve">ICANAQUE VENTURA JOSE LUIS </v>
          </cell>
          <cell r="G302" t="str">
            <v>ICANAQUE VENTURA JOSE LUIS</v>
          </cell>
          <cell r="H302" t="str">
            <v>41445399</v>
          </cell>
          <cell r="I302" t="str">
            <v>INTERBANK</v>
          </cell>
          <cell r="J302" t="str">
            <v>003-898-013221935928-49</v>
          </cell>
          <cell r="K302" t="str">
            <v>DNI</v>
          </cell>
          <cell r="L302">
            <v>10414453991</v>
          </cell>
          <cell r="M302" t="str">
            <v>MEMBRESÍA URBANO</v>
          </cell>
          <cell r="N302">
            <v>45110</v>
          </cell>
          <cell r="O302">
            <v>280</v>
          </cell>
          <cell r="P302" t="str">
            <v>COMFORT XL</v>
          </cell>
        </row>
        <row r="303">
          <cell r="A303">
            <v>726</v>
          </cell>
          <cell r="B303">
            <v>726</v>
          </cell>
          <cell r="C303" t="str">
            <v>CERO MATRICULA</v>
          </cell>
          <cell r="D303" t="str">
            <v>ACTIVO</v>
          </cell>
          <cell r="E303" t="str">
            <v>Z6V545</v>
          </cell>
          <cell r="F303" t="str">
            <v>VASQUEZ GUERRERO EDILBERTO</v>
          </cell>
          <cell r="G303" t="str">
            <v>VASQUEZ GUERRERO EDILBERTO</v>
          </cell>
          <cell r="H303" t="str">
            <v>42310266</v>
          </cell>
          <cell r="I303" t="str">
            <v>BCP</v>
          </cell>
          <cell r="J303" t="str">
            <v>191-94251637-0-72</v>
          </cell>
          <cell r="K303" t="str">
            <v>DNI</v>
          </cell>
          <cell r="L303">
            <v>10423102662</v>
          </cell>
          <cell r="M303" t="str">
            <v>AEROPUERTO</v>
          </cell>
          <cell r="N303">
            <v>44956</v>
          </cell>
          <cell r="O303">
            <v>265</v>
          </cell>
          <cell r="P303" t="str">
            <v>LITE</v>
          </cell>
        </row>
        <row r="304">
          <cell r="A304">
            <v>727</v>
          </cell>
          <cell r="B304">
            <v>727</v>
          </cell>
          <cell r="C304" t="str">
            <v>CERO MATRICULA</v>
          </cell>
          <cell r="D304" t="str">
            <v>ACTIVO</v>
          </cell>
          <cell r="E304" t="str">
            <v>CBC588</v>
          </cell>
          <cell r="F304" t="str">
            <v>OCHOA  SANDOVAL JESUS FERNANDO</v>
          </cell>
          <cell r="G304" t="str">
            <v>OCHOA  SANDOVAL JESUS FERNANDO</v>
          </cell>
          <cell r="H304" t="str">
            <v>001774961</v>
          </cell>
          <cell r="I304" t="str">
            <v>SCOTIABANK</v>
          </cell>
          <cell r="J304" t="str">
            <v>825-3071636</v>
          </cell>
          <cell r="K304" t="str">
            <v>CE</v>
          </cell>
          <cell r="L304">
            <v>15610484074</v>
          </cell>
          <cell r="M304" t="str">
            <v>AEROPUERTO</v>
          </cell>
          <cell r="N304">
            <v>44953</v>
          </cell>
          <cell r="O304">
            <v>235</v>
          </cell>
          <cell r="P304" t="str">
            <v>COMFORT XL</v>
          </cell>
        </row>
        <row r="305">
          <cell r="A305">
            <v>730</v>
          </cell>
          <cell r="B305">
            <v>730</v>
          </cell>
          <cell r="C305" t="str">
            <v>CERO MATRICULA</v>
          </cell>
          <cell r="D305" t="str">
            <v>ACTIVO</v>
          </cell>
          <cell r="E305" t="str">
            <v>CDC461</v>
          </cell>
          <cell r="F305" t="str">
            <v>RAMIREZ ALEMAN EDY EDMUNDO</v>
          </cell>
          <cell r="G305" t="str">
            <v>CLAVIJO ESCOBAR DE RAMIREZ YNGRID</v>
          </cell>
          <cell r="H305" t="str">
            <v>00251162</v>
          </cell>
          <cell r="I305" t="str">
            <v>BBVA</v>
          </cell>
          <cell r="J305" t="str">
            <v>0011-0814-0254076878</v>
          </cell>
          <cell r="K305" t="str">
            <v>DNI</v>
          </cell>
          <cell r="L305">
            <v>10002511628</v>
          </cell>
          <cell r="M305" t="str">
            <v>AEROPUERTO</v>
          </cell>
          <cell r="N305">
            <v>44974</v>
          </cell>
          <cell r="O305">
            <v>265</v>
          </cell>
          <cell r="P305" t="str">
            <v>LITE</v>
          </cell>
        </row>
        <row r="306">
          <cell r="A306">
            <v>731</v>
          </cell>
          <cell r="B306">
            <v>731</v>
          </cell>
          <cell r="C306" t="str">
            <v>CERO MATRICULA</v>
          </cell>
          <cell r="D306" t="str">
            <v>ACTIVO</v>
          </cell>
          <cell r="E306" t="str">
            <v>BEK024</v>
          </cell>
          <cell r="F306" t="str">
            <v>BRITO LUGO ELIER MOISES</v>
          </cell>
          <cell r="G306" t="str">
            <v>BRITO LUGO ELIER MOISES</v>
          </cell>
          <cell r="H306" t="str">
            <v>003944510</v>
          </cell>
          <cell r="I306" t="str">
            <v>BCP</v>
          </cell>
          <cell r="J306" t="str">
            <v>191-73152795-0-10</v>
          </cell>
          <cell r="K306" t="str">
            <v>CE</v>
          </cell>
          <cell r="L306">
            <v>15608341924</v>
          </cell>
          <cell r="M306" t="str">
            <v>AEROPUERTO</v>
          </cell>
          <cell r="N306">
            <v>44974</v>
          </cell>
          <cell r="O306">
            <v>265</v>
          </cell>
          <cell r="P306" t="str">
            <v>LITE</v>
          </cell>
        </row>
        <row r="307">
          <cell r="A307">
            <v>732</v>
          </cell>
          <cell r="B307">
            <v>732</v>
          </cell>
          <cell r="C307" t="str">
            <v>CERO MATRICULA</v>
          </cell>
          <cell r="D307" t="str">
            <v>ACTIVO</v>
          </cell>
          <cell r="E307" t="str">
            <v>CDK045</v>
          </cell>
          <cell r="F307" t="str">
            <v>SALAZAR RIVAS JAVIER EDUARDO</v>
          </cell>
          <cell r="G307" t="str">
            <v>SALAZAR RIVAS JAVIER EDUARDO</v>
          </cell>
          <cell r="H307" t="str">
            <v>002424516</v>
          </cell>
          <cell r="I307" t="str">
            <v>BCP</v>
          </cell>
          <cell r="J307" t="str">
            <v>191-00834201-0-26</v>
          </cell>
          <cell r="K307" t="str">
            <v>CE</v>
          </cell>
          <cell r="L307">
            <v>15610519943</v>
          </cell>
          <cell r="M307" t="str">
            <v>AEROPUERTO</v>
          </cell>
          <cell r="N307">
            <v>44965</v>
          </cell>
          <cell r="O307">
            <v>265</v>
          </cell>
          <cell r="P307" t="str">
            <v>LITE</v>
          </cell>
        </row>
        <row r="308">
          <cell r="A308">
            <v>733</v>
          </cell>
          <cell r="B308">
            <v>733</v>
          </cell>
          <cell r="C308" t="str">
            <v>CERO MATRICULA</v>
          </cell>
          <cell r="D308" t="str">
            <v>ACTIVO</v>
          </cell>
          <cell r="E308" t="str">
            <v>BYR142</v>
          </cell>
          <cell r="F308" t="str">
            <v>BARRADAS COLMENAREZ JOSE ANTONIO</v>
          </cell>
          <cell r="G308" t="str">
            <v>BARRADAS COLMENAREZ JOSE ANTONIO</v>
          </cell>
          <cell r="H308" t="str">
            <v>000784564</v>
          </cell>
          <cell r="I308" t="str">
            <v>BCP</v>
          </cell>
          <cell r="J308" t="str">
            <v>194-05851783-0-90</v>
          </cell>
          <cell r="K308" t="str">
            <v>CPP</v>
          </cell>
          <cell r="L308">
            <v>15610513619</v>
          </cell>
          <cell r="M308" t="str">
            <v>AEROPUERTO</v>
          </cell>
          <cell r="N308">
            <v>44966</v>
          </cell>
          <cell r="O308">
            <v>265</v>
          </cell>
          <cell r="P308" t="str">
            <v>LITE</v>
          </cell>
        </row>
        <row r="309">
          <cell r="A309">
            <v>734</v>
          </cell>
          <cell r="B309">
            <v>734</v>
          </cell>
          <cell r="C309" t="str">
            <v>CERO MATRICULA</v>
          </cell>
          <cell r="D309" t="str">
            <v>ACTIVO</v>
          </cell>
          <cell r="E309" t="str">
            <v>CDH117</v>
          </cell>
          <cell r="F309" t="str">
            <v>SALAS MENDOZA ANGEL GUSTAVO</v>
          </cell>
          <cell r="G309" t="str">
            <v>SALAS MENDOZA ANGEL GUSTAVO</v>
          </cell>
          <cell r="H309" t="str">
            <v>002619943</v>
          </cell>
          <cell r="I309" t="str">
            <v>BCP</v>
          </cell>
          <cell r="J309" t="str">
            <v>192-76115236-0-75</v>
          </cell>
          <cell r="K309" t="str">
            <v>CE</v>
          </cell>
          <cell r="L309">
            <v>15606549307</v>
          </cell>
          <cell r="M309" t="str">
            <v>AEROPUERTO</v>
          </cell>
          <cell r="N309">
            <v>44965</v>
          </cell>
          <cell r="O309">
            <v>240</v>
          </cell>
          <cell r="P309" t="str">
            <v>XL</v>
          </cell>
        </row>
        <row r="310">
          <cell r="A310">
            <v>735</v>
          </cell>
          <cell r="B310">
            <v>735</v>
          </cell>
          <cell r="C310" t="str">
            <v>CERO MATRICULA</v>
          </cell>
          <cell r="D310" t="str">
            <v>ACTIVO</v>
          </cell>
          <cell r="E310" t="str">
            <v>CDC461</v>
          </cell>
          <cell r="F310" t="str">
            <v>CACERES PIZANGO LUIS ENRIQUE</v>
          </cell>
          <cell r="G310" t="str">
            <v>CACERES PIZANGO LUIS ENRIQUE</v>
          </cell>
          <cell r="H310" t="str">
            <v>09456663</v>
          </cell>
          <cell r="I310" t="str">
            <v>INTERBANK</v>
          </cell>
          <cell r="J310" t="str">
            <v>5303-2852-4504-6</v>
          </cell>
          <cell r="K310" t="str">
            <v>DNI</v>
          </cell>
          <cell r="L310">
            <v>10094566636</v>
          </cell>
          <cell r="M310" t="str">
            <v>AEROPUERTO</v>
          </cell>
          <cell r="N310">
            <v>44966</v>
          </cell>
          <cell r="O310">
            <v>265</v>
          </cell>
          <cell r="P310" t="str">
            <v>LITE</v>
          </cell>
        </row>
        <row r="311">
          <cell r="A311">
            <v>736</v>
          </cell>
          <cell r="B311">
            <v>736</v>
          </cell>
          <cell r="C311" t="str">
            <v>CERO MATRICULA</v>
          </cell>
          <cell r="D311" t="str">
            <v>ACTIVO</v>
          </cell>
          <cell r="E311" t="str">
            <v>BND333</v>
          </cell>
          <cell r="F311" t="str">
            <v>MATOS ESPINOZA IMER ADIEL</v>
          </cell>
          <cell r="G311" t="str">
            <v>MATOS ESPINOZA IMER ADIEL</v>
          </cell>
          <cell r="H311" t="str">
            <v>47703100</v>
          </cell>
          <cell r="I311" t="str">
            <v>BCP</v>
          </cell>
          <cell r="J311" t="str">
            <v>191-37660994-0-06</v>
          </cell>
          <cell r="K311" t="str">
            <v>DNI</v>
          </cell>
          <cell r="L311">
            <v>10477031001</v>
          </cell>
          <cell r="M311" t="str">
            <v>AEROPUERTO</v>
          </cell>
          <cell r="N311">
            <v>44974</v>
          </cell>
          <cell r="O311">
            <v>240</v>
          </cell>
          <cell r="P311" t="str">
            <v>COMFORT</v>
          </cell>
        </row>
        <row r="312">
          <cell r="A312">
            <v>737</v>
          </cell>
          <cell r="B312">
            <v>737</v>
          </cell>
          <cell r="C312" t="str">
            <v>CERO MATRICULA</v>
          </cell>
          <cell r="D312" t="str">
            <v>ACTIVO</v>
          </cell>
          <cell r="E312" t="str">
            <v>BNI518</v>
          </cell>
          <cell r="F312" t="str">
            <v>ROJAS VICENTE WILFREDO YSRAEL</v>
          </cell>
          <cell r="G312" t="str">
            <v>VICENTE DE ROJAS ANTONIA</v>
          </cell>
          <cell r="H312" t="str">
            <v>25552430</v>
          </cell>
          <cell r="I312" t="str">
            <v>BCP</v>
          </cell>
          <cell r="J312" t="str">
            <v>192-90284055-0-13</v>
          </cell>
          <cell r="K312" t="str">
            <v>DNI</v>
          </cell>
          <cell r="L312">
            <v>10255524301</v>
          </cell>
          <cell r="M312" t="str">
            <v>AEROPUERTO</v>
          </cell>
          <cell r="N312">
            <v>44978</v>
          </cell>
          <cell r="O312">
            <v>235</v>
          </cell>
          <cell r="P312" t="str">
            <v>COMFORT XL</v>
          </cell>
        </row>
        <row r="313">
          <cell r="A313">
            <v>738</v>
          </cell>
          <cell r="B313">
            <v>738</v>
          </cell>
          <cell r="C313" t="str">
            <v>CERO MATRICULA</v>
          </cell>
          <cell r="D313" t="str">
            <v>ACTIVO</v>
          </cell>
          <cell r="E313" t="str">
            <v>BZT462</v>
          </cell>
          <cell r="F313" t="str">
            <v>BENITEZRIVERO PEDRO ANTONIO</v>
          </cell>
          <cell r="G313" t="str">
            <v>BENITEZ RIVERO PEDRO ANTONIO</v>
          </cell>
          <cell r="H313" t="str">
            <v>002273110</v>
          </cell>
          <cell r="I313" t="str">
            <v>SCOTIABANK</v>
          </cell>
          <cell r="J313" t="str">
            <v>562-1552172</v>
          </cell>
          <cell r="K313" t="str">
            <v>CPP</v>
          </cell>
          <cell r="L313">
            <v>15605614717</v>
          </cell>
          <cell r="M313" t="str">
            <v>AEROPUERTO</v>
          </cell>
          <cell r="N313">
            <v>44977</v>
          </cell>
          <cell r="O313">
            <v>265</v>
          </cell>
          <cell r="P313" t="str">
            <v>LITE</v>
          </cell>
        </row>
        <row r="314">
          <cell r="A314">
            <v>741</v>
          </cell>
          <cell r="B314">
            <v>741</v>
          </cell>
          <cell r="C314" t="str">
            <v>CERO MATRICULA</v>
          </cell>
          <cell r="D314" t="str">
            <v>ACTIVO</v>
          </cell>
          <cell r="E314" t="str">
            <v>DCE273</v>
          </cell>
          <cell r="F314" t="str">
            <v>RODRIGUEZ CIGARAN MONICA</v>
          </cell>
          <cell r="G314" t="str">
            <v>RODRIGUEZ CIGARAN MONICA</v>
          </cell>
          <cell r="H314" t="str">
            <v>40103645</v>
          </cell>
          <cell r="I314" t="str">
            <v>SCOTIABANK</v>
          </cell>
          <cell r="J314" t="str">
            <v>051-7342622</v>
          </cell>
          <cell r="K314" t="str">
            <v>DNI</v>
          </cell>
          <cell r="L314">
            <v>10401036453</v>
          </cell>
          <cell r="M314" t="str">
            <v>URBANO</v>
          </cell>
          <cell r="N314">
            <v>44998</v>
          </cell>
          <cell r="O314">
            <v>0</v>
          </cell>
          <cell r="P314" t="str">
            <v>COMFORT</v>
          </cell>
        </row>
        <row r="315">
          <cell r="A315">
            <v>743</v>
          </cell>
          <cell r="B315">
            <v>743</v>
          </cell>
          <cell r="C315" t="str">
            <v>CERO MATRICULA</v>
          </cell>
          <cell r="D315" t="str">
            <v>ACTIVO</v>
          </cell>
          <cell r="E315" t="str">
            <v>BPO233</v>
          </cell>
          <cell r="F315" t="str">
            <v>PAREDES QUIROZ JESUS MILWARD</v>
          </cell>
          <cell r="G315" t="str">
            <v>PAREDES QUIROZ JESUS MILWARD</v>
          </cell>
          <cell r="H315" t="str">
            <v>06250176</v>
          </cell>
          <cell r="I315" t="str">
            <v>BCP</v>
          </cell>
          <cell r="J315" t="str">
            <v>192-07456403-0-19</v>
          </cell>
          <cell r="K315" t="str">
            <v>DNI</v>
          </cell>
          <cell r="L315">
            <v>10062501761</v>
          </cell>
          <cell r="M315" t="str">
            <v>AEROPUERTO</v>
          </cell>
          <cell r="N315">
            <v>45005</v>
          </cell>
          <cell r="O315">
            <v>265</v>
          </cell>
          <cell r="P315" t="str">
            <v>LITE</v>
          </cell>
        </row>
        <row r="316">
          <cell r="A316">
            <v>744</v>
          </cell>
          <cell r="B316">
            <v>744</v>
          </cell>
          <cell r="C316" t="str">
            <v>CERO MATRICULA</v>
          </cell>
          <cell r="D316" t="str">
            <v>ACTIVO</v>
          </cell>
          <cell r="E316" t="str">
            <v>CDI287</v>
          </cell>
          <cell r="F316" t="str">
            <v>RAMIREZ MENDOZA JILMER JOEL</v>
          </cell>
          <cell r="G316" t="str">
            <v>RAMIREZ MENDOZA JILMER JOEL</v>
          </cell>
          <cell r="H316" t="str">
            <v>70209444</v>
          </cell>
          <cell r="I316" t="str">
            <v>INTERBANK</v>
          </cell>
          <cell r="J316" t="str">
            <v>205-3131828326</v>
          </cell>
          <cell r="K316" t="str">
            <v>DNI</v>
          </cell>
          <cell r="L316">
            <v>10702094441</v>
          </cell>
          <cell r="M316" t="str">
            <v>URBANO</v>
          </cell>
          <cell r="N316">
            <v>45005</v>
          </cell>
          <cell r="O316">
            <v>0</v>
          </cell>
          <cell r="P316" t="str">
            <v>XL</v>
          </cell>
        </row>
        <row r="317">
          <cell r="A317">
            <v>746</v>
          </cell>
          <cell r="B317">
            <v>746</v>
          </cell>
          <cell r="C317" t="str">
            <v>CERO MATRICULA</v>
          </cell>
          <cell r="D317" t="str">
            <v>ACTIVO</v>
          </cell>
          <cell r="E317" t="str">
            <v>BZZ090</v>
          </cell>
          <cell r="F317" t="str">
            <v>LOZADA SUMOZA LUIS RAFAEL</v>
          </cell>
          <cell r="G317" t="str">
            <v>LOZADA SUMOZA LUIS RAFAEL</v>
          </cell>
          <cell r="H317" t="str">
            <v>005093466</v>
          </cell>
          <cell r="I317" t="str">
            <v>BCP</v>
          </cell>
          <cell r="J317" t="str">
            <v>194-01150220-0-38</v>
          </cell>
          <cell r="K317" t="str">
            <v>CE</v>
          </cell>
          <cell r="L317">
            <v>15609241516</v>
          </cell>
          <cell r="M317" t="str">
            <v>URBANO</v>
          </cell>
          <cell r="N317">
            <v>45002</v>
          </cell>
          <cell r="O317">
            <v>0</v>
          </cell>
          <cell r="P317" t="str">
            <v>LITE</v>
          </cell>
        </row>
        <row r="318">
          <cell r="A318">
            <v>748</v>
          </cell>
          <cell r="B318">
            <v>748</v>
          </cell>
          <cell r="C318" t="str">
            <v>CERO MATRICULA</v>
          </cell>
          <cell r="D318" t="str">
            <v>ACTIVO</v>
          </cell>
          <cell r="E318" t="str">
            <v>BWR473</v>
          </cell>
          <cell r="F318" t="str">
            <v>PRADO ESCALANTE JUAN OCTAVIO</v>
          </cell>
          <cell r="G318" t="str">
            <v>PRADO ESCALANTE JUAN OCTAVIO</v>
          </cell>
          <cell r="H318" t="str">
            <v>40411720</v>
          </cell>
          <cell r="I318" t="str">
            <v>BBVA</v>
          </cell>
          <cell r="J318" t="str">
            <v>0011-0111-0200478367</v>
          </cell>
          <cell r="K318" t="str">
            <v>DNI</v>
          </cell>
          <cell r="L318">
            <v>10404117209</v>
          </cell>
          <cell r="M318" t="str">
            <v>URBANO PARTNER</v>
          </cell>
          <cell r="N318">
            <v>45022</v>
          </cell>
          <cell r="O318">
            <v>0</v>
          </cell>
          <cell r="P318" t="str">
            <v>LITE</v>
          </cell>
        </row>
        <row r="319">
          <cell r="A319">
            <v>749</v>
          </cell>
          <cell r="B319">
            <v>749</v>
          </cell>
          <cell r="C319" t="str">
            <v>CERO MATRICULA</v>
          </cell>
          <cell r="D319" t="str">
            <v>ACTIVO</v>
          </cell>
          <cell r="E319" t="str">
            <v>AYT634</v>
          </cell>
          <cell r="F319" t="str">
            <v>SULBARAN LUIS EDUARDO</v>
          </cell>
          <cell r="G319" t="str">
            <v>MORALES GUIZADO JOHN ROBERT</v>
          </cell>
          <cell r="H319" t="str">
            <v>43097405</v>
          </cell>
          <cell r="I319" t="str">
            <v>BBVA</v>
          </cell>
          <cell r="J319" t="str">
            <v>0011-0184-0200531452</v>
          </cell>
          <cell r="K319" t="str">
            <v>DNI</v>
          </cell>
          <cell r="L319">
            <v>10430974055</v>
          </cell>
          <cell r="M319" t="str">
            <v>URBANO</v>
          </cell>
          <cell r="N319">
            <v>45021</v>
          </cell>
          <cell r="O319">
            <v>0</v>
          </cell>
          <cell r="P319" t="str">
            <v>VAN</v>
          </cell>
        </row>
        <row r="320">
          <cell r="A320">
            <v>750</v>
          </cell>
          <cell r="B320">
            <v>750</v>
          </cell>
          <cell r="C320" t="str">
            <v>CERO MATRICULA</v>
          </cell>
          <cell r="D320" t="str">
            <v>ACTIVO</v>
          </cell>
          <cell r="E320" t="str">
            <v>BLS137</v>
          </cell>
          <cell r="F320" t="str">
            <v>ROJAS ROJAS MIGUEL ANDRES</v>
          </cell>
          <cell r="G320" t="str">
            <v>ROJAS ROJAS MIGUEL ANDRES</v>
          </cell>
          <cell r="H320" t="str">
            <v>002831928</v>
          </cell>
          <cell r="I320" t="str">
            <v>BCP</v>
          </cell>
          <cell r="J320" t="str">
            <v>192-91896825-0-73</v>
          </cell>
          <cell r="K320" t="str">
            <v>CE</v>
          </cell>
          <cell r="L320">
            <v>15603823076</v>
          </cell>
          <cell r="M320" t="str">
            <v>AEROPUERTO</v>
          </cell>
          <cell r="N320" t="str">
            <v>PENDIENTE</v>
          </cell>
          <cell r="O320">
            <v>265</v>
          </cell>
          <cell r="P320" t="str">
            <v>LITE</v>
          </cell>
        </row>
        <row r="321">
          <cell r="A321">
            <v>751</v>
          </cell>
          <cell r="B321">
            <v>751</v>
          </cell>
          <cell r="C321" t="str">
            <v>CERO MATRICULA</v>
          </cell>
          <cell r="D321" t="str">
            <v>ACTIVO</v>
          </cell>
          <cell r="E321" t="str">
            <v>BPN128</v>
          </cell>
          <cell r="F321" t="str">
            <v>GOMEZ OCHOA LIDNEY ALEXI</v>
          </cell>
          <cell r="G321" t="str">
            <v>GOMEZ OCHOA LIDNEY ALEXI</v>
          </cell>
          <cell r="H321" t="str">
            <v>002550596</v>
          </cell>
          <cell r="I321" t="str">
            <v>BCP</v>
          </cell>
          <cell r="J321" t="str">
            <v>191-04396601-0-10</v>
          </cell>
          <cell r="K321" t="str">
            <v>CE</v>
          </cell>
          <cell r="L321">
            <v>15606615270</v>
          </cell>
          <cell r="M321" t="str">
            <v>AEROPUERTO</v>
          </cell>
          <cell r="N321" t="str">
            <v>PENDIENTE</v>
          </cell>
          <cell r="O321">
            <v>240</v>
          </cell>
          <cell r="P321" t="str">
            <v>XL</v>
          </cell>
        </row>
        <row r="322">
          <cell r="A322">
            <v>753</v>
          </cell>
          <cell r="B322">
            <v>753</v>
          </cell>
          <cell r="C322" t="str">
            <v>CERO MATRICULA</v>
          </cell>
          <cell r="D322" t="str">
            <v>ACTIVO</v>
          </cell>
          <cell r="E322"/>
          <cell r="F322" t="str">
            <v>PINTO GUERRA JOSE MARTIN</v>
          </cell>
          <cell r="G322" t="str">
            <v>PINTO GUERRA JOSE MARTIN</v>
          </cell>
          <cell r="H322" t="str">
            <v>25569734</v>
          </cell>
          <cell r="I322" t="str">
            <v>BCP</v>
          </cell>
          <cell r="J322" t="str">
            <v>192-29786868-0-43</v>
          </cell>
          <cell r="K322" t="str">
            <v>DNI</v>
          </cell>
          <cell r="L322">
            <v>10255697345</v>
          </cell>
          <cell r="M322" t="str">
            <v>AEROPUERTO</v>
          </cell>
          <cell r="N322" t="str">
            <v>PENDIENTE</v>
          </cell>
          <cell r="O322">
            <v>240</v>
          </cell>
          <cell r="P322" t="str">
            <v>COMFORT</v>
          </cell>
        </row>
        <row r="323">
          <cell r="A323">
            <v>754</v>
          </cell>
          <cell r="B323">
            <v>754</v>
          </cell>
          <cell r="C323" t="str">
            <v>CERO MATRICULA</v>
          </cell>
          <cell r="D323" t="str">
            <v>ACTIVO</v>
          </cell>
          <cell r="E323" t="str">
            <v>AWS012</v>
          </cell>
          <cell r="F323" t="str">
            <v>CASTILLO RUPAY JHON ERICK</v>
          </cell>
          <cell r="G323" t="str">
            <v>CASTILLO RUPAY JHON ERICK</v>
          </cell>
          <cell r="H323" t="str">
            <v>41992777</v>
          </cell>
          <cell r="I323" t="str">
            <v>BCP</v>
          </cell>
          <cell r="J323" t="str">
            <v>19238873891054</v>
          </cell>
          <cell r="K323" t="str">
            <v>DNI</v>
          </cell>
          <cell r="L323">
            <v>10419927771</v>
          </cell>
          <cell r="M323" t="str">
            <v>AEROPUERTO</v>
          </cell>
          <cell r="N323">
            <v>44827</v>
          </cell>
          <cell r="O323">
            <v>265</v>
          </cell>
          <cell r="P323" t="str">
            <v>LITE</v>
          </cell>
        </row>
        <row r="324">
          <cell r="A324">
            <v>755</v>
          </cell>
          <cell r="B324">
            <v>755</v>
          </cell>
          <cell r="C324" t="str">
            <v>CERO MATRICULA</v>
          </cell>
          <cell r="D324" t="str">
            <v>ACTIVO</v>
          </cell>
          <cell r="E324" t="str">
            <v>BJD114</v>
          </cell>
          <cell r="F324" t="str">
            <v>AYLAS JESUS PREDRO LUIS</v>
          </cell>
          <cell r="G324" t="str">
            <v>MALLAUPOMA AYLAS YESSELI RICARDINA</v>
          </cell>
          <cell r="H324" t="str">
            <v>41319558</v>
          </cell>
          <cell r="I324" t="str">
            <v>BCP</v>
          </cell>
          <cell r="J324" t="str">
            <v>191-96904367-0-96</v>
          </cell>
          <cell r="K324" t="str">
            <v>DNI</v>
          </cell>
          <cell r="L324">
            <v>10413195581</v>
          </cell>
          <cell r="M324" t="str">
            <v>URBANO</v>
          </cell>
          <cell r="N324" t="str">
            <v>PENDIENTE</v>
          </cell>
          <cell r="O324">
            <v>0</v>
          </cell>
          <cell r="P324" t="str">
            <v>LITE</v>
          </cell>
        </row>
        <row r="325">
          <cell r="A325">
            <v>756</v>
          </cell>
          <cell r="B325">
            <v>756</v>
          </cell>
          <cell r="C325" t="str">
            <v>CERO MATRICULA</v>
          </cell>
          <cell r="D325" t="str">
            <v>ACTIVO</v>
          </cell>
          <cell r="E325" t="str">
            <v>BLY153</v>
          </cell>
          <cell r="F325" t="str">
            <v>CHUMBE TARICUARIMA JULIO CESAR</v>
          </cell>
          <cell r="G325" t="str">
            <v>FERNANDEZ ALCALA MYRIAM DELVI</v>
          </cell>
          <cell r="H325" t="str">
            <v>25542025</v>
          </cell>
          <cell r="I325" t="str">
            <v>INTERBANK</v>
          </cell>
          <cell r="J325" t="str">
            <v>3783318459184</v>
          </cell>
          <cell r="K325" t="str">
            <v>DNI</v>
          </cell>
          <cell r="L325">
            <v>10255420254</v>
          </cell>
          <cell r="M325" t="str">
            <v>AEROPUERTO</v>
          </cell>
          <cell r="N325" t="str">
            <v>PENDIENTE</v>
          </cell>
          <cell r="O325">
            <v>240</v>
          </cell>
          <cell r="P325" t="str">
            <v>XL</v>
          </cell>
        </row>
        <row r="326">
          <cell r="A326">
            <v>757</v>
          </cell>
          <cell r="B326">
            <v>757</v>
          </cell>
          <cell r="C326" t="str">
            <v>CERO MATRICULA</v>
          </cell>
          <cell r="D326" t="str">
            <v>ACTIVO</v>
          </cell>
          <cell r="E326" t="str">
            <v>BVL138</v>
          </cell>
          <cell r="F326" t="str">
            <v>GUEVARA BRITO RAMON EMILIO</v>
          </cell>
          <cell r="G326" t="str">
            <v>GUEVARA BRITO RAMON EMILIO</v>
          </cell>
          <cell r="H326" t="str">
            <v>004474801</v>
          </cell>
          <cell r="I326" t="str">
            <v>INTERBANK</v>
          </cell>
          <cell r="J326" t="str">
            <v>2613-3530-6189-3</v>
          </cell>
          <cell r="K326" t="str">
            <v>CE</v>
          </cell>
          <cell r="L326">
            <v>15606254757</v>
          </cell>
          <cell r="M326" t="str">
            <v>AEROPUERTO</v>
          </cell>
          <cell r="N326">
            <v>44523</v>
          </cell>
          <cell r="O326">
            <v>265</v>
          </cell>
          <cell r="P326" t="str">
            <v>LITE</v>
          </cell>
        </row>
        <row r="327">
          <cell r="A327">
            <v>759</v>
          </cell>
          <cell r="B327">
            <v>759</v>
          </cell>
          <cell r="C327" t="str">
            <v>CERO MATRICULA</v>
          </cell>
          <cell r="D327" t="str">
            <v>ACTIVO</v>
          </cell>
          <cell r="E327" t="str">
            <v>BLZ457</v>
          </cell>
          <cell r="F327" t="str">
            <v>GOMEZ SUAREZ PEDRO JHONNY</v>
          </cell>
          <cell r="G327" t="str">
            <v>GOMEZ SUAREZ PEDRO JHONNY</v>
          </cell>
          <cell r="H327" t="str">
            <v>40050566</v>
          </cell>
          <cell r="I327" t="str">
            <v>BCP</v>
          </cell>
          <cell r="J327" t="str">
            <v>191-76076314-0-60</v>
          </cell>
          <cell r="K327" t="str">
            <v>DNI</v>
          </cell>
          <cell r="L327">
            <v>10400505662</v>
          </cell>
          <cell r="M327" t="str">
            <v>AEROPUERTO</v>
          </cell>
          <cell r="N327" t="str">
            <v>PENDIENTE</v>
          </cell>
          <cell r="O327">
            <v>265</v>
          </cell>
          <cell r="P327" t="str">
            <v>LITE</v>
          </cell>
        </row>
        <row r="328">
          <cell r="A328">
            <v>760</v>
          </cell>
          <cell r="B328">
            <v>760</v>
          </cell>
          <cell r="C328" t="str">
            <v>CERO MATRICULA</v>
          </cell>
          <cell r="D328" t="str">
            <v>ACTIVO</v>
          </cell>
          <cell r="E328" t="str">
            <v>BCX235</v>
          </cell>
          <cell r="F328" t="str">
            <v>MIGUEL ROJAS</v>
          </cell>
          <cell r="G328" t="str">
            <v xml:space="preserve">ROJAS PEREZ MIGUEL ANGEL </v>
          </cell>
          <cell r="H328" t="str">
            <v>40083899</v>
          </cell>
          <cell r="I328" t="str">
            <v>BBVA</v>
          </cell>
          <cell r="J328" t="str">
            <v>0011-0921-0200226590</v>
          </cell>
          <cell r="K328" t="str">
            <v>DNI</v>
          </cell>
          <cell r="L328">
            <v>10400838998</v>
          </cell>
          <cell r="M328" t="str">
            <v>AEROPUERTO</v>
          </cell>
          <cell r="N328" t="str">
            <v>PENDIENTE</v>
          </cell>
          <cell r="O328">
            <v>235</v>
          </cell>
          <cell r="P328" t="str">
            <v>COMFORT XL</v>
          </cell>
        </row>
        <row r="329">
          <cell r="A329">
            <v>761</v>
          </cell>
          <cell r="B329">
            <v>761</v>
          </cell>
          <cell r="C329" t="str">
            <v>CERO MATRICULA</v>
          </cell>
          <cell r="D329" t="str">
            <v>ACTIVO</v>
          </cell>
          <cell r="E329" t="str">
            <v>AHW374</v>
          </cell>
          <cell r="F329" t="str">
            <v>BARRANTES CUEVA WILLIAM</v>
          </cell>
          <cell r="G329" t="str">
            <v>BARRANTES CUEVA WILLIAM</v>
          </cell>
          <cell r="H329" t="str">
            <v>26732009</v>
          </cell>
          <cell r="I329" t="str">
            <v>SCOTIABANK</v>
          </cell>
          <cell r="J329">
            <v>560647802</v>
          </cell>
          <cell r="K329" t="str">
            <v>DNI</v>
          </cell>
          <cell r="L329">
            <v>10267320093</v>
          </cell>
          <cell r="M329" t="str">
            <v>URBANO</v>
          </cell>
          <cell r="N329">
            <v>45068</v>
          </cell>
          <cell r="O329">
            <v>0</v>
          </cell>
          <cell r="P329" t="str">
            <v>COMFORT</v>
          </cell>
        </row>
        <row r="330">
          <cell r="A330">
            <v>762</v>
          </cell>
          <cell r="B330">
            <v>762</v>
          </cell>
          <cell r="C330" t="str">
            <v>CERO MATRICULA</v>
          </cell>
          <cell r="D330" t="str">
            <v>ACTIVO</v>
          </cell>
          <cell r="E330" t="str">
            <v>BLT476</v>
          </cell>
          <cell r="F330" t="str">
            <v>PRATO RODRIGUEZ LEONER ASDRUBAL</v>
          </cell>
          <cell r="G330" t="str">
            <v>PRATO RODRIGUEZ LEONER ASDRUBAL</v>
          </cell>
          <cell r="H330" t="str">
            <v>002218221</v>
          </cell>
          <cell r="I330" t="str">
            <v>BCP</v>
          </cell>
          <cell r="J330" t="str">
            <v>194-92132694-0-25</v>
          </cell>
          <cell r="K330" t="str">
            <v>CE</v>
          </cell>
          <cell r="L330">
            <v>15605445613</v>
          </cell>
          <cell r="M330" t="str">
            <v>AEROPUERTO</v>
          </cell>
          <cell r="N330">
            <v>44662</v>
          </cell>
          <cell r="O330">
            <v>265</v>
          </cell>
          <cell r="P330" t="str">
            <v>LITE</v>
          </cell>
        </row>
        <row r="331">
          <cell r="A331">
            <v>763</v>
          </cell>
          <cell r="B331">
            <v>763</v>
          </cell>
          <cell r="C331" t="str">
            <v>CERO MATRICULA</v>
          </cell>
          <cell r="D331" t="str">
            <v>ACTIVO</v>
          </cell>
          <cell r="E331" t="str">
            <v>BCL145</v>
          </cell>
          <cell r="F331" t="str">
            <v>GAMBOA SIANCAS EFRAIL ELISEO</v>
          </cell>
          <cell r="G331" t="str">
            <v>GAMBOA SIANCAS EFRAIL ELISEO</v>
          </cell>
          <cell r="H331" t="str">
            <v>44120416</v>
          </cell>
          <cell r="I331" t="str">
            <v>BCP</v>
          </cell>
          <cell r="J331" t="str">
            <v>191-75233192-0-21</v>
          </cell>
          <cell r="K331" t="str">
            <v>DNI</v>
          </cell>
          <cell r="L331">
            <v>10441204162</v>
          </cell>
          <cell r="M331" t="str">
            <v>AEROPUERTO</v>
          </cell>
          <cell r="N331">
            <v>44701</v>
          </cell>
          <cell r="O331">
            <v>240</v>
          </cell>
          <cell r="P331" t="str">
            <v>XL</v>
          </cell>
        </row>
        <row r="332">
          <cell r="A332">
            <v>764</v>
          </cell>
          <cell r="B332">
            <v>764</v>
          </cell>
          <cell r="C332" t="str">
            <v>CERO MATRICULA</v>
          </cell>
          <cell r="D332" t="str">
            <v>ACTIVO</v>
          </cell>
          <cell r="E332" t="str">
            <v>AZT003</v>
          </cell>
          <cell r="F332" t="str">
            <v>HINOSTROZA SOTO EDWIN YHONY</v>
          </cell>
          <cell r="G332" t="str">
            <v>HINOSTROZA SOTO EDWIN YHONY</v>
          </cell>
          <cell r="H332" t="str">
            <v>43145231</v>
          </cell>
          <cell r="I332" t="str">
            <v>BBVA</v>
          </cell>
          <cell r="J332" t="str">
            <v>00110119020040884259</v>
          </cell>
          <cell r="K332" t="str">
            <v>DNI</v>
          </cell>
          <cell r="L332">
            <v>10431452311</v>
          </cell>
          <cell r="M332" t="str">
            <v>URBANO</v>
          </cell>
          <cell r="N332">
            <v>44879</v>
          </cell>
          <cell r="O332">
            <v>0</v>
          </cell>
          <cell r="P332" t="str">
            <v>LITE</v>
          </cell>
        </row>
        <row r="333">
          <cell r="A333">
            <v>765</v>
          </cell>
          <cell r="B333">
            <v>765</v>
          </cell>
          <cell r="C333" t="str">
            <v>CERO MATRICULA</v>
          </cell>
          <cell r="D333" t="str">
            <v>ACTIVO</v>
          </cell>
          <cell r="E333" t="str">
            <v>BZN586</v>
          </cell>
          <cell r="F333" t="str">
            <v>NAVEDA INGA ISRAEL DANIEL</v>
          </cell>
          <cell r="G333" t="str">
            <v>NAVEDA INGA ISRAEL DANIEL</v>
          </cell>
          <cell r="H333" t="str">
            <v>40823087</v>
          </cell>
          <cell r="I333" t="str">
            <v>BCP</v>
          </cell>
          <cell r="J333" t="str">
            <v>192-99570768-0-31</v>
          </cell>
          <cell r="K333" t="str">
            <v>DNI</v>
          </cell>
          <cell r="L333">
            <v>10408230875</v>
          </cell>
          <cell r="M333" t="str">
            <v>AEROLINEAS</v>
          </cell>
          <cell r="N333">
            <v>44943</v>
          </cell>
          <cell r="O333">
            <v>0</v>
          </cell>
          <cell r="P333" t="str">
            <v>COMFORT XL</v>
          </cell>
        </row>
        <row r="334">
          <cell r="A334">
            <v>766</v>
          </cell>
          <cell r="B334">
            <v>766</v>
          </cell>
          <cell r="C334" t="str">
            <v>CERO MATRICULA</v>
          </cell>
          <cell r="D334" t="str">
            <v>ACTIVO</v>
          </cell>
          <cell r="E334" t="str">
            <v>AMZ092</v>
          </cell>
          <cell r="F334" t="str">
            <v>ORBEZO DOMINGUEZ JUAN RUSKIN</v>
          </cell>
          <cell r="G334" t="str">
            <v>ORBEZO DOMIGUEZ JUAN RUSKIN</v>
          </cell>
          <cell r="H334" t="str">
            <v>10122034</v>
          </cell>
          <cell r="I334" t="str">
            <v>BBVA</v>
          </cell>
          <cell r="J334" t="str">
            <v>001100570234449169</v>
          </cell>
          <cell r="K334" t="str">
            <v>DNI</v>
          </cell>
          <cell r="L334">
            <v>10101220341</v>
          </cell>
          <cell r="M334" t="str">
            <v>AEROPUERTO</v>
          </cell>
          <cell r="N334">
            <v>44683</v>
          </cell>
          <cell r="O334">
            <v>265</v>
          </cell>
          <cell r="P334" t="str">
            <v>LITE</v>
          </cell>
        </row>
        <row r="335">
          <cell r="A335">
            <v>768</v>
          </cell>
          <cell r="B335">
            <v>768</v>
          </cell>
          <cell r="C335" t="str">
            <v>CERO MATRICULA</v>
          </cell>
          <cell r="D335" t="str">
            <v>ACTIVO</v>
          </cell>
          <cell r="E335" t="str">
            <v>ASJ509</v>
          </cell>
          <cell r="F335" t="str">
            <v>STARKE ARRAZAB ALALEJANDRO JOHN</v>
          </cell>
          <cell r="G335" t="str">
            <v>STARKE ARRAZABALALEJANDRO JOHN</v>
          </cell>
          <cell r="H335" t="str">
            <v>40151462</v>
          </cell>
          <cell r="I335" t="str">
            <v>BBVA</v>
          </cell>
          <cell r="J335" t="str">
            <v>001101790200477167</v>
          </cell>
          <cell r="K335" t="str">
            <v>DNI</v>
          </cell>
          <cell r="L335">
            <v>10401514622</v>
          </cell>
          <cell r="M335" t="str">
            <v>AEROPUERTO</v>
          </cell>
          <cell r="N335" t="str">
            <v>PENDIENTE</v>
          </cell>
          <cell r="O335">
            <v>240</v>
          </cell>
          <cell r="P335" t="str">
            <v>COMFORT</v>
          </cell>
        </row>
        <row r="336">
          <cell r="A336">
            <v>769</v>
          </cell>
          <cell r="B336">
            <v>769</v>
          </cell>
          <cell r="C336" t="str">
            <v>CERO MATRICULA</v>
          </cell>
          <cell r="D336" t="str">
            <v>ACTIVO</v>
          </cell>
          <cell r="E336" t="str">
            <v>AVF094</v>
          </cell>
          <cell r="F336" t="str">
            <v>GUTIERREZ MAMANI JORGE ALBERTO</v>
          </cell>
          <cell r="G336" t="str">
            <v>GUTIERREZ MAMANI JORGE ALBERTO</v>
          </cell>
          <cell r="H336" t="str">
            <v>45876153</v>
          </cell>
          <cell r="I336" t="str">
            <v>BCP</v>
          </cell>
          <cell r="J336" t="str">
            <v>192-93192878-0-18</v>
          </cell>
          <cell r="K336" t="str">
            <v>DNI</v>
          </cell>
          <cell r="L336">
            <v>10458761537</v>
          </cell>
          <cell r="M336" t="str">
            <v>AEROPUERTO</v>
          </cell>
          <cell r="N336">
            <v>44830</v>
          </cell>
          <cell r="O336">
            <v>265</v>
          </cell>
          <cell r="P336" t="str">
            <v>LITE</v>
          </cell>
        </row>
        <row r="337">
          <cell r="A337">
            <v>772</v>
          </cell>
          <cell r="B337">
            <v>772</v>
          </cell>
          <cell r="C337" t="str">
            <v>CERO MATRICULA</v>
          </cell>
          <cell r="D337" t="str">
            <v>ACTIVO</v>
          </cell>
          <cell r="E337" t="str">
            <v>ADZ371</v>
          </cell>
          <cell r="F337" t="str">
            <v>PECEROS DE LA CRUZ GERARDO</v>
          </cell>
          <cell r="G337" t="str">
            <v>PECEROS DE LA CRUZ GERARDO</v>
          </cell>
          <cell r="H337" t="str">
            <v>25548913</v>
          </cell>
          <cell r="I337" t="str">
            <v>INTERBANK</v>
          </cell>
          <cell r="J337" t="str">
            <v>3783357728141</v>
          </cell>
          <cell r="K337" t="str">
            <v>DNI</v>
          </cell>
          <cell r="L337">
            <v>10255489131</v>
          </cell>
          <cell r="M337" t="str">
            <v>AEROPUERTO</v>
          </cell>
          <cell r="N337" t="str">
            <v>PENDIENTE</v>
          </cell>
          <cell r="O337">
            <v>265</v>
          </cell>
          <cell r="P337" t="str">
            <v>LITE</v>
          </cell>
        </row>
        <row r="338">
          <cell r="A338">
            <v>773</v>
          </cell>
          <cell r="B338">
            <v>773</v>
          </cell>
          <cell r="C338" t="str">
            <v>CERO MATRICULA</v>
          </cell>
          <cell r="D338" t="str">
            <v>ACTIVO</v>
          </cell>
          <cell r="E338" t="str">
            <v>BPG490</v>
          </cell>
          <cell r="F338" t="str">
            <v>IBARRA CONTRERAS OSNEY RENE</v>
          </cell>
          <cell r="G338" t="str">
            <v>LIRA LEON STEFANY MARIA</v>
          </cell>
          <cell r="H338" t="str">
            <v>003573617</v>
          </cell>
          <cell r="I338" t="str">
            <v>BCP</v>
          </cell>
          <cell r="J338" t="str">
            <v>19394648642086</v>
          </cell>
          <cell r="K338" t="str">
            <v>CE</v>
          </cell>
          <cell r="L338">
            <v>15605504997</v>
          </cell>
          <cell r="M338" t="str">
            <v>AEROPUERTO</v>
          </cell>
          <cell r="N338" t="str">
            <v>PENDIENTE</v>
          </cell>
          <cell r="O338">
            <v>265</v>
          </cell>
          <cell r="P338" t="str">
            <v>LITE</v>
          </cell>
        </row>
        <row r="339">
          <cell r="A339">
            <v>774</v>
          </cell>
          <cell r="B339">
            <v>774</v>
          </cell>
          <cell r="C339" t="str">
            <v>CERO MATRICULA</v>
          </cell>
          <cell r="D339" t="str">
            <v>ACTIVO</v>
          </cell>
          <cell r="E339" t="str">
            <v>BHW461</v>
          </cell>
          <cell r="F339" t="str">
            <v>SALDAÑA SOBRINO ALBERTO CLARET</v>
          </cell>
          <cell r="G339" t="str">
            <v>ALBERTO CLARET SALDAÑA SOBRINO</v>
          </cell>
          <cell r="H339" t="str">
            <v>10694717</v>
          </cell>
          <cell r="I339" t="str">
            <v>INTERBANK</v>
          </cell>
          <cell r="J339" t="str">
            <v>898 3186535490</v>
          </cell>
          <cell r="K339" t="str">
            <v>DNI</v>
          </cell>
          <cell r="L339">
            <v>10106947177</v>
          </cell>
          <cell r="M339" t="str">
            <v>AEROPUERTO</v>
          </cell>
          <cell r="N339">
            <v>44734</v>
          </cell>
          <cell r="O339">
            <v>235</v>
          </cell>
          <cell r="P339" t="str">
            <v>COMFORT XL</v>
          </cell>
        </row>
        <row r="340">
          <cell r="A340">
            <v>775</v>
          </cell>
          <cell r="B340">
            <v>775</v>
          </cell>
          <cell r="C340" t="str">
            <v>CERO MATRICULA</v>
          </cell>
          <cell r="D340" t="str">
            <v>ACTIVO</v>
          </cell>
          <cell r="E340" t="str">
            <v>BMO362</v>
          </cell>
          <cell r="F340" t="str">
            <v>DELGADO LUGO FREDY ARRON</v>
          </cell>
          <cell r="G340" t="str">
            <v>Susana Lugo Haro</v>
          </cell>
          <cell r="H340" t="str">
            <v>08610856</v>
          </cell>
          <cell r="I340" t="str">
            <v>BCP</v>
          </cell>
          <cell r="J340" t="str">
            <v>19173760130080</v>
          </cell>
          <cell r="K340" t="str">
            <v>DNI</v>
          </cell>
          <cell r="L340">
            <v>10086108564</v>
          </cell>
          <cell r="M340" t="str">
            <v>AEROPUERTO</v>
          </cell>
          <cell r="N340" t="str">
            <v>PENDIENTE</v>
          </cell>
          <cell r="O340">
            <v>240</v>
          </cell>
          <cell r="P340" t="str">
            <v>XL</v>
          </cell>
        </row>
        <row r="341">
          <cell r="A341">
            <v>776</v>
          </cell>
          <cell r="B341">
            <v>776</v>
          </cell>
          <cell r="C341" t="str">
            <v>CERO MATRICULA</v>
          </cell>
          <cell r="D341" t="str">
            <v>ACTIVO</v>
          </cell>
          <cell r="E341" t="str">
            <v>BAV293</v>
          </cell>
          <cell r="F341" t="str">
            <v>BASALO GUERRERO DEIBIS ENRRIQUE</v>
          </cell>
          <cell r="G341" t="str">
            <v>BASALO GUERRERO DEIBIS ENRRIQUE</v>
          </cell>
          <cell r="H341" t="str">
            <v>001555852</v>
          </cell>
          <cell r="I341" t="str">
            <v>BCP</v>
          </cell>
          <cell r="J341" t="str">
            <v>191-00194931-0-99</v>
          </cell>
          <cell r="K341" t="str">
            <v>CE</v>
          </cell>
          <cell r="L341">
            <v>15604207131</v>
          </cell>
          <cell r="M341" t="str">
            <v>AEROPUERTO</v>
          </cell>
          <cell r="N341">
            <v>44732</v>
          </cell>
          <cell r="O341">
            <v>240</v>
          </cell>
          <cell r="P341" t="str">
            <v>XL</v>
          </cell>
        </row>
        <row r="342">
          <cell r="A342">
            <v>778</v>
          </cell>
          <cell r="B342">
            <v>778</v>
          </cell>
          <cell r="C342" t="str">
            <v>CERO MATRICULA</v>
          </cell>
          <cell r="D342" t="str">
            <v>ACTIVO</v>
          </cell>
          <cell r="E342" t="str">
            <v>BAO368</v>
          </cell>
          <cell r="F342" t="str">
            <v>LLACSAHUACHE CHINCHAY FIDEL</v>
          </cell>
          <cell r="G342" t="str">
            <v>LLACSAHUACHE CHINCHAY FIDEL</v>
          </cell>
          <cell r="H342" t="str">
            <v>47659331</v>
          </cell>
          <cell r="I342" t="str">
            <v>BCP</v>
          </cell>
          <cell r="J342" t="str">
            <v>191-93189810-0-19</v>
          </cell>
          <cell r="K342"/>
          <cell r="L342">
            <v>10476593315</v>
          </cell>
          <cell r="M342" t="str">
            <v>AEROPUERTO</v>
          </cell>
          <cell r="N342" t="str">
            <v>PENDIENTE</v>
          </cell>
          <cell r="O342">
            <v>265</v>
          </cell>
          <cell r="P342" t="str">
            <v>LITE</v>
          </cell>
        </row>
        <row r="343">
          <cell r="A343">
            <v>779</v>
          </cell>
          <cell r="B343">
            <v>779</v>
          </cell>
          <cell r="C343" t="str">
            <v>CERO MATRICULA</v>
          </cell>
          <cell r="D343" t="str">
            <v>ACTIVO</v>
          </cell>
          <cell r="E343" t="str">
            <v>BJP277</v>
          </cell>
          <cell r="F343" t="str">
            <v>SALAZAR ATACHAGUA JUAN RENZO</v>
          </cell>
          <cell r="G343" t="str">
            <v>SALAZAR ATACHAGUA JUAN RENZO</v>
          </cell>
          <cell r="H343" t="str">
            <v>72704245</v>
          </cell>
          <cell r="I343" t="str">
            <v>BCP</v>
          </cell>
          <cell r="J343" t="str">
            <v>19401125067030</v>
          </cell>
          <cell r="K343" t="str">
            <v>DNI</v>
          </cell>
          <cell r="L343">
            <v>10727042453</v>
          </cell>
          <cell r="M343" t="str">
            <v>AEROPUERTO</v>
          </cell>
          <cell r="N343">
            <v>44548</v>
          </cell>
          <cell r="O343">
            <v>265</v>
          </cell>
          <cell r="P343" t="str">
            <v>LITE</v>
          </cell>
        </row>
        <row r="344">
          <cell r="A344">
            <v>781</v>
          </cell>
          <cell r="B344">
            <v>781</v>
          </cell>
          <cell r="C344" t="str">
            <v>CERO MATRICULA</v>
          </cell>
          <cell r="D344" t="str">
            <v>ACTIVO</v>
          </cell>
          <cell r="E344" t="str">
            <v>BEC569</v>
          </cell>
          <cell r="F344" t="str">
            <v>QUIROZ SOTO GARY LESTER</v>
          </cell>
          <cell r="G344" t="str">
            <v>QUIROZ SOTO GARY LESTER</v>
          </cell>
          <cell r="H344" t="str">
            <v>10683439</v>
          </cell>
          <cell r="I344" t="str">
            <v>BCP</v>
          </cell>
          <cell r="J344" t="str">
            <v>191-40308475-0-29</v>
          </cell>
          <cell r="K344" t="str">
            <v>DNI</v>
          </cell>
          <cell r="L344">
            <v>10106834399</v>
          </cell>
          <cell r="M344" t="str">
            <v>AEROPUERTO</v>
          </cell>
          <cell r="N344" t="str">
            <v>PENDIENTE</v>
          </cell>
          <cell r="O344">
            <v>265</v>
          </cell>
          <cell r="P344" t="str">
            <v>LITE</v>
          </cell>
        </row>
        <row r="345">
          <cell r="A345">
            <v>784</v>
          </cell>
          <cell r="B345">
            <v>784</v>
          </cell>
          <cell r="C345" t="str">
            <v>CERO MATRICULA</v>
          </cell>
          <cell r="D345" t="str">
            <v>ACTIVO</v>
          </cell>
          <cell r="E345" t="str">
            <v>BLU690</v>
          </cell>
          <cell r="F345" t="str">
            <v>PONTE MENDEZ MARCO ANTONIO</v>
          </cell>
          <cell r="G345" t="str">
            <v>PONTE MENDEZ MARIBEL SILVIA</v>
          </cell>
          <cell r="H345">
            <v>44171172</v>
          </cell>
          <cell r="I345" t="str">
            <v xml:space="preserve">BCP </v>
          </cell>
          <cell r="J345" t="str">
            <v>19101235384061</v>
          </cell>
          <cell r="K345" t="str">
            <v>DNI</v>
          </cell>
          <cell r="L345">
            <v>10441711722</v>
          </cell>
          <cell r="M345" t="str">
            <v>AEROPUERTO</v>
          </cell>
          <cell r="N345" t="str">
            <v>PENDIENTE</v>
          </cell>
          <cell r="O345">
            <v>240</v>
          </cell>
          <cell r="P345" t="str">
            <v>XL</v>
          </cell>
        </row>
        <row r="346">
          <cell r="A346">
            <v>785</v>
          </cell>
          <cell r="B346">
            <v>785</v>
          </cell>
          <cell r="C346" t="str">
            <v>CERO MATRICULA</v>
          </cell>
          <cell r="D346" t="str">
            <v>ACTIVO</v>
          </cell>
          <cell r="E346" t="str">
            <v>ALZ323</v>
          </cell>
          <cell r="F346" t="str">
            <v>TINTAYA SAIRE BRUNO ADRIAN</v>
          </cell>
          <cell r="G346" t="str">
            <v>TINTAYA SAIRE BRUNO ADRIAN</v>
          </cell>
          <cell r="H346" t="str">
            <v>09273680</v>
          </cell>
          <cell r="I346" t="str">
            <v>BCP</v>
          </cell>
          <cell r="J346" t="str">
            <v>193-33787072-0-53</v>
          </cell>
          <cell r="K346"/>
          <cell r="L346">
            <v>10092736801</v>
          </cell>
          <cell r="M346" t="str">
            <v>AEROPUERTO</v>
          </cell>
          <cell r="N346" t="str">
            <v>PENDIENTE</v>
          </cell>
          <cell r="O346">
            <v>240</v>
          </cell>
          <cell r="P346" t="str">
            <v>XL</v>
          </cell>
        </row>
        <row r="347">
          <cell r="A347">
            <v>790</v>
          </cell>
          <cell r="B347">
            <v>790</v>
          </cell>
          <cell r="C347" t="str">
            <v>CERO MATRICULA</v>
          </cell>
          <cell r="D347" t="str">
            <v>ACTIVO</v>
          </cell>
          <cell r="E347" t="str">
            <v>AUO087</v>
          </cell>
          <cell r="F347" t="str">
            <v>SANCHEZ ESPINOZA CARLOS HENRY</v>
          </cell>
          <cell r="G347" t="str">
            <v>SANCHEZ ESPINOZA CARLOS HENRY</v>
          </cell>
          <cell r="H347" t="str">
            <v>40687262</v>
          </cell>
          <cell r="I347" t="str">
            <v>INTERBANK</v>
          </cell>
          <cell r="J347" t="str">
            <v>893097394198</v>
          </cell>
          <cell r="K347" t="str">
            <v>DNI</v>
          </cell>
          <cell r="L347">
            <v>10406872624</v>
          </cell>
          <cell r="M347" t="str">
            <v>AEROPUERTO</v>
          </cell>
          <cell r="N347">
            <v>44704</v>
          </cell>
          <cell r="O347">
            <v>265</v>
          </cell>
          <cell r="P347" t="str">
            <v>LITE</v>
          </cell>
        </row>
        <row r="348">
          <cell r="A348">
            <v>791</v>
          </cell>
          <cell r="B348">
            <v>791</v>
          </cell>
          <cell r="C348" t="str">
            <v>CERO MATRICULA</v>
          </cell>
          <cell r="D348" t="str">
            <v>ACTIVO</v>
          </cell>
          <cell r="E348" t="str">
            <v>BUW323</v>
          </cell>
          <cell r="F348" t="str">
            <v>BRICEÑO BRICEÑO PEDRO ARTURO</v>
          </cell>
          <cell r="G348" t="str">
            <v>BRICEÑO BRICEÑO PEDRO ARTURO</v>
          </cell>
          <cell r="H348" t="str">
            <v>003536383</v>
          </cell>
          <cell r="I348" t="str">
            <v>BCP</v>
          </cell>
          <cell r="J348" t="str">
            <v>19192369108027</v>
          </cell>
          <cell r="K348" t="str">
            <v>CE</v>
          </cell>
          <cell r="L348">
            <v>15607827050</v>
          </cell>
          <cell r="M348" t="str">
            <v>URBANO</v>
          </cell>
          <cell r="N348">
            <v>45075</v>
          </cell>
          <cell r="O348">
            <v>0</v>
          </cell>
          <cell r="P348" t="str">
            <v>LITE</v>
          </cell>
        </row>
        <row r="349">
          <cell r="A349">
            <v>793</v>
          </cell>
          <cell r="B349">
            <v>793</v>
          </cell>
          <cell r="C349" t="str">
            <v>CERO MATRICULA</v>
          </cell>
          <cell r="D349" t="str">
            <v>ACTIVO</v>
          </cell>
          <cell r="E349" t="str">
            <v>BBH234</v>
          </cell>
          <cell r="F349" t="str">
            <v>PALMA  FALCON DAVID JONATHAN</v>
          </cell>
          <cell r="G349" t="str">
            <v>LUZ AURELIA PALMA FALCON</v>
          </cell>
          <cell r="H349" t="str">
            <v>48454575</v>
          </cell>
          <cell r="I349" t="str">
            <v>BCP</v>
          </cell>
          <cell r="J349" t="str">
            <v>19193938931006</v>
          </cell>
          <cell r="K349" t="str">
            <v>DNI</v>
          </cell>
          <cell r="L349">
            <v>10484545753</v>
          </cell>
          <cell r="M349" t="str">
            <v>AEROPUERTO</v>
          </cell>
          <cell r="N349" t="str">
            <v>PENDIENTE</v>
          </cell>
          <cell r="O349">
            <v>235</v>
          </cell>
          <cell r="P349" t="str">
            <v>COMFORT XL</v>
          </cell>
        </row>
        <row r="350">
          <cell r="A350">
            <v>794</v>
          </cell>
          <cell r="B350">
            <v>794</v>
          </cell>
          <cell r="C350" t="str">
            <v>CERO MATRICULA</v>
          </cell>
          <cell r="D350" t="str">
            <v>ACTIVO</v>
          </cell>
          <cell r="E350" t="str">
            <v>BYF337</v>
          </cell>
          <cell r="F350" t="str">
            <v>CARREÑO CARHUAMACA JHANFRANCO</v>
          </cell>
          <cell r="G350" t="str">
            <v>CARREÑO CARHUAMACA JHANFRANCO</v>
          </cell>
          <cell r="H350" t="str">
            <v>47670588</v>
          </cell>
          <cell r="I350" t="str">
            <v>BCP</v>
          </cell>
          <cell r="J350" t="str">
            <v>191-38560616-0-16</v>
          </cell>
          <cell r="K350"/>
          <cell r="L350">
            <v>10476705881</v>
          </cell>
          <cell r="M350" t="str">
            <v>AEROPUERTO</v>
          </cell>
          <cell r="N350" t="str">
            <v>PENDIENTE</v>
          </cell>
          <cell r="O350">
            <v>265</v>
          </cell>
          <cell r="P350" t="str">
            <v>LITE</v>
          </cell>
        </row>
        <row r="351">
          <cell r="A351">
            <v>795</v>
          </cell>
          <cell r="B351">
            <v>795</v>
          </cell>
          <cell r="C351" t="str">
            <v>CERO MATRICULA</v>
          </cell>
          <cell r="D351" t="str">
            <v>ACTIVO</v>
          </cell>
          <cell r="E351" t="str">
            <v>BHI627</v>
          </cell>
          <cell r="F351" t="str">
            <v>YENGLE GONZALES FRANKLIN BERNABE</v>
          </cell>
          <cell r="G351" t="str">
            <v>YENGLE GONZALES FRANKLIN BERNABÈ</v>
          </cell>
          <cell r="H351" t="str">
            <v>43414557</v>
          </cell>
          <cell r="I351" t="str">
            <v>BBVA</v>
          </cell>
          <cell r="J351" t="str">
            <v>0011-0921-0200228372</v>
          </cell>
          <cell r="K351" t="str">
            <v>DNI</v>
          </cell>
          <cell r="L351">
            <v>10434145576</v>
          </cell>
          <cell r="M351" t="str">
            <v>AEROPUERTO</v>
          </cell>
          <cell r="N351">
            <v>45103</v>
          </cell>
          <cell r="O351">
            <v>235</v>
          </cell>
          <cell r="P351" t="str">
            <v>COMFORT XL</v>
          </cell>
        </row>
        <row r="352">
          <cell r="A352">
            <v>797</v>
          </cell>
          <cell r="B352">
            <v>797</v>
          </cell>
          <cell r="C352" t="str">
            <v>CERO MATRICULA</v>
          </cell>
          <cell r="D352" t="str">
            <v>ACTIVO</v>
          </cell>
          <cell r="E352" t="str">
            <v>ATZ520</v>
          </cell>
          <cell r="F352" t="str">
            <v>ABAD GARCIA ISAURO</v>
          </cell>
          <cell r="G352" t="str">
            <v>ABAD GARCIA ISAURO</v>
          </cell>
          <cell r="H352" t="str">
            <v>41747543</v>
          </cell>
          <cell r="I352" t="str">
            <v>BCP</v>
          </cell>
          <cell r="J352" t="str">
            <v>19122692394008</v>
          </cell>
          <cell r="K352" t="str">
            <v>DNI</v>
          </cell>
          <cell r="L352">
            <v>10417475431</v>
          </cell>
          <cell r="M352" t="str">
            <v>URBANO PARTNER</v>
          </cell>
          <cell r="N352" t="str">
            <v>PENDIENTE</v>
          </cell>
          <cell r="O352">
            <v>0</v>
          </cell>
          <cell r="P352" t="str">
            <v>COMFORT</v>
          </cell>
        </row>
        <row r="353">
          <cell r="A353">
            <v>799</v>
          </cell>
          <cell r="B353">
            <v>799</v>
          </cell>
          <cell r="C353" t="str">
            <v>CERO MATRICULA</v>
          </cell>
          <cell r="D353" t="str">
            <v>ACTIVO</v>
          </cell>
          <cell r="E353" t="str">
            <v>BYA438</v>
          </cell>
          <cell r="F353" t="str">
            <v>CHIGUALA DIAZ MILTON GERSON</v>
          </cell>
          <cell r="G353" t="str">
            <v>CHIGUALA DIAZ MILTON GERSON</v>
          </cell>
          <cell r="H353" t="str">
            <v>40458453</v>
          </cell>
          <cell r="I353" t="str">
            <v>BBVA</v>
          </cell>
          <cell r="J353" t="str">
            <v>0011-0057-0248313561</v>
          </cell>
          <cell r="K353" t="str">
            <v>DNI</v>
          </cell>
          <cell r="L353">
            <v>10404584532</v>
          </cell>
          <cell r="M353" t="str">
            <v>AEROPUERTO</v>
          </cell>
          <cell r="N353">
            <v>44620</v>
          </cell>
          <cell r="O353">
            <v>265</v>
          </cell>
          <cell r="P353" t="str">
            <v>LITE</v>
          </cell>
        </row>
        <row r="354">
          <cell r="A354">
            <v>800</v>
          </cell>
          <cell r="B354">
            <v>800</v>
          </cell>
          <cell r="C354" t="str">
            <v>CERO MATRICULA</v>
          </cell>
          <cell r="D354" t="str">
            <v>ACTIVO</v>
          </cell>
          <cell r="E354" t="str">
            <v>BNF123</v>
          </cell>
          <cell r="F354" t="str">
            <v>CHIPANA RODAS PABLO JESUS</v>
          </cell>
          <cell r="G354" t="str">
            <v>CHIPANA RODAS PABLO JESUS</v>
          </cell>
          <cell r="H354" t="str">
            <v>40024814</v>
          </cell>
          <cell r="I354" t="str">
            <v>BCP</v>
          </cell>
          <cell r="J354" t="str">
            <v>19192023160085</v>
          </cell>
          <cell r="K354" t="str">
            <v>DNI</v>
          </cell>
          <cell r="L354">
            <v>10400248147</v>
          </cell>
          <cell r="M354" t="str">
            <v>AEROPUERTO</v>
          </cell>
          <cell r="N354">
            <v>44742</v>
          </cell>
          <cell r="O354">
            <v>265</v>
          </cell>
          <cell r="P354" t="str">
            <v>LITE</v>
          </cell>
        </row>
        <row r="355">
          <cell r="A355">
            <v>801</v>
          </cell>
          <cell r="B355">
            <v>801</v>
          </cell>
          <cell r="C355" t="str">
            <v>CERO MATRICULA</v>
          </cell>
          <cell r="D355" t="str">
            <v>ACTIVO</v>
          </cell>
          <cell r="E355" t="str">
            <v>API374</v>
          </cell>
          <cell r="F355" t="str">
            <v>CHUNG AVALOS PERCY GREGORIO</v>
          </cell>
          <cell r="G355" t="str">
            <v>CHUNG AVALOS PERCY GREGORIO</v>
          </cell>
          <cell r="H355" t="str">
            <v>25816100</v>
          </cell>
          <cell r="I355" t="str">
            <v>BBVA</v>
          </cell>
          <cell r="J355" t="str">
            <v>0011-0162-0200599073-50</v>
          </cell>
          <cell r="K355"/>
          <cell r="L355">
            <v>10258161004</v>
          </cell>
          <cell r="M355" t="str">
            <v>URBANO</v>
          </cell>
          <cell r="N355" t="str">
            <v>PENDIENTE</v>
          </cell>
          <cell r="O355">
            <v>0</v>
          </cell>
          <cell r="P355" t="str">
            <v>LITE</v>
          </cell>
        </row>
        <row r="356">
          <cell r="A356">
            <v>802</v>
          </cell>
          <cell r="B356">
            <v>802</v>
          </cell>
          <cell r="C356" t="str">
            <v>CERO MATRICULA</v>
          </cell>
          <cell r="D356" t="str">
            <v>ACTIVO</v>
          </cell>
          <cell r="E356" t="str">
            <v>BUV660</v>
          </cell>
          <cell r="F356" t="str">
            <v>PERAMAS MATTOS JOSE ENCARNACION</v>
          </cell>
          <cell r="G356" t="str">
            <v>PERAMAS MATTOS JOSE ENCARNACION</v>
          </cell>
          <cell r="H356" t="str">
            <v>00491774</v>
          </cell>
          <cell r="I356" t="str">
            <v>SCOTIABANK</v>
          </cell>
          <cell r="J356" t="str">
            <v>1760323442</v>
          </cell>
          <cell r="K356" t="str">
            <v>DNI</v>
          </cell>
          <cell r="L356">
            <v>10004917745</v>
          </cell>
          <cell r="M356" t="str">
            <v>AEROPUERTO</v>
          </cell>
          <cell r="N356">
            <v>44919</v>
          </cell>
          <cell r="O356">
            <v>265</v>
          </cell>
          <cell r="P356" t="str">
            <v>LITE</v>
          </cell>
        </row>
        <row r="357">
          <cell r="A357">
            <v>803</v>
          </cell>
          <cell r="B357">
            <v>803</v>
          </cell>
          <cell r="C357" t="str">
            <v>CERO MATRICULA</v>
          </cell>
          <cell r="D357" t="str">
            <v>ACTIVO</v>
          </cell>
          <cell r="E357" t="str">
            <v>BKK178</v>
          </cell>
          <cell r="F357" t="str">
            <v>QUEVEDO CIFUENTES RAFAEL RAMON</v>
          </cell>
          <cell r="G357" t="str">
            <v>QUEVEDO CIFUENTES RAFAEL RAMON</v>
          </cell>
          <cell r="H357" t="str">
            <v>003125466</v>
          </cell>
          <cell r="I357" t="str">
            <v>BCP</v>
          </cell>
          <cell r="J357" t="str">
            <v>19392000221015</v>
          </cell>
          <cell r="K357" t="str">
            <v>CE</v>
          </cell>
          <cell r="L357">
            <v>15606965084</v>
          </cell>
          <cell r="M357" t="str">
            <v>AEROPUERTO</v>
          </cell>
          <cell r="N357">
            <v>44746</v>
          </cell>
          <cell r="O357">
            <v>235</v>
          </cell>
          <cell r="P357" t="str">
            <v>COMFORT XL</v>
          </cell>
        </row>
        <row r="358">
          <cell r="A358">
            <v>812</v>
          </cell>
          <cell r="B358">
            <v>812</v>
          </cell>
          <cell r="C358" t="str">
            <v>CERO MATRICULA</v>
          </cell>
          <cell r="D358" t="str">
            <v>ACTIVO</v>
          </cell>
          <cell r="E358" t="str">
            <v>BPZ403</v>
          </cell>
          <cell r="F358" t="str">
            <v>BAUDIN PEREZ OSCAR ENRIQUE</v>
          </cell>
          <cell r="G358" t="str">
            <v>BAUDIN PEREZ OSCAR ENRIQUE</v>
          </cell>
          <cell r="H358" t="str">
            <v>076914117</v>
          </cell>
          <cell r="I358" t="str">
            <v>BCP</v>
          </cell>
          <cell r="J358" t="str">
            <v>193-40292129-0-19</v>
          </cell>
          <cell r="K358" t="str">
            <v>PASAPORTE</v>
          </cell>
          <cell r="L358">
            <v>15603818447</v>
          </cell>
          <cell r="M358" t="str">
            <v>AEROPUERTO</v>
          </cell>
          <cell r="N358" t="str">
            <v>PENDIENTE</v>
          </cell>
          <cell r="O358">
            <v>265</v>
          </cell>
          <cell r="P358" t="str">
            <v>LITE</v>
          </cell>
        </row>
        <row r="359">
          <cell r="A359">
            <v>818</v>
          </cell>
          <cell r="B359">
            <v>818</v>
          </cell>
          <cell r="C359" t="str">
            <v>CERO MATRICULA</v>
          </cell>
          <cell r="D359" t="str">
            <v>ACTIVO</v>
          </cell>
          <cell r="E359" t="str">
            <v>BAF368</v>
          </cell>
          <cell r="F359" t="str">
            <v>AGUIRRE ROJAS LUIS MACKIVER</v>
          </cell>
          <cell r="G359" t="str">
            <v>AGUIRRE ROJAS LUIS MACKIVER</v>
          </cell>
          <cell r="H359" t="str">
            <v>44970257</v>
          </cell>
          <cell r="I359" t="str">
            <v>BBVA</v>
          </cell>
          <cell r="J359" t="str">
            <v>0011-0615-0200077494</v>
          </cell>
          <cell r="K359"/>
          <cell r="L359">
            <v>10449702579</v>
          </cell>
          <cell r="M359" t="str">
            <v>AEROPUERTO</v>
          </cell>
          <cell r="N359" t="str">
            <v>PENDIENTE</v>
          </cell>
          <cell r="O359">
            <v>235</v>
          </cell>
          <cell r="P359" t="str">
            <v>COMFORT XL</v>
          </cell>
        </row>
        <row r="360">
          <cell r="A360">
            <v>821</v>
          </cell>
          <cell r="B360">
            <v>821</v>
          </cell>
          <cell r="C360" t="str">
            <v>CERO MATRICULA</v>
          </cell>
          <cell r="D360" t="str">
            <v>ACTIVO</v>
          </cell>
          <cell r="E360" t="str">
            <v>ARU072</v>
          </cell>
          <cell r="F360" t="str">
            <v>LEON PALACIOS LUIS ABEL</v>
          </cell>
          <cell r="G360" t="str">
            <v>LEON PALACIOS LUIS ABEL</v>
          </cell>
          <cell r="H360" t="str">
            <v>09883502</v>
          </cell>
          <cell r="I360" t="str">
            <v>BCP</v>
          </cell>
          <cell r="J360" t="str">
            <v>194-26855245-0-08</v>
          </cell>
          <cell r="K360" t="str">
            <v>DNI</v>
          </cell>
          <cell r="L360">
            <v>10098835020</v>
          </cell>
          <cell r="M360" t="str">
            <v>AEROPUERTO</v>
          </cell>
          <cell r="N360" t="str">
            <v>PENDIENTE</v>
          </cell>
          <cell r="O360">
            <v>235</v>
          </cell>
          <cell r="P360" t="str">
            <v>COMFORT XL</v>
          </cell>
        </row>
        <row r="361">
          <cell r="A361">
            <v>823</v>
          </cell>
          <cell r="B361">
            <v>823</v>
          </cell>
          <cell r="C361" t="str">
            <v>CERO MATRICULA</v>
          </cell>
          <cell r="D361" t="str">
            <v>ACTIVO</v>
          </cell>
          <cell r="E361" t="str">
            <v>ALR291</v>
          </cell>
          <cell r="F361" t="str">
            <v>ROJAS PACHAS ANDRES</v>
          </cell>
          <cell r="G361" t="str">
            <v>ROJAS PACHAS ANDRES</v>
          </cell>
          <cell r="H361" t="str">
            <v>21873094</v>
          </cell>
          <cell r="I361" t="str">
            <v>BCP</v>
          </cell>
          <cell r="J361" t="str">
            <v>19434964571046</v>
          </cell>
          <cell r="K361"/>
          <cell r="L361">
            <v>10218730944</v>
          </cell>
          <cell r="M361" t="str">
            <v>AEROPUERTO</v>
          </cell>
          <cell r="N361" t="str">
            <v>PENDIENTE</v>
          </cell>
          <cell r="O361">
            <v>240</v>
          </cell>
          <cell r="P361" t="str">
            <v>COMFORT</v>
          </cell>
        </row>
        <row r="362">
          <cell r="A362">
            <v>825</v>
          </cell>
          <cell r="B362">
            <v>825</v>
          </cell>
          <cell r="C362" t="str">
            <v>CERO MATRICULA</v>
          </cell>
          <cell r="D362" t="str">
            <v>ACTIVO</v>
          </cell>
          <cell r="E362" t="str">
            <v>F7Z009</v>
          </cell>
          <cell r="F362" t="str">
            <v>TERRONES QUISPE JHONN ROBERT</v>
          </cell>
          <cell r="G362" t="str">
            <v>TERRONES QUISPE JHONN ROBERT</v>
          </cell>
          <cell r="H362">
            <v>41551896</v>
          </cell>
          <cell r="I362" t="str">
            <v>BCP</v>
          </cell>
          <cell r="J362" t="str">
            <v>19330713843082</v>
          </cell>
          <cell r="K362"/>
          <cell r="L362">
            <v>10415518965</v>
          </cell>
          <cell r="M362" t="str">
            <v>URBANO</v>
          </cell>
          <cell r="N362" t="str">
            <v>PENDIENTE</v>
          </cell>
          <cell r="O362">
            <v>0</v>
          </cell>
          <cell r="P362">
            <v>0</v>
          </cell>
        </row>
        <row r="363">
          <cell r="A363">
            <v>826</v>
          </cell>
          <cell r="B363">
            <v>826</v>
          </cell>
          <cell r="C363" t="str">
            <v>CERO MATRICULA</v>
          </cell>
          <cell r="D363" t="str">
            <v>ACTIVO</v>
          </cell>
          <cell r="E363" t="str">
            <v>APT266</v>
          </cell>
          <cell r="F363" t="str">
            <v>CURIOSO BELTRAN DANGERT DAVID</v>
          </cell>
          <cell r="G363" t="str">
            <v>VIVA PERU TRAVEL E.I.R.L.</v>
          </cell>
          <cell r="H363" t="str">
            <v>20601312337</v>
          </cell>
          <cell r="I363" t="str">
            <v>BBVA</v>
          </cell>
          <cell r="J363" t="str">
            <v>0011-0259-9002004420-58</v>
          </cell>
          <cell r="K363" t="str">
            <v>RUC</v>
          </cell>
          <cell r="L363">
            <v>20601312337</v>
          </cell>
          <cell r="M363" t="str">
            <v>AEROPUERTO</v>
          </cell>
          <cell r="N363" t="str">
            <v>PENDIENTE</v>
          </cell>
          <cell r="O363">
            <v>240</v>
          </cell>
          <cell r="P363" t="str">
            <v>COMFORT</v>
          </cell>
        </row>
        <row r="364">
          <cell r="A364">
            <v>828</v>
          </cell>
          <cell r="B364">
            <v>828</v>
          </cell>
          <cell r="C364" t="str">
            <v>CERO MATRICULA</v>
          </cell>
          <cell r="D364" t="str">
            <v>ACTIVO</v>
          </cell>
          <cell r="E364" t="str">
            <v>AVP496</v>
          </cell>
          <cell r="F364" t="str">
            <v>MORI AREVALO ROMYLO IVAN</v>
          </cell>
          <cell r="G364" t="str">
            <v>MORI AREVALO ROMYLO IVAN</v>
          </cell>
          <cell r="H364" t="str">
            <v>44250582</v>
          </cell>
          <cell r="I364" t="str">
            <v>BCP</v>
          </cell>
          <cell r="J364" t="str">
            <v>19498932131043</v>
          </cell>
          <cell r="K364" t="str">
            <v>DNI</v>
          </cell>
          <cell r="L364">
            <v>10442505824</v>
          </cell>
          <cell r="M364" t="str">
            <v>URBANO PARTNER</v>
          </cell>
          <cell r="N364">
            <v>44599</v>
          </cell>
          <cell r="O364">
            <v>0</v>
          </cell>
          <cell r="P364" t="str">
            <v>COMFORT XL</v>
          </cell>
        </row>
        <row r="365">
          <cell r="A365">
            <v>829</v>
          </cell>
          <cell r="B365">
            <v>829</v>
          </cell>
          <cell r="C365" t="str">
            <v>CERO MATRICULA</v>
          </cell>
          <cell r="D365" t="str">
            <v>ACTIVO</v>
          </cell>
          <cell r="E365" t="str">
            <v>Z6P057</v>
          </cell>
          <cell r="F365" t="str">
            <v>PERALTA COLLAZOS JUNIOR ALEXANDER</v>
          </cell>
          <cell r="G365" t="str">
            <v>PERALTA COLLAZOS JUNIOR ALEXANDER</v>
          </cell>
          <cell r="H365" t="str">
            <v>75331784</v>
          </cell>
          <cell r="I365" t="str">
            <v>BCP</v>
          </cell>
          <cell r="J365" t="str">
            <v>19203677610056</v>
          </cell>
          <cell r="K365" t="str">
            <v>DNI</v>
          </cell>
          <cell r="L365">
            <v>10753317843</v>
          </cell>
          <cell r="M365" t="str">
            <v>AEROPUERTO</v>
          </cell>
          <cell r="N365">
            <v>44657</v>
          </cell>
          <cell r="O365">
            <v>265</v>
          </cell>
          <cell r="P365" t="str">
            <v>LITE</v>
          </cell>
        </row>
        <row r="366">
          <cell r="A366">
            <v>830</v>
          </cell>
          <cell r="B366">
            <v>830</v>
          </cell>
          <cell r="C366" t="str">
            <v>CERO MATRICULA</v>
          </cell>
          <cell r="D366" t="str">
            <v>ACTIVO</v>
          </cell>
          <cell r="E366" t="str">
            <v>ATN110</v>
          </cell>
          <cell r="F366" t="str">
            <v>INGA ESPINOZA JERONIMO GERMAN</v>
          </cell>
          <cell r="G366" t="str">
            <v>INGA ESPINOZA JERONIMO GERMAN</v>
          </cell>
          <cell r="H366">
            <v>21261987</v>
          </cell>
          <cell r="I366" t="str">
            <v>BBVA</v>
          </cell>
          <cell r="J366" t="str">
            <v>00110057780234449258</v>
          </cell>
          <cell r="K366"/>
          <cell r="L366">
            <v>10212619871</v>
          </cell>
          <cell r="M366" t="str">
            <v>AEROPUERTO</v>
          </cell>
          <cell r="N366">
            <v>44817</v>
          </cell>
          <cell r="O366">
            <v>235</v>
          </cell>
          <cell r="P366" t="str">
            <v>COMFORT XL</v>
          </cell>
        </row>
        <row r="367">
          <cell r="A367">
            <v>831</v>
          </cell>
          <cell r="B367">
            <v>831</v>
          </cell>
          <cell r="C367" t="str">
            <v>CERO MATRICULA</v>
          </cell>
          <cell r="D367" t="str">
            <v>ACTIVO</v>
          </cell>
          <cell r="E367" t="str">
            <v>BDI691</v>
          </cell>
          <cell r="F367" t="str">
            <v>SOTO ATOCCSA WILMAN</v>
          </cell>
          <cell r="G367" t="str">
            <v>SOTO ATOCCSA WILMAN</v>
          </cell>
          <cell r="H367" t="str">
            <v>41661428</v>
          </cell>
          <cell r="I367" t="str">
            <v>BCP</v>
          </cell>
          <cell r="J367" t="str">
            <v>19170013395099</v>
          </cell>
          <cell r="K367" t="str">
            <v>DNI</v>
          </cell>
          <cell r="L367">
            <v>10416614283</v>
          </cell>
          <cell r="M367" t="str">
            <v>AEROPUERTO</v>
          </cell>
          <cell r="N367">
            <v>44837</v>
          </cell>
          <cell r="O367">
            <v>265</v>
          </cell>
          <cell r="P367" t="str">
            <v>LITE</v>
          </cell>
        </row>
        <row r="368">
          <cell r="A368">
            <v>832</v>
          </cell>
          <cell r="B368">
            <v>832</v>
          </cell>
          <cell r="C368" t="str">
            <v>CERO MATRICULA</v>
          </cell>
          <cell r="D368" t="str">
            <v>ACTIVO</v>
          </cell>
          <cell r="E368" t="str">
            <v>Z6J255</v>
          </cell>
          <cell r="F368" t="str">
            <v>PINEDA TIMAURE EDWARD ALEXANDER</v>
          </cell>
          <cell r="G368" t="str">
            <v>MARTINEZ PEREIRA JOSE GREGORIO</v>
          </cell>
          <cell r="H368" t="str">
            <v>004313748</v>
          </cell>
          <cell r="I368" t="str">
            <v>INTERBANK</v>
          </cell>
          <cell r="J368">
            <v>1513267426972</v>
          </cell>
          <cell r="K368" t="str">
            <v>CE</v>
          </cell>
          <cell r="L368">
            <v>15607279435</v>
          </cell>
          <cell r="M368" t="str">
            <v>AEROPUERTO</v>
          </cell>
          <cell r="N368">
            <v>44672</v>
          </cell>
          <cell r="O368">
            <v>265</v>
          </cell>
          <cell r="P368" t="str">
            <v>LITE</v>
          </cell>
        </row>
        <row r="369">
          <cell r="A369">
            <v>835</v>
          </cell>
          <cell r="B369">
            <v>835</v>
          </cell>
          <cell r="C369" t="str">
            <v>CERO MATRICULA</v>
          </cell>
          <cell r="D369" t="str">
            <v>ACTIVO</v>
          </cell>
          <cell r="E369" t="str">
            <v>BMW552</v>
          </cell>
          <cell r="F369" t="str">
            <v xml:space="preserve">FARFAN MARCATOMA JAMES BRAYHAN </v>
          </cell>
          <cell r="G369" t="str">
            <v xml:space="preserve">FARFAN MARCATOMA JAMES BRAYHAN </v>
          </cell>
          <cell r="H369" t="str">
            <v>46869794</v>
          </cell>
          <cell r="I369" t="str">
            <v>BCP</v>
          </cell>
          <cell r="J369">
            <v>19199881193091</v>
          </cell>
          <cell r="K369" t="str">
            <v>DNI</v>
          </cell>
          <cell r="L369">
            <v>10468697942</v>
          </cell>
          <cell r="M369" t="str">
            <v>AEROPUERTO</v>
          </cell>
          <cell r="N369">
            <v>44671</v>
          </cell>
          <cell r="O369">
            <v>240</v>
          </cell>
          <cell r="P369" t="str">
            <v>XL</v>
          </cell>
        </row>
        <row r="370">
          <cell r="A370">
            <v>836</v>
          </cell>
          <cell r="B370">
            <v>836</v>
          </cell>
          <cell r="C370" t="str">
            <v>CERO MATRICULA</v>
          </cell>
          <cell r="D370" t="str">
            <v>ACTIVO</v>
          </cell>
          <cell r="E370" t="str">
            <v>AVR091</v>
          </cell>
          <cell r="F370" t="str">
            <v>ORIHUELA RIOS ERNESTO</v>
          </cell>
          <cell r="G370" t="str">
            <v>ORIHUELA RIOS ERNESTO</v>
          </cell>
          <cell r="H370" t="str">
            <v>10421756</v>
          </cell>
          <cell r="I370" t="str">
            <v>BBVA</v>
          </cell>
          <cell r="J370" t="str">
            <v>0011-0467-85-0200021215</v>
          </cell>
          <cell r="K370"/>
          <cell r="L370">
            <v>10104217562</v>
          </cell>
          <cell r="M370" t="str">
            <v>AEROPUERTO</v>
          </cell>
          <cell r="N370" t="str">
            <v>PENDIENTE</v>
          </cell>
          <cell r="O370">
            <v>265</v>
          </cell>
          <cell r="P370" t="str">
            <v>LITE</v>
          </cell>
        </row>
        <row r="371">
          <cell r="A371">
            <v>837</v>
          </cell>
          <cell r="B371">
            <v>837</v>
          </cell>
          <cell r="C371" t="str">
            <v>CERO MATRICULA</v>
          </cell>
          <cell r="D371" t="str">
            <v>ACTIVO</v>
          </cell>
          <cell r="E371" t="str">
            <v>BUO156</v>
          </cell>
          <cell r="F371" t="str">
            <v>SANTANDER QUEVEDO RICARDO MOISES</v>
          </cell>
          <cell r="G371" t="str">
            <v>SANTANDER QUEVEDO RICARDO MOISES</v>
          </cell>
          <cell r="H371" t="str">
            <v>40708950</v>
          </cell>
          <cell r="I371" t="str">
            <v>BBVA</v>
          </cell>
          <cell r="J371" t="str">
            <v>0011-0141-0200529089</v>
          </cell>
          <cell r="K371" t="str">
            <v>DNI</v>
          </cell>
          <cell r="L371">
            <v>10407089508</v>
          </cell>
          <cell r="M371" t="str">
            <v>AEROPUERTO</v>
          </cell>
          <cell r="N371">
            <v>44886</v>
          </cell>
          <cell r="O371">
            <v>240</v>
          </cell>
          <cell r="P371" t="str">
            <v>COMFORT</v>
          </cell>
        </row>
        <row r="372">
          <cell r="A372">
            <v>838</v>
          </cell>
          <cell r="B372">
            <v>838</v>
          </cell>
          <cell r="C372" t="str">
            <v>CERO MATRICULA</v>
          </cell>
          <cell r="D372" t="str">
            <v>ACTIVO</v>
          </cell>
          <cell r="E372" t="str">
            <v>BYY022</v>
          </cell>
          <cell r="F372" t="str">
            <v>GUEVARA BRITO JAVIER ISIDRO</v>
          </cell>
          <cell r="G372" t="str">
            <v>Javier Isidro Guevara Brito</v>
          </cell>
          <cell r="H372" t="str">
            <v>006303258</v>
          </cell>
          <cell r="I372" t="str">
            <v>BCP</v>
          </cell>
          <cell r="J372" t="str">
            <v>19105858949028</v>
          </cell>
          <cell r="K372" t="str">
            <v>CE</v>
          </cell>
          <cell r="L372">
            <v>15608820164</v>
          </cell>
          <cell r="M372" t="str">
            <v>AEROPUERTO</v>
          </cell>
          <cell r="N372">
            <v>44676</v>
          </cell>
          <cell r="O372">
            <v>235</v>
          </cell>
          <cell r="P372" t="str">
            <v>COMFORT XL</v>
          </cell>
        </row>
        <row r="373">
          <cell r="A373">
            <v>839</v>
          </cell>
          <cell r="B373">
            <v>839</v>
          </cell>
          <cell r="C373" t="str">
            <v>CERO MATRICULA</v>
          </cell>
          <cell r="D373" t="str">
            <v>ACTIVO</v>
          </cell>
          <cell r="E373" t="str">
            <v>AYU214</v>
          </cell>
          <cell r="F373" t="str">
            <v>CORTEZ AGREDA HARLY JAVIER</v>
          </cell>
          <cell r="G373" t="str">
            <v>CARMEN BEATRIZ GEBOL MORI</v>
          </cell>
          <cell r="H373" t="str">
            <v>71932717</v>
          </cell>
          <cell r="I373" t="str">
            <v>INTERBANK</v>
          </cell>
          <cell r="J373" t="str">
            <v>8213361735390</v>
          </cell>
          <cell r="K373" t="str">
            <v>DNI</v>
          </cell>
          <cell r="L373">
            <v>10719327171</v>
          </cell>
          <cell r="M373" t="str">
            <v>AEROPUERTO</v>
          </cell>
          <cell r="N373">
            <v>44702</v>
          </cell>
          <cell r="O373">
            <v>235</v>
          </cell>
          <cell r="P373" t="str">
            <v>COMFORT XL</v>
          </cell>
        </row>
        <row r="374">
          <cell r="A374">
            <v>840</v>
          </cell>
          <cell r="B374">
            <v>840</v>
          </cell>
          <cell r="C374" t="str">
            <v>CERO MATRICULA</v>
          </cell>
          <cell r="D374" t="str">
            <v>ACTIVO</v>
          </cell>
          <cell r="E374" t="str">
            <v>AUT148</v>
          </cell>
          <cell r="F374" t="str">
            <v>MARTINEZ ESPINOZA ELMER ARISTERES</v>
          </cell>
          <cell r="G374" t="str">
            <v>MARTINEZ ESPINOZA ELMER ARISTERES</v>
          </cell>
          <cell r="H374" t="str">
            <v>07152946</v>
          </cell>
          <cell r="I374" t="str">
            <v>BCP</v>
          </cell>
          <cell r="J374" t="str">
            <v>19137929681006</v>
          </cell>
          <cell r="K374" t="str">
            <v>DNI</v>
          </cell>
          <cell r="L374">
            <v>10071529466</v>
          </cell>
          <cell r="M374" t="str">
            <v>AEROPUERTO</v>
          </cell>
          <cell r="N374">
            <v>44672</v>
          </cell>
          <cell r="O374">
            <v>240</v>
          </cell>
          <cell r="P374" t="str">
            <v>COMFORT</v>
          </cell>
        </row>
        <row r="375">
          <cell r="A375">
            <v>841</v>
          </cell>
          <cell r="B375">
            <v>841</v>
          </cell>
          <cell r="C375" t="str">
            <v>CERO MATRICULA</v>
          </cell>
          <cell r="D375" t="str">
            <v>ACTIVO</v>
          </cell>
          <cell r="E375" t="str">
            <v>AZD362</v>
          </cell>
          <cell r="F375" t="str">
            <v>OLAVE ROQUE EDINSON NARCISO</v>
          </cell>
          <cell r="G375" t="str">
            <v>OLAVE ROQUE EDINSON NARCISO</v>
          </cell>
          <cell r="H375" t="str">
            <v>47138579</v>
          </cell>
          <cell r="I375" t="str">
            <v>BBVA</v>
          </cell>
          <cell r="J375" t="str">
            <v>001108140222651676</v>
          </cell>
          <cell r="K375" t="str">
            <v>DNI</v>
          </cell>
          <cell r="L375">
            <v>10471385790</v>
          </cell>
          <cell r="M375" t="str">
            <v>AEROPUERTO</v>
          </cell>
          <cell r="N375">
            <v>44662</v>
          </cell>
          <cell r="O375">
            <v>235</v>
          </cell>
          <cell r="P375" t="str">
            <v>COMFORT XL</v>
          </cell>
        </row>
        <row r="376">
          <cell r="A376">
            <v>845</v>
          </cell>
          <cell r="B376">
            <v>845</v>
          </cell>
          <cell r="C376" t="str">
            <v>CERO MATRICULA</v>
          </cell>
          <cell r="D376" t="str">
            <v>ACTIVO</v>
          </cell>
          <cell r="E376" t="str">
            <v>BLW366</v>
          </cell>
          <cell r="F376" t="str">
            <v>HERNANDEZ COLINA KEVIN RENE</v>
          </cell>
          <cell r="G376" t="str">
            <v>HERNANDEZ COLINA KEVIN RENE</v>
          </cell>
          <cell r="H376" t="str">
            <v>003957815</v>
          </cell>
          <cell r="I376" t="str">
            <v>BCP</v>
          </cell>
          <cell r="J376" t="str">
            <v>19100748792053</v>
          </cell>
          <cell r="K376" t="str">
            <v>CE</v>
          </cell>
          <cell r="L376">
            <v>15608088064</v>
          </cell>
          <cell r="M376" t="str">
            <v>AEROPUERTO</v>
          </cell>
          <cell r="N376">
            <v>44837</v>
          </cell>
          <cell r="O376">
            <v>265</v>
          </cell>
          <cell r="P376" t="str">
            <v>LITE</v>
          </cell>
        </row>
        <row r="377">
          <cell r="A377">
            <v>846</v>
          </cell>
          <cell r="B377">
            <v>846</v>
          </cell>
          <cell r="C377" t="str">
            <v>CERO MATRICULA</v>
          </cell>
          <cell r="D377" t="str">
            <v>ACTIVO</v>
          </cell>
          <cell r="E377" t="str">
            <v>BNX279</v>
          </cell>
          <cell r="F377" t="str">
            <v>TAKEDA NISHITATE JORGE ANTONIO</v>
          </cell>
          <cell r="G377" t="str">
            <v>TAKEDA NISHITATE JORGE ANTONIO</v>
          </cell>
          <cell r="H377" t="str">
            <v>25801266</v>
          </cell>
          <cell r="I377" t="str">
            <v>INTERBANK</v>
          </cell>
          <cell r="J377">
            <v>1443163649549</v>
          </cell>
          <cell r="K377" t="str">
            <v>DNI</v>
          </cell>
          <cell r="L377">
            <v>10258012661</v>
          </cell>
          <cell r="M377" t="str">
            <v>AEROPUERTO</v>
          </cell>
          <cell r="N377">
            <v>44697</v>
          </cell>
          <cell r="O377">
            <v>240</v>
          </cell>
          <cell r="P377" t="str">
            <v>COMFORT</v>
          </cell>
        </row>
        <row r="378">
          <cell r="A378">
            <v>847</v>
          </cell>
          <cell r="B378">
            <v>847</v>
          </cell>
          <cell r="C378" t="str">
            <v>CERO MATRICULA</v>
          </cell>
          <cell r="D378" t="str">
            <v>ACTIVO</v>
          </cell>
          <cell r="E378" t="str">
            <v>AMQ421</v>
          </cell>
          <cell r="F378" t="str">
            <v>CISNEROS OBREGON JHAN XIAOLI</v>
          </cell>
          <cell r="G378" t="str">
            <v>CISNEROS OBREGON JHAN XIAOLI</v>
          </cell>
          <cell r="H378" t="str">
            <v>43736637</v>
          </cell>
          <cell r="I378" t="str">
            <v>BCP</v>
          </cell>
          <cell r="J378" t="str">
            <v>192-37460772-062</v>
          </cell>
          <cell r="K378"/>
          <cell r="L378">
            <v>10437366379</v>
          </cell>
          <cell r="M378" t="str">
            <v>AEROPUERTO</v>
          </cell>
          <cell r="N378" t="str">
            <v>PENDIENTE</v>
          </cell>
          <cell r="O378">
            <v>240</v>
          </cell>
          <cell r="P378" t="str">
            <v>XL</v>
          </cell>
        </row>
        <row r="379">
          <cell r="A379">
            <v>850</v>
          </cell>
          <cell r="B379">
            <v>850</v>
          </cell>
          <cell r="C379" t="str">
            <v>CERO MATRICULA</v>
          </cell>
          <cell r="D379" t="str">
            <v>ACTIVO</v>
          </cell>
          <cell r="E379" t="str">
            <v>AKO112</v>
          </cell>
          <cell r="F379" t="str">
            <v>GUTIERREZ VELIZ ZECARLOS</v>
          </cell>
          <cell r="G379" t="str">
            <v>GUTIERREZ VELIZ ZECARLOS</v>
          </cell>
          <cell r="H379" t="str">
            <v>20063524</v>
          </cell>
          <cell r="I379" t="str">
            <v>BCP</v>
          </cell>
          <cell r="J379" t="str">
            <v>191-01571404-0-76</v>
          </cell>
          <cell r="K379" t="str">
            <v>DNI</v>
          </cell>
          <cell r="L379">
            <v>10200635243</v>
          </cell>
          <cell r="M379" t="str">
            <v>AEROPUERTO</v>
          </cell>
          <cell r="N379" t="str">
            <v>PENDIENTE</v>
          </cell>
          <cell r="O379">
            <v>265</v>
          </cell>
          <cell r="P379" t="str">
            <v>LITE</v>
          </cell>
        </row>
        <row r="380">
          <cell r="A380">
            <v>852</v>
          </cell>
          <cell r="B380">
            <v>852</v>
          </cell>
          <cell r="C380" t="str">
            <v>CERO MATRICULA</v>
          </cell>
          <cell r="D380" t="str">
            <v>ACTIVO</v>
          </cell>
          <cell r="E380" t="str">
            <v>ANK679</v>
          </cell>
          <cell r="F380" t="str">
            <v>DAVILA LAM JUAN IVAN</v>
          </cell>
          <cell r="G380" t="str">
            <v>DAVILA LAM JUAN IVAN</v>
          </cell>
          <cell r="H380" t="str">
            <v>47102444</v>
          </cell>
          <cell r="I380" t="str">
            <v>BBVA</v>
          </cell>
          <cell r="J380" t="str">
            <v>0011-0057-0234449827</v>
          </cell>
          <cell r="K380" t="str">
            <v>DNI</v>
          </cell>
          <cell r="L380">
            <v>10471024444</v>
          </cell>
          <cell r="M380" t="str">
            <v>URBANO</v>
          </cell>
          <cell r="N380">
            <v>44823</v>
          </cell>
          <cell r="O380">
            <v>0</v>
          </cell>
          <cell r="P380" t="str">
            <v>LITE</v>
          </cell>
        </row>
        <row r="381">
          <cell r="A381">
            <v>858</v>
          </cell>
          <cell r="B381">
            <v>858</v>
          </cell>
          <cell r="C381" t="str">
            <v>CERO MATRICULA</v>
          </cell>
          <cell r="D381" t="str">
            <v>ACTIVO</v>
          </cell>
          <cell r="E381" t="str">
            <v>BBI040</v>
          </cell>
          <cell r="F381" t="str">
            <v>VILLANUEVA TORREALVA GLORIA INOCENTA</v>
          </cell>
          <cell r="G381" t="str">
            <v>VILLANUEVA TORREALVA GLORIA INOCENTA</v>
          </cell>
          <cell r="H381" t="str">
            <v>40491364</v>
          </cell>
          <cell r="I381" t="str">
            <v>INTERBANK</v>
          </cell>
          <cell r="J381" t="str">
            <v>1403114521923</v>
          </cell>
          <cell r="K381"/>
          <cell r="L381">
            <v>10404913641</v>
          </cell>
          <cell r="M381" t="str">
            <v>URBANO PARTNER</v>
          </cell>
          <cell r="N381" t="str">
            <v>PENDIENTE</v>
          </cell>
          <cell r="O381">
            <v>0</v>
          </cell>
          <cell r="P381" t="str">
            <v>COMFORT XL</v>
          </cell>
        </row>
        <row r="382">
          <cell r="A382">
            <v>859</v>
          </cell>
          <cell r="B382">
            <v>859</v>
          </cell>
          <cell r="C382" t="str">
            <v>CERO MATRICULA</v>
          </cell>
          <cell r="D382" t="str">
            <v>ACTIVO</v>
          </cell>
          <cell r="E382" t="str">
            <v>BKQ076</v>
          </cell>
          <cell r="F382" t="str">
            <v>ALEJANDRO GONZALES ALEJO</v>
          </cell>
          <cell r="G382" t="str">
            <v>ALEJANDRO GONZALES ALEJO</v>
          </cell>
          <cell r="H382" t="str">
            <v>42823937</v>
          </cell>
          <cell r="I382" t="str">
            <v>INTERBANK</v>
          </cell>
          <cell r="J382" t="str">
            <v>252 3502384612</v>
          </cell>
          <cell r="K382" t="str">
            <v>DNI</v>
          </cell>
          <cell r="L382">
            <v>10428239372</v>
          </cell>
          <cell r="M382" t="str">
            <v>AEROPUERTO</v>
          </cell>
          <cell r="N382" t="str">
            <v>PENDIENTE</v>
          </cell>
          <cell r="O382">
            <v>240</v>
          </cell>
          <cell r="P382" t="str">
            <v>COMFORT</v>
          </cell>
        </row>
        <row r="383">
          <cell r="A383">
            <v>865</v>
          </cell>
          <cell r="B383">
            <v>865</v>
          </cell>
          <cell r="C383" t="str">
            <v>CERO MATRICULA</v>
          </cell>
          <cell r="D383" t="str">
            <v>ACTIVO</v>
          </cell>
          <cell r="E383" t="str">
            <v>T5V653</v>
          </cell>
          <cell r="F383" t="str">
            <v>BEJARANO MUÑOZ CARLOS MAXIMO</v>
          </cell>
          <cell r="G383" t="str">
            <v>BEJARANO MUÑOZ CARLOS</v>
          </cell>
          <cell r="H383" t="str">
            <v>07455195</v>
          </cell>
          <cell r="I383" t="str">
            <v>INTERBANK</v>
          </cell>
          <cell r="J383" t="str">
            <v>0843114674843</v>
          </cell>
          <cell r="K383" t="str">
            <v>DNI</v>
          </cell>
          <cell r="L383">
            <v>10074551951</v>
          </cell>
          <cell r="M383" t="str">
            <v>AEROPUERTO</v>
          </cell>
          <cell r="N383">
            <v>44830</v>
          </cell>
          <cell r="O383">
            <v>265</v>
          </cell>
          <cell r="P383" t="str">
            <v>LITE</v>
          </cell>
        </row>
        <row r="384">
          <cell r="A384">
            <v>868</v>
          </cell>
          <cell r="B384">
            <v>868</v>
          </cell>
          <cell r="C384" t="str">
            <v>CERO MATRICULA</v>
          </cell>
          <cell r="D384" t="str">
            <v>ACTIVO</v>
          </cell>
          <cell r="E384" t="str">
            <v>BDA042</v>
          </cell>
          <cell r="F384" t="str">
            <v>CHAVEZ PEREZ JORGE ARMANDO</v>
          </cell>
          <cell r="G384" t="str">
            <v>CHAVEZ PEREZ JORGE ARMANDO</v>
          </cell>
          <cell r="H384" t="str">
            <v>41717589</v>
          </cell>
          <cell r="I384" t="str">
            <v>BCP</v>
          </cell>
          <cell r="J384" t="str">
            <v>192-91448641-0-62</v>
          </cell>
          <cell r="K384" t="str">
            <v>DNI</v>
          </cell>
          <cell r="L384">
            <v>10417175895</v>
          </cell>
          <cell r="M384" t="str">
            <v>AEROPUERTO</v>
          </cell>
          <cell r="N384">
            <v>44782</v>
          </cell>
          <cell r="O384">
            <v>240</v>
          </cell>
          <cell r="P384" t="str">
            <v>XL</v>
          </cell>
        </row>
        <row r="385">
          <cell r="A385">
            <v>870</v>
          </cell>
          <cell r="B385">
            <v>870</v>
          </cell>
          <cell r="C385" t="str">
            <v>CERO MATRICULA</v>
          </cell>
          <cell r="D385" t="str">
            <v>ACTIVO</v>
          </cell>
          <cell r="E385" t="str">
            <v>AWD652</v>
          </cell>
          <cell r="F385" t="str">
            <v>GUERRA ESCOBAR JOSE JAIME</v>
          </cell>
          <cell r="G385" t="str">
            <v>GUERRA ESCOBAR JOSE JAIME</v>
          </cell>
          <cell r="H385" t="str">
            <v>42416612</v>
          </cell>
          <cell r="I385" t="str">
            <v>INTERBANK</v>
          </cell>
          <cell r="J385" t="str">
            <v>00336801336724497783</v>
          </cell>
          <cell r="K385" t="str">
            <v>DNI</v>
          </cell>
          <cell r="L385">
            <v>10424166125</v>
          </cell>
          <cell r="M385" t="str">
            <v>AEROPUERTO</v>
          </cell>
          <cell r="N385">
            <v>45369</v>
          </cell>
          <cell r="O385">
            <v>235</v>
          </cell>
          <cell r="P385" t="str">
            <v>COMFORT XL</v>
          </cell>
        </row>
        <row r="386">
          <cell r="A386">
            <v>877</v>
          </cell>
          <cell r="B386">
            <v>877</v>
          </cell>
          <cell r="C386" t="str">
            <v>CERO MATRICULA</v>
          </cell>
          <cell r="D386" t="str">
            <v>ACTIVO</v>
          </cell>
          <cell r="E386" t="str">
            <v>AXC018</v>
          </cell>
          <cell r="F386" t="str">
            <v>AYLAS JESUS GIOVANNI ELVIS</v>
          </cell>
          <cell r="G386" t="str">
            <v>AYLAS JESUS GIOVANNI ELVIS</v>
          </cell>
          <cell r="H386" t="str">
            <v>10177487</v>
          </cell>
          <cell r="I386" t="str">
            <v>BCP</v>
          </cell>
          <cell r="J386" t="str">
            <v>19200413858037</v>
          </cell>
          <cell r="K386" t="str">
            <v>DNI</v>
          </cell>
          <cell r="L386">
            <v>10101774878</v>
          </cell>
          <cell r="M386" t="str">
            <v>AEROPUERTO</v>
          </cell>
          <cell r="N386" t="str">
            <v>PENDIENTE</v>
          </cell>
          <cell r="O386">
            <v>235</v>
          </cell>
          <cell r="P386" t="str">
            <v>COMFORT XL</v>
          </cell>
        </row>
        <row r="387">
          <cell r="A387">
            <v>879</v>
          </cell>
          <cell r="B387">
            <v>879</v>
          </cell>
          <cell r="C387" t="str">
            <v>CERO MATRICULA</v>
          </cell>
          <cell r="D387" t="str">
            <v>ACTIVO</v>
          </cell>
          <cell r="E387" t="str">
            <v>BEF584</v>
          </cell>
          <cell r="F387" t="str">
            <v>VASQUEZ SILVA DOMEL</v>
          </cell>
          <cell r="G387" t="str">
            <v>FERNANDEZ VASQUEZ MARIA MARLENY</v>
          </cell>
          <cell r="H387" t="str">
            <v>41427872</v>
          </cell>
          <cell r="I387" t="str">
            <v>BCP</v>
          </cell>
          <cell r="J387" t="str">
            <v>19173849048095</v>
          </cell>
          <cell r="K387" t="str">
            <v>DNI</v>
          </cell>
          <cell r="L387">
            <v>10414278723</v>
          </cell>
          <cell r="M387" t="str">
            <v>AEROPUERTO</v>
          </cell>
          <cell r="N387" t="str">
            <v>PENDIENTE</v>
          </cell>
          <cell r="O387">
            <v>235</v>
          </cell>
          <cell r="P387" t="str">
            <v>COMFORT XL</v>
          </cell>
        </row>
        <row r="388">
          <cell r="A388">
            <v>881</v>
          </cell>
          <cell r="B388">
            <v>881</v>
          </cell>
          <cell r="C388" t="str">
            <v>CERO MATRICULA</v>
          </cell>
          <cell r="D388" t="str">
            <v>ACTIVO</v>
          </cell>
          <cell r="E388" t="str">
            <v>AXC501</v>
          </cell>
          <cell r="F388" t="str">
            <v>GARCIA TOMAS JOSEPH STEVEN LUIS</v>
          </cell>
          <cell r="G388" t="str">
            <v>GARCIA TOMAS JOSEPH STEVEN LUIS</v>
          </cell>
          <cell r="H388" t="str">
            <v>75133073</v>
          </cell>
          <cell r="I388" t="str">
            <v>BBVA</v>
          </cell>
          <cell r="J388" t="str">
            <v>0011-0234-0200332477</v>
          </cell>
          <cell r="K388" t="str">
            <v>DNI</v>
          </cell>
          <cell r="L388">
            <v>10751330737</v>
          </cell>
          <cell r="M388" t="str">
            <v>AEROLINEAS</v>
          </cell>
          <cell r="N388">
            <v>44818</v>
          </cell>
          <cell r="O388">
            <v>0</v>
          </cell>
          <cell r="P388" t="str">
            <v>COMFORT</v>
          </cell>
        </row>
        <row r="389">
          <cell r="A389">
            <v>898</v>
          </cell>
          <cell r="B389">
            <v>898</v>
          </cell>
          <cell r="C389" t="str">
            <v>CERO MATRICULA</v>
          </cell>
          <cell r="D389" t="str">
            <v>ACTIVO</v>
          </cell>
          <cell r="E389" t="str">
            <v>ASW657</v>
          </cell>
          <cell r="F389" t="str">
            <v xml:space="preserve">CHACALTANA DAVILA GUILLERMO </v>
          </cell>
          <cell r="G389" t="str">
            <v xml:space="preserve">CHACALTANA DAVILA GUILLERMO </v>
          </cell>
          <cell r="H389" t="str">
            <v>06896675</v>
          </cell>
          <cell r="I389" t="str">
            <v>BBVA</v>
          </cell>
          <cell r="J389" t="str">
            <v>001100570234448952</v>
          </cell>
          <cell r="K389" t="str">
            <v>DNI</v>
          </cell>
          <cell r="L389">
            <v>10068966758</v>
          </cell>
          <cell r="M389" t="str">
            <v>URBANO</v>
          </cell>
          <cell r="N389">
            <v>44781</v>
          </cell>
          <cell r="O389">
            <v>0</v>
          </cell>
          <cell r="P389" t="str">
            <v>LITE</v>
          </cell>
        </row>
        <row r="390">
          <cell r="A390">
            <v>899</v>
          </cell>
          <cell r="B390">
            <v>899</v>
          </cell>
          <cell r="C390" t="str">
            <v>CERO MATRICULA</v>
          </cell>
          <cell r="D390" t="str">
            <v>ACTIVO</v>
          </cell>
          <cell r="E390" t="str">
            <v>BEK024</v>
          </cell>
          <cell r="F390" t="str">
            <v>MURO MIRANDA ALEJANDRO</v>
          </cell>
          <cell r="G390" t="str">
            <v>CASTILLO SANCHEZ SERGIO ALONZO</v>
          </cell>
          <cell r="H390" t="str">
            <v>10521645</v>
          </cell>
          <cell r="I390" t="str">
            <v>INTERBANK</v>
          </cell>
          <cell r="J390" t="str">
            <v>898 3326587330</v>
          </cell>
          <cell r="K390" t="str">
            <v>DNI</v>
          </cell>
          <cell r="L390">
            <v>10105216454</v>
          </cell>
          <cell r="M390" t="str">
            <v>AEROPUERTO</v>
          </cell>
          <cell r="N390" t="str">
            <v>PENDIENTE</v>
          </cell>
          <cell r="O390">
            <v>235</v>
          </cell>
          <cell r="P390" t="str">
            <v>COMFORT XL</v>
          </cell>
        </row>
        <row r="391">
          <cell r="A391">
            <v>902</v>
          </cell>
          <cell r="B391">
            <v>902</v>
          </cell>
          <cell r="C391" t="str">
            <v>CERO MATRICULA</v>
          </cell>
          <cell r="D391" t="str">
            <v>ACTIVO</v>
          </cell>
          <cell r="E391" t="str">
            <v>AZJ540</v>
          </cell>
          <cell r="F391" t="str">
            <v>LORENZO CAÑAHUA LUIS ANGEL</v>
          </cell>
          <cell r="G391" t="str">
            <v>LORENZO CAÑAHUA LUIS ANGEL</v>
          </cell>
          <cell r="H391" t="str">
            <v>10646288</v>
          </cell>
          <cell r="I391" t="str">
            <v>BCP</v>
          </cell>
          <cell r="J391" t="str">
            <v>19470080870056</v>
          </cell>
          <cell r="K391" t="str">
            <v>DNI</v>
          </cell>
          <cell r="L391">
            <v>10106462882</v>
          </cell>
          <cell r="M391" t="str">
            <v>AEROPUERTO</v>
          </cell>
          <cell r="N391" t="str">
            <v>PENDIENTE</v>
          </cell>
          <cell r="O391">
            <v>240</v>
          </cell>
          <cell r="P391" t="str">
            <v>XL</v>
          </cell>
        </row>
        <row r="392">
          <cell r="A392">
            <v>903</v>
          </cell>
          <cell r="B392">
            <v>903</v>
          </cell>
          <cell r="C392" t="str">
            <v>CERO MATRICULA</v>
          </cell>
          <cell r="D392" t="str">
            <v>ACTIVO</v>
          </cell>
          <cell r="E392" t="str">
            <v>BAA612</v>
          </cell>
          <cell r="F392" t="str">
            <v>HINOSTROZA SOTO YIMI WERNER</v>
          </cell>
          <cell r="G392" t="str">
            <v>HINOSTROZA SOTO YIMI WERNER</v>
          </cell>
          <cell r="H392" t="str">
            <v>40613392</v>
          </cell>
          <cell r="I392" t="str">
            <v>BBVA</v>
          </cell>
          <cell r="J392" t="str">
            <v>0011-0257-0200382585</v>
          </cell>
          <cell r="K392"/>
          <cell r="L392">
            <v>10406133929</v>
          </cell>
          <cell r="M392" t="str">
            <v>URBANO PARTNER</v>
          </cell>
          <cell r="N392" t="str">
            <v>PENDIENTE</v>
          </cell>
          <cell r="O392">
            <v>0</v>
          </cell>
          <cell r="P392" t="str">
            <v>COMFORT</v>
          </cell>
        </row>
        <row r="393">
          <cell r="A393">
            <v>904</v>
          </cell>
          <cell r="B393">
            <v>904</v>
          </cell>
          <cell r="C393" t="str">
            <v>CERO MATRICULA</v>
          </cell>
          <cell r="D393" t="str">
            <v>ACTIVO</v>
          </cell>
          <cell r="E393" t="str">
            <v>BRS145</v>
          </cell>
          <cell r="F393" t="str">
            <v>SILVA GARCIA DARWIN</v>
          </cell>
          <cell r="G393" t="str">
            <v>SILVA GARCIA DARWIN</v>
          </cell>
          <cell r="H393" t="str">
            <v>74541956</v>
          </cell>
          <cell r="I393" t="str">
            <v>BCP</v>
          </cell>
          <cell r="J393" t="str">
            <v>191-99880942-0-38</v>
          </cell>
          <cell r="K393" t="str">
            <v>DNI</v>
          </cell>
          <cell r="L393">
            <v>10745419564</v>
          </cell>
          <cell r="M393" t="str">
            <v>AEROPUERTO</v>
          </cell>
          <cell r="N393">
            <v>44492</v>
          </cell>
          <cell r="O393">
            <v>240</v>
          </cell>
          <cell r="P393" t="str">
            <v>COMFORT</v>
          </cell>
        </row>
        <row r="394">
          <cell r="A394">
            <v>909</v>
          </cell>
          <cell r="B394">
            <v>909</v>
          </cell>
          <cell r="C394" t="str">
            <v>CERO MATRICULA</v>
          </cell>
          <cell r="D394" t="str">
            <v>ACTIVO</v>
          </cell>
          <cell r="E394" t="str">
            <v>APH149</v>
          </cell>
          <cell r="F394" t="str">
            <v>TINEO ARONI IVAN SHELLER</v>
          </cell>
          <cell r="G394" t="str">
            <v>TINEO ARONI IVAN SHELLER</v>
          </cell>
          <cell r="H394" t="str">
            <v>10384486</v>
          </cell>
          <cell r="I394" t="str">
            <v>BCP</v>
          </cell>
          <cell r="J394" t="str">
            <v>194-35673404-0-40</v>
          </cell>
          <cell r="K394"/>
          <cell r="L394">
            <v>10103844865</v>
          </cell>
          <cell r="M394" t="str">
            <v>AEROPUERTO</v>
          </cell>
          <cell r="N394" t="str">
            <v>PENDIENTE</v>
          </cell>
          <cell r="O394">
            <v>240</v>
          </cell>
          <cell r="P394" t="str">
            <v>COMFORT</v>
          </cell>
        </row>
        <row r="395">
          <cell r="A395">
            <v>917</v>
          </cell>
          <cell r="B395">
            <v>917</v>
          </cell>
          <cell r="C395" t="str">
            <v>CERO MATRICULA</v>
          </cell>
          <cell r="D395" t="str">
            <v>ACTIVO</v>
          </cell>
          <cell r="E395" t="str">
            <v>ATP510</v>
          </cell>
          <cell r="F395" t="str">
            <v>YAMOTANTA ZAPATA HECTOR RAUL</v>
          </cell>
          <cell r="G395" t="str">
            <v>YAMOTANTA ZAPATA HECTOR RAUL</v>
          </cell>
          <cell r="H395" t="str">
            <v>25854824</v>
          </cell>
          <cell r="I395" t="str">
            <v>BCP</v>
          </cell>
          <cell r="J395" t="str">
            <v>191-91409928-0-58</v>
          </cell>
          <cell r="K395"/>
          <cell r="L395">
            <v>10258548243</v>
          </cell>
          <cell r="M395" t="str">
            <v>AEROPUERTO</v>
          </cell>
          <cell r="N395" t="str">
            <v>PENDIENTE</v>
          </cell>
          <cell r="O395">
            <v>240</v>
          </cell>
          <cell r="P395" t="str">
            <v>XL</v>
          </cell>
        </row>
        <row r="396">
          <cell r="A396">
            <v>923</v>
          </cell>
          <cell r="B396">
            <v>923</v>
          </cell>
          <cell r="C396" t="str">
            <v>CERO MATRICULA</v>
          </cell>
          <cell r="D396" t="str">
            <v>ACTIVO</v>
          </cell>
          <cell r="E396" t="str">
            <v>AYE613</v>
          </cell>
          <cell r="F396" t="str">
            <v>ALVARADO CARVAJULCA HENRY HAMLET</v>
          </cell>
          <cell r="G396" t="str">
            <v>Alvarado wong ariana janina</v>
          </cell>
          <cell r="H396" t="str">
            <v>73707427</v>
          </cell>
          <cell r="I396" t="str">
            <v>interbank</v>
          </cell>
          <cell r="J396" t="str">
            <v>8983513281244</v>
          </cell>
          <cell r="K396" t="str">
            <v>DNI</v>
          </cell>
          <cell r="L396">
            <v>10737074272</v>
          </cell>
          <cell r="M396" t="str">
            <v>AEROPUERTO</v>
          </cell>
          <cell r="N396">
            <v>44823</v>
          </cell>
          <cell r="O396">
            <v>235</v>
          </cell>
          <cell r="P396" t="str">
            <v>COMFORT XL</v>
          </cell>
        </row>
        <row r="397">
          <cell r="A397">
            <v>926</v>
          </cell>
          <cell r="B397">
            <v>926</v>
          </cell>
          <cell r="C397" t="str">
            <v>CERO MATRICULA</v>
          </cell>
          <cell r="D397" t="str">
            <v>ACTIVO</v>
          </cell>
          <cell r="E397" t="str">
            <v>BFN247</v>
          </cell>
          <cell r="F397" t="str">
            <v>HUAMAN  ORRILLO ANIBAL</v>
          </cell>
          <cell r="G397" t="str">
            <v>HUAMAN ORRILLO ANIBAL</v>
          </cell>
          <cell r="H397" t="str">
            <v>73255533</v>
          </cell>
          <cell r="I397" t="str">
            <v>BCP</v>
          </cell>
          <cell r="J397" t="str">
            <v>194-31150250-0-98</v>
          </cell>
          <cell r="K397"/>
          <cell r="L397">
            <v>10732555337</v>
          </cell>
          <cell r="M397" t="str">
            <v>AEROPUERTO</v>
          </cell>
          <cell r="N397" t="str">
            <v>PENDIENTE</v>
          </cell>
          <cell r="O397">
            <v>235</v>
          </cell>
          <cell r="P397" t="str">
            <v>COMFORT XL</v>
          </cell>
        </row>
        <row r="398">
          <cell r="A398">
            <v>927</v>
          </cell>
          <cell r="B398">
            <v>927</v>
          </cell>
          <cell r="C398" t="str">
            <v>CERO MATRICULA</v>
          </cell>
          <cell r="D398" t="str">
            <v>ACTIVO</v>
          </cell>
          <cell r="E398" t="str">
            <v>BLH007</v>
          </cell>
          <cell r="F398" t="str">
            <v>ORTIZ ACUÑA HECTOR</v>
          </cell>
          <cell r="G398" t="str">
            <v>ORTIZ ACUÑA HECTOR</v>
          </cell>
          <cell r="H398" t="str">
            <v>20122620</v>
          </cell>
          <cell r="I398" t="str">
            <v>BCP</v>
          </cell>
          <cell r="J398" t="str">
            <v>191-04867879-0-47</v>
          </cell>
          <cell r="K398" t="str">
            <v>DNI</v>
          </cell>
          <cell r="L398">
            <v>10201226207</v>
          </cell>
          <cell r="M398" t="str">
            <v>AEROPUERTO</v>
          </cell>
          <cell r="N398" t="str">
            <v>PENDIENTE</v>
          </cell>
          <cell r="O398">
            <v>235</v>
          </cell>
          <cell r="P398" t="str">
            <v>COMFORT XL</v>
          </cell>
        </row>
        <row r="399">
          <cell r="A399">
            <v>933</v>
          </cell>
          <cell r="B399">
            <v>933</v>
          </cell>
          <cell r="C399" t="str">
            <v>CERO MATRICULA</v>
          </cell>
          <cell r="D399" t="str">
            <v>ACTIVO</v>
          </cell>
          <cell r="E399" t="str">
            <v>APS678</v>
          </cell>
          <cell r="F399" t="str">
            <v>BALTAZAR HERNANDEZ LUIS ALBERTO</v>
          </cell>
          <cell r="G399" t="str">
            <v>BALTAZAR HERNANDEZ LUIS ALBERTO</v>
          </cell>
          <cell r="H399" t="str">
            <v>40476926</v>
          </cell>
          <cell r="I399" t="str">
            <v>BCP</v>
          </cell>
          <cell r="J399" t="str">
            <v>19404739618091</v>
          </cell>
          <cell r="K399" t="str">
            <v>DNI</v>
          </cell>
          <cell r="L399">
            <v>10404769265</v>
          </cell>
          <cell r="M399" t="str">
            <v>URBANO</v>
          </cell>
          <cell r="N399">
            <v>45195</v>
          </cell>
          <cell r="O399">
            <v>0</v>
          </cell>
          <cell r="P399" t="str">
            <v>COMFORT</v>
          </cell>
        </row>
        <row r="400">
          <cell r="A400">
            <v>939</v>
          </cell>
          <cell r="B400">
            <v>939</v>
          </cell>
          <cell r="C400" t="str">
            <v>CERO MATRICULA</v>
          </cell>
          <cell r="D400" t="str">
            <v>ACTIVO</v>
          </cell>
          <cell r="E400" t="str">
            <v>BDG386</v>
          </cell>
          <cell r="F400" t="str">
            <v>ALFARO MELENDEZ REGINIO</v>
          </cell>
          <cell r="G400" t="str">
            <v>ALFARO MELENDEZ REGINIO</v>
          </cell>
          <cell r="H400" t="str">
            <v>48572354</v>
          </cell>
          <cell r="I400" t="str">
            <v>BCP</v>
          </cell>
          <cell r="J400" t="str">
            <v>191-06579848-0-09</v>
          </cell>
          <cell r="K400" t="str">
            <v>DNI</v>
          </cell>
          <cell r="L400">
            <v>10485723540</v>
          </cell>
          <cell r="M400" t="str">
            <v>AEROPUERTO</v>
          </cell>
          <cell r="N400">
            <v>45114</v>
          </cell>
          <cell r="O400">
            <v>240</v>
          </cell>
          <cell r="P400" t="str">
            <v>COMFORT</v>
          </cell>
        </row>
        <row r="401">
          <cell r="A401">
            <v>950</v>
          </cell>
          <cell r="B401">
            <v>950</v>
          </cell>
          <cell r="C401" t="str">
            <v>CERO MATRICULA</v>
          </cell>
          <cell r="D401" t="str">
            <v>ACTIVO</v>
          </cell>
          <cell r="E401" t="str">
            <v>AZZ150</v>
          </cell>
          <cell r="F401" t="str">
            <v>PAROY MONTERO JAVIER ALEJANDRO</v>
          </cell>
          <cell r="G401" t="str">
            <v>PAROY MONTERO JAVIER ALEJANDRO</v>
          </cell>
          <cell r="H401" t="str">
            <v>41181798</v>
          </cell>
          <cell r="I401" t="str">
            <v>BCP</v>
          </cell>
          <cell r="J401" t="str">
            <v>191-93138841-0-35</v>
          </cell>
          <cell r="K401" t="str">
            <v>DNI</v>
          </cell>
          <cell r="L401">
            <v>10411817984</v>
          </cell>
          <cell r="M401" t="str">
            <v>URBANO PARTNER</v>
          </cell>
          <cell r="N401">
            <v>45026</v>
          </cell>
          <cell r="O401">
            <v>0</v>
          </cell>
          <cell r="P401" t="str">
            <v>COMFORT XL</v>
          </cell>
        </row>
        <row r="402">
          <cell r="A402">
            <v>951</v>
          </cell>
          <cell r="B402">
            <v>951</v>
          </cell>
          <cell r="C402" t="str">
            <v>CERO MATRICULA</v>
          </cell>
          <cell r="D402" t="str">
            <v>ACTIVO</v>
          </cell>
          <cell r="E402" t="str">
            <v>BPZ654</v>
          </cell>
          <cell r="F402" t="str">
            <v>ALVAREZ CAMPO EXTUARDO JUSTO</v>
          </cell>
          <cell r="G402" t="str">
            <v>PANTA CALDERON MARIA ESTHER</v>
          </cell>
          <cell r="H402" t="str">
            <v>10035217</v>
          </cell>
          <cell r="I402" t="str">
            <v>BCP</v>
          </cell>
          <cell r="J402" t="str">
            <v>194-39821673-0-10</v>
          </cell>
          <cell r="K402" t="str">
            <v>DNI</v>
          </cell>
          <cell r="L402">
            <v>10100352171</v>
          </cell>
          <cell r="M402" t="str">
            <v>AEROPUERTO</v>
          </cell>
          <cell r="N402">
            <v>45021</v>
          </cell>
          <cell r="O402">
            <v>235</v>
          </cell>
          <cell r="P402" t="str">
            <v>COMFORT XL</v>
          </cell>
        </row>
        <row r="403">
          <cell r="A403">
            <v>952</v>
          </cell>
          <cell r="B403">
            <v>952</v>
          </cell>
          <cell r="C403" t="str">
            <v>CERO MATRICULA</v>
          </cell>
          <cell r="D403" t="str">
            <v>ACTIVO</v>
          </cell>
          <cell r="E403" t="str">
            <v>CEF583</v>
          </cell>
          <cell r="F403" t="str">
            <v>IRAUSQUIN SALAZAR MIRLEDY DEL VALLE</v>
          </cell>
          <cell r="G403" t="str">
            <v>IRAUSQUIN SALAZAR MIRLEDY DEL VALLE</v>
          </cell>
          <cell r="H403" t="str">
            <v>005030411</v>
          </cell>
          <cell r="I403" t="str">
            <v>BCP</v>
          </cell>
          <cell r="J403" t="str">
            <v>191-75726630-0-43</v>
          </cell>
          <cell r="K403" t="str">
            <v>CE</v>
          </cell>
          <cell r="L403">
            <v>15610792551</v>
          </cell>
          <cell r="M403" t="str">
            <v>AEROLINEAS</v>
          </cell>
          <cell r="N403">
            <v>45021</v>
          </cell>
          <cell r="O403">
            <v>0</v>
          </cell>
          <cell r="P403" t="str">
            <v>COMFORT XL</v>
          </cell>
        </row>
        <row r="404">
          <cell r="A404">
            <v>953</v>
          </cell>
          <cell r="B404">
            <v>953</v>
          </cell>
          <cell r="C404" t="str">
            <v>CERO MATRICULA</v>
          </cell>
          <cell r="D404" t="str">
            <v>ACTIVO</v>
          </cell>
          <cell r="E404" t="str">
            <v>BZG185</v>
          </cell>
          <cell r="F404" t="str">
            <v>MANAYAY GARCIA FLORENCIO</v>
          </cell>
          <cell r="G404" t="str">
            <v>QUISPE HUARACA TEODOLINDA ANGELICA</v>
          </cell>
          <cell r="H404" t="str">
            <v>47510839</v>
          </cell>
          <cell r="I404" t="str">
            <v>BCP</v>
          </cell>
          <cell r="J404" t="str">
            <v>192-77132809-0-27</v>
          </cell>
          <cell r="K404" t="str">
            <v>DNI</v>
          </cell>
          <cell r="L404">
            <v>10475108391</v>
          </cell>
          <cell r="M404" t="str">
            <v>URBANO PARTNER</v>
          </cell>
          <cell r="N404">
            <v>45036</v>
          </cell>
          <cell r="O404">
            <v>0</v>
          </cell>
          <cell r="P404" t="str">
            <v>COMFORT XL</v>
          </cell>
        </row>
        <row r="405">
          <cell r="A405">
            <v>957</v>
          </cell>
          <cell r="B405">
            <v>957</v>
          </cell>
          <cell r="C405" t="str">
            <v>CERO MATRICULA</v>
          </cell>
          <cell r="D405" t="str">
            <v>ACTIVO</v>
          </cell>
          <cell r="E405" t="str">
            <v>BYN 105</v>
          </cell>
          <cell r="F405" t="str">
            <v>IRAUSQUIN SALAZAR EDILIO JESUS</v>
          </cell>
          <cell r="G405" t="str">
            <v>IRAUSQUIN SALAZAR EDILIO JESUS</v>
          </cell>
          <cell r="H405" t="str">
            <v>004525874</v>
          </cell>
          <cell r="I405" t="str">
            <v>INTERBANK</v>
          </cell>
          <cell r="J405" t="str">
            <v>3303263104169</v>
          </cell>
          <cell r="K405" t="str">
            <v>CE</v>
          </cell>
          <cell r="L405">
            <v>15606069402</v>
          </cell>
          <cell r="M405" t="str">
            <v>AEROLINEAS</v>
          </cell>
          <cell r="N405">
            <v>45125</v>
          </cell>
          <cell r="O405">
            <v>0</v>
          </cell>
          <cell r="P405" t="str">
            <v>COMFORT XL</v>
          </cell>
        </row>
        <row r="406">
          <cell r="A406">
            <v>958</v>
          </cell>
          <cell r="B406">
            <v>958</v>
          </cell>
          <cell r="C406" t="str">
            <v>CERO MATRICULA</v>
          </cell>
          <cell r="D406" t="str">
            <v>ACTIVO</v>
          </cell>
          <cell r="E406" t="str">
            <v>CDB022</v>
          </cell>
          <cell r="F406" t="str">
            <v>MONTERO LEON EDER ALFREDO</v>
          </cell>
          <cell r="G406" t="str">
            <v>TRANSPORTE TURISTICO SAJU S.A.C</v>
          </cell>
          <cell r="H406" t="str">
            <v>20610540679</v>
          </cell>
          <cell r="I406" t="str">
            <v>BCP</v>
          </cell>
          <cell r="J406" t="str">
            <v>194-9934553-0-18</v>
          </cell>
          <cell r="K406" t="str">
            <v>RUC</v>
          </cell>
          <cell r="L406">
            <v>20610540679</v>
          </cell>
          <cell r="M406" t="str">
            <v>AEROPUERTO VAN</v>
          </cell>
          <cell r="N406">
            <v>45040</v>
          </cell>
          <cell r="O406">
            <v>240</v>
          </cell>
          <cell r="P406" t="str">
            <v>VAN</v>
          </cell>
        </row>
        <row r="407">
          <cell r="A407">
            <v>959</v>
          </cell>
          <cell r="B407">
            <v>959</v>
          </cell>
          <cell r="C407" t="str">
            <v>CERO MATRICULA</v>
          </cell>
          <cell r="D407" t="str">
            <v>ACTIVO</v>
          </cell>
          <cell r="E407" t="str">
            <v>CDY371</v>
          </cell>
          <cell r="F407" t="str">
            <v>CONDE BORDONES JONATHAN JOSE</v>
          </cell>
          <cell r="G407" t="str">
            <v>CONDE BORDONES JONATHAN JOSE</v>
          </cell>
          <cell r="H407" t="str">
            <v>003680935</v>
          </cell>
          <cell r="I407" t="str">
            <v>INTERBANK</v>
          </cell>
          <cell r="J407" t="str">
            <v>2613416994224</v>
          </cell>
          <cell r="K407" t="str">
            <v>CE</v>
          </cell>
          <cell r="L407">
            <v>15608051039</v>
          </cell>
          <cell r="M407" t="str">
            <v>AEROPUERTO</v>
          </cell>
          <cell r="N407">
            <v>45056</v>
          </cell>
          <cell r="O407">
            <v>240</v>
          </cell>
          <cell r="P407" t="str">
            <v>COMFORT</v>
          </cell>
        </row>
        <row r="408">
          <cell r="A408">
            <v>960</v>
          </cell>
          <cell r="B408">
            <v>960</v>
          </cell>
          <cell r="C408" t="str">
            <v>CERO MATRICULA</v>
          </cell>
          <cell r="D408" t="str">
            <v>ACTIVO</v>
          </cell>
          <cell r="E408" t="str">
            <v>BSQ172</v>
          </cell>
          <cell r="F408" t="str">
            <v>BRITO BARRIOS BLADIMIR BLAUDILIO</v>
          </cell>
          <cell r="G408" t="str">
            <v>GARCIA BRAVO RONNY DARIO</v>
          </cell>
          <cell r="H408" t="str">
            <v>005028290</v>
          </cell>
          <cell r="I408" t="str">
            <v>SCOTIABANK</v>
          </cell>
          <cell r="J408">
            <v>8242793290</v>
          </cell>
          <cell r="K408" t="str">
            <v>CE</v>
          </cell>
          <cell r="L408">
            <v>15613497410</v>
          </cell>
          <cell r="M408" t="str">
            <v>AEROPUERTO</v>
          </cell>
          <cell r="N408">
            <v>45054</v>
          </cell>
          <cell r="O408">
            <v>235</v>
          </cell>
          <cell r="P408" t="str">
            <v>COMFORT XL</v>
          </cell>
        </row>
        <row r="409">
          <cell r="A409">
            <v>962</v>
          </cell>
          <cell r="B409">
            <v>962</v>
          </cell>
          <cell r="C409" t="str">
            <v>CERO MATRICULA</v>
          </cell>
          <cell r="D409" t="str">
            <v>ACTIVO</v>
          </cell>
          <cell r="E409" t="str">
            <v>BMZ316</v>
          </cell>
          <cell r="F409" t="str">
            <v>SOLANO MOZO HENRY ALFREDO</v>
          </cell>
          <cell r="G409" t="str">
            <v>GALLO DELGADO CHRISTIAMS HAROLD</v>
          </cell>
          <cell r="H409" t="str">
            <v>25574035</v>
          </cell>
          <cell r="I409" t="str">
            <v>INTERBANK</v>
          </cell>
          <cell r="J409" t="str">
            <v>1443-148800117</v>
          </cell>
          <cell r="K409" t="str">
            <v>DNI</v>
          </cell>
          <cell r="L409">
            <v>10255740356</v>
          </cell>
          <cell r="M409" t="str">
            <v>AEROPUERTO</v>
          </cell>
          <cell r="N409">
            <v>45054</v>
          </cell>
          <cell r="O409">
            <v>235</v>
          </cell>
          <cell r="P409" t="str">
            <v>COMFORT XL</v>
          </cell>
        </row>
        <row r="410">
          <cell r="A410">
            <v>966</v>
          </cell>
          <cell r="B410">
            <v>966</v>
          </cell>
          <cell r="C410" t="str">
            <v>CERO MATRICULA</v>
          </cell>
          <cell r="D410" t="str">
            <v>ACTIVO</v>
          </cell>
          <cell r="E410" t="str">
            <v>CBI450</v>
          </cell>
          <cell r="F410" t="str">
            <v>CHACON BENITEZ JOSE MANUEL</v>
          </cell>
          <cell r="G410" t="str">
            <v>CHACON BENITEZ JOSE MANUEL</v>
          </cell>
          <cell r="H410" t="str">
            <v>002856918</v>
          </cell>
          <cell r="I410" t="str">
            <v>BCP</v>
          </cell>
          <cell r="J410" t="str">
            <v>192-95456286-0-88</v>
          </cell>
          <cell r="K410" t="str">
            <v>CE</v>
          </cell>
          <cell r="L410">
            <v>15610939608</v>
          </cell>
          <cell r="M410" t="str">
            <v>AEROPUERTO</v>
          </cell>
          <cell r="N410">
            <v>45054</v>
          </cell>
          <cell r="O410">
            <v>265</v>
          </cell>
          <cell r="P410" t="str">
            <v>LITE</v>
          </cell>
        </row>
        <row r="411">
          <cell r="A411">
            <v>971</v>
          </cell>
          <cell r="B411">
            <v>971</v>
          </cell>
          <cell r="C411" t="str">
            <v>CERO MATRICULA</v>
          </cell>
          <cell r="D411" t="str">
            <v>ACTIVO</v>
          </cell>
          <cell r="E411" t="str">
            <v>AYT634</v>
          </cell>
          <cell r="F411" t="str">
            <v>ECHEVARRIA MEDINA JOZSEF FRANCISCO</v>
          </cell>
          <cell r="G411" t="str">
            <v>MORALES GUIZADO JOHN ROBERT</v>
          </cell>
          <cell r="H411" t="str">
            <v>43097405</v>
          </cell>
          <cell r="I411" t="str">
            <v>BBVA</v>
          </cell>
          <cell r="J411" t="str">
            <v>0011-0184-0200531452</v>
          </cell>
          <cell r="K411" t="str">
            <v>DNI</v>
          </cell>
          <cell r="L411">
            <v>10430974055</v>
          </cell>
          <cell r="M411" t="str">
            <v>AEROLINEAS</v>
          </cell>
          <cell r="N411">
            <v>45069</v>
          </cell>
          <cell r="O411">
            <v>0</v>
          </cell>
          <cell r="P411" t="str">
            <v>VAN</v>
          </cell>
        </row>
        <row r="412">
          <cell r="A412">
            <v>975</v>
          </cell>
          <cell r="B412">
            <v>975</v>
          </cell>
          <cell r="C412" t="str">
            <v>CERO MATRICULA</v>
          </cell>
          <cell r="D412" t="str">
            <v>ACTIVO</v>
          </cell>
          <cell r="E412" t="str">
            <v>BHC644</v>
          </cell>
          <cell r="F412" t="str">
            <v>LEAL COLMENAREZ LUIS JOSE</v>
          </cell>
          <cell r="G412" t="str">
            <v>LEAL COLMENAREZ LUIS JOSE</v>
          </cell>
          <cell r="H412" t="str">
            <v>002454061</v>
          </cell>
          <cell r="I412" t="str">
            <v>SCOTIABANK</v>
          </cell>
          <cell r="J412" t="str">
            <v>074-7581221</v>
          </cell>
          <cell r="K412" t="str">
            <v>CPP</v>
          </cell>
          <cell r="L412">
            <v>15610821275</v>
          </cell>
          <cell r="M412" t="str">
            <v>AEROPUERTO</v>
          </cell>
          <cell r="N412">
            <v>45068</v>
          </cell>
          <cell r="O412">
            <v>265</v>
          </cell>
          <cell r="P412" t="str">
            <v>LITE</v>
          </cell>
        </row>
        <row r="413">
          <cell r="A413">
            <v>978</v>
          </cell>
          <cell r="B413">
            <v>978</v>
          </cell>
          <cell r="C413" t="str">
            <v>CERO MATRICULA</v>
          </cell>
          <cell r="D413" t="str">
            <v>ACTIVO</v>
          </cell>
          <cell r="E413" t="str">
            <v>CDQ208</v>
          </cell>
          <cell r="F413" t="str">
            <v>CARVAJAL CABELLO JOSE ALBERTO</v>
          </cell>
          <cell r="G413" t="str">
            <v>CARVAJAL CABELLO JOSE ALBERTO</v>
          </cell>
          <cell r="H413" t="str">
            <v>003376063</v>
          </cell>
          <cell r="I413" t="str">
            <v>BCP</v>
          </cell>
          <cell r="J413" t="str">
            <v>191-97553585072</v>
          </cell>
          <cell r="K413" t="str">
            <v>CE</v>
          </cell>
          <cell r="L413">
            <v>15604446381</v>
          </cell>
          <cell r="M413" t="str">
            <v>URBANO</v>
          </cell>
          <cell r="N413">
            <v>45068</v>
          </cell>
          <cell r="O413">
            <v>0</v>
          </cell>
          <cell r="P413" t="str">
            <v>LITE</v>
          </cell>
        </row>
        <row r="414">
          <cell r="A414">
            <v>979</v>
          </cell>
          <cell r="B414">
            <v>979</v>
          </cell>
          <cell r="C414" t="str">
            <v>CERO MATRICULA</v>
          </cell>
          <cell r="D414" t="str">
            <v>ACTIVO</v>
          </cell>
          <cell r="E414" t="str">
            <v>CEH492</v>
          </cell>
          <cell r="F414" t="str">
            <v>BALZA HERNANDEZ GUTAVO GABRIEL</v>
          </cell>
          <cell r="G414" t="str">
            <v>BALZA HERNANDEZ GUTAVO GABRIEL</v>
          </cell>
          <cell r="H414" t="str">
            <v>000697437</v>
          </cell>
          <cell r="I414" t="str">
            <v>BCP</v>
          </cell>
          <cell r="J414" t="str">
            <v>192-05654858-0-76</v>
          </cell>
          <cell r="K414" t="str">
            <v>CPP</v>
          </cell>
          <cell r="L414">
            <v>15608965677</v>
          </cell>
          <cell r="M414" t="str">
            <v>AEROPUERTO</v>
          </cell>
          <cell r="N414">
            <v>45068</v>
          </cell>
          <cell r="O414">
            <v>240</v>
          </cell>
          <cell r="P414" t="str">
            <v>XL</v>
          </cell>
        </row>
        <row r="415">
          <cell r="A415">
            <v>982</v>
          </cell>
          <cell r="B415">
            <v>982</v>
          </cell>
          <cell r="C415" t="str">
            <v>CERO MATRICULA</v>
          </cell>
          <cell r="D415" t="str">
            <v>ACTIVO</v>
          </cell>
          <cell r="E415" t="str">
            <v>BYT676</v>
          </cell>
          <cell r="F415" t="str">
            <v>TINTAYA SALINAS AMERICO</v>
          </cell>
          <cell r="G415" t="str">
            <v>TINTAYA SALINAS AMERICO</v>
          </cell>
          <cell r="H415" t="str">
            <v>43935687</v>
          </cell>
          <cell r="I415" t="str">
            <v>BBVA</v>
          </cell>
          <cell r="J415" t="str">
            <v>0011-0814-0235713417</v>
          </cell>
          <cell r="K415" t="str">
            <v>DNI</v>
          </cell>
          <cell r="L415">
            <v>10439356877</v>
          </cell>
          <cell r="M415" t="str">
            <v>AEROPUERTO</v>
          </cell>
          <cell r="N415">
            <v>45084</v>
          </cell>
          <cell r="O415">
            <v>265</v>
          </cell>
          <cell r="P415" t="str">
            <v>LITE</v>
          </cell>
        </row>
        <row r="416">
          <cell r="A416">
            <v>983</v>
          </cell>
          <cell r="B416">
            <v>983</v>
          </cell>
          <cell r="C416" t="str">
            <v>CERO MATRICULA</v>
          </cell>
          <cell r="D416" t="str">
            <v>ACTIVO</v>
          </cell>
          <cell r="E416" t="str">
            <v>BNR376</v>
          </cell>
          <cell r="F416" t="str">
            <v>LATTASSA GUZMAN GUILLERMO</v>
          </cell>
          <cell r="G416" t="str">
            <v>LATTASSA GUZMAN GUILLERMO</v>
          </cell>
          <cell r="H416" t="str">
            <v>004065368</v>
          </cell>
          <cell r="I416" t="str">
            <v>BBVA</v>
          </cell>
          <cell r="J416" t="str">
            <v>0011-0137-0200488283</v>
          </cell>
          <cell r="K416" t="str">
            <v>CE</v>
          </cell>
          <cell r="L416">
            <v>15604308124</v>
          </cell>
          <cell r="M416" t="str">
            <v>AEROPUERTO</v>
          </cell>
          <cell r="N416">
            <v>45075</v>
          </cell>
          <cell r="O416">
            <v>265</v>
          </cell>
          <cell r="P416" t="str">
            <v>LITE</v>
          </cell>
        </row>
        <row r="417">
          <cell r="A417">
            <v>985</v>
          </cell>
          <cell r="B417">
            <v>985</v>
          </cell>
          <cell r="C417" t="str">
            <v>CERO MATRICULA</v>
          </cell>
          <cell r="D417" t="str">
            <v>ACTIVO</v>
          </cell>
          <cell r="E417" t="str">
            <v>BPJ486</v>
          </cell>
          <cell r="F417" t="str">
            <v>YANEZ MARCELLA YOSWALD RAFAEL</v>
          </cell>
          <cell r="G417" t="str">
            <v>YANEZ MARCELLA YOSWALD RAFAEL</v>
          </cell>
          <cell r="H417" t="str">
            <v>006542981</v>
          </cell>
          <cell r="I417" t="str">
            <v>INTERBANK</v>
          </cell>
          <cell r="J417" t="str">
            <v>1623344593110</v>
          </cell>
          <cell r="K417" t="str">
            <v>CE</v>
          </cell>
          <cell r="L417">
            <v>15610865108</v>
          </cell>
          <cell r="M417" t="str">
            <v>AEROPUERTO</v>
          </cell>
          <cell r="N417">
            <v>45075</v>
          </cell>
          <cell r="O417">
            <v>265</v>
          </cell>
          <cell r="P417" t="str">
            <v>LITE</v>
          </cell>
        </row>
        <row r="418">
          <cell r="A418">
            <v>986</v>
          </cell>
          <cell r="B418">
            <v>986</v>
          </cell>
          <cell r="C418" t="str">
            <v>CERO MATRICULA</v>
          </cell>
          <cell r="D418" t="str">
            <v>ACTIVO</v>
          </cell>
          <cell r="E418" t="str">
            <v>BUK017</v>
          </cell>
          <cell r="F418" t="str">
            <v>VASQUEZ NIETO LUIS</v>
          </cell>
          <cell r="G418" t="str">
            <v>VASQUEZ NIETO LUIS</v>
          </cell>
          <cell r="H418" t="str">
            <v>19236555</v>
          </cell>
          <cell r="I418" t="str">
            <v>BCP</v>
          </cell>
          <cell r="J418" t="str">
            <v>191-01942726-0-48</v>
          </cell>
          <cell r="K418" t="str">
            <v>DNI</v>
          </cell>
          <cell r="L418">
            <v>10192365550</v>
          </cell>
          <cell r="M418" t="str">
            <v>AEROPUERTO</v>
          </cell>
          <cell r="N418">
            <v>45089</v>
          </cell>
          <cell r="O418">
            <v>265</v>
          </cell>
          <cell r="P418" t="str">
            <v>LITE</v>
          </cell>
        </row>
        <row r="419">
          <cell r="A419">
            <v>987</v>
          </cell>
          <cell r="B419">
            <v>987</v>
          </cell>
          <cell r="C419" t="str">
            <v>CERO MATRICULA</v>
          </cell>
          <cell r="D419" t="str">
            <v>ACTIVO</v>
          </cell>
          <cell r="E419" t="str">
            <v>BPD535</v>
          </cell>
          <cell r="F419" t="str">
            <v>CASTILLO VASQUEZ EFRAIN</v>
          </cell>
          <cell r="G419" t="str">
            <v>CASTILLO VASQUEZ EFRAIN</v>
          </cell>
          <cell r="H419" t="str">
            <v>72417788</v>
          </cell>
          <cell r="I419" t="str">
            <v>BCP</v>
          </cell>
          <cell r="J419" t="str">
            <v>191-00726816-0-56</v>
          </cell>
          <cell r="K419" t="str">
            <v>DNI</v>
          </cell>
          <cell r="L419">
            <v>10724177889</v>
          </cell>
          <cell r="M419" t="str">
            <v>URBANO</v>
          </cell>
          <cell r="N419">
            <v>45085</v>
          </cell>
          <cell r="O419">
            <v>0</v>
          </cell>
          <cell r="P419" t="str">
            <v>LITE</v>
          </cell>
        </row>
        <row r="420">
          <cell r="A420">
            <v>988</v>
          </cell>
          <cell r="B420">
            <v>988</v>
          </cell>
          <cell r="C420" t="str">
            <v>CERO MATRICULA</v>
          </cell>
          <cell r="D420" t="str">
            <v>ACTIVO</v>
          </cell>
          <cell r="E420" t="str">
            <v>Z6Z468</v>
          </cell>
          <cell r="F420" t="str">
            <v>GAMARRA PEÑA WILLIAN</v>
          </cell>
          <cell r="G420" t="str">
            <v>GAMARRA PEÑA WILLIAN ALFREDO</v>
          </cell>
          <cell r="H420" t="str">
            <v>41930636</v>
          </cell>
          <cell r="I420" t="str">
            <v>INTERBANK</v>
          </cell>
          <cell r="J420" t="str">
            <v>261-3157514073</v>
          </cell>
          <cell r="K420" t="str">
            <v>DNI</v>
          </cell>
          <cell r="L420">
            <v>10419306369</v>
          </cell>
          <cell r="M420" t="str">
            <v>AEROPUERTO</v>
          </cell>
          <cell r="N420">
            <v>45089</v>
          </cell>
          <cell r="O420">
            <v>265</v>
          </cell>
          <cell r="P420" t="str">
            <v>LITE</v>
          </cell>
        </row>
        <row r="421">
          <cell r="A421">
            <v>989</v>
          </cell>
          <cell r="B421">
            <v>989</v>
          </cell>
          <cell r="C421" t="str">
            <v>CERO MATRICULA</v>
          </cell>
          <cell r="D421" t="str">
            <v>ACTIVO</v>
          </cell>
          <cell r="E421" t="str">
            <v>CAX349</v>
          </cell>
          <cell r="F421" t="str">
            <v>MEDRANO RUIZ ELMER</v>
          </cell>
          <cell r="G421" t="str">
            <v>MEDRANO RUIZ ELMER</v>
          </cell>
          <cell r="H421" t="str">
            <v>43382042</v>
          </cell>
          <cell r="I421" t="str">
            <v>BCP</v>
          </cell>
          <cell r="J421" t="str">
            <v>191-38736797-0-75</v>
          </cell>
          <cell r="K421" t="str">
            <v>DNI</v>
          </cell>
          <cell r="L421">
            <v>10433820423</v>
          </cell>
          <cell r="M421" t="str">
            <v>AEROPUERTO</v>
          </cell>
          <cell r="N421">
            <v>45089</v>
          </cell>
          <cell r="O421">
            <v>235</v>
          </cell>
          <cell r="P421" t="str">
            <v>COMFORT XL</v>
          </cell>
        </row>
        <row r="422">
          <cell r="A422">
            <v>990</v>
          </cell>
          <cell r="B422">
            <v>990</v>
          </cell>
          <cell r="C422" t="str">
            <v>CERO MATRICULA</v>
          </cell>
          <cell r="D422" t="str">
            <v>ACTIVO</v>
          </cell>
          <cell r="E422" t="str">
            <v>CDH560</v>
          </cell>
          <cell r="F422" t="str">
            <v>YLLANES TRAGODARA ANDRES</v>
          </cell>
          <cell r="G422" t="str">
            <v>YLLANES TRAGODARA ANDRES</v>
          </cell>
          <cell r="H422" t="str">
            <v>25704475</v>
          </cell>
          <cell r="I422" t="str">
            <v>BBVA</v>
          </cell>
          <cell r="J422" t="str">
            <v>0011-0396-0200448663</v>
          </cell>
          <cell r="K422" t="str">
            <v>DNI</v>
          </cell>
          <cell r="L422">
            <v>10257044756</v>
          </cell>
          <cell r="M422" t="str">
            <v>AEROPUERTO</v>
          </cell>
          <cell r="N422">
            <v>45096</v>
          </cell>
          <cell r="O422">
            <v>235</v>
          </cell>
          <cell r="P422" t="str">
            <v>COMFORT XL</v>
          </cell>
        </row>
        <row r="423">
          <cell r="A423">
            <v>991</v>
          </cell>
          <cell r="B423">
            <v>991</v>
          </cell>
          <cell r="C423" t="str">
            <v>CERO MATRICULA</v>
          </cell>
          <cell r="D423" t="str">
            <v>ACTIVO</v>
          </cell>
          <cell r="E423" t="str">
            <v>CFB224</v>
          </cell>
          <cell r="F423" t="str">
            <v>PANTA CAMACHO MILTON</v>
          </cell>
          <cell r="G423" t="str">
            <v>PANTA CAMACHO MILTON</v>
          </cell>
          <cell r="H423" t="str">
            <v>10637433</v>
          </cell>
          <cell r="I423" t="str">
            <v>BCP</v>
          </cell>
          <cell r="J423" t="str">
            <v>194-70358260047</v>
          </cell>
          <cell r="K423" t="str">
            <v>DNI</v>
          </cell>
          <cell r="L423">
            <v>10106374339</v>
          </cell>
          <cell r="M423" t="str">
            <v>AEROPUERTO</v>
          </cell>
          <cell r="N423">
            <v>45096</v>
          </cell>
          <cell r="O423">
            <v>235</v>
          </cell>
          <cell r="P423" t="str">
            <v>COMFORT XL</v>
          </cell>
        </row>
        <row r="424">
          <cell r="A424">
            <v>993</v>
          </cell>
          <cell r="B424">
            <v>993</v>
          </cell>
          <cell r="C424" t="str">
            <v>CERO MATRICULA</v>
          </cell>
          <cell r="D424" t="str">
            <v>ACTIVO</v>
          </cell>
          <cell r="E424" t="str">
            <v>BKQ517</v>
          </cell>
          <cell r="F424" t="str">
            <v>CADILLO DURAN NIMER</v>
          </cell>
          <cell r="G424" t="str">
            <v>QUISPE HERRERA ARTURO ISMAEL</v>
          </cell>
          <cell r="H424" t="str">
            <v>22100074</v>
          </cell>
          <cell r="I424" t="str">
            <v>BCP</v>
          </cell>
          <cell r="J424">
            <v>19435801188014</v>
          </cell>
          <cell r="K424" t="str">
            <v>DNI</v>
          </cell>
          <cell r="L424">
            <v>10221000744</v>
          </cell>
          <cell r="M424" t="str">
            <v>AEROPUERTO</v>
          </cell>
          <cell r="N424">
            <v>45119</v>
          </cell>
          <cell r="O424">
            <v>235</v>
          </cell>
          <cell r="P424" t="str">
            <v>COMFORT XL</v>
          </cell>
        </row>
        <row r="425">
          <cell r="A425">
            <v>995</v>
          </cell>
          <cell r="B425">
            <v>995</v>
          </cell>
          <cell r="C425" t="str">
            <v>CERO MATRICULA</v>
          </cell>
          <cell r="D425" t="str">
            <v>ACTIVO</v>
          </cell>
          <cell r="E425" t="str">
            <v>CFJ284</v>
          </cell>
          <cell r="F425" t="str">
            <v>RANGEL ESTELLER JOSE</v>
          </cell>
          <cell r="G425" t="str">
            <v>RANGEL ESTELLER JOSE</v>
          </cell>
          <cell r="H425" t="str">
            <v>001589276</v>
          </cell>
          <cell r="I425" t="str">
            <v>INTERBANK</v>
          </cell>
          <cell r="J425" t="str">
            <v>045-3353197900</v>
          </cell>
          <cell r="K425" t="str">
            <v>CPP</v>
          </cell>
          <cell r="L425">
            <v>15610982112</v>
          </cell>
          <cell r="M425" t="str">
            <v>URBANO</v>
          </cell>
          <cell r="N425">
            <v>45110</v>
          </cell>
          <cell r="O425">
            <v>0</v>
          </cell>
          <cell r="P425" t="str">
            <v>LITE</v>
          </cell>
        </row>
        <row r="426">
          <cell r="A426">
            <v>996</v>
          </cell>
          <cell r="B426">
            <v>996</v>
          </cell>
          <cell r="C426" t="str">
            <v>CERO MATRICULA</v>
          </cell>
          <cell r="D426" t="str">
            <v>ACTIVO</v>
          </cell>
          <cell r="E426" t="str">
            <v>BTE019</v>
          </cell>
          <cell r="F426" t="str">
            <v>MENDEZ MORALES KENER</v>
          </cell>
          <cell r="G426" t="str">
            <v>MENDEZ MORALES KENER</v>
          </cell>
          <cell r="H426" t="str">
            <v>004275234</v>
          </cell>
          <cell r="I426" t="str">
            <v>BCP</v>
          </cell>
          <cell r="J426" t="str">
            <v>191-03571765-0-42</v>
          </cell>
          <cell r="K426" t="str">
            <v>CE</v>
          </cell>
          <cell r="L426">
            <v>15610298726</v>
          </cell>
          <cell r="M426" t="str">
            <v>AEROPUERTO</v>
          </cell>
          <cell r="N426">
            <v>45110</v>
          </cell>
          <cell r="O426">
            <v>265</v>
          </cell>
          <cell r="P426" t="str">
            <v>LITE</v>
          </cell>
        </row>
        <row r="427">
          <cell r="A427">
            <v>997</v>
          </cell>
          <cell r="B427">
            <v>997</v>
          </cell>
          <cell r="C427" t="str">
            <v>CERO MATRICULA</v>
          </cell>
          <cell r="D427" t="str">
            <v>ACTIVO</v>
          </cell>
          <cell r="E427" t="str">
            <v>BRJ507</v>
          </cell>
          <cell r="F427" t="str">
            <v>URBINA PERDOMO JORGE</v>
          </cell>
          <cell r="G427" t="str">
            <v>URBINA PERDOMO JORGE</v>
          </cell>
          <cell r="H427" t="str">
            <v>003741950</v>
          </cell>
          <cell r="I427" t="str">
            <v>BCP</v>
          </cell>
          <cell r="J427" t="str">
            <v>193-95528596-0-28</v>
          </cell>
          <cell r="K427" t="str">
            <v>CE</v>
          </cell>
          <cell r="L427">
            <v>15604207981</v>
          </cell>
          <cell r="M427" t="str">
            <v>AEROPUERTO</v>
          </cell>
          <cell r="N427">
            <v>45110</v>
          </cell>
          <cell r="O427">
            <v>240</v>
          </cell>
          <cell r="P427" t="str">
            <v>XL</v>
          </cell>
        </row>
        <row r="428">
          <cell r="A428">
            <v>998</v>
          </cell>
          <cell r="B428">
            <v>998</v>
          </cell>
          <cell r="C428" t="str">
            <v>CERO MATRICULA</v>
          </cell>
          <cell r="D428" t="str">
            <v>ACTIVO</v>
          </cell>
          <cell r="E428" t="str">
            <v xml:space="preserve">BYW412 </v>
          </cell>
          <cell r="F428" t="str">
            <v>ORELLANA GUERRA KELYN</v>
          </cell>
          <cell r="G428" t="str">
            <v>SANCHEZ PACHECO DANIELA MAYLET</v>
          </cell>
          <cell r="H428" t="str">
            <v>004617454</v>
          </cell>
          <cell r="I428" t="str">
            <v>INTERBANK</v>
          </cell>
          <cell r="J428" t="str">
            <v>144-3130987376</v>
          </cell>
          <cell r="K428" t="str">
            <v>CE</v>
          </cell>
          <cell r="L428">
            <v>15608236853</v>
          </cell>
          <cell r="M428" t="str">
            <v>AEROPUERTO VAN</v>
          </cell>
          <cell r="N428">
            <v>45110</v>
          </cell>
          <cell r="O428">
            <v>240</v>
          </cell>
          <cell r="P428" t="str">
            <v>VAN</v>
          </cell>
        </row>
        <row r="429">
          <cell r="A429">
            <v>999</v>
          </cell>
          <cell r="B429">
            <v>999</v>
          </cell>
          <cell r="C429" t="str">
            <v>CERO MATRICULA</v>
          </cell>
          <cell r="D429" t="str">
            <v>ACTIVO</v>
          </cell>
          <cell r="E429" t="str">
            <v>CET548</v>
          </cell>
          <cell r="F429" t="str">
            <v>ARIAS PUENTE TOMAS</v>
          </cell>
          <cell r="G429" t="str">
            <v>ARIAS PUENTE TOMAS</v>
          </cell>
          <cell r="H429" t="str">
            <v>40284597</v>
          </cell>
          <cell r="I429" t="str">
            <v>BCP</v>
          </cell>
          <cell r="J429" t="str">
            <v>191-00335554-0-42</v>
          </cell>
          <cell r="K429" t="str">
            <v>DNI</v>
          </cell>
          <cell r="L429">
            <v>10402845975</v>
          </cell>
          <cell r="M429" t="str">
            <v>AEROPUERTO</v>
          </cell>
          <cell r="N429">
            <v>45134</v>
          </cell>
          <cell r="O429">
            <v>235</v>
          </cell>
          <cell r="P429" t="str">
            <v>COMFORT XL</v>
          </cell>
        </row>
        <row r="430">
          <cell r="A430">
            <v>1055</v>
          </cell>
          <cell r="B430">
            <v>1055</v>
          </cell>
          <cell r="C430" t="str">
            <v>CERO MATRICULA</v>
          </cell>
          <cell r="D430" t="str">
            <v>ACTIVO</v>
          </cell>
          <cell r="E430" t="str">
            <v>AZP532</v>
          </cell>
          <cell r="F430" t="str">
            <v>UGALDE RAMOS RICHARD TOMAS</v>
          </cell>
          <cell r="G430" t="str">
            <v>PEREZ JETTI ALEXANDRA</v>
          </cell>
          <cell r="H430" t="str">
            <v>001773733</v>
          </cell>
          <cell r="I430" t="str">
            <v>BBVA</v>
          </cell>
          <cell r="J430" t="str">
            <v>0011-0138-0200414927</v>
          </cell>
          <cell r="K430" t="str">
            <v>CE</v>
          </cell>
          <cell r="L430">
            <v>15602645565</v>
          </cell>
          <cell r="M430" t="str">
            <v>URBANO</v>
          </cell>
          <cell r="N430" t="str">
            <v>PENDIENTE</v>
          </cell>
          <cell r="O430">
            <v>0</v>
          </cell>
          <cell r="P430" t="str">
            <v>XL</v>
          </cell>
        </row>
        <row r="431">
          <cell r="A431">
            <v>1201</v>
          </cell>
          <cell r="B431">
            <v>1201</v>
          </cell>
          <cell r="C431" t="str">
            <v>CERO MATRICULA</v>
          </cell>
          <cell r="D431" t="str">
            <v>ACTIVO</v>
          </cell>
          <cell r="E431" t="str">
            <v>ARJ042</v>
          </cell>
          <cell r="F431" t="str">
            <v>QUINTANA MAVILA RODRIGO ALBINO</v>
          </cell>
          <cell r="G431" t="str">
            <v>QUINTANA MAVILA RODRIGO ALBINO</v>
          </cell>
          <cell r="H431">
            <v>42003816</v>
          </cell>
          <cell r="I431" t="str">
            <v>BCP</v>
          </cell>
          <cell r="J431" t="str">
            <v>192-92138486-0-75</v>
          </cell>
          <cell r="K431"/>
          <cell r="L431">
            <v>10420038165</v>
          </cell>
          <cell r="M431" t="str">
            <v>AEROPUERTO</v>
          </cell>
          <cell r="N431" t="str">
            <v>PENDIENTE</v>
          </cell>
          <cell r="O431">
            <v>240</v>
          </cell>
          <cell r="P431" t="str">
            <v>COMFORT</v>
          </cell>
        </row>
        <row r="432">
          <cell r="A432">
            <v>1209</v>
          </cell>
          <cell r="B432">
            <v>1209</v>
          </cell>
          <cell r="C432" t="str">
            <v>CERO MATRICULA</v>
          </cell>
          <cell r="D432" t="str">
            <v>ACTIVO</v>
          </cell>
          <cell r="E432" t="str">
            <v>BNS210</v>
          </cell>
          <cell r="F432" t="str">
            <v>Reaño Diaz Ricardo Ronald</v>
          </cell>
          <cell r="G432" t="str">
            <v>REAÑO DIAZ RICARDO RONALD</v>
          </cell>
          <cell r="H432" t="str">
            <v>25729450</v>
          </cell>
          <cell r="I432" t="str">
            <v>BCP</v>
          </cell>
          <cell r="J432" t="str">
            <v>19128277888021</v>
          </cell>
          <cell r="K432" t="str">
            <v>DNI</v>
          </cell>
          <cell r="L432">
            <v>10257294507</v>
          </cell>
          <cell r="M432" t="str">
            <v>URBANO PARTNER</v>
          </cell>
          <cell r="N432">
            <v>45454</v>
          </cell>
          <cell r="O432">
            <v>0</v>
          </cell>
          <cell r="P432" t="str">
            <v>COMFORT XL</v>
          </cell>
        </row>
        <row r="433">
          <cell r="A433">
            <v>1220</v>
          </cell>
          <cell r="B433">
            <v>1220</v>
          </cell>
          <cell r="C433" t="str">
            <v>CERO MATRICULA</v>
          </cell>
          <cell r="D433" t="str">
            <v>ACTIVO</v>
          </cell>
          <cell r="E433" t="str">
            <v>AZA463</v>
          </cell>
          <cell r="F433" t="str">
            <v>SEBASTIAN CAMPOS  ABIMAEL</v>
          </cell>
          <cell r="G433" t="str">
            <v>SEBASTIAN CAMPOS ABIMAEL</v>
          </cell>
          <cell r="H433" t="str">
            <v>46244175</v>
          </cell>
          <cell r="I433" t="str">
            <v>BBVA</v>
          </cell>
          <cell r="J433" t="str">
            <v>00110057790234449738</v>
          </cell>
          <cell r="K433"/>
          <cell r="L433">
            <v>10462441750</v>
          </cell>
          <cell r="M433" t="str">
            <v>AEROPUERTO</v>
          </cell>
          <cell r="N433" t="str">
            <v>PENDIENTE</v>
          </cell>
          <cell r="O433">
            <v>240</v>
          </cell>
          <cell r="P433" t="str">
            <v>COMFORT</v>
          </cell>
        </row>
        <row r="434">
          <cell r="A434">
            <v>1224</v>
          </cell>
          <cell r="B434">
            <v>1224</v>
          </cell>
          <cell r="C434" t="str">
            <v>CERO MATRICULA</v>
          </cell>
          <cell r="D434" t="str">
            <v>ACTIVO</v>
          </cell>
          <cell r="E434" t="str">
            <v>AZF025</v>
          </cell>
          <cell r="F434" t="str">
            <v>LLOCLLA DOMINGUEZ HAMILTON</v>
          </cell>
          <cell r="G434" t="str">
            <v>LLOCLLA DOMINGUEZ HAMILTON</v>
          </cell>
          <cell r="H434" t="str">
            <v>47453721</v>
          </cell>
          <cell r="I434" t="str">
            <v>BCP</v>
          </cell>
          <cell r="J434" t="str">
            <v>191-36522931-0-48</v>
          </cell>
          <cell r="K434"/>
          <cell r="L434">
            <v>10474537213</v>
          </cell>
          <cell r="M434" t="str">
            <v>URBANO PARTNER</v>
          </cell>
          <cell r="N434" t="str">
            <v>PENDIENTE</v>
          </cell>
          <cell r="O434">
            <v>0</v>
          </cell>
          <cell r="P434" t="str">
            <v>COMFORT</v>
          </cell>
        </row>
        <row r="435">
          <cell r="A435">
            <v>1226</v>
          </cell>
          <cell r="B435">
            <v>1226</v>
          </cell>
          <cell r="C435" t="str">
            <v>CERO MATRICULA</v>
          </cell>
          <cell r="D435" t="str">
            <v>ACTIVO</v>
          </cell>
          <cell r="E435" t="str">
            <v>AZN469</v>
          </cell>
          <cell r="F435" t="str">
            <v>CAHUI HUAMAN JIMMY ELVIS</v>
          </cell>
          <cell r="G435" t="str">
            <v>CAHUI HUAMAN JIMMY ELVIS</v>
          </cell>
          <cell r="H435" t="str">
            <v>10887312</v>
          </cell>
          <cell r="I435" t="str">
            <v>BANCO DE LA NACIÓN</v>
          </cell>
          <cell r="J435" t="str">
            <v>01800000404937604407</v>
          </cell>
          <cell r="K435" t="str">
            <v>DNI</v>
          </cell>
          <cell r="L435">
            <v>10108873120</v>
          </cell>
          <cell r="M435" t="str">
            <v>AEROPUERTO</v>
          </cell>
          <cell r="N435" t="str">
            <v>PENDIENTE</v>
          </cell>
          <cell r="O435">
            <v>240</v>
          </cell>
          <cell r="P435" t="str">
            <v>COMFORT</v>
          </cell>
        </row>
        <row r="436">
          <cell r="A436">
            <v>1227</v>
          </cell>
          <cell r="B436">
            <v>1227</v>
          </cell>
          <cell r="C436" t="str">
            <v>CERO MATRICULA</v>
          </cell>
          <cell r="D436" t="str">
            <v>ACTIVO</v>
          </cell>
          <cell r="E436" t="str">
            <v>BAB391</v>
          </cell>
          <cell r="F436" t="str">
            <v>HUAÑEC NAVARRETE DADWIN GABRIEL</v>
          </cell>
          <cell r="G436" t="str">
            <v>HUAÑEC NAVARRETE DADWIN GABRIEL</v>
          </cell>
          <cell r="H436" t="str">
            <v>46127913</v>
          </cell>
          <cell r="I436" t="str">
            <v>BCP</v>
          </cell>
          <cell r="J436" t="str">
            <v>193-38972088-0-43</v>
          </cell>
          <cell r="K436"/>
          <cell r="L436">
            <v>10461279134</v>
          </cell>
          <cell r="M436" t="str">
            <v>AEROPUERTO</v>
          </cell>
          <cell r="N436" t="str">
            <v>PENDIENTE</v>
          </cell>
          <cell r="O436">
            <v>240</v>
          </cell>
          <cell r="P436" t="str">
            <v>COMFORT</v>
          </cell>
        </row>
        <row r="437">
          <cell r="A437">
            <v>1400</v>
          </cell>
          <cell r="B437">
            <v>1400</v>
          </cell>
          <cell r="C437" t="str">
            <v>CERO MATRICULA</v>
          </cell>
          <cell r="D437" t="str">
            <v>ACTIVO</v>
          </cell>
          <cell r="E437" t="str">
            <v>ASI689</v>
          </cell>
          <cell r="F437" t="str">
            <v>AUCCA AUCCAISI JULIO</v>
          </cell>
          <cell r="G437" t="str">
            <v>AUCCA SURCO JOSE LUIS</v>
          </cell>
          <cell r="H437" t="str">
            <v>70850923</v>
          </cell>
          <cell r="I437" t="str">
            <v>BCP</v>
          </cell>
          <cell r="J437" t="str">
            <v>19107194572043</v>
          </cell>
          <cell r="K437" t="str">
            <v>DNI</v>
          </cell>
          <cell r="L437">
            <v>10708509235</v>
          </cell>
          <cell r="M437" t="str">
            <v>AEROPUERTO</v>
          </cell>
          <cell r="N437">
            <v>45124</v>
          </cell>
          <cell r="O437">
            <v>240</v>
          </cell>
          <cell r="P437" t="str">
            <v>XL</v>
          </cell>
        </row>
        <row r="438">
          <cell r="A438">
            <v>1401</v>
          </cell>
          <cell r="B438">
            <v>1401</v>
          </cell>
          <cell r="C438" t="str">
            <v>CERO MATRICULA</v>
          </cell>
          <cell r="D438" t="str">
            <v>ACTIVO</v>
          </cell>
          <cell r="E438" t="str">
            <v>BWU283</v>
          </cell>
          <cell r="F438" t="str">
            <v>MELENDEZ LOYOLA DANTE MANUEL</v>
          </cell>
          <cell r="G438" t="str">
            <v>MELENDEZ GARCIA MANUEL MOISES</v>
          </cell>
          <cell r="H438" t="str">
            <v>46581890</v>
          </cell>
          <cell r="I438" t="str">
            <v>BBVA</v>
          </cell>
          <cell r="J438" t="str">
            <v>0011-0357-0200270020</v>
          </cell>
          <cell r="K438" t="str">
            <v>DNI</v>
          </cell>
          <cell r="L438">
            <v>10465818901</v>
          </cell>
          <cell r="M438" t="str">
            <v>AEROPUERTO</v>
          </cell>
          <cell r="N438">
            <v>44531</v>
          </cell>
          <cell r="O438">
            <v>235</v>
          </cell>
          <cell r="P438" t="str">
            <v>COMFORT XL</v>
          </cell>
        </row>
        <row r="439">
          <cell r="A439">
            <v>1402</v>
          </cell>
          <cell r="B439">
            <v>1402</v>
          </cell>
          <cell r="C439" t="str">
            <v>CERO MATRICULA</v>
          </cell>
          <cell r="D439" t="str">
            <v>ACTIVO</v>
          </cell>
          <cell r="E439" t="str">
            <v>ASU634</v>
          </cell>
          <cell r="F439" t="str">
            <v>SEVILLANO MILLA LUIGGI ALEXIS</v>
          </cell>
          <cell r="G439" t="str">
            <v>SEVILLANO MILLA LUIGGI ALEXIS</v>
          </cell>
          <cell r="H439" t="str">
            <v>71597156</v>
          </cell>
          <cell r="I439" t="str">
            <v>INTERBANK</v>
          </cell>
          <cell r="J439" t="str">
            <v>8983-3557-1061-2</v>
          </cell>
          <cell r="K439" t="str">
            <v>DNI</v>
          </cell>
          <cell r="L439">
            <v>10715971564</v>
          </cell>
          <cell r="M439" t="str">
            <v>URBANO PARTNER</v>
          </cell>
          <cell r="N439" t="str">
            <v>PENDIENTE</v>
          </cell>
          <cell r="O439">
            <v>0</v>
          </cell>
          <cell r="P439" t="str">
            <v>COMFORT XL</v>
          </cell>
        </row>
        <row r="440">
          <cell r="A440">
            <v>1403</v>
          </cell>
          <cell r="B440">
            <v>1403</v>
          </cell>
          <cell r="C440" t="str">
            <v>CERO MATRICULA</v>
          </cell>
          <cell r="D440" t="str">
            <v>ACTIVO</v>
          </cell>
          <cell r="E440" t="str">
            <v>BRN409</v>
          </cell>
          <cell r="F440" t="str">
            <v>HUALLPA PUMA ERNESTO</v>
          </cell>
          <cell r="G440" t="str">
            <v>HUALLPA PUMA ERNESTO</v>
          </cell>
          <cell r="H440" t="str">
            <v>10519725</v>
          </cell>
          <cell r="I440" t="str">
            <v>BCP</v>
          </cell>
          <cell r="J440" t="str">
            <v>19399429297030</v>
          </cell>
          <cell r="K440" t="str">
            <v>DNI</v>
          </cell>
          <cell r="L440">
            <v>10105197255</v>
          </cell>
          <cell r="M440" t="str">
            <v>AEROPUERTO</v>
          </cell>
          <cell r="N440" t="str">
            <v>PENDIENTE</v>
          </cell>
          <cell r="O440">
            <v>235</v>
          </cell>
          <cell r="P440" t="str">
            <v>COMFORT XL</v>
          </cell>
        </row>
        <row r="441">
          <cell r="A441">
            <v>1404</v>
          </cell>
          <cell r="B441">
            <v>1404</v>
          </cell>
          <cell r="C441" t="str">
            <v>CERO MATRICULA</v>
          </cell>
          <cell r="D441" t="str">
            <v>ACTIVO</v>
          </cell>
          <cell r="E441" t="str">
            <v>BVT036</v>
          </cell>
          <cell r="F441" t="str">
            <v>YAUYO CERDAN JORGE</v>
          </cell>
          <cell r="G441" t="str">
            <v>YAUYO CERDAN JORGE</v>
          </cell>
          <cell r="H441" t="str">
            <v>46590260</v>
          </cell>
          <cell r="I441" t="str">
            <v>BCP</v>
          </cell>
          <cell r="J441" t="str">
            <v>194-70812915-0-95</v>
          </cell>
          <cell r="K441" t="str">
            <v>DNI</v>
          </cell>
          <cell r="L441">
            <v>10465902600</v>
          </cell>
          <cell r="M441" t="str">
            <v>AEROPUERTO</v>
          </cell>
          <cell r="N441">
            <v>44797</v>
          </cell>
          <cell r="O441">
            <v>235</v>
          </cell>
          <cell r="P441" t="str">
            <v>COMFORT XL</v>
          </cell>
        </row>
        <row r="442">
          <cell r="A442">
            <v>1405</v>
          </cell>
          <cell r="B442">
            <v>1405</v>
          </cell>
          <cell r="C442" t="str">
            <v>CERO MATRICULA</v>
          </cell>
          <cell r="D442" t="str">
            <v>ACTIVO</v>
          </cell>
          <cell r="E442" t="str">
            <v>BXG117</v>
          </cell>
          <cell r="F442" t="str">
            <v>PEREA ANGELES JULIO CESAR</v>
          </cell>
          <cell r="G442" t="str">
            <v>PEREA ANGELES JULIO CESAR</v>
          </cell>
          <cell r="H442" t="str">
            <v>41415768</v>
          </cell>
          <cell r="I442" t="str">
            <v>BCP</v>
          </cell>
          <cell r="J442" t="str">
            <v>192-05268023-0-34</v>
          </cell>
          <cell r="K442" t="str">
            <v>DNI</v>
          </cell>
          <cell r="L442">
            <v>10414157683</v>
          </cell>
          <cell r="M442" t="str">
            <v>AEROPUERTO</v>
          </cell>
          <cell r="N442">
            <v>44522</v>
          </cell>
          <cell r="O442">
            <v>235</v>
          </cell>
          <cell r="P442" t="str">
            <v>COMFORT XL</v>
          </cell>
        </row>
        <row r="443">
          <cell r="A443">
            <v>1406</v>
          </cell>
          <cell r="B443">
            <v>1406</v>
          </cell>
          <cell r="C443" t="str">
            <v>CERO MATRICULA</v>
          </cell>
          <cell r="D443" t="str">
            <v>ACTIVO</v>
          </cell>
          <cell r="E443" t="str">
            <v>BWH315</v>
          </cell>
          <cell r="F443" t="str">
            <v>MACEDO MONTES CHARLES DEXTRE</v>
          </cell>
          <cell r="G443" t="str">
            <v>MACEDO MONTES CHARLES DEXTRE</v>
          </cell>
          <cell r="H443" t="str">
            <v>00087651</v>
          </cell>
          <cell r="I443" t="str">
            <v>BCP</v>
          </cell>
          <cell r="J443" t="str">
            <v>192-34966334-0-27</v>
          </cell>
          <cell r="K443" t="str">
            <v>DNI</v>
          </cell>
          <cell r="L443">
            <v>10000876513</v>
          </cell>
          <cell r="M443" t="str">
            <v>URBANO</v>
          </cell>
          <cell r="N443">
            <v>44582</v>
          </cell>
          <cell r="O443">
            <v>0</v>
          </cell>
          <cell r="P443" t="str">
            <v>COMFORT XL</v>
          </cell>
        </row>
        <row r="444">
          <cell r="A444">
            <v>1407</v>
          </cell>
          <cell r="B444">
            <v>1407</v>
          </cell>
          <cell r="C444" t="str">
            <v>CERO MATRICULA</v>
          </cell>
          <cell r="D444" t="str">
            <v>ACTIVO</v>
          </cell>
          <cell r="E444" t="str">
            <v>CCD546</v>
          </cell>
          <cell r="F444" t="str">
            <v>FLOREZ CANAL LEO HIRBIN</v>
          </cell>
          <cell r="G444" t="str">
            <v>FLOREZ CANAL LEO HIRBIN</v>
          </cell>
          <cell r="H444" t="str">
            <v>47503288</v>
          </cell>
          <cell r="I444" t="str">
            <v>INTERBANK</v>
          </cell>
          <cell r="J444" t="str">
            <v>042-3225508241</v>
          </cell>
          <cell r="K444" t="str">
            <v>DNI</v>
          </cell>
          <cell r="L444">
            <v>10475032883</v>
          </cell>
          <cell r="M444" t="str">
            <v>AEROPUERTO</v>
          </cell>
          <cell r="N444">
            <v>44879</v>
          </cell>
          <cell r="O444">
            <v>235</v>
          </cell>
          <cell r="P444" t="str">
            <v>COMFORT XL</v>
          </cell>
        </row>
        <row r="445">
          <cell r="A445">
            <v>1408</v>
          </cell>
          <cell r="B445">
            <v>1408</v>
          </cell>
          <cell r="C445" t="str">
            <v>CERO MATRICULA</v>
          </cell>
          <cell r="D445" t="str">
            <v>ACTIVO</v>
          </cell>
          <cell r="E445" t="str">
            <v>BEL056</v>
          </cell>
          <cell r="F445" t="str">
            <v>SANTA MARIA AROSTEGUI NEHEMIAS</v>
          </cell>
          <cell r="G445" t="str">
            <v>SANTA MARIA AROSTEGUI JUAN JULIO</v>
          </cell>
          <cell r="H445" t="str">
            <v>40654529</v>
          </cell>
          <cell r="I445" t="str">
            <v>BCP</v>
          </cell>
          <cell r="J445" t="str">
            <v>191-22918274-0-69</v>
          </cell>
          <cell r="K445" t="str">
            <v>DNI</v>
          </cell>
          <cell r="L445">
            <v>10406545291</v>
          </cell>
          <cell r="M445" t="str">
            <v>AEROPUERTO</v>
          </cell>
          <cell r="N445" t="str">
            <v>PENDIENTE</v>
          </cell>
          <cell r="O445">
            <v>235</v>
          </cell>
          <cell r="P445" t="str">
            <v>COMFORT XL</v>
          </cell>
        </row>
        <row r="446">
          <cell r="A446">
            <v>1410</v>
          </cell>
          <cell r="B446">
            <v>1410</v>
          </cell>
          <cell r="C446" t="str">
            <v>CERO MATRICULA</v>
          </cell>
          <cell r="D446" t="str">
            <v>ACTIVO</v>
          </cell>
          <cell r="E446" t="str">
            <v>BKZ649</v>
          </cell>
          <cell r="F446" t="str">
            <v>CHAVEZ HUAROMO MARCIAL EDILBERTO</v>
          </cell>
          <cell r="G446" t="str">
            <v>CHAVEZ HUERTA BRAYHAN ANTONI</v>
          </cell>
          <cell r="H446" t="str">
            <v>77169317</v>
          </cell>
          <cell r="I446" t="str">
            <v>BCP</v>
          </cell>
          <cell r="J446" t="str">
            <v>191-00625063-0-75</v>
          </cell>
          <cell r="K446" t="str">
            <v>DNI</v>
          </cell>
          <cell r="L446">
            <v>10771693178</v>
          </cell>
          <cell r="M446" t="str">
            <v>AEROPUERTO</v>
          </cell>
          <cell r="N446">
            <v>44929</v>
          </cell>
          <cell r="O446">
            <v>235</v>
          </cell>
          <cell r="P446" t="str">
            <v>COMFORT XL</v>
          </cell>
        </row>
        <row r="447">
          <cell r="A447">
            <v>1411</v>
          </cell>
          <cell r="B447">
            <v>1411</v>
          </cell>
          <cell r="C447" t="str">
            <v>CERO MATRICULA</v>
          </cell>
          <cell r="D447" t="str">
            <v>ACTIVO</v>
          </cell>
          <cell r="E447" t="str">
            <v>ASB657</v>
          </cell>
          <cell r="F447" t="str">
            <v>ROA ANAYA ROBERTO</v>
          </cell>
          <cell r="G447" t="str">
            <v>ROA ANAYA ROBERTO</v>
          </cell>
          <cell r="H447" t="str">
            <v>06262258</v>
          </cell>
          <cell r="I447" t="str">
            <v>BCP</v>
          </cell>
          <cell r="J447" t="str">
            <v>192-01084228-0-79</v>
          </cell>
          <cell r="K447" t="str">
            <v>DNI</v>
          </cell>
          <cell r="L447">
            <v>10062622585</v>
          </cell>
          <cell r="M447" t="str">
            <v>AEROPUERTO</v>
          </cell>
          <cell r="N447" t="str">
            <v>PENDIENTE</v>
          </cell>
          <cell r="O447">
            <v>240</v>
          </cell>
          <cell r="P447" t="str">
            <v>XL</v>
          </cell>
        </row>
        <row r="448">
          <cell r="A448">
            <v>1412</v>
          </cell>
          <cell r="B448">
            <v>1412</v>
          </cell>
          <cell r="C448" t="str">
            <v>CERO MATRICULA</v>
          </cell>
          <cell r="D448" t="str">
            <v>ACTIVO</v>
          </cell>
          <cell r="E448" t="str">
            <v>BHM026</v>
          </cell>
          <cell r="F448" t="str">
            <v>AQUINO ARCOS BUENAVENTURA JOSE</v>
          </cell>
          <cell r="G448" t="str">
            <v>AQUINO ARCOS BUENAVENTURA JOSE</v>
          </cell>
          <cell r="H448" t="str">
            <v>10154010</v>
          </cell>
          <cell r="I448" t="str">
            <v>BCP</v>
          </cell>
          <cell r="J448" t="str">
            <v>191-39450505-0-94</v>
          </cell>
          <cell r="K448" t="str">
            <v>DNI</v>
          </cell>
          <cell r="L448">
            <v>10101540109</v>
          </cell>
          <cell r="M448" t="str">
            <v>AEROPUERTO</v>
          </cell>
          <cell r="N448" t="str">
            <v>PENDIENTE</v>
          </cell>
          <cell r="O448">
            <v>240</v>
          </cell>
          <cell r="P448" t="str">
            <v>XL</v>
          </cell>
        </row>
        <row r="449">
          <cell r="A449">
            <v>1413</v>
          </cell>
          <cell r="B449">
            <v>1413</v>
          </cell>
          <cell r="C449" t="str">
            <v>CERO MATRICULA</v>
          </cell>
          <cell r="D449" t="str">
            <v>ACTIVO</v>
          </cell>
          <cell r="E449" t="str">
            <v>BBE631</v>
          </cell>
          <cell r="F449" t="str">
            <v>CARBONEL FLORES ALEJANDRO</v>
          </cell>
          <cell r="G449" t="str">
            <v>CARBONEL FLORES ALEJANDRO</v>
          </cell>
          <cell r="H449" t="str">
            <v>10602367</v>
          </cell>
          <cell r="I449" t="str">
            <v>INTERBANK</v>
          </cell>
          <cell r="J449" t="str">
            <v>2683099672181</v>
          </cell>
          <cell r="K449"/>
          <cell r="L449">
            <v>10106023676</v>
          </cell>
          <cell r="M449" t="str">
            <v>AEROLINEAS</v>
          </cell>
          <cell r="N449">
            <v>45138</v>
          </cell>
          <cell r="O449">
            <v>0</v>
          </cell>
          <cell r="P449" t="str">
            <v>COMFORT XL</v>
          </cell>
        </row>
        <row r="450">
          <cell r="A450">
            <v>1414</v>
          </cell>
          <cell r="B450">
            <v>1414</v>
          </cell>
          <cell r="C450" t="str">
            <v>CERO MATRICULA</v>
          </cell>
          <cell r="D450" t="str">
            <v>ACTIVO</v>
          </cell>
          <cell r="E450" t="str">
            <v>BMW514</v>
          </cell>
          <cell r="F450" t="str">
            <v>VILCHEZ QUISPE ANTONIO GREGORIO</v>
          </cell>
          <cell r="G450" t="str">
            <v>VILCHEZ QUISPE ANTONIO GREGORIO</v>
          </cell>
          <cell r="H450" t="str">
            <v>10648892</v>
          </cell>
          <cell r="I450" t="str">
            <v>BCP</v>
          </cell>
          <cell r="J450" t="str">
            <v>193-40059686-0-27</v>
          </cell>
          <cell r="K450" t="str">
            <v>DNI</v>
          </cell>
          <cell r="L450">
            <v>10106488920</v>
          </cell>
          <cell r="M450" t="str">
            <v>AEROPUERTO</v>
          </cell>
          <cell r="N450" t="str">
            <v>PENDIENTE</v>
          </cell>
          <cell r="O450">
            <v>235</v>
          </cell>
          <cell r="P450" t="str">
            <v>COMFORT XL</v>
          </cell>
        </row>
        <row r="451">
          <cell r="A451">
            <v>1415</v>
          </cell>
          <cell r="B451">
            <v>1415</v>
          </cell>
          <cell r="C451" t="str">
            <v>CERO MATRICULA</v>
          </cell>
          <cell r="D451" t="str">
            <v>ACTIVO</v>
          </cell>
          <cell r="E451" t="str">
            <v>BYR111</v>
          </cell>
          <cell r="F451" t="str">
            <v>MORI SANCHEZ JOVANI ADRIAN</v>
          </cell>
          <cell r="G451" t="str">
            <v>MORI SANCHEZ JOVANI ADRIAN</v>
          </cell>
          <cell r="H451" t="str">
            <v>25775027</v>
          </cell>
          <cell r="I451" t="str">
            <v>BBVA</v>
          </cell>
          <cell r="J451" t="str">
            <v>0011-0166-0200577292</v>
          </cell>
          <cell r="K451" t="str">
            <v>DNI</v>
          </cell>
          <cell r="L451">
            <v>10257750278</v>
          </cell>
          <cell r="M451" t="str">
            <v>AEROPUERTO</v>
          </cell>
          <cell r="N451">
            <v>44830</v>
          </cell>
          <cell r="O451">
            <v>240</v>
          </cell>
          <cell r="P451" t="str">
            <v>XL</v>
          </cell>
        </row>
        <row r="452">
          <cell r="A452">
            <v>1416</v>
          </cell>
          <cell r="B452">
            <v>1416</v>
          </cell>
          <cell r="C452" t="str">
            <v>CERO MATRICULA</v>
          </cell>
          <cell r="D452" t="str">
            <v>ACTIVO</v>
          </cell>
          <cell r="E452" t="str">
            <v>BLO648</v>
          </cell>
          <cell r="F452" t="str">
            <v>QUISPE ALVAREZ RICARDO</v>
          </cell>
          <cell r="G452" t="str">
            <v>QUISPE ALVAREZ RICARDO</v>
          </cell>
          <cell r="H452" t="str">
            <v>42936467</v>
          </cell>
          <cell r="I452" t="str">
            <v>INTERBANK</v>
          </cell>
          <cell r="J452" t="str">
            <v>3883114057425</v>
          </cell>
          <cell r="K452" t="str">
            <v>DNI</v>
          </cell>
          <cell r="L452">
            <v>10429364677</v>
          </cell>
          <cell r="M452" t="str">
            <v>AEROPUERTO</v>
          </cell>
          <cell r="N452">
            <v>44860</v>
          </cell>
          <cell r="O452">
            <v>235</v>
          </cell>
          <cell r="P452" t="str">
            <v>COMFORT XL</v>
          </cell>
        </row>
        <row r="453">
          <cell r="A453">
            <v>1418</v>
          </cell>
          <cell r="B453">
            <v>1418</v>
          </cell>
          <cell r="C453" t="str">
            <v>CERO MATRICULA</v>
          </cell>
          <cell r="D453" t="str">
            <v>ACTIVO</v>
          </cell>
          <cell r="E453" t="str">
            <v>BVH477</v>
          </cell>
          <cell r="F453" t="str">
            <v>ROOM RIVAS CRUZ ALEXIS</v>
          </cell>
          <cell r="G453" t="str">
            <v>ROOM RIVAS CRUZ ALEXIS</v>
          </cell>
          <cell r="H453" t="str">
            <v>003313913</v>
          </cell>
          <cell r="I453" t="str">
            <v>BCP</v>
          </cell>
          <cell r="J453" t="str">
            <v>191-99225732-0-10</v>
          </cell>
          <cell r="K453" t="str">
            <v>CE</v>
          </cell>
          <cell r="L453">
            <v>15606212744</v>
          </cell>
          <cell r="M453" t="str">
            <v>AEROPUERTO</v>
          </cell>
          <cell r="N453" t="str">
            <v>PENDIENTE</v>
          </cell>
          <cell r="O453">
            <v>235</v>
          </cell>
          <cell r="P453" t="str">
            <v>COMFORT XL</v>
          </cell>
        </row>
        <row r="454">
          <cell r="A454">
            <v>1419</v>
          </cell>
          <cell r="B454">
            <v>1419</v>
          </cell>
          <cell r="C454" t="str">
            <v>CERO MATRICULA</v>
          </cell>
          <cell r="D454" t="str">
            <v>ACTIVO</v>
          </cell>
          <cell r="E454" t="str">
            <v>BPW080</v>
          </cell>
          <cell r="F454" t="str">
            <v>RAMOS TITO ANATOLIO ANTONIO</v>
          </cell>
          <cell r="G454" t="str">
            <v>RAMOS TITO ANATOLIO ANTONIO</v>
          </cell>
          <cell r="H454" t="str">
            <v>09989378</v>
          </cell>
          <cell r="I454" t="str">
            <v>BBVA</v>
          </cell>
          <cell r="J454" t="str">
            <v>0011-0752-0200280767</v>
          </cell>
          <cell r="K454" t="str">
            <v>DNI</v>
          </cell>
          <cell r="L454">
            <v>10099893783</v>
          </cell>
          <cell r="M454" t="str">
            <v>AEROPUERTO</v>
          </cell>
          <cell r="N454" t="str">
            <v>PENDIENTE</v>
          </cell>
          <cell r="O454">
            <v>235</v>
          </cell>
          <cell r="P454" t="str">
            <v>COMFORT XL</v>
          </cell>
        </row>
        <row r="455">
          <cell r="A455">
            <v>1420</v>
          </cell>
          <cell r="B455">
            <v>1420</v>
          </cell>
          <cell r="C455" t="str">
            <v>CERO MATRICULA</v>
          </cell>
          <cell r="D455" t="str">
            <v>ACTIVO</v>
          </cell>
          <cell r="E455" t="str">
            <v>APX171</v>
          </cell>
          <cell r="F455" t="str">
            <v>ZAMBRANO LABRA CARLOS ALBERTO</v>
          </cell>
          <cell r="G455" t="str">
            <v>Juan Alfredo Leon Meza</v>
          </cell>
          <cell r="H455">
            <v>25651445</v>
          </cell>
          <cell r="I455" t="str">
            <v>BBVA</v>
          </cell>
          <cell r="J455" t="str">
            <v>0011-0814-0230235487</v>
          </cell>
          <cell r="K455" t="str">
            <v>DNI</v>
          </cell>
          <cell r="L455">
            <v>10256514457</v>
          </cell>
          <cell r="M455" t="str">
            <v>AEROPUERTO</v>
          </cell>
          <cell r="N455" t="str">
            <v>PENDIENTE</v>
          </cell>
          <cell r="O455">
            <v>235</v>
          </cell>
          <cell r="P455" t="str">
            <v>COMFORT XL</v>
          </cell>
        </row>
        <row r="456">
          <cell r="A456">
            <v>1421</v>
          </cell>
          <cell r="B456">
            <v>1421</v>
          </cell>
          <cell r="C456" t="str">
            <v>CERO MATRICULA</v>
          </cell>
          <cell r="D456" t="str">
            <v>ACTIVO</v>
          </cell>
          <cell r="E456" t="str">
            <v>AZO810</v>
          </cell>
          <cell r="F456" t="str">
            <v>VILCA SANCHEZ ROBERTO CARLOS</v>
          </cell>
          <cell r="G456" t="str">
            <v>VILCA SANCHEZ ROBERTO CARLOS</v>
          </cell>
          <cell r="H456" t="str">
            <v>41598647</v>
          </cell>
          <cell r="I456" t="str">
            <v>BBVA</v>
          </cell>
          <cell r="J456" t="str">
            <v>0011-0144-0200299985</v>
          </cell>
          <cell r="K456" t="str">
            <v>DNI</v>
          </cell>
          <cell r="L456">
            <v>10415986471</v>
          </cell>
          <cell r="M456" t="str">
            <v>URBANO PARTNER</v>
          </cell>
          <cell r="N456" t="str">
            <v>PENDIENTE</v>
          </cell>
          <cell r="O456">
            <v>0</v>
          </cell>
          <cell r="P456" t="str">
            <v>COMFORT XL</v>
          </cell>
        </row>
        <row r="457">
          <cell r="A457">
            <v>1422</v>
          </cell>
          <cell r="B457">
            <v>1422</v>
          </cell>
          <cell r="C457" t="str">
            <v>CERO MATRICULA</v>
          </cell>
          <cell r="D457" t="str">
            <v>ACTIVO</v>
          </cell>
          <cell r="E457" t="str">
            <v>BPK461</v>
          </cell>
          <cell r="F457" t="str">
            <v>CASTILLO ROBLES JULIO CESAR</v>
          </cell>
          <cell r="G457" t="str">
            <v>CASTILLO ROBLES JULIO CESAR</v>
          </cell>
          <cell r="H457" t="str">
            <v>08439258</v>
          </cell>
          <cell r="I457" t="str">
            <v>BCP</v>
          </cell>
          <cell r="J457" t="str">
            <v>19133064142022</v>
          </cell>
          <cell r="K457" t="str">
            <v>DNI</v>
          </cell>
          <cell r="L457">
            <v>10084392583</v>
          </cell>
          <cell r="M457" t="str">
            <v>AEROPUERTO</v>
          </cell>
          <cell r="N457">
            <v>45110</v>
          </cell>
          <cell r="O457">
            <v>240</v>
          </cell>
          <cell r="P457" t="str">
            <v>XL</v>
          </cell>
        </row>
        <row r="458">
          <cell r="A458">
            <v>1423</v>
          </cell>
          <cell r="B458">
            <v>1423</v>
          </cell>
          <cell r="C458" t="str">
            <v>CERO MATRICULA</v>
          </cell>
          <cell r="D458" t="str">
            <v>ACTIVO</v>
          </cell>
          <cell r="E458"/>
          <cell r="F458" t="str">
            <v>SARMIENTO VIDAL LUIS FERNANDO</v>
          </cell>
          <cell r="G458" t="str">
            <v>SARMIENTO VIDAL LUIS FERNANDO</v>
          </cell>
          <cell r="H458" t="str">
            <v>09437968</v>
          </cell>
          <cell r="I458" t="str">
            <v>BCP</v>
          </cell>
          <cell r="J458" t="str">
            <v>191-28542489-0-95</v>
          </cell>
          <cell r="K458" t="str">
            <v>DNI</v>
          </cell>
          <cell r="L458">
            <v>10094379682</v>
          </cell>
          <cell r="M458" t="str">
            <v>URBANO PARTNER</v>
          </cell>
          <cell r="N458">
            <v>45117</v>
          </cell>
          <cell r="O458">
            <v>0</v>
          </cell>
          <cell r="P458" t="str">
            <v>COMFORT XL</v>
          </cell>
        </row>
        <row r="459">
          <cell r="A459">
            <v>1424</v>
          </cell>
          <cell r="B459">
            <v>1424</v>
          </cell>
          <cell r="C459" t="str">
            <v>CERO MATRICULA</v>
          </cell>
          <cell r="D459" t="str">
            <v>ACTIVO</v>
          </cell>
          <cell r="E459" t="str">
            <v>Y2A465</v>
          </cell>
          <cell r="F459" t="str">
            <v>Sarmiento Vidal Raúl Eduardo</v>
          </cell>
          <cell r="G459" t="str">
            <v>SARMIENTO VIDAL RAUL EDUARDO</v>
          </cell>
          <cell r="H459" t="str">
            <v>09800874</v>
          </cell>
          <cell r="I459" t="str">
            <v>BCP</v>
          </cell>
          <cell r="J459" t="str">
            <v>19338190002059</v>
          </cell>
          <cell r="K459" t="str">
            <v>DNI</v>
          </cell>
          <cell r="L459">
            <v>10098008743</v>
          </cell>
          <cell r="M459" t="str">
            <v>URBANO</v>
          </cell>
          <cell r="N459">
            <v>45495</v>
          </cell>
          <cell r="O459">
            <v>0</v>
          </cell>
          <cell r="P459" t="str">
            <v>COMFORT XL</v>
          </cell>
        </row>
        <row r="460">
          <cell r="A460">
            <v>1425</v>
          </cell>
          <cell r="B460">
            <v>1425</v>
          </cell>
          <cell r="C460" t="str">
            <v>CERO MATRICULA</v>
          </cell>
          <cell r="D460" t="str">
            <v>ACTIVO</v>
          </cell>
          <cell r="E460" t="str">
            <v>BAC609</v>
          </cell>
          <cell r="F460" t="str">
            <v>VARGAS CHILO LUIS ALBERTO</v>
          </cell>
          <cell r="G460" t="str">
            <v>VARGAS CHILO LUIS ALBERTO</v>
          </cell>
          <cell r="H460" t="str">
            <v>09561294</v>
          </cell>
          <cell r="I460" t="str">
            <v xml:space="preserve">SCOTIABANK </v>
          </cell>
          <cell r="J460" t="str">
            <v>0438046039</v>
          </cell>
          <cell r="K460" t="str">
            <v>DNI</v>
          </cell>
          <cell r="L460">
            <v>10095612941</v>
          </cell>
          <cell r="M460" t="str">
            <v>AEROLINEAS</v>
          </cell>
          <cell r="N460" t="str">
            <v>PENDIENTE</v>
          </cell>
          <cell r="O460">
            <v>0</v>
          </cell>
          <cell r="P460" t="str">
            <v>COMFORT XL</v>
          </cell>
        </row>
        <row r="461">
          <cell r="A461">
            <v>1426</v>
          </cell>
          <cell r="B461">
            <v>1426</v>
          </cell>
          <cell r="C461" t="str">
            <v>CERO MATRICULA</v>
          </cell>
          <cell r="D461" t="str">
            <v>ACTIVO</v>
          </cell>
          <cell r="E461" t="str">
            <v>BCP680</v>
          </cell>
          <cell r="F461" t="str">
            <v>ORTIZ ACUÑA MARIANO</v>
          </cell>
          <cell r="G461" t="str">
            <v>ORTIZ ACUÑA MARIANO</v>
          </cell>
          <cell r="H461" t="str">
            <v>41139093</v>
          </cell>
          <cell r="I461" t="str">
            <v>CAJA HUANCAYO</v>
          </cell>
          <cell r="J461" t="str">
            <v>80805621100105213760</v>
          </cell>
          <cell r="K461" t="str">
            <v>DNI</v>
          </cell>
          <cell r="L461">
            <v>10411390930</v>
          </cell>
          <cell r="M461" t="str">
            <v>AEROPUERTO</v>
          </cell>
          <cell r="N461" t="str">
            <v>PENDIENTE</v>
          </cell>
          <cell r="O461">
            <v>240</v>
          </cell>
          <cell r="P461" t="str">
            <v>COMFORT</v>
          </cell>
        </row>
        <row r="462">
          <cell r="A462">
            <v>1427</v>
          </cell>
          <cell r="B462">
            <v>1427</v>
          </cell>
          <cell r="C462" t="str">
            <v>CERO MATRICULA</v>
          </cell>
          <cell r="D462" t="str">
            <v>ACTIVO</v>
          </cell>
          <cell r="E462" t="str">
            <v>BWA465</v>
          </cell>
          <cell r="F462" t="str">
            <v>PEREZ LAGOS MARTIN HECTOR</v>
          </cell>
          <cell r="G462" t="str">
            <v>HUERTA DE LA VEGA PAULO STEFAN</v>
          </cell>
          <cell r="H462" t="str">
            <v>09605813</v>
          </cell>
          <cell r="I462" t="str">
            <v>BCP</v>
          </cell>
          <cell r="J462" t="str">
            <v>191-03283146-0-08</v>
          </cell>
          <cell r="K462" t="str">
            <v>DNI</v>
          </cell>
          <cell r="L462">
            <v>10096058131</v>
          </cell>
          <cell r="M462" t="str">
            <v>AEROPUERTO</v>
          </cell>
          <cell r="N462">
            <v>44442</v>
          </cell>
          <cell r="O462">
            <v>235</v>
          </cell>
          <cell r="P462" t="str">
            <v>COMFORT XL</v>
          </cell>
        </row>
        <row r="463">
          <cell r="A463">
            <v>1428</v>
          </cell>
          <cell r="B463">
            <v>1428</v>
          </cell>
          <cell r="C463" t="str">
            <v>CERO MATRICULA</v>
          </cell>
          <cell r="D463" t="str">
            <v>ACTIVO</v>
          </cell>
          <cell r="E463" t="str">
            <v>Y2A464</v>
          </cell>
          <cell r="F463" t="str">
            <v>QUISPE AYALA LUIS ANDERSON</v>
          </cell>
          <cell r="G463" t="str">
            <v>QUISPE AYALA LUIS ANDERSON</v>
          </cell>
          <cell r="H463" t="str">
            <v>41300152</v>
          </cell>
          <cell r="I463" t="str">
            <v>BCP</v>
          </cell>
          <cell r="J463" t="str">
            <v>191-24076979-0-79</v>
          </cell>
          <cell r="K463" t="str">
            <v>DNI</v>
          </cell>
          <cell r="L463">
            <v>10413001523</v>
          </cell>
          <cell r="M463" t="str">
            <v>URBANO</v>
          </cell>
          <cell r="N463" t="str">
            <v>PENDIENTE</v>
          </cell>
          <cell r="O463">
            <v>0</v>
          </cell>
          <cell r="P463" t="str">
            <v>COMFORT XL</v>
          </cell>
        </row>
        <row r="464">
          <cell r="A464">
            <v>1429</v>
          </cell>
          <cell r="B464">
            <v>1429</v>
          </cell>
          <cell r="C464" t="str">
            <v>CERO MATRICULA</v>
          </cell>
          <cell r="D464" t="str">
            <v>ACTIVO</v>
          </cell>
          <cell r="E464" t="str">
            <v>ANX587</v>
          </cell>
          <cell r="F464" t="str">
            <v>ZURITA HUAYTALLA JUAN YAMAL</v>
          </cell>
          <cell r="G464" t="str">
            <v>MACEDO MONTES CHARLES DEXTRE</v>
          </cell>
          <cell r="H464" t="str">
            <v>00087651</v>
          </cell>
          <cell r="I464" t="str">
            <v>BCP</v>
          </cell>
          <cell r="J464" t="str">
            <v>19234966334027</v>
          </cell>
          <cell r="K464" t="str">
            <v>DNI</v>
          </cell>
          <cell r="L464">
            <v>10000876513</v>
          </cell>
          <cell r="M464" t="str">
            <v>AEROPUERTO</v>
          </cell>
          <cell r="N464" t="str">
            <v>PENDIENTE</v>
          </cell>
          <cell r="O464">
            <v>235</v>
          </cell>
          <cell r="P464" t="str">
            <v>COMFORT XL</v>
          </cell>
        </row>
        <row r="465">
          <cell r="A465">
            <v>1433</v>
          </cell>
          <cell r="B465">
            <v>1433</v>
          </cell>
          <cell r="C465" t="str">
            <v>CERO MATRICULA</v>
          </cell>
          <cell r="D465" t="str">
            <v>ACTIVO</v>
          </cell>
          <cell r="E465" t="str">
            <v>BSS189</v>
          </cell>
          <cell r="F465" t="str">
            <v>CASTILLO SANCHEZ SERGIO ALONZO</v>
          </cell>
          <cell r="G465" t="str">
            <v>CASTILLO SANCHEZ SERGIO ALONZO</v>
          </cell>
          <cell r="H465" t="str">
            <v>10521645</v>
          </cell>
          <cell r="I465" t="str">
            <v>BCP</v>
          </cell>
          <cell r="J465" t="str">
            <v>191-91888005-0-64</v>
          </cell>
          <cell r="K465" t="str">
            <v>DNI</v>
          </cell>
          <cell r="L465">
            <v>10105216454</v>
          </cell>
          <cell r="M465" t="str">
            <v>URBANO PARTNER</v>
          </cell>
          <cell r="N465" t="str">
            <v>PENDIENTE</v>
          </cell>
          <cell r="O465">
            <v>0</v>
          </cell>
          <cell r="P465" t="str">
            <v>COMFORT XL</v>
          </cell>
        </row>
        <row r="466">
          <cell r="A466">
            <v>1434</v>
          </cell>
          <cell r="B466">
            <v>1434</v>
          </cell>
          <cell r="C466" t="str">
            <v>CERO MATRICULA</v>
          </cell>
          <cell r="D466" t="str">
            <v>ACTIVO</v>
          </cell>
          <cell r="E466" t="str">
            <v>BMT165</v>
          </cell>
          <cell r="F466" t="str">
            <v>GAVIDIA LUGO LUIS ENRIQUE</v>
          </cell>
          <cell r="G466" t="str">
            <v>ARROYO GARCIA CAROLAIN INES</v>
          </cell>
          <cell r="H466" t="str">
            <v>75530491</v>
          </cell>
          <cell r="I466" t="str">
            <v>BCP</v>
          </cell>
          <cell r="J466" t="str">
            <v>19115152117068</v>
          </cell>
          <cell r="K466" t="str">
            <v>DNI</v>
          </cell>
          <cell r="L466">
            <v>10755304919</v>
          </cell>
          <cell r="M466" t="str">
            <v>AEROPUERTO</v>
          </cell>
          <cell r="N466">
            <v>44662</v>
          </cell>
          <cell r="O466">
            <v>235</v>
          </cell>
          <cell r="P466" t="str">
            <v>COMFORT XL</v>
          </cell>
        </row>
        <row r="467">
          <cell r="A467">
            <v>1435</v>
          </cell>
          <cell r="B467">
            <v>1435</v>
          </cell>
          <cell r="C467" t="str">
            <v>CERO MATRICULA</v>
          </cell>
          <cell r="D467" t="str">
            <v>ACTIVO</v>
          </cell>
          <cell r="E467" t="str">
            <v>BYO146</v>
          </cell>
          <cell r="F467" t="str">
            <v>CHIQUILLAN CAMPOS JULIO CESAR</v>
          </cell>
          <cell r="G467" t="str">
            <v>CHIQUILLAN CAMPOS JULIO CESAR</v>
          </cell>
          <cell r="H467" t="str">
            <v>40785760</v>
          </cell>
          <cell r="I467" t="str">
            <v>BCP</v>
          </cell>
          <cell r="J467" t="str">
            <v>191-70901855-0-33</v>
          </cell>
          <cell r="K467" t="str">
            <v>DNI</v>
          </cell>
          <cell r="L467">
            <v>10407857602</v>
          </cell>
          <cell r="M467" t="str">
            <v>AEROPUERTO</v>
          </cell>
          <cell r="N467">
            <v>44763</v>
          </cell>
          <cell r="O467">
            <v>235</v>
          </cell>
          <cell r="P467" t="str">
            <v>COMFORT XL</v>
          </cell>
        </row>
        <row r="468">
          <cell r="A468">
            <v>1437</v>
          </cell>
          <cell r="B468">
            <v>1437</v>
          </cell>
          <cell r="C468" t="str">
            <v>CERO MATRICULA</v>
          </cell>
          <cell r="D468" t="str">
            <v>ACTIVO</v>
          </cell>
          <cell r="E468" t="str">
            <v>BWJ350</v>
          </cell>
          <cell r="F468" t="str">
            <v>ROMERO MENACHO EDWIN ALBERTO</v>
          </cell>
          <cell r="G468" t="str">
            <v>ROMERO MENACHO EDWIN ALBERTO</v>
          </cell>
          <cell r="H468" t="str">
            <v>10289909</v>
          </cell>
          <cell r="I468" t="str">
            <v>BCP</v>
          </cell>
          <cell r="J468">
            <v>19232758381071</v>
          </cell>
          <cell r="K468" t="str">
            <v>DNI</v>
          </cell>
          <cell r="L468">
            <v>10102899097</v>
          </cell>
          <cell r="M468" t="str">
            <v>AEROPUERTO</v>
          </cell>
          <cell r="N468">
            <v>44672</v>
          </cell>
          <cell r="O468">
            <v>235</v>
          </cell>
          <cell r="P468" t="str">
            <v>COMFORT XL</v>
          </cell>
        </row>
        <row r="469">
          <cell r="A469">
            <v>1438</v>
          </cell>
          <cell r="B469">
            <v>1438</v>
          </cell>
          <cell r="C469" t="str">
            <v>CERO MATRICULA</v>
          </cell>
          <cell r="D469" t="str">
            <v>ACTIVO</v>
          </cell>
          <cell r="E469" t="str">
            <v>BNU013</v>
          </cell>
          <cell r="F469" t="str">
            <v>ZARZOSA LARA JESUS MARIN</v>
          </cell>
          <cell r="G469" t="str">
            <v>ZARZOSA LARA JESUS MARIN</v>
          </cell>
          <cell r="H469" t="str">
            <v>09628074</v>
          </cell>
          <cell r="I469" t="str">
            <v>BCP</v>
          </cell>
          <cell r="J469" t="str">
            <v>19237437249001</v>
          </cell>
          <cell r="K469" t="str">
            <v>DNI</v>
          </cell>
          <cell r="L469">
            <v>10096280748</v>
          </cell>
          <cell r="M469" t="str">
            <v>AEROPUERTO</v>
          </cell>
          <cell r="N469" t="str">
            <v>PENDIENTE</v>
          </cell>
          <cell r="O469">
            <v>240</v>
          </cell>
          <cell r="P469" t="str">
            <v>XL</v>
          </cell>
        </row>
        <row r="470">
          <cell r="A470">
            <v>1439</v>
          </cell>
          <cell r="B470">
            <v>1439</v>
          </cell>
          <cell r="C470" t="str">
            <v>CERO MATRICULA</v>
          </cell>
          <cell r="D470" t="str">
            <v>ACTIVO</v>
          </cell>
          <cell r="E470" t="str">
            <v>BKJ140</v>
          </cell>
          <cell r="F470" t="str">
            <v>ALBAN RUGEL CESAR AUGUSTO</v>
          </cell>
          <cell r="G470" t="str">
            <v>ALBAN RUGEL CESAR AUGUSTO</v>
          </cell>
          <cell r="H470" t="str">
            <v>09283968</v>
          </cell>
          <cell r="I470" t="str">
            <v>BCP</v>
          </cell>
          <cell r="J470" t="str">
            <v>194-98505907-0-14</v>
          </cell>
          <cell r="K470" t="str">
            <v>DNI</v>
          </cell>
          <cell r="L470">
            <v>10092839686</v>
          </cell>
          <cell r="M470" t="str">
            <v>AEROPUERTO</v>
          </cell>
          <cell r="N470">
            <v>44781</v>
          </cell>
          <cell r="O470">
            <v>240</v>
          </cell>
          <cell r="P470" t="str">
            <v>XL</v>
          </cell>
        </row>
        <row r="471">
          <cell r="A471">
            <v>1440</v>
          </cell>
          <cell r="B471">
            <v>1440</v>
          </cell>
          <cell r="C471" t="str">
            <v>CERO MATRICULA</v>
          </cell>
          <cell r="D471" t="str">
            <v>ACTIVO</v>
          </cell>
          <cell r="E471" t="str">
            <v>BEF620</v>
          </cell>
          <cell r="F471" t="str">
            <v>LAUREANO VELA ROLANDO</v>
          </cell>
          <cell r="G471" t="str">
            <v>LAUREANO VELA ROLANDO</v>
          </cell>
          <cell r="H471" t="str">
            <v>21120087</v>
          </cell>
          <cell r="I471" t="str">
            <v>BCP</v>
          </cell>
          <cell r="J471" t="str">
            <v>194-91820749-0-29</v>
          </cell>
          <cell r="K471" t="str">
            <v>DNI</v>
          </cell>
          <cell r="L471">
            <v>10211200877</v>
          </cell>
          <cell r="M471" t="str">
            <v>URBANO PARTNER</v>
          </cell>
          <cell r="N471" t="str">
            <v>PENDIENTE</v>
          </cell>
          <cell r="O471">
            <v>0</v>
          </cell>
          <cell r="P471" t="str">
            <v>XL</v>
          </cell>
        </row>
        <row r="472">
          <cell r="A472">
            <v>1441</v>
          </cell>
          <cell r="B472">
            <v>1441</v>
          </cell>
          <cell r="C472" t="str">
            <v>CERO MATRICULA</v>
          </cell>
          <cell r="D472" t="str">
            <v>ACTIVO</v>
          </cell>
          <cell r="E472" t="str">
            <v>BJF390</v>
          </cell>
          <cell r="F472" t="str">
            <v>BENITES QUIROZ ROSA</v>
          </cell>
          <cell r="G472" t="str">
            <v>BENITES QUIROZ ROSA</v>
          </cell>
          <cell r="H472" t="str">
            <v>09686729</v>
          </cell>
          <cell r="I472" t="str">
            <v>BBVA</v>
          </cell>
          <cell r="J472" t="str">
            <v>0011-0176-0200457143</v>
          </cell>
          <cell r="K472" t="str">
            <v>DNI</v>
          </cell>
          <cell r="L472">
            <v>10096867293</v>
          </cell>
          <cell r="M472" t="str">
            <v>AEROPUERTO</v>
          </cell>
          <cell r="N472" t="str">
            <v>PENDIENTE</v>
          </cell>
          <cell r="O472">
            <v>240</v>
          </cell>
          <cell r="P472" t="str">
            <v>XL</v>
          </cell>
        </row>
        <row r="473">
          <cell r="A473">
            <v>1442</v>
          </cell>
          <cell r="B473">
            <v>1442</v>
          </cell>
          <cell r="C473" t="str">
            <v>CERO MATRICULA</v>
          </cell>
          <cell r="D473" t="str">
            <v>ACTIVO</v>
          </cell>
          <cell r="E473" t="str">
            <v>BKQ611</v>
          </cell>
          <cell r="F473" t="str">
            <v>RODULFO CCAICO YEISON ALBERTO</v>
          </cell>
          <cell r="G473" t="str">
            <v>RODULFO CCAICO YEISON ALBERTO</v>
          </cell>
          <cell r="H473" t="str">
            <v>71025331</v>
          </cell>
          <cell r="I473" t="str">
            <v>BCP</v>
          </cell>
          <cell r="J473" t="str">
            <v>19171454843007</v>
          </cell>
          <cell r="K473" t="str">
            <v>DNI</v>
          </cell>
          <cell r="L473">
            <v>10710253311</v>
          </cell>
          <cell r="M473" t="str">
            <v>AEROPUERTO</v>
          </cell>
          <cell r="N473">
            <v>44844</v>
          </cell>
          <cell r="O473">
            <v>235</v>
          </cell>
          <cell r="P473" t="str">
            <v>COMFORT XL</v>
          </cell>
        </row>
        <row r="474">
          <cell r="A474">
            <v>1443</v>
          </cell>
          <cell r="B474">
            <v>1443</v>
          </cell>
          <cell r="C474" t="str">
            <v>CERO MATRICULA</v>
          </cell>
          <cell r="D474" t="str">
            <v>ACTIVO</v>
          </cell>
          <cell r="E474" t="str">
            <v>CAE456</v>
          </cell>
          <cell r="F474" t="str">
            <v xml:space="preserve">FIGUEROA URRUNAGA JORGE OMAR </v>
          </cell>
          <cell r="G474" t="str">
            <v xml:space="preserve">FIGUEROA URRUNAGA JORGE OMAR </v>
          </cell>
          <cell r="H474" t="str">
            <v>09298917</v>
          </cell>
          <cell r="I474" t="str">
            <v>BCP</v>
          </cell>
          <cell r="J474" t="str">
            <v>191-02038076-0-61</v>
          </cell>
          <cell r="K474" t="str">
            <v>DNI</v>
          </cell>
          <cell r="L474">
            <v>10092989173</v>
          </cell>
          <cell r="M474" t="str">
            <v>AEROPUERTO</v>
          </cell>
          <cell r="N474">
            <v>44791</v>
          </cell>
          <cell r="O474">
            <v>235</v>
          </cell>
          <cell r="P474" t="str">
            <v>COMFORT XL</v>
          </cell>
        </row>
        <row r="475">
          <cell r="A475">
            <v>1444</v>
          </cell>
          <cell r="B475">
            <v>1444</v>
          </cell>
          <cell r="C475" t="str">
            <v>CERO MATRICULA</v>
          </cell>
          <cell r="D475" t="str">
            <v>ACTIVO</v>
          </cell>
          <cell r="E475" t="str">
            <v>BRS691</v>
          </cell>
          <cell r="F475" t="str">
            <v>NAVAS RODRIGUEZ ANTHONY OMAR</v>
          </cell>
          <cell r="G475" t="str">
            <v>NAVAS RODRIGUEZ ANTHONY OMAR</v>
          </cell>
          <cell r="H475" t="str">
            <v>72771323</v>
          </cell>
          <cell r="I475" t="str">
            <v>BBVA</v>
          </cell>
          <cell r="J475" t="str">
            <v>0011-0139-0200963810</v>
          </cell>
          <cell r="K475" t="str">
            <v>DNI</v>
          </cell>
          <cell r="L475">
            <v>10727713234</v>
          </cell>
          <cell r="M475" t="str">
            <v>AEROPUERTO</v>
          </cell>
          <cell r="N475" t="str">
            <v>PENDIENTE</v>
          </cell>
          <cell r="O475">
            <v>235</v>
          </cell>
          <cell r="P475" t="str">
            <v>COMFORT XL</v>
          </cell>
        </row>
        <row r="476">
          <cell r="A476">
            <v>1445</v>
          </cell>
          <cell r="B476">
            <v>1445</v>
          </cell>
          <cell r="C476" t="str">
            <v>CERO MATRICULA</v>
          </cell>
          <cell r="D476" t="str">
            <v>ACTIVO</v>
          </cell>
          <cell r="E476" t="str">
            <v>AZK374</v>
          </cell>
          <cell r="F476" t="str">
            <v>CABRERA QUINCHO ANTHONY LEANDRO</v>
          </cell>
          <cell r="G476" t="str">
            <v>CABRERA QUINCHO ANTHONY LEANDRO</v>
          </cell>
          <cell r="H476" t="str">
            <v>46344244</v>
          </cell>
          <cell r="I476" t="str">
            <v>BCP</v>
          </cell>
          <cell r="J476" t="str">
            <v>19433103857038</v>
          </cell>
          <cell r="K476" t="str">
            <v>DNI</v>
          </cell>
          <cell r="L476">
            <v>10463442440</v>
          </cell>
          <cell r="M476" t="str">
            <v>AEROPUERTO</v>
          </cell>
          <cell r="N476">
            <v>44835</v>
          </cell>
          <cell r="O476">
            <v>235</v>
          </cell>
          <cell r="P476" t="str">
            <v>COMFORT XL</v>
          </cell>
        </row>
        <row r="477">
          <cell r="A477">
            <v>1447</v>
          </cell>
          <cell r="B477">
            <v>1447</v>
          </cell>
          <cell r="C477" t="str">
            <v>CERO MATRICULA</v>
          </cell>
          <cell r="D477" t="str">
            <v>ACTIVO</v>
          </cell>
          <cell r="E477" t="str">
            <v>BLF075</v>
          </cell>
          <cell r="F477" t="str">
            <v>FLORES LOZANO ALEJANDRO MANUEL</v>
          </cell>
          <cell r="G477" t="str">
            <v>FLORES LOZANO ALEJANDRO MANUEL</v>
          </cell>
          <cell r="H477" t="str">
            <v>45660322</v>
          </cell>
          <cell r="I477" t="str">
            <v>BBVA</v>
          </cell>
          <cell r="J477" t="str">
            <v>0011-0814-0294065968</v>
          </cell>
          <cell r="K477" t="str">
            <v>DNI</v>
          </cell>
          <cell r="L477">
            <v>10456603225</v>
          </cell>
          <cell r="M477" t="str">
            <v>AEROPUERTO</v>
          </cell>
          <cell r="N477" t="str">
            <v>PENDIENTE</v>
          </cell>
          <cell r="O477">
            <v>235</v>
          </cell>
          <cell r="P477" t="str">
            <v>COMFORT XL</v>
          </cell>
        </row>
        <row r="478">
          <cell r="A478">
            <v>1448</v>
          </cell>
          <cell r="B478">
            <v>1448</v>
          </cell>
          <cell r="C478" t="str">
            <v>CERO MATRICULA</v>
          </cell>
          <cell r="D478" t="str">
            <v>ACTIVO</v>
          </cell>
          <cell r="E478" t="str">
            <v>BMD307</v>
          </cell>
          <cell r="F478" t="str">
            <v>COLLANTES NAVARRO ABEL RICARDO</v>
          </cell>
          <cell r="G478" t="str">
            <v>COLLANTES NAVARRO ABEL RICARDO</v>
          </cell>
          <cell r="H478" t="str">
            <v>40470714</v>
          </cell>
          <cell r="I478" t="str">
            <v>BBVA</v>
          </cell>
          <cell r="J478" t="str">
            <v>0011-0847-0200025607</v>
          </cell>
          <cell r="K478" t="str">
            <v>DNI</v>
          </cell>
          <cell r="L478">
            <v>10404707146</v>
          </cell>
          <cell r="M478" t="str">
            <v>URBANO PARTNER</v>
          </cell>
          <cell r="N478" t="str">
            <v>PENDIENTE</v>
          </cell>
          <cell r="O478">
            <v>0</v>
          </cell>
          <cell r="P478" t="str">
            <v>XL</v>
          </cell>
        </row>
        <row r="479">
          <cell r="A479">
            <v>1449</v>
          </cell>
          <cell r="B479">
            <v>1449</v>
          </cell>
          <cell r="C479" t="str">
            <v>CERO MATRICULA</v>
          </cell>
          <cell r="D479" t="str">
            <v>ACTIVO</v>
          </cell>
          <cell r="E479" t="str">
            <v>BPA197</v>
          </cell>
          <cell r="F479" t="str">
            <v>SOTOMAYOR LOPEZ RAUL MARTIN</v>
          </cell>
          <cell r="G479" t="str">
            <v>SOTOMAYOR LOPEZ RAUL MARTIN</v>
          </cell>
          <cell r="H479" t="str">
            <v>70229241</v>
          </cell>
          <cell r="I479" t="str">
            <v>BCP</v>
          </cell>
          <cell r="J479" t="str">
            <v>193-34085326-0-21</v>
          </cell>
          <cell r="K479" t="str">
            <v>DNI</v>
          </cell>
          <cell r="L479">
            <v>10702292412</v>
          </cell>
          <cell r="M479" t="str">
            <v>AEROPUERTO</v>
          </cell>
          <cell r="N479" t="str">
            <v>PENDIENTE</v>
          </cell>
          <cell r="O479">
            <v>240</v>
          </cell>
          <cell r="P479" t="str">
            <v>XL</v>
          </cell>
        </row>
        <row r="480">
          <cell r="A480">
            <v>1451</v>
          </cell>
          <cell r="B480">
            <v>1451</v>
          </cell>
          <cell r="C480" t="str">
            <v>CERO MATRICULA</v>
          </cell>
          <cell r="D480" t="str">
            <v>ACTIVO</v>
          </cell>
          <cell r="E480" t="str">
            <v>BEW357</v>
          </cell>
          <cell r="F480" t="str">
            <v>Ibañez Urcia MANUEL</v>
          </cell>
          <cell r="G480" t="str">
            <v>Ibañez Urcia MANUEL</v>
          </cell>
          <cell r="H480" t="str">
            <v>09366273</v>
          </cell>
          <cell r="I480" t="str">
            <v>BCP</v>
          </cell>
          <cell r="J480" t="str">
            <v>19171408691088</v>
          </cell>
          <cell r="K480" t="str">
            <v>DNI</v>
          </cell>
          <cell r="L480">
            <v>10093662739</v>
          </cell>
          <cell r="M480" t="str">
            <v>AEROPUERTO</v>
          </cell>
          <cell r="N480">
            <v>45363</v>
          </cell>
          <cell r="O480">
            <v>235</v>
          </cell>
          <cell r="P480" t="str">
            <v>COMFORT XL</v>
          </cell>
        </row>
        <row r="481">
          <cell r="A481">
            <v>1452</v>
          </cell>
          <cell r="B481">
            <v>1452</v>
          </cell>
          <cell r="C481" t="str">
            <v>CERO MATRICULA</v>
          </cell>
          <cell r="D481" t="str">
            <v>ACTIVO</v>
          </cell>
          <cell r="E481" t="str">
            <v>BNS204</v>
          </cell>
          <cell r="F481" t="str">
            <v>MALPICA VENTOCILLA EYNER</v>
          </cell>
          <cell r="G481" t="str">
            <v>MALPICA VENTOCILLA EYNER</v>
          </cell>
          <cell r="H481" t="str">
            <v>10508646</v>
          </cell>
          <cell r="I481" t="str">
            <v>INTERBANK</v>
          </cell>
          <cell r="J481" t="str">
            <v>898-3333167931</v>
          </cell>
          <cell r="K481" t="str">
            <v>DNI</v>
          </cell>
          <cell r="L481">
            <v>10105086461</v>
          </cell>
          <cell r="M481" t="str">
            <v>AEROPUERTO</v>
          </cell>
          <cell r="N481">
            <v>44506</v>
          </cell>
          <cell r="O481">
            <v>240</v>
          </cell>
          <cell r="P481" t="str">
            <v>XL</v>
          </cell>
        </row>
        <row r="482">
          <cell r="A482">
            <v>1453</v>
          </cell>
          <cell r="B482">
            <v>1453</v>
          </cell>
          <cell r="C482" t="str">
            <v>CERO MATRICULA</v>
          </cell>
          <cell r="D482" t="str">
            <v>ACTIVO</v>
          </cell>
          <cell r="E482" t="str">
            <v>BFY368</v>
          </cell>
          <cell r="F482" t="str">
            <v>RODAS TITO JORGE ALBERTO</v>
          </cell>
          <cell r="G482" t="str">
            <v>Leonardo stefano Rodas huaman</v>
          </cell>
          <cell r="H482" t="str">
            <v>77269979</v>
          </cell>
          <cell r="I482" t="str">
            <v>BCP</v>
          </cell>
          <cell r="J482" t="str">
            <v>19406283744015</v>
          </cell>
          <cell r="K482" t="str">
            <v>DNI</v>
          </cell>
          <cell r="L482">
            <v>10772699790</v>
          </cell>
          <cell r="M482" t="str">
            <v>AEROPUERTO</v>
          </cell>
          <cell r="N482" t="str">
            <v>PENDIENTE</v>
          </cell>
          <cell r="O482">
            <v>235</v>
          </cell>
          <cell r="P482" t="str">
            <v>COMFORT XL</v>
          </cell>
        </row>
        <row r="483">
          <cell r="A483">
            <v>1455</v>
          </cell>
          <cell r="B483">
            <v>1455</v>
          </cell>
          <cell r="C483" t="str">
            <v>CERO MATRICULA</v>
          </cell>
          <cell r="D483" t="str">
            <v>ACTIVO</v>
          </cell>
          <cell r="E483" t="str">
            <v>BRQ185</v>
          </cell>
          <cell r="F483" t="str">
            <v>ALBARRAN JIMENEZ JOSE IGNACIO</v>
          </cell>
          <cell r="G483" t="str">
            <v>ALBARRAN JIMENEZ JOSE IGNACIO</v>
          </cell>
          <cell r="H483" t="str">
            <v>002160662</v>
          </cell>
          <cell r="I483" t="str">
            <v>BCP</v>
          </cell>
          <cell r="J483" t="str">
            <v>193-92770896-0-73</v>
          </cell>
          <cell r="K483" t="str">
            <v>CE</v>
          </cell>
          <cell r="L483">
            <v>15603928889</v>
          </cell>
          <cell r="M483" t="str">
            <v>AEROPUERTO</v>
          </cell>
          <cell r="N483" t="str">
            <v>PENDIENTE</v>
          </cell>
          <cell r="O483">
            <v>240</v>
          </cell>
          <cell r="P483" t="str">
            <v>XL</v>
          </cell>
        </row>
        <row r="484">
          <cell r="A484">
            <v>1456</v>
          </cell>
          <cell r="B484">
            <v>1456</v>
          </cell>
          <cell r="C484" t="str">
            <v>CERO MATRICULA</v>
          </cell>
          <cell r="D484" t="str">
            <v>ACTIVO</v>
          </cell>
          <cell r="E484" t="str">
            <v>Y1Z648</v>
          </cell>
          <cell r="F484" t="str">
            <v>ACOSTA RODRIGUEZ JOSE LUIS</v>
          </cell>
          <cell r="G484" t="str">
            <v>ACOSTA RODRIGUEZ JOSE LUIS</v>
          </cell>
          <cell r="H484" t="str">
            <v>08685092</v>
          </cell>
          <cell r="I484" t="str">
            <v>BCP</v>
          </cell>
          <cell r="J484" t="str">
            <v>19398374542022</v>
          </cell>
          <cell r="K484" t="str">
            <v>DNI</v>
          </cell>
          <cell r="L484">
            <v>10086850929</v>
          </cell>
          <cell r="M484" t="str">
            <v>AEROPUERTO</v>
          </cell>
          <cell r="N484" t="str">
            <v>PENDIENTE</v>
          </cell>
          <cell r="O484">
            <v>235</v>
          </cell>
          <cell r="P484" t="str">
            <v>COMFORT XL</v>
          </cell>
        </row>
        <row r="485">
          <cell r="A485">
            <v>1458</v>
          </cell>
          <cell r="B485">
            <v>1458</v>
          </cell>
          <cell r="C485" t="str">
            <v>CERO MATRICULA</v>
          </cell>
          <cell r="D485" t="str">
            <v>ACTIVO</v>
          </cell>
          <cell r="E485" t="str">
            <v>BTV106</v>
          </cell>
          <cell r="F485" t="str">
            <v>LEIVA ROSARIO RONY AGUSTIN</v>
          </cell>
          <cell r="G485" t="str">
            <v>BACA CUSINGA MARIA VICTORIA</v>
          </cell>
          <cell r="H485" t="str">
            <v>40667146</v>
          </cell>
          <cell r="I485" t="str">
            <v>BCP</v>
          </cell>
          <cell r="J485" t="str">
            <v>194-02721637-0-27</v>
          </cell>
          <cell r="K485" t="str">
            <v>DNI</v>
          </cell>
          <cell r="L485">
            <v>10406671467</v>
          </cell>
          <cell r="M485" t="str">
            <v>AEROPUERTO</v>
          </cell>
          <cell r="N485" t="str">
            <v>PENDIENTE</v>
          </cell>
          <cell r="O485">
            <v>240</v>
          </cell>
          <cell r="P485" t="str">
            <v>XL</v>
          </cell>
        </row>
        <row r="486">
          <cell r="A486">
            <v>1459</v>
          </cell>
          <cell r="B486">
            <v>1459</v>
          </cell>
          <cell r="C486" t="str">
            <v>CERO MATRICULA</v>
          </cell>
          <cell r="D486" t="str">
            <v>ACTIVO</v>
          </cell>
          <cell r="E486" t="str">
            <v>AST442</v>
          </cell>
          <cell r="F486" t="str">
            <v>DIAZ VASQUEZ GABRIEL AMERICO</v>
          </cell>
          <cell r="G486" t="str">
            <v>Gabriel Americo Diaz Vasquez</v>
          </cell>
          <cell r="H486" t="str">
            <v>07262679</v>
          </cell>
          <cell r="I486" t="str">
            <v>BCP</v>
          </cell>
          <cell r="J486" t="str">
            <v>19337832245087</v>
          </cell>
          <cell r="K486" t="str">
            <v>RUC</v>
          </cell>
          <cell r="L486">
            <v>10072626791</v>
          </cell>
          <cell r="M486" t="str">
            <v>URBANO</v>
          </cell>
          <cell r="N486">
            <v>44837</v>
          </cell>
          <cell r="O486">
            <v>0</v>
          </cell>
          <cell r="P486" t="str">
            <v>COMFORT XL</v>
          </cell>
        </row>
        <row r="487">
          <cell r="A487">
            <v>1460</v>
          </cell>
          <cell r="B487">
            <v>1460</v>
          </cell>
          <cell r="C487" t="str">
            <v>CERO MATRICULA</v>
          </cell>
          <cell r="D487" t="str">
            <v>ACTIVO</v>
          </cell>
          <cell r="E487" t="str">
            <v>AVG643</v>
          </cell>
          <cell r="F487" t="str">
            <v>TACUNAN YARANGA CESAR LUCHO</v>
          </cell>
          <cell r="G487" t="str">
            <v>TACUNAN YARANGA CESAR LUCHO</v>
          </cell>
          <cell r="H487" t="str">
            <v>10003526</v>
          </cell>
          <cell r="I487" t="str">
            <v>INTERBANK</v>
          </cell>
          <cell r="J487" t="str">
            <v>368-3090754700</v>
          </cell>
          <cell r="K487" t="str">
            <v>DNI</v>
          </cell>
          <cell r="L487">
            <v>10100035265</v>
          </cell>
          <cell r="M487" t="str">
            <v>URBANO PARTNER</v>
          </cell>
          <cell r="N487" t="str">
            <v>PENDIENTE</v>
          </cell>
          <cell r="O487">
            <v>0</v>
          </cell>
          <cell r="P487" t="str">
            <v>XL</v>
          </cell>
        </row>
        <row r="488">
          <cell r="A488">
            <v>1462</v>
          </cell>
          <cell r="B488">
            <v>1462</v>
          </cell>
          <cell r="C488" t="str">
            <v>CERO MATRICULA</v>
          </cell>
          <cell r="D488" t="str">
            <v>ACTIVO</v>
          </cell>
          <cell r="E488" t="str">
            <v>AWN255</v>
          </cell>
          <cell r="F488" t="str">
            <v>CHUQUIYURI MARTINEZ ANGEL EDUARDO</v>
          </cell>
          <cell r="G488" t="str">
            <v>CHUQUIYURI MARTINEZ ANGEL EDUARDO</v>
          </cell>
          <cell r="H488" t="str">
            <v>74489302</v>
          </cell>
          <cell r="I488" t="str">
            <v>BCP</v>
          </cell>
          <cell r="J488">
            <v>19197319395016</v>
          </cell>
          <cell r="K488" t="str">
            <v>DNI</v>
          </cell>
          <cell r="L488">
            <v>10744893025</v>
          </cell>
          <cell r="M488" t="str">
            <v>AEROPUERTO</v>
          </cell>
          <cell r="N488" t="str">
            <v>PENDIENTE</v>
          </cell>
          <cell r="O488">
            <v>235</v>
          </cell>
          <cell r="P488" t="str">
            <v>COMFORT XL</v>
          </cell>
        </row>
        <row r="489">
          <cell r="A489">
            <v>1463</v>
          </cell>
          <cell r="B489">
            <v>1463</v>
          </cell>
          <cell r="C489" t="str">
            <v>CERO MATRICULA</v>
          </cell>
          <cell r="D489" t="str">
            <v>ACTIVO</v>
          </cell>
          <cell r="E489" t="str">
            <v>BLI137</v>
          </cell>
          <cell r="F489" t="str">
            <v>VALDIVIA  CHAVEZ ANIBAL GUILLERMO</v>
          </cell>
          <cell r="G489" t="str">
            <v xml:space="preserve">Marlon Yeyk Valdivia Calderón </v>
          </cell>
          <cell r="H489" t="str">
            <v>74235691</v>
          </cell>
          <cell r="I489" t="str">
            <v>INTERBANK</v>
          </cell>
          <cell r="J489" t="str">
            <v>8983450395139</v>
          </cell>
          <cell r="K489" t="str">
            <v>DNI</v>
          </cell>
          <cell r="L489">
            <v>10742356910</v>
          </cell>
          <cell r="M489" t="str">
            <v>URBANO</v>
          </cell>
          <cell r="N489">
            <v>44886</v>
          </cell>
          <cell r="O489">
            <v>0</v>
          </cell>
          <cell r="P489" t="str">
            <v>XL</v>
          </cell>
        </row>
        <row r="490">
          <cell r="A490">
            <v>1466</v>
          </cell>
          <cell r="B490">
            <v>1466</v>
          </cell>
          <cell r="C490" t="str">
            <v>CERO MATRICULA</v>
          </cell>
          <cell r="D490" t="str">
            <v>ACTIVO</v>
          </cell>
          <cell r="E490" t="str">
            <v>BUI018</v>
          </cell>
          <cell r="F490" t="str">
            <v>LAZO TEJADA JORGE LUIS</v>
          </cell>
          <cell r="G490" t="str">
            <v>LAZO TEJADA JORGE LUIS</v>
          </cell>
          <cell r="H490" t="str">
            <v>06074812</v>
          </cell>
          <cell r="I490" t="str">
            <v>BBVA</v>
          </cell>
          <cell r="J490" t="str">
            <v>001108140209149481</v>
          </cell>
          <cell r="K490" t="str">
            <v>DNI</v>
          </cell>
          <cell r="L490">
            <v>10060748123</v>
          </cell>
          <cell r="M490" t="str">
            <v>AEROPUERTO</v>
          </cell>
          <cell r="N490">
            <v>44599</v>
          </cell>
          <cell r="O490">
            <v>235</v>
          </cell>
          <cell r="P490" t="str">
            <v>COMFORT XL</v>
          </cell>
        </row>
        <row r="491">
          <cell r="A491">
            <v>1467</v>
          </cell>
          <cell r="B491">
            <v>1467</v>
          </cell>
          <cell r="C491" t="str">
            <v>CERO MATRICULA</v>
          </cell>
          <cell r="D491" t="str">
            <v>ACTIVO</v>
          </cell>
          <cell r="E491" t="str">
            <v>AZZ078</v>
          </cell>
          <cell r="F491" t="str">
            <v>PINEDO MEZA MIGUEL ANTONIO</v>
          </cell>
          <cell r="G491" t="str">
            <v>Miguel Antonio Pinedo Meza</v>
          </cell>
          <cell r="H491" t="str">
            <v>10660393</v>
          </cell>
          <cell r="I491" t="str">
            <v>bcp</v>
          </cell>
          <cell r="J491" t="str">
            <v>19274497329025</v>
          </cell>
          <cell r="K491" t="str">
            <v>DNI</v>
          </cell>
          <cell r="L491">
            <v>10106603931</v>
          </cell>
          <cell r="M491" t="str">
            <v>URBANO</v>
          </cell>
          <cell r="N491" t="str">
            <v>PENDIENTE</v>
          </cell>
          <cell r="O491">
            <v>0</v>
          </cell>
          <cell r="P491" t="str">
            <v>COMFORT XL</v>
          </cell>
        </row>
        <row r="492">
          <cell r="A492">
            <v>1468</v>
          </cell>
          <cell r="B492">
            <v>1468</v>
          </cell>
          <cell r="C492" t="str">
            <v>CERO MATRICULA</v>
          </cell>
          <cell r="D492" t="str">
            <v>ACTIVO</v>
          </cell>
          <cell r="E492" t="str">
            <v>BUY299</v>
          </cell>
          <cell r="F492" t="str">
            <v>CASTELLANOS ARANGO GROVER</v>
          </cell>
          <cell r="G492" t="str">
            <v>CASTELLANOS ARANGO GROVER</v>
          </cell>
          <cell r="H492" t="str">
            <v>10614785</v>
          </cell>
          <cell r="I492" t="str">
            <v>BCP</v>
          </cell>
          <cell r="J492" t="str">
            <v>19102931330038</v>
          </cell>
          <cell r="K492" t="str">
            <v>DNI</v>
          </cell>
          <cell r="L492">
            <v>10106147855</v>
          </cell>
          <cell r="M492" t="str">
            <v>AEROPUERTO</v>
          </cell>
          <cell r="N492" t="str">
            <v>PENDIENTE</v>
          </cell>
          <cell r="O492">
            <v>235</v>
          </cell>
          <cell r="P492" t="str">
            <v>COMFORT XL</v>
          </cell>
        </row>
        <row r="493">
          <cell r="A493">
            <v>1469</v>
          </cell>
          <cell r="B493">
            <v>1469</v>
          </cell>
          <cell r="C493" t="str">
            <v>CERO MATRICULA</v>
          </cell>
          <cell r="D493" t="str">
            <v>ACTIVO</v>
          </cell>
          <cell r="E493" t="str">
            <v>BEW125</v>
          </cell>
          <cell r="F493" t="str">
            <v>ESQUEN HUAMANI LUIS ENRIQUE</v>
          </cell>
          <cell r="G493" t="str">
            <v>HUALLULLO ULLOA LUIS OSWALDO</v>
          </cell>
          <cell r="H493" t="str">
            <v>42839370</v>
          </cell>
          <cell r="I493" t="str">
            <v>BBVA</v>
          </cell>
          <cell r="J493" t="str">
            <v>001102520200345267</v>
          </cell>
          <cell r="K493" t="str">
            <v>DNI</v>
          </cell>
          <cell r="L493">
            <v>10428393703</v>
          </cell>
          <cell r="M493" t="str">
            <v>AEROPUERTO</v>
          </cell>
          <cell r="N493">
            <v>44599</v>
          </cell>
          <cell r="O493">
            <v>240</v>
          </cell>
          <cell r="P493" t="str">
            <v>XL</v>
          </cell>
        </row>
        <row r="494">
          <cell r="A494">
            <v>1470</v>
          </cell>
          <cell r="B494">
            <v>1470</v>
          </cell>
          <cell r="C494" t="str">
            <v>CERO MATRICULA</v>
          </cell>
          <cell r="D494" t="str">
            <v>ACTIVO</v>
          </cell>
          <cell r="E494"/>
          <cell r="F494" t="str">
            <v>MEDINA NEGRON GARY ALFREDO</v>
          </cell>
          <cell r="G494" t="str">
            <v>MEDINA NEGRON GARY ALFREDO</v>
          </cell>
          <cell r="H494" t="str">
            <v>06661891</v>
          </cell>
          <cell r="I494" t="str">
            <v>BCP</v>
          </cell>
          <cell r="J494" t="str">
            <v>192-39130433-0-89</v>
          </cell>
          <cell r="K494" t="str">
            <v>DNI</v>
          </cell>
          <cell r="L494">
            <v>10066618914</v>
          </cell>
          <cell r="M494" t="str">
            <v>AEROPUERTO</v>
          </cell>
          <cell r="N494">
            <v>44599</v>
          </cell>
          <cell r="O494">
            <v>240</v>
          </cell>
          <cell r="P494" t="str">
            <v>XL</v>
          </cell>
        </row>
        <row r="495">
          <cell r="A495">
            <v>1471</v>
          </cell>
          <cell r="B495">
            <v>1471</v>
          </cell>
          <cell r="C495" t="str">
            <v>CERO MATRICULA</v>
          </cell>
          <cell r="D495" t="str">
            <v>ACTIVO</v>
          </cell>
          <cell r="E495" t="str">
            <v>BZG185</v>
          </cell>
          <cell r="F495" t="str">
            <v>VARGAS SUCASAIRE HERNAN</v>
          </cell>
          <cell r="G495" t="str">
            <v>VARGAS SUCASAIRE HERNAN</v>
          </cell>
          <cell r="H495" t="str">
            <v>06773816</v>
          </cell>
          <cell r="I495" t="str">
            <v>BCP</v>
          </cell>
          <cell r="J495" t="str">
            <v>19106629347008</v>
          </cell>
          <cell r="K495" t="str">
            <v>DNI</v>
          </cell>
          <cell r="L495">
            <v>10067738166</v>
          </cell>
          <cell r="M495" t="str">
            <v>URBANO</v>
          </cell>
          <cell r="N495">
            <v>44851</v>
          </cell>
          <cell r="O495">
            <v>0</v>
          </cell>
          <cell r="P495" t="str">
            <v>COMFORT XL</v>
          </cell>
        </row>
        <row r="496">
          <cell r="A496">
            <v>1472</v>
          </cell>
          <cell r="B496">
            <v>1472</v>
          </cell>
          <cell r="C496" t="str">
            <v>CERO MATRICULA</v>
          </cell>
          <cell r="D496" t="str">
            <v>ACTIVO</v>
          </cell>
          <cell r="E496" t="str">
            <v>BMZ316</v>
          </cell>
          <cell r="F496" t="str">
            <v>GALLO DELGADO CHRISTIAMS HAROLD</v>
          </cell>
          <cell r="G496" t="str">
            <v>GALLO DELGADO CHRISTIAMS HAROLD</v>
          </cell>
          <cell r="H496" t="str">
            <v>25574035</v>
          </cell>
          <cell r="I496" t="str">
            <v>INTERBANK</v>
          </cell>
          <cell r="J496" t="str">
            <v>144-3148800117</v>
          </cell>
          <cell r="K496" t="str">
            <v>DNI</v>
          </cell>
          <cell r="L496">
            <v>10255740356</v>
          </cell>
          <cell r="M496" t="str">
            <v>AEROPUERTO</v>
          </cell>
          <cell r="N496" t="str">
            <v>PENDIENTE</v>
          </cell>
          <cell r="O496">
            <v>235</v>
          </cell>
          <cell r="P496" t="str">
            <v>COMFORT XL</v>
          </cell>
        </row>
        <row r="497">
          <cell r="A497">
            <v>1480</v>
          </cell>
          <cell r="B497">
            <v>1480</v>
          </cell>
          <cell r="C497" t="str">
            <v>CERO MATRICULA</v>
          </cell>
          <cell r="D497" t="str">
            <v>ACTIVO</v>
          </cell>
          <cell r="E497" t="str">
            <v>BFD655</v>
          </cell>
          <cell r="F497" t="str">
            <v>ARRUELA MANGA LUIS ALBERTO</v>
          </cell>
          <cell r="G497" t="str">
            <v>INJANTE FLORES KARLA VIVIANA</v>
          </cell>
          <cell r="H497" t="str">
            <v>80254232</v>
          </cell>
          <cell r="I497" t="str">
            <v>BBVA</v>
          </cell>
          <cell r="J497" t="str">
            <v>0011-0196-0200311555</v>
          </cell>
          <cell r="K497" t="str">
            <v>DNI</v>
          </cell>
          <cell r="L497">
            <v>10802542327</v>
          </cell>
          <cell r="M497" t="str">
            <v>AEROPUERTO</v>
          </cell>
          <cell r="N497">
            <v>44690</v>
          </cell>
          <cell r="O497">
            <v>235</v>
          </cell>
          <cell r="P497" t="str">
            <v>COMFORT XL</v>
          </cell>
        </row>
        <row r="498">
          <cell r="A498">
            <v>1481</v>
          </cell>
          <cell r="B498">
            <v>1481</v>
          </cell>
          <cell r="C498" t="str">
            <v>CERO MATRICULA</v>
          </cell>
          <cell r="D498" t="str">
            <v>ACTIVO</v>
          </cell>
          <cell r="E498" t="str">
            <v>BHE651</v>
          </cell>
          <cell r="F498" t="str">
            <v>GONZALEZ RODRIGUEZ ANTONIO JOSE</v>
          </cell>
          <cell r="G498" t="str">
            <v>GONZALEZ RODRIGUEZ ANTONIO JOSE</v>
          </cell>
          <cell r="H498" t="str">
            <v>003614314</v>
          </cell>
          <cell r="I498" t="str">
            <v>BCP</v>
          </cell>
          <cell r="J498" t="str">
            <v>191-70760443-0-93</v>
          </cell>
          <cell r="K498" t="str">
            <v>CE</v>
          </cell>
          <cell r="L498">
            <v>15604829353</v>
          </cell>
          <cell r="M498" t="str">
            <v>AEROPUERTO</v>
          </cell>
          <cell r="N498">
            <v>44823</v>
          </cell>
          <cell r="O498">
            <v>265</v>
          </cell>
          <cell r="P498" t="str">
            <v>LITE</v>
          </cell>
        </row>
        <row r="499">
          <cell r="A499">
            <v>1483</v>
          </cell>
          <cell r="B499">
            <v>1483</v>
          </cell>
          <cell r="C499" t="str">
            <v>CERO MATRICULA</v>
          </cell>
          <cell r="D499" t="str">
            <v>ACTIVO</v>
          </cell>
          <cell r="E499" t="str">
            <v>BMM316</v>
          </cell>
          <cell r="F499" t="str">
            <v>LAURENCIO TORRE BRANDON JORDAN</v>
          </cell>
          <cell r="G499" t="str">
            <v>LAURENCIO TORRE BRANDON JORDAN</v>
          </cell>
          <cell r="H499" t="str">
            <v>72541425</v>
          </cell>
          <cell r="I499" t="str">
            <v>BCP</v>
          </cell>
          <cell r="J499">
            <v>19107420495048</v>
          </cell>
          <cell r="K499" t="str">
            <v>DNI</v>
          </cell>
          <cell r="L499">
            <v>10725414256</v>
          </cell>
          <cell r="M499" t="str">
            <v>AEROPUERTO</v>
          </cell>
          <cell r="N499">
            <v>44727</v>
          </cell>
          <cell r="O499">
            <v>235</v>
          </cell>
          <cell r="P499" t="str">
            <v>COMFORT XL</v>
          </cell>
        </row>
        <row r="500">
          <cell r="A500">
            <v>1484</v>
          </cell>
          <cell r="B500">
            <v>1484</v>
          </cell>
          <cell r="C500" t="str">
            <v>CERO MATRICULA</v>
          </cell>
          <cell r="D500" t="str">
            <v>ACTIVO</v>
          </cell>
          <cell r="E500" t="str">
            <v>BVM277</v>
          </cell>
          <cell r="F500" t="str">
            <v>MOSQUITO SANCHEZ MOISES SABINO</v>
          </cell>
          <cell r="G500" t="str">
            <v>MATEO VILLEGAS IRMA MERCEDES</v>
          </cell>
          <cell r="H500" t="str">
            <v>08669309</v>
          </cell>
          <cell r="I500" t="str">
            <v>BBVA</v>
          </cell>
          <cell r="J500" t="str">
            <v>0011-0113-0200739048</v>
          </cell>
          <cell r="K500" t="str">
            <v>DNI</v>
          </cell>
          <cell r="L500">
            <v>10086693092</v>
          </cell>
          <cell r="M500" t="str">
            <v>AEROPUERTO</v>
          </cell>
          <cell r="N500">
            <v>44732</v>
          </cell>
          <cell r="O500">
            <v>235</v>
          </cell>
          <cell r="P500" t="str">
            <v>COMFORT XL</v>
          </cell>
        </row>
        <row r="501">
          <cell r="A501">
            <v>1485</v>
          </cell>
          <cell r="B501">
            <v>1485</v>
          </cell>
          <cell r="C501" t="str">
            <v>CERO MATRICULA</v>
          </cell>
          <cell r="D501" t="str">
            <v>ACTIVO</v>
          </cell>
          <cell r="E501" t="str">
            <v>BSZ102</v>
          </cell>
          <cell r="F501" t="str">
            <v>FONSECA JIMENEZ GERMAN ALFREDO</v>
          </cell>
          <cell r="G501" t="str">
            <v>FONSECA JIMENEZ GERMAN ALFREDO</v>
          </cell>
          <cell r="H501" t="str">
            <v>09642372</v>
          </cell>
          <cell r="I501" t="str">
            <v>BCP</v>
          </cell>
          <cell r="J501" t="str">
            <v xml:space="preserve">191-73278918-0-07 </v>
          </cell>
          <cell r="K501" t="str">
            <v>DNI</v>
          </cell>
          <cell r="L501">
            <v>10096423727</v>
          </cell>
          <cell r="M501" t="str">
            <v>AEROPUERTO</v>
          </cell>
          <cell r="N501" t="str">
            <v>PENDIENTE</v>
          </cell>
          <cell r="O501">
            <v>235</v>
          </cell>
          <cell r="P501" t="str">
            <v>COMFORT XL</v>
          </cell>
        </row>
        <row r="502">
          <cell r="A502">
            <v>1486</v>
          </cell>
          <cell r="B502">
            <v>1486</v>
          </cell>
          <cell r="C502" t="str">
            <v>CERO MATRICULA</v>
          </cell>
          <cell r="D502" t="str">
            <v>ACTIVO</v>
          </cell>
          <cell r="E502" t="str">
            <v>BRA393</v>
          </cell>
          <cell r="F502" t="str">
            <v>TINEO SAMA FREDY ANTONIO</v>
          </cell>
          <cell r="G502" t="str">
            <v>TINEO SAMA FREDY ANTONIO</v>
          </cell>
          <cell r="H502" t="str">
            <v>44232646</v>
          </cell>
          <cell r="I502" t="str">
            <v>BCP</v>
          </cell>
          <cell r="J502">
            <v>19135950568003</v>
          </cell>
          <cell r="K502" t="str">
            <v>DNI</v>
          </cell>
          <cell r="L502">
            <v>10442326466</v>
          </cell>
          <cell r="M502" t="str">
            <v>AEROPUERTO</v>
          </cell>
          <cell r="N502">
            <v>44739</v>
          </cell>
          <cell r="O502">
            <v>235</v>
          </cell>
          <cell r="P502" t="str">
            <v>COMFORT XL</v>
          </cell>
        </row>
        <row r="503">
          <cell r="A503">
            <v>1489</v>
          </cell>
          <cell r="B503">
            <v>1489</v>
          </cell>
          <cell r="C503" t="str">
            <v>CERO MATRICULA</v>
          </cell>
          <cell r="D503" t="str">
            <v>ACTIVO</v>
          </cell>
          <cell r="E503" t="str">
            <v>BYK432</v>
          </cell>
          <cell r="F503" t="str">
            <v>CHAMPI ALCCA WILBER FELIX</v>
          </cell>
          <cell r="G503" t="str">
            <v>CHAMPI ALCCA WILBER FELIX</v>
          </cell>
          <cell r="H503" t="str">
            <v>43215004</v>
          </cell>
          <cell r="I503" t="str">
            <v>BBVA</v>
          </cell>
          <cell r="J503" t="str">
            <v>001100570203325232</v>
          </cell>
          <cell r="K503" t="str">
            <v>DNI</v>
          </cell>
          <cell r="L503">
            <v>10432150041</v>
          </cell>
          <cell r="M503" t="str">
            <v>AEROPUERTO</v>
          </cell>
          <cell r="N503">
            <v>44765</v>
          </cell>
          <cell r="O503">
            <v>240</v>
          </cell>
          <cell r="P503" t="str">
            <v>XL</v>
          </cell>
        </row>
        <row r="504">
          <cell r="A504">
            <v>1490</v>
          </cell>
          <cell r="B504">
            <v>1490</v>
          </cell>
          <cell r="C504" t="str">
            <v>CERO MATRICULA</v>
          </cell>
          <cell r="D504" t="str">
            <v>ACTIVO</v>
          </cell>
          <cell r="E504" t="str">
            <v>BWF604</v>
          </cell>
          <cell r="F504" t="str">
            <v>ESPINOZA TARAZONA LUIS JACINTO</v>
          </cell>
          <cell r="G504" t="str">
            <v>CONQUI CELIS MARIELA ESTEFANI</v>
          </cell>
          <cell r="H504" t="str">
            <v>47461472</v>
          </cell>
          <cell r="I504" t="str">
            <v>INTERBANK</v>
          </cell>
          <cell r="J504">
            <v>8983306285795</v>
          </cell>
          <cell r="K504" t="str">
            <v>DNI</v>
          </cell>
          <cell r="L504">
            <v>10474614722</v>
          </cell>
          <cell r="M504" t="str">
            <v>AEROPUERTO</v>
          </cell>
          <cell r="N504">
            <v>44734</v>
          </cell>
          <cell r="O504">
            <v>235</v>
          </cell>
          <cell r="P504" t="str">
            <v>COMFORT XL</v>
          </cell>
        </row>
        <row r="505">
          <cell r="A505">
            <v>1496</v>
          </cell>
          <cell r="B505">
            <v>1496</v>
          </cell>
          <cell r="C505" t="str">
            <v>CERO MATRICULA</v>
          </cell>
          <cell r="D505" t="str">
            <v>ACTIVO</v>
          </cell>
          <cell r="E505" t="str">
            <v>BVS195</v>
          </cell>
          <cell r="F505" t="str">
            <v>FATACCIOLI TENORIO NESTOR DOMINGO</v>
          </cell>
          <cell r="G505" t="str">
            <v>FATACCIOLI TENORIO NESTOR DOMINGO</v>
          </cell>
          <cell r="H505" t="str">
            <v>08702036</v>
          </cell>
          <cell r="I505" t="str">
            <v>BCP</v>
          </cell>
          <cell r="J505" t="str">
            <v>191-00189725-0-40</v>
          </cell>
          <cell r="K505" t="str">
            <v>DNI</v>
          </cell>
          <cell r="L505">
            <v>10087020369</v>
          </cell>
          <cell r="M505" t="str">
            <v>AEROPUERTO</v>
          </cell>
          <cell r="N505">
            <v>44788</v>
          </cell>
          <cell r="O505">
            <v>235</v>
          </cell>
          <cell r="P505" t="str">
            <v>COMFORT XL</v>
          </cell>
        </row>
        <row r="506">
          <cell r="A506">
            <v>1500</v>
          </cell>
          <cell r="B506">
            <v>1500</v>
          </cell>
          <cell r="C506" t="str">
            <v>CERO MATRICULA</v>
          </cell>
          <cell r="D506" t="str">
            <v>ACTIVO</v>
          </cell>
          <cell r="E506" t="str">
            <v>BZZ649</v>
          </cell>
          <cell r="F506" t="str">
            <v>LAZO HUAMANI DAVY  RONAL</v>
          </cell>
          <cell r="G506" t="str">
            <v>LAZO HUAMANI DAVY  RONAL</v>
          </cell>
          <cell r="H506" t="str">
            <v>46787130</v>
          </cell>
          <cell r="I506" t="str">
            <v>BCP</v>
          </cell>
          <cell r="J506" t="str">
            <v>193-37053676-0-54</v>
          </cell>
          <cell r="K506" t="str">
            <v>DNI</v>
          </cell>
          <cell r="L506">
            <v>10467871302</v>
          </cell>
          <cell r="M506" t="str">
            <v>AEROLINEAS</v>
          </cell>
          <cell r="N506">
            <v>44830</v>
          </cell>
          <cell r="O506">
            <v>0</v>
          </cell>
          <cell r="P506" t="str">
            <v>VAN</v>
          </cell>
        </row>
        <row r="507">
          <cell r="A507">
            <v>1501</v>
          </cell>
          <cell r="B507">
            <v>1501</v>
          </cell>
          <cell r="C507" t="str">
            <v>CERO MATRICULA</v>
          </cell>
          <cell r="D507" t="str">
            <v>ACTIVO</v>
          </cell>
          <cell r="E507" t="str">
            <v>BUI225</v>
          </cell>
          <cell r="F507" t="str">
            <v>CARRASCO SALDARRIAGA LUIS ALBERTO</v>
          </cell>
          <cell r="G507" t="str">
            <v>CARRASCO HERNANDEZ SEBASTIAN ALBERTO</v>
          </cell>
          <cell r="H507" t="str">
            <v>76226306</v>
          </cell>
          <cell r="I507" t="str">
            <v>BCP</v>
          </cell>
          <cell r="J507">
            <v>19192224255011</v>
          </cell>
          <cell r="K507" t="str">
            <v>DNI</v>
          </cell>
          <cell r="L507">
            <v>10762263063</v>
          </cell>
          <cell r="M507" t="str">
            <v>AEROLINEAS</v>
          </cell>
          <cell r="N507">
            <v>44837</v>
          </cell>
          <cell r="O507">
            <v>0</v>
          </cell>
          <cell r="P507" t="str">
            <v>VAN</v>
          </cell>
        </row>
        <row r="508">
          <cell r="A508">
            <v>1502</v>
          </cell>
          <cell r="B508">
            <v>1502</v>
          </cell>
          <cell r="C508" t="str">
            <v>CERO MATRICULA</v>
          </cell>
          <cell r="D508" t="str">
            <v>ACTIVO</v>
          </cell>
          <cell r="E508" t="str">
            <v>AMN523</v>
          </cell>
          <cell r="F508" t="str">
            <v>RAMIREZ ARGUEDAS PERCY MANUEL</v>
          </cell>
          <cell r="G508" t="str">
            <v>GALINDO VASQUEZ LUIS ALBERTO</v>
          </cell>
          <cell r="H508" t="str">
            <v>22299737</v>
          </cell>
          <cell r="I508" t="str">
            <v>BCP</v>
          </cell>
          <cell r="J508">
            <v>19335774610068</v>
          </cell>
          <cell r="K508" t="str">
            <v>DNI</v>
          </cell>
          <cell r="L508">
            <v>10222997378</v>
          </cell>
          <cell r="M508" t="str">
            <v>AEROPUERTO VAN</v>
          </cell>
          <cell r="N508">
            <v>44852</v>
          </cell>
          <cell r="O508">
            <v>240</v>
          </cell>
          <cell r="P508" t="str">
            <v>VAN</v>
          </cell>
        </row>
        <row r="509">
          <cell r="A509">
            <v>1505</v>
          </cell>
          <cell r="B509">
            <v>1505</v>
          </cell>
          <cell r="C509" t="str">
            <v>CERO MATRICULA</v>
          </cell>
          <cell r="D509" t="str">
            <v>ACTIVO</v>
          </cell>
          <cell r="E509" t="str">
            <v>BWG163</v>
          </cell>
          <cell r="F509" t="str">
            <v>AMERICO CALDERON  GABRIEL</v>
          </cell>
          <cell r="G509" t="str">
            <v>AMERICO CALDERON  GABRIEL</v>
          </cell>
          <cell r="H509" t="str">
            <v>75591243</v>
          </cell>
          <cell r="I509" t="str">
            <v>BBVA</v>
          </cell>
          <cell r="J509" t="str">
            <v>0011-0814-0214001999</v>
          </cell>
          <cell r="K509" t="str">
            <v>DNI</v>
          </cell>
          <cell r="L509">
            <v>10755912439</v>
          </cell>
          <cell r="M509" t="str">
            <v>AEROLINEAS</v>
          </cell>
          <cell r="N509">
            <v>44778</v>
          </cell>
          <cell r="O509">
            <v>0</v>
          </cell>
          <cell r="P509" t="str">
            <v>VAN</v>
          </cell>
        </row>
        <row r="510">
          <cell r="A510">
            <v>1506</v>
          </cell>
          <cell r="B510">
            <v>1506</v>
          </cell>
          <cell r="C510" t="str">
            <v>CERO MATRICULA</v>
          </cell>
          <cell r="D510" t="str">
            <v>ACTIVO</v>
          </cell>
          <cell r="E510" t="str">
            <v>BTB302</v>
          </cell>
          <cell r="F510" t="str">
            <v>OCHOA CHUQUIMANGO EDGAR JUAN</v>
          </cell>
          <cell r="G510" t="str">
            <v>OCHOA CHUQUIMANGO EDGAR IVAN</v>
          </cell>
          <cell r="H510" t="str">
            <v>45600551</v>
          </cell>
          <cell r="I510" t="str">
            <v>BCP</v>
          </cell>
          <cell r="J510" t="str">
            <v>19397940915015</v>
          </cell>
          <cell r="K510" t="str">
            <v>DNI</v>
          </cell>
          <cell r="L510">
            <v>10456005514</v>
          </cell>
          <cell r="M510" t="str">
            <v>AEROLINEAS</v>
          </cell>
          <cell r="N510">
            <v>44777</v>
          </cell>
          <cell r="O510">
            <v>0</v>
          </cell>
          <cell r="P510" t="str">
            <v>COMFORT XL</v>
          </cell>
        </row>
        <row r="511">
          <cell r="A511">
            <v>1509</v>
          </cell>
          <cell r="B511">
            <v>1509</v>
          </cell>
          <cell r="C511" t="str">
            <v>CERO MATRICULA</v>
          </cell>
          <cell r="D511" t="str">
            <v>ACTIVO</v>
          </cell>
          <cell r="E511" t="str">
            <v>BCS729</v>
          </cell>
          <cell r="F511" t="str">
            <v>CRUZ CARRASCO JIMMY GUILLERMO</v>
          </cell>
          <cell r="G511" t="str">
            <v>CRUZ CARRASCO JIMMY GUILLERMO</v>
          </cell>
          <cell r="H511" t="str">
            <v>07245957</v>
          </cell>
          <cell r="I511" t="str">
            <v>BCP</v>
          </cell>
          <cell r="J511" t="str">
            <v>193-03467685-0-10</v>
          </cell>
          <cell r="K511" t="str">
            <v>DNI</v>
          </cell>
          <cell r="L511">
            <v>10072459577</v>
          </cell>
          <cell r="M511" t="str">
            <v>URBANO</v>
          </cell>
          <cell r="N511" t="str">
            <v>PENDIENTE</v>
          </cell>
          <cell r="O511">
            <v>0</v>
          </cell>
          <cell r="P511" t="str">
            <v>VAN</v>
          </cell>
        </row>
        <row r="512">
          <cell r="A512">
            <v>1510</v>
          </cell>
          <cell r="B512">
            <v>1510</v>
          </cell>
          <cell r="C512" t="str">
            <v>CERO MATRICULA</v>
          </cell>
          <cell r="D512" t="str">
            <v>ACTIVO</v>
          </cell>
          <cell r="E512" t="str">
            <v>AYC792</v>
          </cell>
          <cell r="F512" t="str">
            <v>BRACAMONTE HIGUERAS MARIA ELENA</v>
          </cell>
          <cell r="G512" t="str">
            <v>BRACAMONTE HIGUERAS MARIA ELENA</v>
          </cell>
          <cell r="H512" t="str">
            <v>06180085</v>
          </cell>
          <cell r="I512" t="str">
            <v>BBVA</v>
          </cell>
          <cell r="J512" t="str">
            <v>0011-0317-0200669847</v>
          </cell>
          <cell r="K512" t="str">
            <v>DNI</v>
          </cell>
          <cell r="L512">
            <v>10061800854</v>
          </cell>
          <cell r="M512" t="str">
            <v>URBANO</v>
          </cell>
          <cell r="N512" t="str">
            <v>PENDIENTE</v>
          </cell>
          <cell r="O512">
            <v>0</v>
          </cell>
          <cell r="P512" t="str">
            <v>VAN</v>
          </cell>
        </row>
        <row r="513">
          <cell r="A513">
            <v>1513</v>
          </cell>
          <cell r="B513">
            <v>1513</v>
          </cell>
          <cell r="C513" t="str">
            <v>CERO MATRICULA</v>
          </cell>
          <cell r="D513" t="str">
            <v>ACTIVO</v>
          </cell>
          <cell r="E513" t="str">
            <v>BDV887</v>
          </cell>
          <cell r="F513" t="str">
            <v>QUISPE HUANCA WIELLE SADAM</v>
          </cell>
          <cell r="G513" t="str">
            <v>QUISPE HUANCA WIELLE SADAM</v>
          </cell>
          <cell r="H513">
            <v>47132452</v>
          </cell>
          <cell r="I513" t="str">
            <v>BBVA</v>
          </cell>
          <cell r="J513" t="str">
            <v>0011-0322-0200334753</v>
          </cell>
          <cell r="K513" t="str">
            <v>DNI</v>
          </cell>
          <cell r="L513">
            <v>10471324529</v>
          </cell>
          <cell r="M513" t="str">
            <v>URBANO</v>
          </cell>
          <cell r="N513" t="str">
            <v>PENDIENTE</v>
          </cell>
          <cell r="O513">
            <v>0</v>
          </cell>
          <cell r="P513" t="str">
            <v>COMFORT</v>
          </cell>
        </row>
        <row r="514">
          <cell r="A514">
            <v>1516</v>
          </cell>
          <cell r="B514">
            <v>1516</v>
          </cell>
          <cell r="C514" t="str">
            <v>CERO MATRICULA</v>
          </cell>
          <cell r="D514" t="str">
            <v>ACTIVO</v>
          </cell>
          <cell r="E514" t="str">
            <v>C7P322</v>
          </cell>
          <cell r="F514" t="str">
            <v>NEYRA VELIZ DAVID JAVIER</v>
          </cell>
          <cell r="G514" t="str">
            <v>NEYRA VELIZ DAVID JAVIER</v>
          </cell>
          <cell r="H514">
            <v>73889805</v>
          </cell>
          <cell r="I514" t="str">
            <v>BBVA</v>
          </cell>
          <cell r="J514" t="str">
            <v>0011-0814-0213442665</v>
          </cell>
          <cell r="K514" t="str">
            <v>DNI</v>
          </cell>
          <cell r="L514">
            <v>10738898058</v>
          </cell>
          <cell r="M514" t="str">
            <v>URBANO</v>
          </cell>
          <cell r="N514" t="str">
            <v>PENDIENTE</v>
          </cell>
          <cell r="O514">
            <v>0</v>
          </cell>
          <cell r="P514" t="str">
            <v>VAN</v>
          </cell>
        </row>
        <row r="515">
          <cell r="A515">
            <v>1524</v>
          </cell>
          <cell r="B515">
            <v>1524</v>
          </cell>
          <cell r="C515" t="str">
            <v>CERO MATRICULA</v>
          </cell>
          <cell r="D515" t="str">
            <v>ACTIVO</v>
          </cell>
          <cell r="E515" t="str">
            <v>ALQ578</v>
          </cell>
          <cell r="F515" t="str">
            <v>CUYA RAMIREZ FELIPE SANTIAGO</v>
          </cell>
          <cell r="G515" t="str">
            <v>CUYA RAMIREZ FELIPE SANTIAGO</v>
          </cell>
          <cell r="H515" t="str">
            <v>09716730</v>
          </cell>
          <cell r="I515" t="str">
            <v>BCP</v>
          </cell>
          <cell r="J515" t="str">
            <v>19436043453027</v>
          </cell>
          <cell r="K515" t="str">
            <v>DNI</v>
          </cell>
          <cell r="L515">
            <v>10097167309</v>
          </cell>
          <cell r="M515" t="str">
            <v>AEROPUERTO VAN</v>
          </cell>
          <cell r="N515">
            <v>44852</v>
          </cell>
          <cell r="O515">
            <v>240</v>
          </cell>
          <cell r="P515" t="str">
            <v>VAN</v>
          </cell>
        </row>
        <row r="516">
          <cell r="A516">
            <v>1526</v>
          </cell>
          <cell r="B516">
            <v>1526</v>
          </cell>
          <cell r="C516" t="str">
            <v>CERO MATRICULA</v>
          </cell>
          <cell r="D516" t="str">
            <v>ACTIVO</v>
          </cell>
          <cell r="E516" t="str">
            <v>BVY120</v>
          </cell>
          <cell r="F516" t="str">
            <v>CHIPANA CHAVEZ LINO GERBACIO</v>
          </cell>
          <cell r="G516" t="str">
            <v>CORI PAURO PALMIRA YANET</v>
          </cell>
          <cell r="H516" t="str">
            <v>46954258</v>
          </cell>
          <cell r="I516" t="str">
            <v>BCP</v>
          </cell>
          <cell r="J516" t="str">
            <v>194-02393668-0-45</v>
          </cell>
          <cell r="K516" t="str">
            <v>DNI</v>
          </cell>
          <cell r="L516">
            <v>10469542586</v>
          </cell>
          <cell r="M516" t="str">
            <v>AEROLINEAS</v>
          </cell>
          <cell r="N516">
            <v>44795</v>
          </cell>
          <cell r="O516">
            <v>0</v>
          </cell>
          <cell r="P516" t="str">
            <v>VAN</v>
          </cell>
        </row>
        <row r="517">
          <cell r="A517">
            <v>1527</v>
          </cell>
          <cell r="B517">
            <v>1527</v>
          </cell>
          <cell r="C517" t="str">
            <v>CERO MATRICULA</v>
          </cell>
          <cell r="D517" t="str">
            <v>ACTIVO</v>
          </cell>
          <cell r="E517" t="str">
            <v>BFB072</v>
          </cell>
          <cell r="F517" t="str">
            <v>VILLALOBOS PAREDES RICARDO ALEXANDERS</v>
          </cell>
          <cell r="G517" t="str">
            <v>VILLALOBOS PAREDES RICARDO ALEXANDERS</v>
          </cell>
          <cell r="H517">
            <v>46352218</v>
          </cell>
          <cell r="I517" t="str">
            <v>BBVA</v>
          </cell>
          <cell r="J517" t="str">
            <v>0011-0312-0200281051</v>
          </cell>
          <cell r="K517" t="str">
            <v>DNI</v>
          </cell>
          <cell r="L517">
            <v>10463522184</v>
          </cell>
          <cell r="M517" t="str">
            <v>URBANO</v>
          </cell>
          <cell r="N517">
            <v>44434</v>
          </cell>
          <cell r="O517">
            <v>0</v>
          </cell>
          <cell r="P517" t="str">
            <v>VAN</v>
          </cell>
        </row>
        <row r="518">
          <cell r="A518">
            <v>1529</v>
          </cell>
          <cell r="B518">
            <v>1529</v>
          </cell>
          <cell r="C518" t="str">
            <v>CERO MATRICULA</v>
          </cell>
          <cell r="D518" t="str">
            <v>ACTIVO</v>
          </cell>
          <cell r="E518" t="str">
            <v>BVZ535</v>
          </cell>
          <cell r="F518" t="str">
            <v>PASAPERA GARRIDO JHON ISAI</v>
          </cell>
          <cell r="G518" t="str">
            <v>PASAPERA GARRIDO JHON ISAI</v>
          </cell>
          <cell r="H518">
            <v>73706963</v>
          </cell>
          <cell r="I518" t="str">
            <v>BCP</v>
          </cell>
          <cell r="J518" t="str">
            <v>191-02195567-0-43</v>
          </cell>
          <cell r="K518" t="str">
            <v>DNI</v>
          </cell>
          <cell r="L518">
            <v>10737069635</v>
          </cell>
          <cell r="M518" t="str">
            <v>URBANO</v>
          </cell>
          <cell r="N518">
            <v>44502</v>
          </cell>
          <cell r="O518">
            <v>0</v>
          </cell>
          <cell r="P518" t="str">
            <v>VAN</v>
          </cell>
        </row>
        <row r="519">
          <cell r="A519">
            <v>1531</v>
          </cell>
          <cell r="B519">
            <v>1531</v>
          </cell>
          <cell r="C519" t="str">
            <v>CERO MATRICULA</v>
          </cell>
          <cell r="D519" t="str">
            <v>ACTIVO</v>
          </cell>
          <cell r="E519" t="str">
            <v>F4N956</v>
          </cell>
          <cell r="F519" t="str">
            <v>BIASCA HARO LUISA ALICIA</v>
          </cell>
          <cell r="G519" t="str">
            <v>BIASCA HARO LUISA ALICIA</v>
          </cell>
          <cell r="H519">
            <v>40482649</v>
          </cell>
          <cell r="I519" t="str">
            <v>INTERBANK</v>
          </cell>
          <cell r="J519">
            <v>2003121745440</v>
          </cell>
          <cell r="K519" t="str">
            <v>DNI</v>
          </cell>
          <cell r="L519">
            <v>10404826498</v>
          </cell>
          <cell r="M519" t="str">
            <v>URBANO</v>
          </cell>
          <cell r="N519">
            <v>44505</v>
          </cell>
          <cell r="O519">
            <v>0</v>
          </cell>
          <cell r="P519" t="str">
            <v>VAN</v>
          </cell>
        </row>
        <row r="520">
          <cell r="A520">
            <v>1532</v>
          </cell>
          <cell r="B520">
            <v>1532</v>
          </cell>
          <cell r="C520" t="str">
            <v>CERO MATRICULA</v>
          </cell>
          <cell r="D520" t="str">
            <v>ACTIVO</v>
          </cell>
          <cell r="E520" t="str">
            <v>BDJ451</v>
          </cell>
          <cell r="F520" t="str">
            <v>CUSIRIMAY ÑAUPAC GINO VALERIO</v>
          </cell>
          <cell r="G520" t="str">
            <v>CUSIRIMAY ÑAUPAC GINO VALERIO</v>
          </cell>
          <cell r="H520" t="str">
            <v>41826378</v>
          </cell>
          <cell r="I520" t="str">
            <v>BCP</v>
          </cell>
          <cell r="J520" t="str">
            <v>191-91400532-0-68</v>
          </cell>
          <cell r="K520" t="str">
            <v>DNI</v>
          </cell>
          <cell r="L520">
            <v>10418263780</v>
          </cell>
          <cell r="M520" t="str">
            <v>AEROLINEAS</v>
          </cell>
          <cell r="N520">
            <v>44520</v>
          </cell>
          <cell r="O520">
            <v>0</v>
          </cell>
          <cell r="P520" t="str">
            <v>VAN</v>
          </cell>
        </row>
        <row r="521">
          <cell r="A521">
            <v>1533</v>
          </cell>
          <cell r="B521">
            <v>1533</v>
          </cell>
          <cell r="C521" t="str">
            <v>CERO MATRICULA</v>
          </cell>
          <cell r="D521" t="str">
            <v>ACTIVO</v>
          </cell>
          <cell r="E521" t="str">
            <v>BVI377</v>
          </cell>
          <cell r="F521" t="str">
            <v>CASTILLO RAPOSO CARLOS MANUEL</v>
          </cell>
          <cell r="G521" t="str">
            <v>VYLU MEDICAL REPRESENTACIONES E.I.R.L.</v>
          </cell>
          <cell r="H521">
            <v>20522484262</v>
          </cell>
          <cell r="I521" t="str">
            <v>BCP</v>
          </cell>
          <cell r="J521" t="str">
            <v>193-1830047-0-22</v>
          </cell>
          <cell r="K521" t="str">
            <v>RUC</v>
          </cell>
          <cell r="L521">
            <v>20522484262</v>
          </cell>
          <cell r="M521" t="str">
            <v>AEROLINEAS</v>
          </cell>
          <cell r="N521">
            <v>44520</v>
          </cell>
          <cell r="O521">
            <v>0</v>
          </cell>
          <cell r="P521" t="str">
            <v>VAN</v>
          </cell>
        </row>
        <row r="522">
          <cell r="A522">
            <v>1534</v>
          </cell>
          <cell r="B522">
            <v>1534</v>
          </cell>
          <cell r="C522" t="str">
            <v>CERO MATRICULA</v>
          </cell>
          <cell r="D522" t="str">
            <v>ACTIVO</v>
          </cell>
          <cell r="E522" t="str">
            <v>BHB641</v>
          </cell>
          <cell r="F522" t="str">
            <v>LA TORRE DEXTRE ERIK ALEXANDER</v>
          </cell>
          <cell r="G522" t="str">
            <v>LA TORRE DEXTRE ERIK ALEXANDER</v>
          </cell>
          <cell r="H522" t="str">
            <v>41404482</v>
          </cell>
          <cell r="I522" t="str">
            <v>BCP</v>
          </cell>
          <cell r="J522" t="str">
            <v>19197373292058</v>
          </cell>
          <cell r="K522" t="str">
            <v>DNI</v>
          </cell>
          <cell r="L522">
            <v>10414044820</v>
          </cell>
          <cell r="M522" t="str">
            <v>AEROLINEAS</v>
          </cell>
          <cell r="N522">
            <v>44865</v>
          </cell>
          <cell r="O522">
            <v>0</v>
          </cell>
          <cell r="P522" t="str">
            <v>LITE</v>
          </cell>
        </row>
        <row r="523">
          <cell r="A523">
            <v>1553</v>
          </cell>
          <cell r="B523">
            <v>1553</v>
          </cell>
          <cell r="C523" t="str">
            <v>CERO MATRICULA</v>
          </cell>
          <cell r="D523" t="str">
            <v>ACTIVO</v>
          </cell>
          <cell r="E523" t="str">
            <v>ABK852</v>
          </cell>
          <cell r="F523" t="str">
            <v>YAMOTANTA ZAPATA VICTOR RAFAEL</v>
          </cell>
          <cell r="G523" t="str">
            <v>YAMOTANTA ZAPATA HECTOR RAUL</v>
          </cell>
          <cell r="H523" t="str">
            <v>25854824</v>
          </cell>
          <cell r="I523" t="str">
            <v>BCP</v>
          </cell>
          <cell r="J523" t="str">
            <v>191-91409928-0-58</v>
          </cell>
          <cell r="K523" t="str">
            <v>DNI</v>
          </cell>
          <cell r="L523">
            <v>10258548243</v>
          </cell>
          <cell r="M523" t="str">
            <v>AEROPUERTO</v>
          </cell>
          <cell r="N523">
            <v>44824</v>
          </cell>
          <cell r="O523">
            <v>240</v>
          </cell>
          <cell r="P523" t="str">
            <v>XL</v>
          </cell>
        </row>
        <row r="524">
          <cell r="A524">
            <v>1555</v>
          </cell>
          <cell r="B524">
            <v>1555</v>
          </cell>
          <cell r="C524" t="str">
            <v>CERO MATRICULA</v>
          </cell>
          <cell r="D524" t="str">
            <v>ACTIVO</v>
          </cell>
          <cell r="E524" t="str">
            <v>F2R958</v>
          </cell>
          <cell r="F524" t="str">
            <v>YAMOTANTA ZAPATA DAVID RAFAEL</v>
          </cell>
          <cell r="G524" t="str">
            <v>YAMOTANTA ZAPATA HECTOR RAUL</v>
          </cell>
          <cell r="H524">
            <v>25854824</v>
          </cell>
          <cell r="I524" t="str">
            <v>BCP</v>
          </cell>
          <cell r="J524" t="str">
            <v>191-91409928-0-58</v>
          </cell>
          <cell r="K524" t="str">
            <v>DNI</v>
          </cell>
          <cell r="L524">
            <v>10258548243</v>
          </cell>
          <cell r="M524" t="str">
            <v>URBANO</v>
          </cell>
          <cell r="N524" t="str">
            <v>PENDIENTE</v>
          </cell>
          <cell r="O524">
            <v>0</v>
          </cell>
          <cell r="P524" t="str">
            <v>VAN</v>
          </cell>
        </row>
        <row r="525">
          <cell r="A525">
            <v>1558</v>
          </cell>
          <cell r="B525">
            <v>1558</v>
          </cell>
          <cell r="C525" t="str">
            <v>CERO MATRICULA</v>
          </cell>
          <cell r="D525" t="str">
            <v>ACTIVO</v>
          </cell>
          <cell r="E525" t="str">
            <v>BKA247</v>
          </cell>
          <cell r="F525" t="str">
            <v>VILLARREAL VALERO ANDRES ALBERTO</v>
          </cell>
          <cell r="G525" t="str">
            <v>SANCHEZ BERMUDEZ MARTIN ANTONIO</v>
          </cell>
          <cell r="H525" t="str">
            <v>40284554</v>
          </cell>
          <cell r="I525" t="str">
            <v>SCOTIABANK</v>
          </cell>
          <cell r="J525">
            <v>1630474383</v>
          </cell>
          <cell r="K525" t="str">
            <v>DNI</v>
          </cell>
          <cell r="L525">
            <v>10402845541</v>
          </cell>
          <cell r="M525" t="str">
            <v>AEROLINEAS</v>
          </cell>
          <cell r="N525">
            <v>44541</v>
          </cell>
          <cell r="O525">
            <v>0</v>
          </cell>
          <cell r="P525" t="str">
            <v>VAN</v>
          </cell>
        </row>
        <row r="526">
          <cell r="A526">
            <v>1559</v>
          </cell>
          <cell r="B526">
            <v>1559</v>
          </cell>
          <cell r="C526" t="str">
            <v>CERO MATRICULA</v>
          </cell>
          <cell r="D526" t="str">
            <v>ACTIVO</v>
          </cell>
          <cell r="E526" t="str">
            <v>AMU795</v>
          </cell>
          <cell r="F526" t="str">
            <v>ROJAS MARTINEZ CARLOS MIGUEL</v>
          </cell>
          <cell r="G526" t="str">
            <v xml:space="preserve">BRAZILIAN INVESTMENTS CORPORATION EIRL.  </v>
          </cell>
          <cell r="H526" t="str">
            <v>20537057743</v>
          </cell>
          <cell r="I526" t="str">
            <v>INTERBANK</v>
          </cell>
          <cell r="J526">
            <v>1083002635330</v>
          </cell>
          <cell r="K526" t="str">
            <v>RUC</v>
          </cell>
          <cell r="L526">
            <v>20537057743</v>
          </cell>
          <cell r="M526" t="str">
            <v>AEROLINEAS</v>
          </cell>
          <cell r="N526">
            <v>44541</v>
          </cell>
          <cell r="O526">
            <v>0</v>
          </cell>
          <cell r="P526" t="str">
            <v>VAN</v>
          </cell>
        </row>
        <row r="527">
          <cell r="A527">
            <v>1562</v>
          </cell>
          <cell r="B527">
            <v>1562</v>
          </cell>
          <cell r="C527" t="str">
            <v>CERO MATRICULA</v>
          </cell>
          <cell r="D527" t="str">
            <v>ACTIVO</v>
          </cell>
          <cell r="E527" t="str">
            <v>BWW583</v>
          </cell>
          <cell r="F527" t="str">
            <v>ALARCO PONTE HEBER</v>
          </cell>
          <cell r="G527" t="str">
            <v>FERNANDEZ PEREZ CECILIA MARIBEL</v>
          </cell>
          <cell r="H527" t="str">
            <v>09551898</v>
          </cell>
          <cell r="I527" t="str">
            <v>BCP</v>
          </cell>
          <cell r="J527">
            <v>19128491583075</v>
          </cell>
          <cell r="K527" t="str">
            <v>DNI</v>
          </cell>
          <cell r="L527">
            <v>10095518988</v>
          </cell>
          <cell r="M527" t="str">
            <v>AEROLINEAS</v>
          </cell>
          <cell r="N527">
            <v>44592</v>
          </cell>
          <cell r="O527">
            <v>0</v>
          </cell>
          <cell r="P527" t="str">
            <v>VAN</v>
          </cell>
        </row>
        <row r="528">
          <cell r="A528">
            <v>1564</v>
          </cell>
          <cell r="B528">
            <v>1564</v>
          </cell>
          <cell r="C528" t="str">
            <v>CERO MATRICULA</v>
          </cell>
          <cell r="D528" t="str">
            <v>ACTIVO</v>
          </cell>
          <cell r="E528" t="str">
            <v>AMU795</v>
          </cell>
          <cell r="F528" t="str">
            <v>DIAZ ROMERO MARCO ANTONIO</v>
          </cell>
          <cell r="G528" t="str">
            <v xml:space="preserve">BRAZILIAN INVESTMENTS CORPORATION EIRL.  </v>
          </cell>
          <cell r="H528" t="str">
            <v>20537057743</v>
          </cell>
          <cell r="I528" t="str">
            <v>INTERBANK</v>
          </cell>
          <cell r="J528" t="str">
            <v>1083002635330</v>
          </cell>
          <cell r="K528" t="str">
            <v>RUC</v>
          </cell>
          <cell r="L528">
            <v>20537057743</v>
          </cell>
          <cell r="M528" t="str">
            <v>AEROPUERTO VAN</v>
          </cell>
          <cell r="N528">
            <v>44559</v>
          </cell>
          <cell r="O528">
            <v>240</v>
          </cell>
          <cell r="P528" t="str">
            <v>VAN</v>
          </cell>
        </row>
        <row r="529">
          <cell r="A529">
            <v>1567</v>
          </cell>
          <cell r="B529">
            <v>1567</v>
          </cell>
          <cell r="C529" t="str">
            <v>CERO MATRICULA</v>
          </cell>
          <cell r="D529" t="str">
            <v>ACTIVO</v>
          </cell>
          <cell r="E529" t="str">
            <v>BWZ474</v>
          </cell>
          <cell r="F529" t="str">
            <v>LANARO ZUMBA SEGUNDO WALTER</v>
          </cell>
          <cell r="G529" t="str">
            <v>LANARO ZUMBA SEGUNDO WALTER</v>
          </cell>
          <cell r="H529" t="str">
            <v>61121884</v>
          </cell>
          <cell r="I529" t="str">
            <v>BCP</v>
          </cell>
          <cell r="J529" t="str">
            <v>19191966694047</v>
          </cell>
          <cell r="K529" t="str">
            <v>DNI</v>
          </cell>
          <cell r="L529">
            <v>10611218848</v>
          </cell>
          <cell r="M529" t="str">
            <v>AEROPUERTO VAN</v>
          </cell>
          <cell r="N529">
            <v>44609</v>
          </cell>
          <cell r="O529">
            <v>240</v>
          </cell>
          <cell r="P529" t="str">
            <v>VAN</v>
          </cell>
        </row>
        <row r="530">
          <cell r="A530">
            <v>1570</v>
          </cell>
          <cell r="B530">
            <v>1570</v>
          </cell>
          <cell r="C530" t="str">
            <v>CERO MATRICULA</v>
          </cell>
          <cell r="D530" t="str">
            <v>ACTIVO</v>
          </cell>
          <cell r="E530" t="str">
            <v>BFB857</v>
          </cell>
          <cell r="F530" t="str">
            <v>TOLEDO TOLEDO CRISSTOFER ALEXANDER</v>
          </cell>
          <cell r="G530" t="str">
            <v xml:space="preserve">LIMA TRANSPORT CIC SAC  </v>
          </cell>
          <cell r="H530" t="str">
            <v>20606901632</v>
          </cell>
          <cell r="I530" t="str">
            <v>BCP</v>
          </cell>
          <cell r="J530" t="str">
            <v>1948748081053</v>
          </cell>
          <cell r="K530" t="str">
            <v>RUC</v>
          </cell>
          <cell r="L530">
            <v>20606901632</v>
          </cell>
          <cell r="M530" t="str">
            <v>AEROLINEAS</v>
          </cell>
          <cell r="N530">
            <v>44620</v>
          </cell>
          <cell r="O530">
            <v>0</v>
          </cell>
          <cell r="P530" t="str">
            <v>VAN</v>
          </cell>
        </row>
        <row r="531">
          <cell r="A531">
            <v>1573</v>
          </cell>
          <cell r="B531">
            <v>1573</v>
          </cell>
          <cell r="C531" t="str">
            <v>CERO MATRICULA</v>
          </cell>
          <cell r="D531" t="str">
            <v>ACTIVO</v>
          </cell>
          <cell r="E531" t="str">
            <v>BFB072</v>
          </cell>
          <cell r="F531" t="str">
            <v>ESPINOZA TRUJILLO BILSAN</v>
          </cell>
          <cell r="G531" t="str">
            <v>ESPINOZA TRUJILLO BILSAN</v>
          </cell>
          <cell r="H531" t="str">
            <v>40536699</v>
          </cell>
          <cell r="I531" t="str">
            <v>BCP</v>
          </cell>
          <cell r="J531" t="str">
            <v>19196503621003</v>
          </cell>
          <cell r="K531" t="str">
            <v>DNI</v>
          </cell>
          <cell r="L531">
            <v>10405366997</v>
          </cell>
          <cell r="M531" t="str">
            <v>URBANO PARTNER</v>
          </cell>
          <cell r="N531">
            <v>44662</v>
          </cell>
          <cell r="O531">
            <v>0</v>
          </cell>
          <cell r="P531" t="str">
            <v>COMFORT XL</v>
          </cell>
        </row>
        <row r="532">
          <cell r="A532">
            <v>1575</v>
          </cell>
          <cell r="B532">
            <v>1575</v>
          </cell>
          <cell r="C532" t="str">
            <v>CERO MATRICULA</v>
          </cell>
          <cell r="D532" t="str">
            <v>ACTIVO</v>
          </cell>
          <cell r="E532" t="str">
            <v>BWR577</v>
          </cell>
          <cell r="F532" t="str">
            <v>TENORIO VASQUEZ WILMER</v>
          </cell>
          <cell r="G532" t="str">
            <v>TENORIO VASQUEZ WILMER</v>
          </cell>
          <cell r="H532" t="str">
            <v>72865671</v>
          </cell>
          <cell r="I532" t="str">
            <v>INTERBANK</v>
          </cell>
          <cell r="J532">
            <v>8983156784828</v>
          </cell>
          <cell r="K532" t="str">
            <v>DNI</v>
          </cell>
          <cell r="L532">
            <v>10728656714</v>
          </cell>
          <cell r="M532" t="str">
            <v>AEROLINEAS</v>
          </cell>
          <cell r="N532">
            <v>44663</v>
          </cell>
          <cell r="O532">
            <v>0</v>
          </cell>
          <cell r="P532" t="str">
            <v>VAN</v>
          </cell>
        </row>
        <row r="533">
          <cell r="A533">
            <v>1576</v>
          </cell>
          <cell r="B533">
            <v>1576</v>
          </cell>
          <cell r="C533" t="str">
            <v>CERO MATRICULA</v>
          </cell>
          <cell r="D533" t="str">
            <v>ACTIVO</v>
          </cell>
          <cell r="E533" t="str">
            <v>BJT655</v>
          </cell>
          <cell r="F533" t="str">
            <v>ARAUJO CHAVEZ JOSE LUIS</v>
          </cell>
          <cell r="G533" t="str">
            <v>SIGUAS LASTARRIA FELIPE RAFAEL</v>
          </cell>
          <cell r="H533" t="str">
            <v>44757272</v>
          </cell>
          <cell r="I533" t="str">
            <v>BCP</v>
          </cell>
          <cell r="J533">
            <v>19100748931094</v>
          </cell>
          <cell r="K533" t="str">
            <v>DNI</v>
          </cell>
          <cell r="L533">
            <v>10447572724</v>
          </cell>
          <cell r="M533" t="str">
            <v>AEROLINEAS</v>
          </cell>
          <cell r="N533">
            <v>44674</v>
          </cell>
          <cell r="O533">
            <v>0</v>
          </cell>
          <cell r="P533" t="str">
            <v>VAN</v>
          </cell>
        </row>
        <row r="534">
          <cell r="A534">
            <v>1577</v>
          </cell>
          <cell r="B534">
            <v>1577</v>
          </cell>
          <cell r="C534" t="str">
            <v>CERO MATRICULA</v>
          </cell>
          <cell r="D534" t="str">
            <v>ACTIVO</v>
          </cell>
          <cell r="E534" t="str">
            <v>AYQ847</v>
          </cell>
          <cell r="F534" t="str">
            <v>BAILON PRINCIPE CARLOS ALEJANDRO</v>
          </cell>
          <cell r="G534" t="str">
            <v>BAILON PRINCIPE CARLOS ALEJANDRO</v>
          </cell>
          <cell r="H534" t="str">
            <v>42821645</v>
          </cell>
          <cell r="I534" t="str">
            <v>BBVA</v>
          </cell>
          <cell r="J534" t="str">
            <v>001100020200078552</v>
          </cell>
          <cell r="K534" t="str">
            <v>DNI</v>
          </cell>
          <cell r="L534">
            <v>10428216453</v>
          </cell>
          <cell r="M534" t="str">
            <v>AEROLINEAS</v>
          </cell>
          <cell r="N534">
            <v>44673</v>
          </cell>
          <cell r="O534">
            <v>0</v>
          </cell>
          <cell r="P534" t="str">
            <v>VAN</v>
          </cell>
        </row>
        <row r="535">
          <cell r="A535">
            <v>1578</v>
          </cell>
          <cell r="B535">
            <v>1578</v>
          </cell>
          <cell r="C535" t="str">
            <v>CERO MATRICULA</v>
          </cell>
          <cell r="D535" t="str">
            <v>ACTIVO</v>
          </cell>
          <cell r="E535" t="str">
            <v>Z8B963</v>
          </cell>
          <cell r="F535" t="str">
            <v>ILAVE MENDOZA ELVIS KENLLY</v>
          </cell>
          <cell r="G535" t="str">
            <v>CUEVA CASTILLO WILFREDO HENRY</v>
          </cell>
          <cell r="H535" t="str">
            <v>41878255</v>
          </cell>
          <cell r="I535" t="str">
            <v>BCP</v>
          </cell>
          <cell r="J535" t="str">
            <v>19200443611091</v>
          </cell>
          <cell r="K535" t="str">
            <v>DNI</v>
          </cell>
          <cell r="L535">
            <v>10418782558</v>
          </cell>
          <cell r="M535" t="str">
            <v>AEROLINEAS</v>
          </cell>
          <cell r="N535">
            <v>44683</v>
          </cell>
          <cell r="O535">
            <v>0</v>
          </cell>
          <cell r="P535" t="str">
            <v>VAN</v>
          </cell>
        </row>
        <row r="536">
          <cell r="A536">
            <v>1579</v>
          </cell>
          <cell r="B536">
            <v>1579</v>
          </cell>
          <cell r="C536" t="str">
            <v>CERO MATRICULA</v>
          </cell>
          <cell r="D536" t="str">
            <v>ACTIVO</v>
          </cell>
          <cell r="E536" t="str">
            <v>BPD558</v>
          </cell>
          <cell r="F536" t="str">
            <v>NUÑEZ GUERRERO RODOLFO JOSE</v>
          </cell>
          <cell r="G536" t="str">
            <v>NUÑEZ GUERRERO RODOLFO JOSE</v>
          </cell>
          <cell r="H536" t="str">
            <v>002397405</v>
          </cell>
          <cell r="I536" t="str">
            <v>BCP</v>
          </cell>
          <cell r="J536" t="str">
            <v>191-76898404-0-53</v>
          </cell>
          <cell r="K536" t="str">
            <v>CE</v>
          </cell>
          <cell r="L536">
            <v>15606080813</v>
          </cell>
          <cell r="M536" t="str">
            <v>AEROPUERTO VAN</v>
          </cell>
          <cell r="N536">
            <v>44753</v>
          </cell>
          <cell r="O536">
            <v>240</v>
          </cell>
          <cell r="P536" t="str">
            <v>VAN</v>
          </cell>
        </row>
        <row r="537">
          <cell r="A537">
            <v>1581</v>
          </cell>
          <cell r="B537">
            <v>1581</v>
          </cell>
          <cell r="C537" t="str">
            <v>CERO MATRICULA</v>
          </cell>
          <cell r="D537" t="str">
            <v>ACTIVO</v>
          </cell>
          <cell r="E537" t="str">
            <v>C0V549</v>
          </cell>
          <cell r="F537" t="str">
            <v>MOLINA HUAMAN EDILBERTO TEOFILO</v>
          </cell>
          <cell r="G537" t="str">
            <v>MOLINA HUAMAN EDILBERTO TEOFILO</v>
          </cell>
          <cell r="H537" t="str">
            <v>46584270</v>
          </cell>
          <cell r="I537" t="str">
            <v>BCP</v>
          </cell>
          <cell r="J537">
            <v>19403911430038</v>
          </cell>
          <cell r="K537" t="str">
            <v>DNI</v>
          </cell>
          <cell r="L537">
            <v>10465842704</v>
          </cell>
          <cell r="M537" t="str">
            <v>AEROLINEAS</v>
          </cell>
          <cell r="N537">
            <v>44720</v>
          </cell>
          <cell r="O537">
            <v>0</v>
          </cell>
          <cell r="P537" t="str">
            <v>VAN</v>
          </cell>
        </row>
        <row r="538">
          <cell r="A538">
            <v>1582</v>
          </cell>
          <cell r="B538">
            <v>1582</v>
          </cell>
          <cell r="C538" t="str">
            <v>CERO MATRICULA</v>
          </cell>
          <cell r="D538" t="str">
            <v>ACTIVO</v>
          </cell>
          <cell r="E538" t="str">
            <v>ABW089</v>
          </cell>
          <cell r="F538" t="str">
            <v>GOÑI GALAN SEBASTIAN JESUS</v>
          </cell>
          <cell r="G538" t="str">
            <v>CARITO TOURS E.I.R.L.</v>
          </cell>
          <cell r="H538" t="str">
            <v>20606828790</v>
          </cell>
          <cell r="I538" t="str">
            <v>BCP</v>
          </cell>
          <cell r="J538" t="str">
            <v>192-9188926-0-31</v>
          </cell>
          <cell r="K538" t="str">
            <v>RUC</v>
          </cell>
          <cell r="L538">
            <v>20606828790</v>
          </cell>
          <cell r="M538" t="str">
            <v>AEROLINEAS</v>
          </cell>
          <cell r="N538">
            <v>44707</v>
          </cell>
          <cell r="O538">
            <v>0</v>
          </cell>
          <cell r="P538" t="str">
            <v>VAN</v>
          </cell>
        </row>
        <row r="539">
          <cell r="A539">
            <v>1583</v>
          </cell>
          <cell r="B539">
            <v>1583</v>
          </cell>
          <cell r="C539" t="str">
            <v>CERO MATRICULA</v>
          </cell>
          <cell r="D539" t="str">
            <v>ACTIVO</v>
          </cell>
          <cell r="E539" t="str">
            <v>BZD397</v>
          </cell>
          <cell r="F539" t="str">
            <v>CHANCASANAMPA FRANCO JESUS ARTURO</v>
          </cell>
          <cell r="G539" t="str">
            <v>CHANCASANAMPA FRANCO JESUS ARTURO</v>
          </cell>
          <cell r="H539" t="str">
            <v>07149623</v>
          </cell>
          <cell r="I539" t="str">
            <v>BCP</v>
          </cell>
          <cell r="J539" t="str">
            <v>19170613393057</v>
          </cell>
          <cell r="K539" t="str">
            <v>DNI</v>
          </cell>
          <cell r="L539">
            <v>10071496231</v>
          </cell>
          <cell r="M539" t="str">
            <v>AEROLINEAS</v>
          </cell>
          <cell r="N539">
            <v>44706</v>
          </cell>
          <cell r="O539">
            <v>0</v>
          </cell>
          <cell r="P539" t="str">
            <v>VAN</v>
          </cell>
        </row>
        <row r="540">
          <cell r="A540">
            <v>1584</v>
          </cell>
          <cell r="B540">
            <v>1584</v>
          </cell>
          <cell r="C540" t="str">
            <v>CERO MATRICULA</v>
          </cell>
          <cell r="D540" t="str">
            <v>ACTIVO</v>
          </cell>
          <cell r="E540" t="str">
            <v>BZZ482</v>
          </cell>
          <cell r="F540" t="str">
            <v>CHUMIOQUE FERNANDEZ CARLOS EFRAIN</v>
          </cell>
          <cell r="G540" t="str">
            <v>CARLOS EFRAIN CHUMIOQUE FERNANDEZ</v>
          </cell>
          <cell r="H540" t="str">
            <v>47683919</v>
          </cell>
          <cell r="I540" t="str">
            <v>INTERBANK</v>
          </cell>
          <cell r="J540" t="str">
            <v>2933279870743</v>
          </cell>
          <cell r="K540" t="str">
            <v>DNI</v>
          </cell>
          <cell r="L540">
            <v>10476839195</v>
          </cell>
          <cell r="M540" t="str">
            <v>AEROPUERTO VAN</v>
          </cell>
          <cell r="N540">
            <v>44726</v>
          </cell>
          <cell r="O540">
            <v>240</v>
          </cell>
          <cell r="P540" t="str">
            <v>VAN</v>
          </cell>
        </row>
        <row r="541">
          <cell r="A541">
            <v>1585</v>
          </cell>
          <cell r="B541">
            <v>1585</v>
          </cell>
          <cell r="C541" t="str">
            <v>CERO MATRICULA</v>
          </cell>
          <cell r="D541" t="str">
            <v>ACTIVO</v>
          </cell>
          <cell r="E541" t="str">
            <v>BVT135</v>
          </cell>
          <cell r="F541" t="str">
            <v>SAVA MEDRANO SERGIO ALONSO MARTIN</v>
          </cell>
          <cell r="G541" t="str">
            <v>SAVA MEDRANO SERGIO ALONSO MARTIN</v>
          </cell>
          <cell r="H541" t="str">
            <v>70693811</v>
          </cell>
          <cell r="I541" t="str">
            <v>BCP</v>
          </cell>
          <cell r="J541">
            <v>19137107122040</v>
          </cell>
          <cell r="K541" t="str">
            <v>DNI</v>
          </cell>
          <cell r="L541">
            <v>10706938112</v>
          </cell>
          <cell r="M541" t="str">
            <v>AEROLINEAS</v>
          </cell>
          <cell r="N541">
            <v>44733</v>
          </cell>
          <cell r="O541">
            <v>0</v>
          </cell>
          <cell r="P541" t="str">
            <v>VAN</v>
          </cell>
        </row>
        <row r="542">
          <cell r="A542">
            <v>1587</v>
          </cell>
          <cell r="B542">
            <v>1587</v>
          </cell>
          <cell r="C542" t="str">
            <v>CERO MATRICULA</v>
          </cell>
          <cell r="D542" t="str">
            <v>ACTIVO</v>
          </cell>
          <cell r="E542" t="str">
            <v>BJY056</v>
          </cell>
          <cell r="F542" t="str">
            <v>PUCH HUAMANI SAMUEL ANDERSON</v>
          </cell>
          <cell r="G542" t="str">
            <v>PUCH HUAMANI SAMUEL ANDERSON</v>
          </cell>
          <cell r="H542" t="str">
            <v>42907343</v>
          </cell>
          <cell r="I542" t="str">
            <v>BCP</v>
          </cell>
          <cell r="J542">
            <v>19495099184079</v>
          </cell>
          <cell r="K542" t="str">
            <v>DNI</v>
          </cell>
          <cell r="L542">
            <v>10429073435</v>
          </cell>
          <cell r="M542" t="str">
            <v>AEROLINEAS</v>
          </cell>
          <cell r="N542">
            <v>44739</v>
          </cell>
          <cell r="O542">
            <v>0</v>
          </cell>
          <cell r="P542" t="str">
            <v>VAN</v>
          </cell>
        </row>
        <row r="543">
          <cell r="A543">
            <v>1589</v>
          </cell>
          <cell r="B543">
            <v>1589</v>
          </cell>
          <cell r="C543" t="str">
            <v>CERO MATRICULA</v>
          </cell>
          <cell r="D543" t="str">
            <v>ACTIVO</v>
          </cell>
          <cell r="E543" t="str">
            <v>BRE008</v>
          </cell>
          <cell r="F543" t="str">
            <v>SEMPERTEGUI MORALES JUAN CARLOS</v>
          </cell>
          <cell r="G543" t="str">
            <v>RODRIGUEZ SUBIATE FAVIO JUNIOR</v>
          </cell>
          <cell r="H543" t="str">
            <v>43187290</v>
          </cell>
          <cell r="I543" t="str">
            <v>INTERBANK</v>
          </cell>
          <cell r="J543" t="str">
            <v>8983168823497</v>
          </cell>
          <cell r="K543" t="str">
            <v>DNI</v>
          </cell>
          <cell r="L543">
            <v>10431872906</v>
          </cell>
          <cell r="M543" t="str">
            <v>AEROLINEAS</v>
          </cell>
          <cell r="N543">
            <v>44760</v>
          </cell>
          <cell r="O543">
            <v>0</v>
          </cell>
          <cell r="P543" t="str">
            <v>VAN</v>
          </cell>
        </row>
        <row r="544">
          <cell r="A544">
            <v>1591</v>
          </cell>
          <cell r="B544">
            <v>1591</v>
          </cell>
          <cell r="C544" t="str">
            <v>CERO MATRICULA</v>
          </cell>
          <cell r="D544" t="str">
            <v>ACTIVO</v>
          </cell>
          <cell r="E544" t="str">
            <v>CAO698</v>
          </cell>
          <cell r="F544" t="str">
            <v>CAMPUSANO FUENTES LUIS DALI</v>
          </cell>
          <cell r="G544" t="str">
            <v>CAMPUSANO FUENTES LUIS DALI</v>
          </cell>
          <cell r="H544" t="str">
            <v>25801977</v>
          </cell>
          <cell r="I544" t="str">
            <v>BCP</v>
          </cell>
          <cell r="J544" t="str">
            <v>194-00026890-0-60</v>
          </cell>
          <cell r="K544" t="str">
            <v>DNI</v>
          </cell>
          <cell r="L544">
            <v>10258019771</v>
          </cell>
          <cell r="M544" t="str">
            <v>AEROLINEAS</v>
          </cell>
          <cell r="N544">
            <v>45068</v>
          </cell>
          <cell r="O544">
            <v>0</v>
          </cell>
          <cell r="P544" t="str">
            <v>VAN</v>
          </cell>
        </row>
        <row r="545">
          <cell r="A545">
            <v>1592</v>
          </cell>
          <cell r="B545">
            <v>1592</v>
          </cell>
          <cell r="C545" t="str">
            <v>CERO MATRICULA</v>
          </cell>
          <cell r="D545" t="str">
            <v>ACTIVO</v>
          </cell>
          <cell r="E545" t="str">
            <v>BJO497</v>
          </cell>
          <cell r="F545" t="str">
            <v xml:space="preserve">CUYA RAMIREZ ANGUELO KAYSSER </v>
          </cell>
          <cell r="G545" t="str">
            <v>TRANSPORTE CRISTINA E.I.R.L.</v>
          </cell>
          <cell r="H545" t="str">
            <v>20608154885</v>
          </cell>
          <cell r="I545" t="str">
            <v>BCP</v>
          </cell>
          <cell r="J545" t="str">
            <v>194-9856696-0-83</v>
          </cell>
          <cell r="K545" t="str">
            <v>RUC</v>
          </cell>
          <cell r="L545">
            <v>20608154885</v>
          </cell>
          <cell r="M545" t="str">
            <v>AEROPUERTO VAN</v>
          </cell>
          <cell r="N545">
            <v>44923</v>
          </cell>
          <cell r="O545">
            <v>240</v>
          </cell>
          <cell r="P545" t="str">
            <v>VAN</v>
          </cell>
        </row>
        <row r="546">
          <cell r="A546">
            <v>1593</v>
          </cell>
          <cell r="B546">
            <v>1593</v>
          </cell>
          <cell r="C546" t="str">
            <v>CERO MATRICULA</v>
          </cell>
          <cell r="D546" t="str">
            <v>ACTIVO</v>
          </cell>
          <cell r="E546" t="str">
            <v>CCF048</v>
          </cell>
          <cell r="F546" t="str">
            <v>HUAMAN  RIVERA AMERICO GUSTAVO</v>
          </cell>
          <cell r="G546" t="str">
            <v>HUAMAN  RIVERA AMERICO GUSTAVO</v>
          </cell>
          <cell r="H546" t="str">
            <v>09079941</v>
          </cell>
          <cell r="I546" t="str">
            <v>BCP</v>
          </cell>
          <cell r="J546" t="str">
            <v>192-74423868-0-22</v>
          </cell>
          <cell r="K546" t="str">
            <v>DNI</v>
          </cell>
          <cell r="L546">
            <v>10090799415</v>
          </cell>
          <cell r="M546" t="str">
            <v>AEROLINEAS</v>
          </cell>
          <cell r="N546">
            <v>44935</v>
          </cell>
          <cell r="O546">
            <v>0</v>
          </cell>
          <cell r="P546" t="str">
            <v>VAN</v>
          </cell>
        </row>
        <row r="547">
          <cell r="A547">
            <v>1600</v>
          </cell>
          <cell r="B547">
            <v>1600</v>
          </cell>
          <cell r="C547" t="str">
            <v>CERO MATRICULA</v>
          </cell>
          <cell r="D547" t="str">
            <v>ACTIVO</v>
          </cell>
          <cell r="E547" t="str">
            <v>F5Q958</v>
          </cell>
          <cell r="F547" t="str">
            <v>PEREZ MARTINEZ MARCO</v>
          </cell>
          <cell r="G547" t="str">
            <v>CASTILLO NORATO PEDRO PABLO</v>
          </cell>
          <cell r="H547" t="str">
            <v>003036235</v>
          </cell>
          <cell r="I547" t="str">
            <v>BCP</v>
          </cell>
          <cell r="J547" t="str">
            <v>192-73969870-0-37</v>
          </cell>
          <cell r="K547" t="str">
            <v>CE</v>
          </cell>
          <cell r="L547">
            <v>15604643136</v>
          </cell>
          <cell r="M547" t="str">
            <v>AEROPUERTO</v>
          </cell>
          <cell r="N547">
            <v>44802</v>
          </cell>
          <cell r="O547">
            <v>240</v>
          </cell>
          <cell r="P547" t="str">
            <v>COMFORT</v>
          </cell>
        </row>
        <row r="548">
          <cell r="A548">
            <v>1601</v>
          </cell>
          <cell r="B548">
            <v>1601</v>
          </cell>
          <cell r="C548" t="str">
            <v>CERO MATRICULA</v>
          </cell>
          <cell r="D548" t="str">
            <v>ACTIVO</v>
          </cell>
          <cell r="E548" t="str">
            <v xml:space="preserve">BDD813 </v>
          </cell>
          <cell r="F548" t="str">
            <v xml:space="preserve">BURGA SILVA OCTAVIO RONNIL </v>
          </cell>
          <cell r="G548" t="str">
            <v>CUYA RAMIREZ FELIPE SANTIAGO</v>
          </cell>
          <cell r="H548" t="str">
            <v>09716730</v>
          </cell>
          <cell r="I548" t="str">
            <v>BCP</v>
          </cell>
          <cell r="J548" t="str">
            <v>194-36043453-0-27</v>
          </cell>
          <cell r="K548" t="str">
            <v>DNI</v>
          </cell>
          <cell r="L548">
            <v>10097167309</v>
          </cell>
          <cell r="M548" t="str">
            <v>AEROPUERTO VAN</v>
          </cell>
          <cell r="N548">
            <v>44781</v>
          </cell>
          <cell r="O548">
            <v>240</v>
          </cell>
          <cell r="P548" t="str">
            <v>VAN</v>
          </cell>
        </row>
        <row r="549">
          <cell r="A549">
            <v>1603</v>
          </cell>
          <cell r="B549">
            <v>1603</v>
          </cell>
          <cell r="C549" t="str">
            <v>CERO MATRICULA</v>
          </cell>
          <cell r="D549" t="str">
            <v>ACTIVO</v>
          </cell>
          <cell r="E549" t="str">
            <v>C6W953</v>
          </cell>
          <cell r="F549" t="str">
            <v xml:space="preserve">QUISPE HERRERA ARTURO ISMAEL </v>
          </cell>
          <cell r="G549" t="str">
            <v>QUISPE HERRERA ARTURO ISMAEL</v>
          </cell>
          <cell r="H549" t="str">
            <v>22100074</v>
          </cell>
          <cell r="I549" t="str">
            <v>BCP</v>
          </cell>
          <cell r="J549" t="str">
            <v>194-35801188-0-14</v>
          </cell>
          <cell r="K549" t="str">
            <v>DNI</v>
          </cell>
          <cell r="L549">
            <v>10221000744</v>
          </cell>
          <cell r="M549" t="str">
            <v>AEROPUERTO VAN</v>
          </cell>
          <cell r="N549" t="str">
            <v>PENDIENTE</v>
          </cell>
          <cell r="O549">
            <v>240</v>
          </cell>
          <cell r="P549" t="str">
            <v>VAN</v>
          </cell>
        </row>
        <row r="550">
          <cell r="A550">
            <v>1604</v>
          </cell>
          <cell r="B550">
            <v>1604</v>
          </cell>
          <cell r="C550" t="str">
            <v>CERO MATRICULA</v>
          </cell>
          <cell r="D550" t="str">
            <v>ACTIVO</v>
          </cell>
          <cell r="E550" t="str">
            <v>BTO546</v>
          </cell>
          <cell r="F550" t="str">
            <v>MORALES GUIZADO JOHN ROBERT</v>
          </cell>
          <cell r="G550" t="str">
            <v>MORALES GUIZADO JOHN ROBERT</v>
          </cell>
          <cell r="H550" t="str">
            <v>43097405</v>
          </cell>
          <cell r="I550" t="str">
            <v>BBVA</v>
          </cell>
          <cell r="J550" t="str">
            <v>0011-0184-0200531452</v>
          </cell>
          <cell r="K550" t="str">
            <v>DNI</v>
          </cell>
          <cell r="L550">
            <v>10430974055</v>
          </cell>
          <cell r="M550" t="str">
            <v>URBANO PARTNER</v>
          </cell>
          <cell r="N550">
            <v>44826</v>
          </cell>
          <cell r="O550">
            <v>0</v>
          </cell>
          <cell r="P550" t="str">
            <v>LITE</v>
          </cell>
        </row>
        <row r="551">
          <cell r="A551">
            <v>1605</v>
          </cell>
          <cell r="B551">
            <v>1605</v>
          </cell>
          <cell r="C551" t="str">
            <v>CERO MATRICULA</v>
          </cell>
          <cell r="D551" t="str">
            <v>ACTIVO</v>
          </cell>
          <cell r="E551" t="str">
            <v>ACK330</v>
          </cell>
          <cell r="F551" t="str">
            <v>LLACTA RAMOS DOMINGO</v>
          </cell>
          <cell r="G551" t="str">
            <v>LLACTA RAMOS DOMINGO</v>
          </cell>
          <cell r="H551">
            <v>23905521</v>
          </cell>
          <cell r="I551" t="str">
            <v>BBVA</v>
          </cell>
          <cell r="J551" t="str">
            <v>001100570222214069</v>
          </cell>
          <cell r="K551" t="str">
            <v>DNI</v>
          </cell>
          <cell r="L551">
            <v>10239055210</v>
          </cell>
          <cell r="M551" t="str">
            <v>AEROPUERTO VAN</v>
          </cell>
          <cell r="N551">
            <v>44781</v>
          </cell>
          <cell r="O551">
            <v>240</v>
          </cell>
          <cell r="P551" t="str">
            <v>VAN</v>
          </cell>
        </row>
        <row r="552">
          <cell r="A552">
            <v>1607</v>
          </cell>
          <cell r="B552">
            <v>1607</v>
          </cell>
          <cell r="C552" t="str">
            <v>CERO MATRICULA</v>
          </cell>
          <cell r="D552" t="str">
            <v>ACTIVO</v>
          </cell>
          <cell r="E552" t="str">
            <v>AYQ847</v>
          </cell>
          <cell r="F552" t="str">
            <v>GUAIPO MORAN RODOLFO JOSE</v>
          </cell>
          <cell r="G552" t="str">
            <v>Rodolfo José Guaipo Moran</v>
          </cell>
          <cell r="H552" t="str">
            <v>49013648</v>
          </cell>
          <cell r="I552" t="str">
            <v>INTERBANK</v>
          </cell>
          <cell r="J552">
            <v>8983214978891</v>
          </cell>
          <cell r="K552" t="str">
            <v>DNI</v>
          </cell>
          <cell r="L552">
            <v>15602946255</v>
          </cell>
          <cell r="M552" t="str">
            <v>URBANO</v>
          </cell>
          <cell r="N552">
            <v>44852</v>
          </cell>
          <cell r="O552">
            <v>0</v>
          </cell>
          <cell r="P552" t="str">
            <v>COMFORT</v>
          </cell>
        </row>
        <row r="553">
          <cell r="A553">
            <v>1612</v>
          </cell>
          <cell r="B553">
            <v>1612</v>
          </cell>
          <cell r="C553" t="str">
            <v>CERO MATRICULA</v>
          </cell>
          <cell r="D553" t="str">
            <v>ACTIVO</v>
          </cell>
          <cell r="E553" t="str">
            <v>AWS779</v>
          </cell>
          <cell r="F553" t="str">
            <v>MASSONI CASTILLA HECTOR RAUL</v>
          </cell>
          <cell r="G553" t="str">
            <v>MASSONI CASTILLA HECTOR RAUL</v>
          </cell>
          <cell r="H553" t="str">
            <v>09563234</v>
          </cell>
          <cell r="I553" t="str">
            <v>BCP</v>
          </cell>
          <cell r="J553" t="str">
            <v>19192894683010</v>
          </cell>
          <cell r="K553" t="str">
            <v>DNI</v>
          </cell>
          <cell r="L553">
            <v>10095632349</v>
          </cell>
          <cell r="M553" t="str">
            <v>AEROLINEAS</v>
          </cell>
          <cell r="N553">
            <v>44862</v>
          </cell>
          <cell r="O553">
            <v>0</v>
          </cell>
          <cell r="P553" t="str">
            <v>VAN</v>
          </cell>
        </row>
        <row r="554">
          <cell r="A554">
            <v>1615</v>
          </cell>
          <cell r="B554">
            <v>1615</v>
          </cell>
          <cell r="C554" t="str">
            <v>CERO MATRICULA</v>
          </cell>
          <cell r="D554" t="str">
            <v>ACTIVO</v>
          </cell>
          <cell r="E554" t="str">
            <v>AUX161</v>
          </cell>
          <cell r="F554" t="str">
            <v>PARIONA RETAMOZO VICTOR RAFAEL</v>
          </cell>
          <cell r="G554" t="str">
            <v>PARIONA RETAMOZO VICTOR RAFAEL</v>
          </cell>
          <cell r="H554" t="str">
            <v>80447695</v>
          </cell>
          <cell r="I554" t="str">
            <v>INTERBANK</v>
          </cell>
          <cell r="J554" t="str">
            <v>5303259873233</v>
          </cell>
          <cell r="K554" t="str">
            <v>DNI</v>
          </cell>
          <cell r="L554">
            <v>10804476950</v>
          </cell>
          <cell r="M554" t="str">
            <v>AEROPUERTO VAN</v>
          </cell>
          <cell r="N554" t="str">
            <v>PENDIENTE</v>
          </cell>
          <cell r="O554">
            <v>240</v>
          </cell>
          <cell r="P554" t="str">
            <v>VAN</v>
          </cell>
        </row>
        <row r="555">
          <cell r="A555">
            <v>1616</v>
          </cell>
          <cell r="B555">
            <v>1616</v>
          </cell>
          <cell r="C555" t="str">
            <v>CERO MATRICULA</v>
          </cell>
          <cell r="D555" t="str">
            <v>ACTIVO</v>
          </cell>
          <cell r="E555" t="str">
            <v>D9H957</v>
          </cell>
          <cell r="F555" t="str">
            <v>CCORIZONCCO HUAMAN JULIAN</v>
          </cell>
          <cell r="G555" t="str">
            <v>CCORIZONCCO RUBINA ANTONIN DIEGO</v>
          </cell>
          <cell r="H555" t="str">
            <v>48498946</v>
          </cell>
          <cell r="I555" t="str">
            <v>BCP</v>
          </cell>
          <cell r="J555" t="str">
            <v>191-75118528-0-99</v>
          </cell>
          <cell r="K555" t="str">
            <v>DNI</v>
          </cell>
          <cell r="L555">
            <v>10484989465</v>
          </cell>
          <cell r="M555" t="str">
            <v>AEROLINEAS</v>
          </cell>
          <cell r="N555">
            <v>44928</v>
          </cell>
          <cell r="O555">
            <v>0</v>
          </cell>
          <cell r="P555" t="str">
            <v>VAN</v>
          </cell>
        </row>
        <row r="556">
          <cell r="A556">
            <v>1624</v>
          </cell>
          <cell r="B556">
            <v>1624</v>
          </cell>
          <cell r="C556" t="str">
            <v>CERO MATRICULA</v>
          </cell>
          <cell r="D556" t="str">
            <v>ACTIVO</v>
          </cell>
          <cell r="E556" t="str">
            <v>ASU156</v>
          </cell>
          <cell r="F556" t="str">
            <v>HUERTA DIAZ JAVIER</v>
          </cell>
          <cell r="G556" t="str">
            <v>GRUPO XAIRO S.A.C.</v>
          </cell>
          <cell r="H556" t="str">
            <v>20614855623</v>
          </cell>
          <cell r="I556" t="str">
            <v>BCP</v>
          </cell>
          <cell r="J556" t="str">
            <v>1927299041085</v>
          </cell>
          <cell r="K556" t="str">
            <v>RUC</v>
          </cell>
          <cell r="L556">
            <v>20614855623</v>
          </cell>
          <cell r="M556" t="str">
            <v>AEROPUERTO VAN</v>
          </cell>
          <cell r="N556" t="str">
            <v>PENDIENTE</v>
          </cell>
          <cell r="O556">
            <v>240</v>
          </cell>
          <cell r="P556" t="str">
            <v>VAN</v>
          </cell>
        </row>
        <row r="557">
          <cell r="A557">
            <v>1625</v>
          </cell>
          <cell r="B557">
            <v>1625</v>
          </cell>
          <cell r="C557" t="str">
            <v>CERO MATRICULA</v>
          </cell>
          <cell r="D557" t="str">
            <v>ACTIVO</v>
          </cell>
          <cell r="E557" t="str">
            <v>CAV518</v>
          </cell>
          <cell r="F557" t="str">
            <v>SANTOS RIOS ALFREDO DANIEL</v>
          </cell>
          <cell r="G557" t="str">
            <v>SANTOS RIOS ALFREDO DANIEL</v>
          </cell>
          <cell r="H557" t="str">
            <v>06320715</v>
          </cell>
          <cell r="I557" t="str">
            <v>BCP</v>
          </cell>
          <cell r="J557" t="str">
            <v>19195421585037</v>
          </cell>
          <cell r="K557" t="str">
            <v>DNI</v>
          </cell>
          <cell r="L557">
            <v>10063207158</v>
          </cell>
          <cell r="M557" t="str">
            <v>AEROLINEAS</v>
          </cell>
          <cell r="N557">
            <v>44865</v>
          </cell>
          <cell r="O557">
            <v>0</v>
          </cell>
          <cell r="P557" t="str">
            <v>VAN</v>
          </cell>
        </row>
        <row r="558">
          <cell r="A558">
            <v>1627</v>
          </cell>
          <cell r="B558">
            <v>1627</v>
          </cell>
          <cell r="C558" t="str">
            <v>CERO MATRICULA</v>
          </cell>
          <cell r="D558" t="str">
            <v>ACTIVO</v>
          </cell>
          <cell r="E558" t="str">
            <v>APR863</v>
          </cell>
          <cell r="F558" t="str">
            <v>ARTEAGA QUELOPANA JUAN CARLOS</v>
          </cell>
          <cell r="G558" t="str">
            <v>ARTEAGA QUELOPANA JUAN CARLOS</v>
          </cell>
          <cell r="H558" t="str">
            <v>44638208</v>
          </cell>
          <cell r="I558" t="str">
            <v>INTERBANK</v>
          </cell>
          <cell r="J558" t="str">
            <v>024-3256420114</v>
          </cell>
          <cell r="K558" t="str">
            <v>DNI</v>
          </cell>
          <cell r="L558">
            <v>10446382085</v>
          </cell>
          <cell r="M558" t="str">
            <v>AEROLINEAS</v>
          </cell>
          <cell r="N558">
            <v>44882</v>
          </cell>
          <cell r="O558">
            <v>0</v>
          </cell>
          <cell r="P558" t="str">
            <v>LITE</v>
          </cell>
        </row>
        <row r="559">
          <cell r="A559">
            <v>1628</v>
          </cell>
          <cell r="B559">
            <v>1628</v>
          </cell>
          <cell r="C559" t="str">
            <v>CERO MATRICULA</v>
          </cell>
          <cell r="D559" t="str">
            <v>ACTIVO</v>
          </cell>
          <cell r="E559" t="str">
            <v>AMC733</v>
          </cell>
          <cell r="F559" t="str">
            <v>ESPINOZA ROMAN EDWIN ANTONIO</v>
          </cell>
          <cell r="G559" t="str">
            <v>ESPINOZA ROMAN EDWIN ANTONIO</v>
          </cell>
          <cell r="H559">
            <v>43263065</v>
          </cell>
          <cell r="I559" t="str">
            <v>BCP</v>
          </cell>
          <cell r="J559" t="str">
            <v>193-13842853-0-78</v>
          </cell>
          <cell r="K559"/>
          <cell r="L559">
            <v>10432630655</v>
          </cell>
          <cell r="M559" t="str">
            <v>URBANO</v>
          </cell>
          <cell r="N559" t="str">
            <v>PENDIENTE</v>
          </cell>
          <cell r="O559">
            <v>0</v>
          </cell>
          <cell r="P559" t="str">
            <v>VAN</v>
          </cell>
        </row>
        <row r="560">
          <cell r="A560">
            <v>1631</v>
          </cell>
          <cell r="B560">
            <v>1631</v>
          </cell>
          <cell r="C560" t="str">
            <v>CERO MATRICULA</v>
          </cell>
          <cell r="D560" t="str">
            <v>ACTIVO</v>
          </cell>
          <cell r="E560" t="str">
            <v>APG752</v>
          </cell>
          <cell r="F560" t="str">
            <v>PARIENTE TAMAYO NICANOR</v>
          </cell>
          <cell r="G560" t="str">
            <v>PARIENTE TAMAYO NICANOR</v>
          </cell>
          <cell r="H560" t="str">
            <v>08599249</v>
          </cell>
          <cell r="I560" t="str">
            <v>BCP</v>
          </cell>
          <cell r="J560" t="str">
            <v>19122398666013</v>
          </cell>
          <cell r="K560" t="str">
            <v>DNI</v>
          </cell>
          <cell r="L560">
            <v>10085992495</v>
          </cell>
          <cell r="M560" t="str">
            <v>URBANO</v>
          </cell>
          <cell r="N560" t="str">
            <v>PENDIENTE</v>
          </cell>
          <cell r="O560">
            <v>0</v>
          </cell>
          <cell r="P560" t="str">
            <v>VAN</v>
          </cell>
        </row>
        <row r="561">
          <cell r="A561">
            <v>1644</v>
          </cell>
          <cell r="B561">
            <v>1644</v>
          </cell>
          <cell r="C561" t="str">
            <v>CERO MATRICULA</v>
          </cell>
          <cell r="D561" t="str">
            <v>ACTIVO</v>
          </cell>
          <cell r="E561" t="str">
            <v>ATO704</v>
          </cell>
          <cell r="F561" t="str">
            <v>MAGUIÑA ARRIBASPLATA JOSE ANTONIO</v>
          </cell>
          <cell r="G561" t="str">
            <v>MAGUIÑA ARRIBASPLATA JOSE ANTONIO</v>
          </cell>
          <cell r="H561" t="str">
            <v>45875732</v>
          </cell>
          <cell r="I561" t="str">
            <v>INTERBANK</v>
          </cell>
          <cell r="J561" t="str">
            <v>898-3281-1355-48</v>
          </cell>
          <cell r="K561" t="str">
            <v>DNI</v>
          </cell>
          <cell r="L561">
            <v>10458757327</v>
          </cell>
          <cell r="M561" t="str">
            <v>AEROPUERTO VAN</v>
          </cell>
          <cell r="N561" t="str">
            <v>PENDIENTE</v>
          </cell>
          <cell r="O561">
            <v>240</v>
          </cell>
          <cell r="P561" t="str">
            <v>VAN</v>
          </cell>
        </row>
        <row r="562">
          <cell r="A562">
            <v>1665</v>
          </cell>
          <cell r="B562">
            <v>1665</v>
          </cell>
          <cell r="C562" t="str">
            <v>CERO MATRICULA</v>
          </cell>
          <cell r="D562" t="str">
            <v>ACTIVO</v>
          </cell>
          <cell r="E562" t="str">
            <v>AKD676</v>
          </cell>
          <cell r="F562" t="str">
            <v>SACHUN LIMAYMANTA LUIS ALBERTO</v>
          </cell>
          <cell r="G562" t="str">
            <v>TRANSPORTES CRISTINA</v>
          </cell>
          <cell r="H562">
            <v>20608154885</v>
          </cell>
          <cell r="I562" t="str">
            <v>BCP</v>
          </cell>
          <cell r="J562" t="str">
            <v>1949856696083</v>
          </cell>
          <cell r="K562" t="str">
            <v>DNI</v>
          </cell>
          <cell r="L562">
            <v>20608154885</v>
          </cell>
          <cell r="M562" t="str">
            <v>AEROPUERTO</v>
          </cell>
          <cell r="N562" t="str">
            <v>PENDIENTE</v>
          </cell>
          <cell r="O562">
            <v>240</v>
          </cell>
          <cell r="P562" t="str">
            <v>XL</v>
          </cell>
        </row>
        <row r="563">
          <cell r="A563">
            <v>1674</v>
          </cell>
          <cell r="B563">
            <v>1674</v>
          </cell>
          <cell r="C563" t="str">
            <v>CERO MATRICULA</v>
          </cell>
          <cell r="D563" t="str">
            <v>ACTIVO</v>
          </cell>
          <cell r="E563" t="str">
            <v>BCT549</v>
          </cell>
          <cell r="F563" t="str">
            <v>ZAVALA AREVALO VICENCIO NOEL</v>
          </cell>
          <cell r="G563" t="str">
            <v>GALINDO VASQUEZ LUIS ALBERTO</v>
          </cell>
          <cell r="H563" t="str">
            <v>22299737</v>
          </cell>
          <cell r="I563" t="str">
            <v>BCP</v>
          </cell>
          <cell r="J563" t="str">
            <v>193-35774610-0-68</v>
          </cell>
          <cell r="K563" t="str">
            <v>DNI</v>
          </cell>
          <cell r="L563">
            <v>10222997378</v>
          </cell>
          <cell r="M563" t="str">
            <v>AEROLINEAS</v>
          </cell>
          <cell r="N563">
            <v>44534</v>
          </cell>
          <cell r="O563">
            <v>0</v>
          </cell>
          <cell r="P563" t="str">
            <v>VAN</v>
          </cell>
        </row>
        <row r="564">
          <cell r="A564">
            <v>1675</v>
          </cell>
          <cell r="B564">
            <v>1675</v>
          </cell>
          <cell r="C564" t="str">
            <v>CERO MATRICULA</v>
          </cell>
          <cell r="D564" t="str">
            <v>ACTIVO</v>
          </cell>
          <cell r="E564" t="str">
            <v>BBB758</v>
          </cell>
          <cell r="F564" t="str">
            <v>GALINDO VASQUEZ LUIS ALBERTO</v>
          </cell>
          <cell r="G564" t="str">
            <v>GALINDO VASQUEZ LUIS ALBERTO</v>
          </cell>
          <cell r="H564" t="str">
            <v>22299737</v>
          </cell>
          <cell r="I564" t="str">
            <v>BCP</v>
          </cell>
          <cell r="J564" t="str">
            <v>193-35774610-0-68</v>
          </cell>
          <cell r="K564" t="str">
            <v>DNI</v>
          </cell>
          <cell r="L564">
            <v>10222997378</v>
          </cell>
          <cell r="M564" t="str">
            <v>AEROPUERTO VAN</v>
          </cell>
          <cell r="N564" t="str">
            <v>PENDIENTE</v>
          </cell>
          <cell r="O564">
            <v>240</v>
          </cell>
          <cell r="P564" t="str">
            <v>VAN</v>
          </cell>
        </row>
        <row r="565">
          <cell r="A565">
            <v>1678</v>
          </cell>
          <cell r="B565">
            <v>1678</v>
          </cell>
          <cell r="C565" t="str">
            <v>CERO MATRICULA</v>
          </cell>
          <cell r="D565" t="str">
            <v>ACTIVO</v>
          </cell>
          <cell r="E565" t="str">
            <v>F3Y961</v>
          </cell>
          <cell r="F565" t="str">
            <v>ZAVALETA APAZA ISMAEL</v>
          </cell>
          <cell r="G565" t="str">
            <v>ZAVALETA APAZA ISMAEL</v>
          </cell>
          <cell r="H565" t="str">
            <v>25666609</v>
          </cell>
          <cell r="I565" t="str">
            <v>BCP</v>
          </cell>
          <cell r="J565" t="str">
            <v>191-93794061-0-73</v>
          </cell>
          <cell r="K565"/>
          <cell r="L565">
            <v>10256666095</v>
          </cell>
          <cell r="M565" t="str">
            <v>URBANO</v>
          </cell>
          <cell r="N565" t="str">
            <v>PENDIENTE</v>
          </cell>
          <cell r="O565">
            <v>0</v>
          </cell>
          <cell r="P565" t="str">
            <v>VAN</v>
          </cell>
        </row>
        <row r="566">
          <cell r="A566">
            <v>1687</v>
          </cell>
          <cell r="B566">
            <v>1687</v>
          </cell>
          <cell r="C566" t="str">
            <v>CERO MATRICULA</v>
          </cell>
          <cell r="D566" t="str">
            <v>ACTIVO</v>
          </cell>
          <cell r="E566" t="str">
            <v>BDL759</v>
          </cell>
          <cell r="F566" t="str">
            <v>LOPES TORRES JIMMY</v>
          </cell>
          <cell r="G566" t="str">
            <v>LOPEZ TORRES JIMMY</v>
          </cell>
          <cell r="H566" t="str">
            <v>42560747</v>
          </cell>
          <cell r="I566" t="str">
            <v>BCP</v>
          </cell>
          <cell r="J566" t="str">
            <v>191-38865496-0-74</v>
          </cell>
          <cell r="K566" t="str">
            <v>DNI</v>
          </cell>
          <cell r="L566">
            <v>10425607478</v>
          </cell>
          <cell r="M566" t="str">
            <v>URBANO</v>
          </cell>
          <cell r="N566" t="str">
            <v>PENDIENTE</v>
          </cell>
          <cell r="O566">
            <v>0</v>
          </cell>
          <cell r="P566" t="str">
            <v>VAN</v>
          </cell>
        </row>
        <row r="567">
          <cell r="A567">
            <v>1691</v>
          </cell>
          <cell r="B567">
            <v>1691</v>
          </cell>
          <cell r="C567" t="str">
            <v>CERO MATRICULA</v>
          </cell>
          <cell r="D567" t="str">
            <v>ACTIVO</v>
          </cell>
          <cell r="E567" t="str">
            <v>BCF783</v>
          </cell>
          <cell r="F567" t="str">
            <v>SULBARAN SULBARAN LUIS EDUARDO</v>
          </cell>
          <cell r="G567" t="str">
            <v>TRANSPORTES GENERALES TRANSPORTIFY SAC</v>
          </cell>
          <cell r="H567" t="str">
            <v>20605144790</v>
          </cell>
          <cell r="I567" t="str">
            <v>INTERBANK</v>
          </cell>
          <cell r="J567" t="str">
            <v>2003001939538</v>
          </cell>
          <cell r="K567" t="str">
            <v xml:space="preserve">RUC </v>
          </cell>
          <cell r="L567">
            <v>20605144790</v>
          </cell>
          <cell r="M567" t="str">
            <v>AEROLINEAS</v>
          </cell>
          <cell r="N567" t="str">
            <v>PENDIENTE</v>
          </cell>
          <cell r="O567">
            <v>0</v>
          </cell>
          <cell r="P567" t="str">
            <v>VAN</v>
          </cell>
        </row>
        <row r="568">
          <cell r="A568">
            <v>1692</v>
          </cell>
          <cell r="B568">
            <v>1692</v>
          </cell>
          <cell r="C568" t="str">
            <v>CERO MATRICULA</v>
          </cell>
          <cell r="D568" t="str">
            <v>ACTIVO</v>
          </cell>
          <cell r="E568" t="str">
            <v>F3D952</v>
          </cell>
          <cell r="F568" t="str">
            <v>MONZON ENRIQUEZ MALAQUIAS</v>
          </cell>
          <cell r="G568" t="str">
            <v>SOTA MENDOZA LUIS BELTRAN</v>
          </cell>
          <cell r="H568">
            <v>10393450</v>
          </cell>
          <cell r="I568" t="str">
            <v>BCP</v>
          </cell>
          <cell r="J568" t="str">
            <v>194-91773811-0-17</v>
          </cell>
          <cell r="K568" t="str">
            <v>DNI</v>
          </cell>
          <cell r="L568">
            <v>10103934503</v>
          </cell>
          <cell r="M568" t="str">
            <v>URBANO</v>
          </cell>
          <cell r="N568" t="str">
            <v>PENDIENTE</v>
          </cell>
          <cell r="O568">
            <v>0</v>
          </cell>
          <cell r="P568" t="str">
            <v>VAN</v>
          </cell>
        </row>
        <row r="569">
          <cell r="A569">
            <v>1693</v>
          </cell>
          <cell r="B569">
            <v>1693</v>
          </cell>
          <cell r="C569" t="str">
            <v>CERO MATRICULA</v>
          </cell>
          <cell r="D569" t="str">
            <v>ACTIVO</v>
          </cell>
          <cell r="E569" t="str">
            <v>T4F483</v>
          </cell>
          <cell r="F569" t="str">
            <v>CARRASCO HUARCA YONATHAN</v>
          </cell>
          <cell r="G569" t="str">
            <v>KANTOUR TRAVEL &amp; SERVICE SAC</v>
          </cell>
          <cell r="H569">
            <v>20602122191</v>
          </cell>
          <cell r="I569" t="str">
            <v>BCP</v>
          </cell>
          <cell r="J569" t="str">
            <v>191-03123399-0-47</v>
          </cell>
          <cell r="K569" t="str">
            <v>RUC</v>
          </cell>
          <cell r="L569">
            <v>20602122191</v>
          </cell>
          <cell r="M569" t="str">
            <v>URBANO</v>
          </cell>
          <cell r="N569" t="str">
            <v>PENDIENTE</v>
          </cell>
          <cell r="O569">
            <v>0</v>
          </cell>
          <cell r="P569" t="str">
            <v>VAN</v>
          </cell>
        </row>
        <row r="570">
          <cell r="A570">
            <v>1697</v>
          </cell>
          <cell r="B570">
            <v>1697</v>
          </cell>
          <cell r="C570" t="str">
            <v>CERO MATRICULA</v>
          </cell>
          <cell r="D570" t="str">
            <v>ACTIVO</v>
          </cell>
          <cell r="E570" t="str">
            <v>BZF404</v>
          </cell>
          <cell r="F570" t="str">
            <v>PINCO LOPEZ VICTOR JUNIOR</v>
          </cell>
          <cell r="G570" t="str">
            <v>PINCO LOPEZ VICTOR JUNIOR</v>
          </cell>
          <cell r="H570" t="str">
            <v>72387786</v>
          </cell>
          <cell r="I570" t="str">
            <v>BCP</v>
          </cell>
          <cell r="J570" t="str">
            <v>191-37545578-0-24</v>
          </cell>
          <cell r="K570" t="str">
            <v>DNI</v>
          </cell>
          <cell r="L570">
            <v>10723877861</v>
          </cell>
          <cell r="M570" t="str">
            <v>AEROLINEAS</v>
          </cell>
          <cell r="N570">
            <v>44974</v>
          </cell>
          <cell r="O570">
            <v>0</v>
          </cell>
          <cell r="P570" t="str">
            <v>VAN</v>
          </cell>
        </row>
        <row r="571">
          <cell r="A571">
            <v>1698</v>
          </cell>
          <cell r="B571">
            <v>1698</v>
          </cell>
          <cell r="C571" t="str">
            <v>CERO MATRICULA</v>
          </cell>
          <cell r="D571" t="str">
            <v>ACTIVO</v>
          </cell>
          <cell r="E571" t="str">
            <v>CDB022</v>
          </cell>
          <cell r="F571" t="str">
            <v>ARRIETA LAZO DE LA VEGA VICTOR ELIAS</v>
          </cell>
          <cell r="G571" t="str">
            <v>TRANSPORTE TURISTICO SAJU SAC</v>
          </cell>
          <cell r="H571">
            <v>20610540679</v>
          </cell>
          <cell r="I571" t="str">
            <v>BBVA</v>
          </cell>
          <cell r="J571" t="str">
            <v>001107870200362365</v>
          </cell>
          <cell r="K571" t="str">
            <v>RUC</v>
          </cell>
          <cell r="L571">
            <v>20610540679</v>
          </cell>
          <cell r="M571" t="str">
            <v>AEROPUERTO VAN</v>
          </cell>
          <cell r="N571">
            <v>44965</v>
          </cell>
          <cell r="O571">
            <v>240</v>
          </cell>
          <cell r="P571" t="str">
            <v>VAN</v>
          </cell>
        </row>
        <row r="572">
          <cell r="A572">
            <v>1699</v>
          </cell>
          <cell r="B572">
            <v>1699</v>
          </cell>
          <cell r="C572" t="str">
            <v>CERO MATRICULA</v>
          </cell>
          <cell r="D572" t="str">
            <v>ACTIVO</v>
          </cell>
          <cell r="E572" t="str">
            <v>F5Q958</v>
          </cell>
          <cell r="F572" t="str">
            <v>YUCRA LOPEZ MARCOS EDGAR</v>
          </cell>
          <cell r="G572" t="str">
            <v>YUCRA LOPEZ MARCOS EDGAR</v>
          </cell>
          <cell r="H572">
            <v>44660821</v>
          </cell>
          <cell r="I572" t="str">
            <v>BBVA</v>
          </cell>
          <cell r="J572" t="str">
            <v>001105790212780188</v>
          </cell>
          <cell r="K572" t="str">
            <v>DNI</v>
          </cell>
          <cell r="L572">
            <v>10446608211</v>
          </cell>
          <cell r="M572" t="str">
            <v>AEROPUERTO</v>
          </cell>
          <cell r="N572">
            <v>45064</v>
          </cell>
          <cell r="O572">
            <v>240</v>
          </cell>
          <cell r="P572" t="str">
            <v>XL</v>
          </cell>
        </row>
        <row r="573">
          <cell r="A573">
            <v>1904</v>
          </cell>
          <cell r="B573">
            <v>1904</v>
          </cell>
          <cell r="C573" t="str">
            <v>CERO MATRICULA</v>
          </cell>
          <cell r="D573" t="str">
            <v>ACTIVO</v>
          </cell>
          <cell r="E573" t="str">
            <v>BRU135</v>
          </cell>
          <cell r="F573" t="str">
            <v>AZAN JIMENEZ GABRIEL ARMANDO</v>
          </cell>
          <cell r="G573" t="str">
            <v>AZAN JIMENEZ GABRIEL ARMANDO</v>
          </cell>
          <cell r="H573" t="str">
            <v>002978112</v>
          </cell>
          <cell r="I573" t="str">
            <v>BCP</v>
          </cell>
          <cell r="J573" t="str">
            <v>192-00138588-0-86</v>
          </cell>
          <cell r="K573" t="str">
            <v>CE</v>
          </cell>
          <cell r="L573">
            <v>15603768091</v>
          </cell>
          <cell r="M573" t="str">
            <v>URBANO</v>
          </cell>
          <cell r="N573" t="str">
            <v>PENDIENTE</v>
          </cell>
          <cell r="O573">
            <v>0</v>
          </cell>
          <cell r="P573">
            <v>0</v>
          </cell>
        </row>
        <row r="574">
          <cell r="A574">
            <v>1907</v>
          </cell>
          <cell r="B574">
            <v>1907</v>
          </cell>
          <cell r="C574" t="str">
            <v>CERO MATRICULA</v>
          </cell>
          <cell r="D574" t="str">
            <v>ACTIVO</v>
          </cell>
          <cell r="E574" t="str">
            <v>AZR233</v>
          </cell>
          <cell r="F574" t="str">
            <v>MARCHAND CARRILLO JORGE</v>
          </cell>
          <cell r="G574" t="str">
            <v>MARCHAND CARRILLO JORGE</v>
          </cell>
          <cell r="H574" t="str">
            <v>43187469</v>
          </cell>
          <cell r="I574" t="str">
            <v>BCP</v>
          </cell>
          <cell r="J574" t="str">
            <v>19136072989061</v>
          </cell>
          <cell r="K574" t="str">
            <v>DNI</v>
          </cell>
          <cell r="L574">
            <v>10431874691</v>
          </cell>
          <cell r="M574" t="str">
            <v>URBANO</v>
          </cell>
          <cell r="N574" t="str">
            <v>PENDIENTE</v>
          </cell>
          <cell r="O574">
            <v>0</v>
          </cell>
          <cell r="P574" t="str">
            <v>XL</v>
          </cell>
        </row>
        <row r="575">
          <cell r="A575">
            <v>1915</v>
          </cell>
          <cell r="B575">
            <v>1915</v>
          </cell>
          <cell r="C575" t="str">
            <v>CERO MATRICULA</v>
          </cell>
          <cell r="D575" t="str">
            <v>ACTIVO</v>
          </cell>
          <cell r="E575" t="str">
            <v>BBF698</v>
          </cell>
          <cell r="F575" t="str">
            <v>SALAS   CHAMORRO ZOSIMO</v>
          </cell>
          <cell r="G575" t="str">
            <v>SALAS CHAMORRO ZOSIMO</v>
          </cell>
          <cell r="H575" t="str">
            <v>44575301</v>
          </cell>
          <cell r="I575" t="str">
            <v>SCOTIABANK</v>
          </cell>
          <cell r="J575" t="str">
            <v>2010430581</v>
          </cell>
          <cell r="K575" t="str">
            <v>DNI</v>
          </cell>
          <cell r="L575">
            <v>10445753012</v>
          </cell>
          <cell r="M575" t="str">
            <v>URBANO</v>
          </cell>
          <cell r="N575" t="str">
            <v>PENDIENTE</v>
          </cell>
          <cell r="O575">
            <v>0</v>
          </cell>
          <cell r="P575" t="str">
            <v>XL</v>
          </cell>
        </row>
        <row r="576">
          <cell r="A576">
            <v>1918</v>
          </cell>
          <cell r="B576">
            <v>1918</v>
          </cell>
          <cell r="C576" t="str">
            <v>CERO MATRICULA</v>
          </cell>
          <cell r="D576" t="str">
            <v>ACTIVO</v>
          </cell>
          <cell r="E576" t="str">
            <v>D7L659</v>
          </cell>
          <cell r="F576" t="str">
            <v xml:space="preserve"> LUJAN  AVALOS ALBERTO</v>
          </cell>
          <cell r="G576" t="str">
            <v>LUJAN AVALOS ALBERTO</v>
          </cell>
          <cell r="H576" t="str">
            <v>08653506</v>
          </cell>
          <cell r="I576" t="str">
            <v>BCP</v>
          </cell>
          <cell r="J576" t="str">
            <v>19128959643062</v>
          </cell>
          <cell r="K576" t="str">
            <v>DNI</v>
          </cell>
          <cell r="L576">
            <v>10086535063</v>
          </cell>
          <cell r="M576" t="str">
            <v>URBANO</v>
          </cell>
          <cell r="N576" t="str">
            <v>PENDIENTE</v>
          </cell>
          <cell r="O576">
            <v>0</v>
          </cell>
          <cell r="P576" t="str">
            <v>LITE</v>
          </cell>
        </row>
        <row r="577">
          <cell r="A577">
            <v>1932</v>
          </cell>
          <cell r="B577">
            <v>1932</v>
          </cell>
          <cell r="C577" t="str">
            <v>CERO MATRICULA</v>
          </cell>
          <cell r="D577" t="str">
            <v>ACTIVO</v>
          </cell>
          <cell r="E577" t="str">
            <v>B2O609</v>
          </cell>
          <cell r="F577" t="str">
            <v>RODRIGUEZ VELARDE EDGARD YARIN</v>
          </cell>
          <cell r="G577" t="str">
            <v>RODRIGUEZ VELARDE EDGARD YARIN</v>
          </cell>
          <cell r="H577">
            <v>43110122</v>
          </cell>
          <cell r="I577" t="str">
            <v>INTERBANK</v>
          </cell>
          <cell r="J577" t="str">
            <v>4913090499340</v>
          </cell>
          <cell r="K577" t="str">
            <v>DNI</v>
          </cell>
          <cell r="L577">
            <v>10431101225</v>
          </cell>
          <cell r="M577" t="str">
            <v>URBANO</v>
          </cell>
          <cell r="N577" t="str">
            <v>PENDIENTE</v>
          </cell>
          <cell r="O577">
            <v>0</v>
          </cell>
          <cell r="P577" t="str">
            <v>LITE</v>
          </cell>
        </row>
        <row r="578">
          <cell r="A578">
            <v>1938</v>
          </cell>
          <cell r="B578">
            <v>1938</v>
          </cell>
          <cell r="C578" t="str">
            <v>CERO MATRICULA</v>
          </cell>
          <cell r="D578" t="str">
            <v>ACTIVO</v>
          </cell>
          <cell r="E578" t="str">
            <v>BNT400</v>
          </cell>
          <cell r="F578" t="str">
            <v>DE LA CRUZ ALEJANDRO OMAR LUIS</v>
          </cell>
          <cell r="G578" t="str">
            <v>DE LA CRUZ ALEJANDRO OMAR LUIS</v>
          </cell>
          <cell r="H578" t="str">
            <v>42181018</v>
          </cell>
          <cell r="I578" t="str">
            <v>BCP</v>
          </cell>
          <cell r="J578" t="str">
            <v>19190058411090</v>
          </cell>
          <cell r="K578" t="str">
            <v>DNI</v>
          </cell>
          <cell r="L578">
            <v>10421810180</v>
          </cell>
          <cell r="M578" t="str">
            <v>URBANO</v>
          </cell>
          <cell r="N578">
            <v>45040</v>
          </cell>
          <cell r="O578">
            <v>0</v>
          </cell>
          <cell r="P578" t="str">
            <v>COMFORT XL</v>
          </cell>
        </row>
        <row r="579">
          <cell r="A579">
            <v>1942</v>
          </cell>
          <cell r="B579">
            <v>1942</v>
          </cell>
          <cell r="C579" t="str">
            <v>CERO MATRICULA</v>
          </cell>
          <cell r="D579" t="str">
            <v>ACTIVO</v>
          </cell>
          <cell r="E579" t="str">
            <v>BMR201</v>
          </cell>
          <cell r="F579" t="str">
            <v>CARRASCO GAMBOA ABRAHAM</v>
          </cell>
          <cell r="G579" t="str">
            <v>CARRASCO GAMBOA ABRAHAM</v>
          </cell>
          <cell r="H579" t="str">
            <v>46937929</v>
          </cell>
          <cell r="I579" t="str">
            <v>BCP</v>
          </cell>
          <cell r="J579" t="str">
            <v>19194012925049</v>
          </cell>
          <cell r="K579" t="str">
            <v>DNI</v>
          </cell>
          <cell r="L579">
            <v>10469379294</v>
          </cell>
          <cell r="M579" t="str">
            <v>URBANO</v>
          </cell>
          <cell r="N579" t="str">
            <v>PENDIENTE</v>
          </cell>
          <cell r="O579">
            <v>0</v>
          </cell>
          <cell r="P579" t="str">
            <v>LITE</v>
          </cell>
        </row>
        <row r="580">
          <cell r="A580">
            <v>1948</v>
          </cell>
          <cell r="B580">
            <v>1948</v>
          </cell>
          <cell r="C580" t="str">
            <v>CERO MATRICULA</v>
          </cell>
          <cell r="D580" t="str">
            <v>ACTIVO</v>
          </cell>
          <cell r="E580" t="str">
            <v>BPG113</v>
          </cell>
          <cell r="F580" t="str">
            <v>PARRAGA MEDINA EDDYS RAFAEL</v>
          </cell>
          <cell r="G580" t="str">
            <v>PARRAGA MEDINA EDDYS RAFAEL</v>
          </cell>
          <cell r="H580" t="str">
            <v>002602114</v>
          </cell>
          <cell r="I580" t="str">
            <v>SCOTIABANK</v>
          </cell>
          <cell r="J580" t="str">
            <v>003-7547833</v>
          </cell>
          <cell r="K580" t="str">
            <v>CE</v>
          </cell>
          <cell r="L580">
            <v>15603618430</v>
          </cell>
          <cell r="M580" t="str">
            <v>URBANO</v>
          </cell>
          <cell r="N580" t="str">
            <v>PENDIENTE</v>
          </cell>
          <cell r="O580">
            <v>0</v>
          </cell>
          <cell r="P580" t="str">
            <v>XL</v>
          </cell>
        </row>
        <row r="581">
          <cell r="A581">
            <v>1981</v>
          </cell>
          <cell r="B581">
            <v>1981</v>
          </cell>
          <cell r="C581" t="str">
            <v>CERO MATRICULA</v>
          </cell>
          <cell r="D581" t="str">
            <v>ACTIVO</v>
          </cell>
          <cell r="E581" t="str">
            <v>ABI222</v>
          </cell>
          <cell r="F581" t="str">
            <v>CRUZ HUAMAN NESTOR BLADIMIR</v>
          </cell>
          <cell r="G581" t="str">
            <v>CRUZ HUAMAN NESTOR BLADIMIR</v>
          </cell>
          <cell r="H581" t="str">
            <v>43618789</v>
          </cell>
          <cell r="I581" t="str">
            <v>BCP</v>
          </cell>
          <cell r="J581" t="str">
            <v>19396853460075</v>
          </cell>
          <cell r="K581" t="str">
            <v>DNI</v>
          </cell>
          <cell r="L581">
            <v>10436187896</v>
          </cell>
          <cell r="M581" t="str">
            <v>URBANO</v>
          </cell>
          <cell r="N581" t="str">
            <v>PENDIENTE</v>
          </cell>
          <cell r="O581">
            <v>0</v>
          </cell>
          <cell r="P581" t="str">
            <v>COMFORT</v>
          </cell>
        </row>
        <row r="582">
          <cell r="A582">
            <v>1983</v>
          </cell>
          <cell r="B582">
            <v>1983</v>
          </cell>
          <cell r="C582" t="str">
            <v>CERO MATRICULA</v>
          </cell>
          <cell r="D582" t="str">
            <v>ACTIVO</v>
          </cell>
          <cell r="E582" t="str">
            <v>BBW337</v>
          </cell>
          <cell r="F582" t="str">
            <v>ORE GONZALES XANSSELL WILLIAMS</v>
          </cell>
          <cell r="G582" t="str">
            <v>ORE GONZALES XANSSELL WILLIAMS</v>
          </cell>
          <cell r="H582" t="str">
            <v>44052860</v>
          </cell>
          <cell r="I582" t="str">
            <v>INTERBANK</v>
          </cell>
          <cell r="J582" t="str">
            <v>5303143265198</v>
          </cell>
          <cell r="K582" t="str">
            <v>DNI</v>
          </cell>
          <cell r="L582">
            <v>10440528606</v>
          </cell>
          <cell r="M582" t="str">
            <v>URBANO</v>
          </cell>
          <cell r="N582" t="str">
            <v>PENDIENTE</v>
          </cell>
          <cell r="O582">
            <v>0</v>
          </cell>
          <cell r="P582" t="str">
            <v>LITE</v>
          </cell>
        </row>
        <row r="583">
          <cell r="A583">
            <v>2000</v>
          </cell>
          <cell r="B583">
            <v>2000</v>
          </cell>
          <cell r="C583" t="str">
            <v>CERO MATRICULA</v>
          </cell>
          <cell r="D583" t="str">
            <v>ACTIVO</v>
          </cell>
          <cell r="E583" t="str">
            <v>AYU175</v>
          </cell>
          <cell r="F583" t="str">
            <v>CRUZ MERCADO JESÚS MARIO GABRIEL</v>
          </cell>
          <cell r="G583" t="str">
            <v>CRUZ MERCADO JESÚS MARIO GABRIEL</v>
          </cell>
          <cell r="H583" t="str">
            <v>45218122</v>
          </cell>
          <cell r="I583" t="str">
            <v>BCP</v>
          </cell>
          <cell r="J583" t="str">
            <v>194-00334552-0-30</v>
          </cell>
          <cell r="K583" t="str">
            <v>DNI</v>
          </cell>
          <cell r="L583">
            <v>10452181229</v>
          </cell>
          <cell r="M583" t="str">
            <v>URBANO</v>
          </cell>
          <cell r="N583">
            <v>44782</v>
          </cell>
          <cell r="O583">
            <v>0</v>
          </cell>
          <cell r="P583" t="str">
            <v>LITE</v>
          </cell>
        </row>
        <row r="584">
          <cell r="A584">
            <v>2002</v>
          </cell>
          <cell r="B584">
            <v>2002</v>
          </cell>
          <cell r="C584" t="str">
            <v>CERO MATRICULA</v>
          </cell>
          <cell r="D584" t="str">
            <v>ACTIVO</v>
          </cell>
          <cell r="E584" t="str">
            <v>BVE193</v>
          </cell>
          <cell r="F584" t="str">
            <v>GONZALEZ VEGAS CESAR ALEXANDER</v>
          </cell>
          <cell r="G584" t="str">
            <v>GONZALEZ VEGAS CESAR ALEXANDER</v>
          </cell>
          <cell r="H584" t="str">
            <v>002657215</v>
          </cell>
          <cell r="I584" t="str">
            <v>BCP</v>
          </cell>
          <cell r="J584" t="str">
            <v>19340300274046</v>
          </cell>
          <cell r="K584" t="str">
            <v>CE</v>
          </cell>
          <cell r="L584">
            <v>15605601496</v>
          </cell>
          <cell r="M584" t="str">
            <v>URBANO</v>
          </cell>
          <cell r="N584">
            <v>44586</v>
          </cell>
          <cell r="O584">
            <v>0</v>
          </cell>
          <cell r="P584" t="str">
            <v>LITE</v>
          </cell>
        </row>
        <row r="585">
          <cell r="A585">
            <v>2003</v>
          </cell>
          <cell r="B585">
            <v>2003</v>
          </cell>
          <cell r="C585" t="str">
            <v>CERO MATRICULA</v>
          </cell>
          <cell r="D585" t="str">
            <v>ACTIVO</v>
          </cell>
          <cell r="E585" t="str">
            <v>Z6V472</v>
          </cell>
          <cell r="F585" t="str">
            <v>VILLANUEVA  CHOQUEHUANCA JESUS FELIX</v>
          </cell>
          <cell r="G585" t="str">
            <v>VILLANUEVA  CHOQUEHUANCA JESUS FELIX</v>
          </cell>
          <cell r="H585" t="str">
            <v>10184203</v>
          </cell>
          <cell r="I585" t="str">
            <v>BCP</v>
          </cell>
          <cell r="J585" t="str">
            <v>191-36712282-0-11</v>
          </cell>
          <cell r="K585" t="str">
            <v>DNI</v>
          </cell>
          <cell r="L585">
            <v>10101842032</v>
          </cell>
          <cell r="M585" t="str">
            <v>URBANO</v>
          </cell>
          <cell r="N585">
            <v>44781</v>
          </cell>
          <cell r="O585">
            <v>0</v>
          </cell>
          <cell r="P585" t="str">
            <v>LITE</v>
          </cell>
        </row>
        <row r="586">
          <cell r="A586">
            <v>2004</v>
          </cell>
          <cell r="B586">
            <v>2004</v>
          </cell>
          <cell r="C586" t="str">
            <v>CERO MATRICULA</v>
          </cell>
          <cell r="D586" t="str">
            <v>ACTIVO</v>
          </cell>
          <cell r="E586" t="str">
            <v>BYV042</v>
          </cell>
          <cell r="F586" t="str">
            <v>MUÑOZ RODRIGUEZ ALBERTO JOSE</v>
          </cell>
          <cell r="G586" t="str">
            <v>MUÑOZ RODRIGUEZ ALBERTO JOSE</v>
          </cell>
          <cell r="H586" t="str">
            <v>002112800</v>
          </cell>
          <cell r="I586" t="str">
            <v>BBVA</v>
          </cell>
          <cell r="J586" t="str">
            <v>0011-0319-0200386889</v>
          </cell>
          <cell r="K586" t="str">
            <v>CE</v>
          </cell>
          <cell r="L586">
            <v>15602902657</v>
          </cell>
          <cell r="M586" t="str">
            <v>URBANO</v>
          </cell>
          <cell r="N586">
            <v>44783</v>
          </cell>
          <cell r="O586">
            <v>0</v>
          </cell>
          <cell r="P586" t="str">
            <v>LITE</v>
          </cell>
        </row>
        <row r="587">
          <cell r="A587">
            <v>2005</v>
          </cell>
          <cell r="B587">
            <v>2005</v>
          </cell>
          <cell r="C587" t="str">
            <v>CERO MATRICULA</v>
          </cell>
          <cell r="D587" t="str">
            <v>ACTIVO</v>
          </cell>
          <cell r="E587" t="str">
            <v>BAQ560</v>
          </cell>
          <cell r="F587" t="str">
            <v>LUGO GOMEZ DANTE OSWALDO</v>
          </cell>
          <cell r="G587" t="str">
            <v>LUGO GOMEZ DANTE OSWALDO</v>
          </cell>
          <cell r="H587" t="str">
            <v>44730437</v>
          </cell>
          <cell r="I587" t="str">
            <v>BCP</v>
          </cell>
          <cell r="J587" t="str">
            <v>19295833844060</v>
          </cell>
          <cell r="K587" t="str">
            <v>DNI</v>
          </cell>
          <cell r="L587">
            <v>10447304371</v>
          </cell>
          <cell r="M587" t="str">
            <v>MEMBRESÍA URBANO</v>
          </cell>
          <cell r="N587">
            <v>44595</v>
          </cell>
          <cell r="O587">
            <v>280</v>
          </cell>
          <cell r="P587" t="str">
            <v>COMFORT XL</v>
          </cell>
        </row>
        <row r="588">
          <cell r="A588">
            <v>2006</v>
          </cell>
          <cell r="B588">
            <v>2006</v>
          </cell>
          <cell r="C588" t="str">
            <v>CERO MATRICULA</v>
          </cell>
          <cell r="D588" t="str">
            <v>ACTIVO</v>
          </cell>
          <cell r="E588" t="str">
            <v>BYC124</v>
          </cell>
          <cell r="F588" t="str">
            <v>MAMANI FUENTES JUAN CARLOS</v>
          </cell>
          <cell r="G588" t="str">
            <v>MAMANI FUENTES JUAN CARLOS</v>
          </cell>
          <cell r="H588" t="str">
            <v>07686012</v>
          </cell>
          <cell r="I588" t="str">
            <v>BCP</v>
          </cell>
          <cell r="J588" t="str">
            <v>191-27803670-0-13</v>
          </cell>
          <cell r="K588" t="str">
            <v>DNI</v>
          </cell>
          <cell r="L588">
            <v>10076860128</v>
          </cell>
          <cell r="M588" t="str">
            <v>URBANO</v>
          </cell>
          <cell r="N588">
            <v>44783</v>
          </cell>
          <cell r="O588">
            <v>0</v>
          </cell>
          <cell r="P588" t="str">
            <v>LITE</v>
          </cell>
        </row>
        <row r="589">
          <cell r="A589">
            <v>2008</v>
          </cell>
          <cell r="B589">
            <v>2008</v>
          </cell>
          <cell r="C589" t="str">
            <v>CERO MATRICULA</v>
          </cell>
          <cell r="D589" t="str">
            <v>ACTIVO</v>
          </cell>
          <cell r="E589" t="str">
            <v>AND619</v>
          </cell>
          <cell r="F589" t="str">
            <v>ASCENCIO  HUARANGA JUNIOR NEUMAN</v>
          </cell>
          <cell r="G589" t="str">
            <v>ASCENCIO  HUARANGA JUNIOR NEUMAN</v>
          </cell>
          <cell r="H589" t="str">
            <v>43836405</v>
          </cell>
          <cell r="I589" t="str">
            <v>BCP</v>
          </cell>
          <cell r="J589" t="str">
            <v>192-35418328-0-87</v>
          </cell>
          <cell r="K589" t="str">
            <v>DNI</v>
          </cell>
          <cell r="L589">
            <v>10438364051</v>
          </cell>
          <cell r="M589" t="str">
            <v>URBANO PARTNER</v>
          </cell>
          <cell r="N589">
            <v>44791</v>
          </cell>
          <cell r="O589">
            <v>0</v>
          </cell>
          <cell r="P589" t="str">
            <v>LITE</v>
          </cell>
        </row>
        <row r="590">
          <cell r="A590">
            <v>2009</v>
          </cell>
          <cell r="B590">
            <v>2009</v>
          </cell>
          <cell r="C590" t="str">
            <v>CERO MATRICULA</v>
          </cell>
          <cell r="D590" t="str">
            <v>ACTIVO</v>
          </cell>
          <cell r="E590" t="str">
            <v>BXA546</v>
          </cell>
          <cell r="F590" t="str">
            <v>ANDAHUA YATACO BRYAN DAVID</v>
          </cell>
          <cell r="G590" t="str">
            <v>ANDAHUA YATACO BRYAN DAVID</v>
          </cell>
          <cell r="H590">
            <v>73542583</v>
          </cell>
          <cell r="I590" t="str">
            <v>BCP</v>
          </cell>
          <cell r="J590">
            <v>19139920785023</v>
          </cell>
          <cell r="K590" t="str">
            <v>DNI</v>
          </cell>
          <cell r="L590">
            <v>10735425833</v>
          </cell>
          <cell r="M590" t="str">
            <v>URBANO</v>
          </cell>
          <cell r="N590">
            <v>44601</v>
          </cell>
          <cell r="O590">
            <v>0</v>
          </cell>
          <cell r="P590" t="str">
            <v>COMFORT</v>
          </cell>
        </row>
        <row r="591">
          <cell r="A591">
            <v>2010</v>
          </cell>
          <cell r="B591">
            <v>2010</v>
          </cell>
          <cell r="C591" t="str">
            <v>CERO MATRICULA</v>
          </cell>
          <cell r="D591" t="str">
            <v>ACTIVO</v>
          </cell>
          <cell r="E591" t="str">
            <v>BVP613</v>
          </cell>
          <cell r="F591" t="str">
            <v>RIVAS MOSCOSO ALEXANDER YAMILL</v>
          </cell>
          <cell r="G591" t="str">
            <v>FERIA FALCON MARIORY CELINA</v>
          </cell>
          <cell r="H591" t="str">
            <v>06812691</v>
          </cell>
          <cell r="I591" t="str">
            <v>INTERBANK</v>
          </cell>
          <cell r="J591" t="str">
            <v>3523302822450</v>
          </cell>
          <cell r="K591" t="str">
            <v>DNI</v>
          </cell>
          <cell r="L591">
            <v>10068126911</v>
          </cell>
          <cell r="M591" t="str">
            <v>URBANO</v>
          </cell>
          <cell r="N591">
            <v>44599</v>
          </cell>
          <cell r="O591">
            <v>0</v>
          </cell>
          <cell r="P591" t="str">
            <v>COMFORT XL</v>
          </cell>
        </row>
        <row r="592">
          <cell r="A592">
            <v>2011</v>
          </cell>
          <cell r="B592">
            <v>2011</v>
          </cell>
          <cell r="C592" t="str">
            <v>CERO MATRICULA</v>
          </cell>
          <cell r="D592" t="str">
            <v>ACTIVO</v>
          </cell>
          <cell r="E592" t="str">
            <v>ANB514</v>
          </cell>
          <cell r="F592" t="str">
            <v>ACUÑA CRUZ JORGE LUIS</v>
          </cell>
          <cell r="G592" t="str">
            <v>ACUÑA CRUZ JORGE LUIS</v>
          </cell>
          <cell r="H592" t="str">
            <v>41212106</v>
          </cell>
          <cell r="I592" t="str">
            <v>INTERBANK</v>
          </cell>
          <cell r="J592" t="str">
            <v>251-3144358937</v>
          </cell>
          <cell r="K592" t="str">
            <v>DNI</v>
          </cell>
          <cell r="L592">
            <v>10412121061</v>
          </cell>
          <cell r="M592" t="str">
            <v>URBANO</v>
          </cell>
          <cell r="N592">
            <v>44934</v>
          </cell>
          <cell r="O592">
            <v>0</v>
          </cell>
          <cell r="P592" t="str">
            <v>COMFORT XL</v>
          </cell>
        </row>
        <row r="593">
          <cell r="A593">
            <v>2012</v>
          </cell>
          <cell r="B593">
            <v>2012</v>
          </cell>
          <cell r="C593" t="str">
            <v>CERO MATRICULA</v>
          </cell>
          <cell r="D593" t="str">
            <v>ACTIVO</v>
          </cell>
          <cell r="E593" t="str">
            <v>W4A566</v>
          </cell>
          <cell r="F593" t="str">
            <v>HILARIO ASTO EFRAIN</v>
          </cell>
          <cell r="G593" t="str">
            <v>HILARIO ASTO EFRAIN</v>
          </cell>
          <cell r="H593" t="str">
            <v>20669488</v>
          </cell>
          <cell r="I593" t="str">
            <v>BCP</v>
          </cell>
          <cell r="J593" t="str">
            <v>193-94197062-0-45</v>
          </cell>
          <cell r="K593" t="str">
            <v>DNI</v>
          </cell>
          <cell r="L593">
            <v>10206694888</v>
          </cell>
          <cell r="M593" t="str">
            <v>URBANO</v>
          </cell>
          <cell r="N593">
            <v>44783</v>
          </cell>
          <cell r="O593">
            <v>0</v>
          </cell>
          <cell r="P593" t="str">
            <v>COMFORT</v>
          </cell>
        </row>
        <row r="594">
          <cell r="A594">
            <v>2013</v>
          </cell>
          <cell r="B594">
            <v>2013</v>
          </cell>
          <cell r="C594" t="str">
            <v>CERO MATRICULA</v>
          </cell>
          <cell r="D594" t="str">
            <v>ACTIVO</v>
          </cell>
          <cell r="E594" t="str">
            <v>BKG642</v>
          </cell>
          <cell r="F594" t="str">
            <v xml:space="preserve">ABARCA  ARANA RICARDO </v>
          </cell>
          <cell r="G594" t="str">
            <v xml:space="preserve">ABARCA  ARANA RICARDO </v>
          </cell>
          <cell r="H594" t="str">
            <v>09828224</v>
          </cell>
          <cell r="I594" t="str">
            <v>BBVA</v>
          </cell>
          <cell r="J594" t="str">
            <v>0011-0202-0200607390</v>
          </cell>
          <cell r="K594" t="str">
            <v>DNI</v>
          </cell>
          <cell r="L594">
            <v>10098282241</v>
          </cell>
          <cell r="M594" t="str">
            <v>URBANO</v>
          </cell>
          <cell r="N594">
            <v>44784</v>
          </cell>
          <cell r="O594">
            <v>0</v>
          </cell>
          <cell r="P594" t="str">
            <v>LITE</v>
          </cell>
        </row>
        <row r="595">
          <cell r="A595">
            <v>2014</v>
          </cell>
          <cell r="B595">
            <v>2014</v>
          </cell>
          <cell r="C595" t="str">
            <v>CERO MATRICULA</v>
          </cell>
          <cell r="D595" t="str">
            <v>ACTIVO</v>
          </cell>
          <cell r="E595"/>
          <cell r="F595" t="str">
            <v>MAQUERA MAMANI JACINTO</v>
          </cell>
          <cell r="G595" t="str">
            <v>MAQUERA MAMANI JACINTO</v>
          </cell>
          <cell r="H595" t="str">
            <v>08912221</v>
          </cell>
          <cell r="I595" t="str">
            <v>BCP</v>
          </cell>
          <cell r="J595" t="str">
            <v>19440139293038</v>
          </cell>
          <cell r="K595" t="str">
            <v>DNI</v>
          </cell>
          <cell r="L595">
            <v>10089122215</v>
          </cell>
          <cell r="M595" t="str">
            <v>AEROPUERTO</v>
          </cell>
          <cell r="N595">
            <v>44781</v>
          </cell>
          <cell r="O595">
            <v>265</v>
          </cell>
          <cell r="P595" t="str">
            <v>LITE</v>
          </cell>
        </row>
        <row r="596">
          <cell r="A596">
            <v>2017</v>
          </cell>
          <cell r="B596">
            <v>2017</v>
          </cell>
          <cell r="C596" t="str">
            <v>CERO MATRICULA</v>
          </cell>
          <cell r="D596" t="str">
            <v>ACTIVO</v>
          </cell>
          <cell r="E596" t="str">
            <v>BYI089</v>
          </cell>
          <cell r="F596" t="str">
            <v>LUME HUARI FREDDY EDWARD</v>
          </cell>
          <cell r="G596" t="str">
            <v>LUME HUARI FREDDY EDWARD</v>
          </cell>
          <cell r="H596" t="str">
            <v>41056589</v>
          </cell>
          <cell r="I596" t="str">
            <v>BCP</v>
          </cell>
          <cell r="J596">
            <v>19401006462027</v>
          </cell>
          <cell r="K596" t="str">
            <v>DNI</v>
          </cell>
          <cell r="L596">
            <v>10410565892</v>
          </cell>
          <cell r="M596" t="str">
            <v>URBANO</v>
          </cell>
          <cell r="N596">
            <v>44608</v>
          </cell>
          <cell r="O596">
            <v>0</v>
          </cell>
          <cell r="P596" t="str">
            <v>LITE</v>
          </cell>
        </row>
        <row r="597">
          <cell r="A597">
            <v>2018</v>
          </cell>
          <cell r="B597">
            <v>2018</v>
          </cell>
          <cell r="C597" t="str">
            <v>CERO MATRICULA</v>
          </cell>
          <cell r="D597" t="str">
            <v>ACTIVO</v>
          </cell>
          <cell r="E597" t="str">
            <v>BWZ450</v>
          </cell>
          <cell r="F597" t="str">
            <v>PARIONA NAVARRO AMERICO</v>
          </cell>
          <cell r="G597" t="str">
            <v>PARIONA NAVARRO AMERICO</v>
          </cell>
          <cell r="H597" t="str">
            <v>43385156</v>
          </cell>
          <cell r="I597" t="str">
            <v>BCP</v>
          </cell>
          <cell r="J597">
            <v>19196472950022</v>
          </cell>
          <cell r="K597" t="str">
            <v>DNI</v>
          </cell>
          <cell r="L597">
            <v>10433851566</v>
          </cell>
          <cell r="M597" t="str">
            <v>URBANO</v>
          </cell>
          <cell r="N597">
            <v>44609</v>
          </cell>
          <cell r="O597">
            <v>0</v>
          </cell>
          <cell r="P597" t="str">
            <v>LITE</v>
          </cell>
        </row>
        <row r="598">
          <cell r="A598">
            <v>2019</v>
          </cell>
          <cell r="B598">
            <v>2019</v>
          </cell>
          <cell r="C598" t="str">
            <v>CERO MATRICULA</v>
          </cell>
          <cell r="D598" t="str">
            <v>ACTIVO</v>
          </cell>
          <cell r="E598" t="str">
            <v>BMB297</v>
          </cell>
          <cell r="F598" t="str">
            <v xml:space="preserve">BARRETO MARCELO JUAN CARLOS </v>
          </cell>
          <cell r="G598" t="str">
            <v xml:space="preserve">BARRETO MARCELO JUAN CARLOS </v>
          </cell>
          <cell r="H598">
            <v>45589235</v>
          </cell>
          <cell r="I598" t="str">
            <v>BCP</v>
          </cell>
          <cell r="J598">
            <v>19130894257018</v>
          </cell>
          <cell r="K598" t="str">
            <v>DNI</v>
          </cell>
          <cell r="L598">
            <v>10455892355</v>
          </cell>
          <cell r="M598" t="str">
            <v>URBANO</v>
          </cell>
          <cell r="N598">
            <v>44609</v>
          </cell>
          <cell r="O598">
            <v>0</v>
          </cell>
          <cell r="P598" t="str">
            <v>COMFORT XL</v>
          </cell>
        </row>
        <row r="599">
          <cell r="A599">
            <v>2020</v>
          </cell>
          <cell r="B599">
            <v>2020</v>
          </cell>
          <cell r="C599" t="str">
            <v>CERO MATRICULA</v>
          </cell>
          <cell r="D599" t="str">
            <v>ACTIVO</v>
          </cell>
          <cell r="E599" t="str">
            <v>BYK699</v>
          </cell>
          <cell r="F599" t="str">
            <v>REATEGUI GARCIA DANIEL</v>
          </cell>
          <cell r="G599" t="str">
            <v>REATEGUI GARCIA DANIEL</v>
          </cell>
          <cell r="H599" t="str">
            <v>01143626</v>
          </cell>
          <cell r="I599" t="str">
            <v>BCP</v>
          </cell>
          <cell r="J599" t="str">
            <v>19198697637080</v>
          </cell>
          <cell r="K599" t="str">
            <v>DNI</v>
          </cell>
          <cell r="L599">
            <v>10011436264</v>
          </cell>
          <cell r="M599" t="str">
            <v>MEMBRESÍA URBANO</v>
          </cell>
          <cell r="N599">
            <v>44610</v>
          </cell>
          <cell r="O599">
            <v>280</v>
          </cell>
          <cell r="P599" t="str">
            <v>LITE</v>
          </cell>
        </row>
        <row r="600">
          <cell r="A600">
            <v>2021</v>
          </cell>
          <cell r="B600">
            <v>2021</v>
          </cell>
          <cell r="C600" t="str">
            <v>CERO MATRICULA</v>
          </cell>
          <cell r="D600" t="str">
            <v>ACTIVO</v>
          </cell>
          <cell r="E600" t="str">
            <v>BRI592</v>
          </cell>
          <cell r="F600" t="str">
            <v>QUEZADA VIDAL HUGO ALEJANDRO</v>
          </cell>
          <cell r="G600" t="str">
            <v>QUEZADA VIDAL HUGO ALEJANDRO</v>
          </cell>
          <cell r="H600" t="str">
            <v>09823486</v>
          </cell>
          <cell r="I600" t="str">
            <v>BCP</v>
          </cell>
          <cell r="J600">
            <v>19496870092075</v>
          </cell>
          <cell r="K600" t="str">
            <v>DNI</v>
          </cell>
          <cell r="L600">
            <v>10098234867</v>
          </cell>
          <cell r="M600" t="str">
            <v>URBANO</v>
          </cell>
          <cell r="N600">
            <v>44616</v>
          </cell>
          <cell r="O600">
            <v>0</v>
          </cell>
          <cell r="P600" t="str">
            <v>COMFORT</v>
          </cell>
        </row>
        <row r="601">
          <cell r="A601">
            <v>2023</v>
          </cell>
          <cell r="B601">
            <v>2023</v>
          </cell>
          <cell r="C601" t="str">
            <v>CERO MATRICULA</v>
          </cell>
          <cell r="D601" t="str">
            <v>ACTIVO</v>
          </cell>
          <cell r="E601"/>
          <cell r="F601" t="str">
            <v>Soldevilla Martinez Salvador Adolfo</v>
          </cell>
          <cell r="G601" t="str">
            <v>SOLDEVILLA MARTINEZ SALVADOR ADOLFO</v>
          </cell>
          <cell r="H601" t="str">
            <v>44165679</v>
          </cell>
          <cell r="I601" t="str">
            <v>BBVA</v>
          </cell>
          <cell r="J601" t="str">
            <v>001101640200792214</v>
          </cell>
          <cell r="K601" t="str">
            <v>DNI</v>
          </cell>
          <cell r="L601">
            <v>10441656799</v>
          </cell>
          <cell r="M601" t="str">
            <v>AEROLINEAS</v>
          </cell>
          <cell r="N601">
            <v>45461</v>
          </cell>
          <cell r="O601">
            <v>0</v>
          </cell>
          <cell r="P601" t="str">
            <v>XL</v>
          </cell>
        </row>
        <row r="602">
          <cell r="A602">
            <v>2024</v>
          </cell>
          <cell r="B602">
            <v>2024</v>
          </cell>
          <cell r="C602" t="str">
            <v>CERO MATRICULA</v>
          </cell>
          <cell r="D602" t="str">
            <v>ACTIVO</v>
          </cell>
          <cell r="E602" t="str">
            <v>BED432</v>
          </cell>
          <cell r="F602" t="str">
            <v>SEMINO MOLINA RONALDO FRANCO</v>
          </cell>
          <cell r="G602" t="str">
            <v>PALACIOS QUISPE ELSA</v>
          </cell>
          <cell r="H602">
            <v>10375275</v>
          </cell>
          <cell r="I602" t="str">
            <v>INTERBANK</v>
          </cell>
          <cell r="J602">
            <v>8983247816129</v>
          </cell>
          <cell r="K602" t="str">
            <v>DNI</v>
          </cell>
          <cell r="L602">
            <v>10103752758</v>
          </cell>
          <cell r="M602" t="str">
            <v>URBANO</v>
          </cell>
          <cell r="N602">
            <v>44621</v>
          </cell>
          <cell r="O602">
            <v>0</v>
          </cell>
          <cell r="P602" t="str">
            <v>COMFORT XL</v>
          </cell>
        </row>
        <row r="603">
          <cell r="A603">
            <v>2025</v>
          </cell>
          <cell r="B603">
            <v>2025</v>
          </cell>
          <cell r="C603" t="str">
            <v>CERO MATRICULA</v>
          </cell>
          <cell r="D603" t="str">
            <v>ACTIVO</v>
          </cell>
          <cell r="E603" t="str">
            <v>BEX156</v>
          </cell>
          <cell r="F603" t="str">
            <v>PEREYRA BATALLANOS MOISES</v>
          </cell>
          <cell r="G603" t="str">
            <v>PEREYRA BATALLANOS MOISES</v>
          </cell>
          <cell r="H603" t="str">
            <v>70156388</v>
          </cell>
          <cell r="I603" t="str">
            <v>BBVA</v>
          </cell>
          <cell r="J603" t="str">
            <v>001103560200281450</v>
          </cell>
          <cell r="K603" t="str">
            <v>DNI</v>
          </cell>
          <cell r="L603">
            <v>10701563889</v>
          </cell>
          <cell r="M603" t="str">
            <v>URBANO</v>
          </cell>
          <cell r="N603">
            <v>44615</v>
          </cell>
          <cell r="O603">
            <v>0</v>
          </cell>
          <cell r="P603" t="str">
            <v>COMFORT XL</v>
          </cell>
        </row>
        <row r="604">
          <cell r="A604">
            <v>2026</v>
          </cell>
          <cell r="B604">
            <v>2026</v>
          </cell>
          <cell r="C604" t="str">
            <v>CERO MATRICULA</v>
          </cell>
          <cell r="D604" t="str">
            <v>ACTIVO</v>
          </cell>
          <cell r="E604" t="str">
            <v>Z6R070</v>
          </cell>
          <cell r="F604" t="str">
            <v>POCCOMUCHA CHAVEZ MIGUEL</v>
          </cell>
          <cell r="G604" t="str">
            <v>POCCOMUCHA CHAVEZ MIGUEL</v>
          </cell>
          <cell r="H604" t="str">
            <v>09451686</v>
          </cell>
          <cell r="I604" t="str">
            <v>BCP</v>
          </cell>
          <cell r="J604" t="str">
            <v>19192282550095</v>
          </cell>
          <cell r="K604" t="str">
            <v>DNI</v>
          </cell>
          <cell r="L604">
            <v>10094516868</v>
          </cell>
          <cell r="M604" t="str">
            <v>URBANO</v>
          </cell>
          <cell r="N604">
            <v>44930</v>
          </cell>
          <cell r="O604">
            <v>0</v>
          </cell>
          <cell r="P604" t="str">
            <v>LITE</v>
          </cell>
        </row>
        <row r="605">
          <cell r="A605">
            <v>2028</v>
          </cell>
          <cell r="B605">
            <v>2028</v>
          </cell>
          <cell r="C605" t="str">
            <v>CERO MATRICULA</v>
          </cell>
          <cell r="D605" t="str">
            <v>ACTIVO</v>
          </cell>
          <cell r="E605" t="str">
            <v>F0J082</v>
          </cell>
          <cell r="F605" t="str">
            <v>BERROCAL GONZALEZ RODOLFO</v>
          </cell>
          <cell r="G605" t="str">
            <v>BERROCAL GONZALEZ RODOLFO</v>
          </cell>
          <cell r="H605" t="str">
            <v>43837124</v>
          </cell>
          <cell r="I605" t="str">
            <v>BCP</v>
          </cell>
          <cell r="J605">
            <v>19101032087011</v>
          </cell>
          <cell r="K605" t="str">
            <v>DNI</v>
          </cell>
          <cell r="L605">
            <v>10438371244</v>
          </cell>
          <cell r="M605" t="str">
            <v>URBANO</v>
          </cell>
          <cell r="N605">
            <v>44616</v>
          </cell>
          <cell r="O605">
            <v>0</v>
          </cell>
          <cell r="P605" t="str">
            <v>COMFORT XL</v>
          </cell>
        </row>
        <row r="606">
          <cell r="A606">
            <v>2029</v>
          </cell>
          <cell r="B606">
            <v>2029</v>
          </cell>
          <cell r="C606" t="str">
            <v>CERO MATRICULA</v>
          </cell>
          <cell r="D606" t="str">
            <v>ACTIVO</v>
          </cell>
          <cell r="E606" t="str">
            <v>BMA144</v>
          </cell>
          <cell r="F606" t="str">
            <v>VARGAS OLIVERA DARWIN</v>
          </cell>
          <cell r="G606" t="str">
            <v>VARGAS OLIVERA DARWIN</v>
          </cell>
          <cell r="H606" t="str">
            <v>72132410</v>
          </cell>
          <cell r="I606" t="str">
            <v>BCP</v>
          </cell>
          <cell r="J606" t="str">
            <v>19105766794042</v>
          </cell>
          <cell r="K606" t="str">
            <v>DNI</v>
          </cell>
          <cell r="L606">
            <v>10721324104</v>
          </cell>
          <cell r="M606" t="str">
            <v>URBANO</v>
          </cell>
          <cell r="N606">
            <v>44617</v>
          </cell>
          <cell r="O606">
            <v>0</v>
          </cell>
          <cell r="P606" t="str">
            <v>LITE</v>
          </cell>
        </row>
        <row r="607">
          <cell r="A607">
            <v>2030</v>
          </cell>
          <cell r="B607">
            <v>2030</v>
          </cell>
          <cell r="C607" t="str">
            <v>CERO MATRICULA</v>
          </cell>
          <cell r="D607" t="str">
            <v>ACTIVO</v>
          </cell>
          <cell r="E607" t="str">
            <v>BYE186</v>
          </cell>
          <cell r="F607" t="str">
            <v>CRUZ RONDAN EZEQUIEL JUVENCIO</v>
          </cell>
          <cell r="G607" t="str">
            <v>CRUZ RONDAN EZEQUIEL JUVENCIO</v>
          </cell>
          <cell r="H607" t="str">
            <v>32643307</v>
          </cell>
          <cell r="I607" t="str">
            <v>BCP</v>
          </cell>
          <cell r="J607" t="str">
            <v>191-93126033098</v>
          </cell>
          <cell r="K607" t="str">
            <v>DNI</v>
          </cell>
          <cell r="L607">
            <v>10326433077</v>
          </cell>
          <cell r="M607" t="str">
            <v>URBANO</v>
          </cell>
          <cell r="N607">
            <v>44622</v>
          </cell>
          <cell r="O607">
            <v>0</v>
          </cell>
          <cell r="P607" t="str">
            <v>LITE</v>
          </cell>
        </row>
        <row r="608">
          <cell r="A608">
            <v>2031</v>
          </cell>
          <cell r="B608">
            <v>2031</v>
          </cell>
          <cell r="C608" t="str">
            <v>CERO MATRICULA</v>
          </cell>
          <cell r="D608" t="str">
            <v>ACTIVO</v>
          </cell>
          <cell r="E608" t="str">
            <v>BYS490</v>
          </cell>
          <cell r="F608" t="str">
            <v>QUISPE FLORES MIGUEL ANGEL</v>
          </cell>
          <cell r="G608" t="str">
            <v>QUISPE FLORES MIGUEL ANGEL</v>
          </cell>
          <cell r="H608" t="str">
            <v>10818747</v>
          </cell>
          <cell r="I608" t="str">
            <v>BCP</v>
          </cell>
          <cell r="J608">
            <v>19198952603022</v>
          </cell>
          <cell r="K608" t="str">
            <v>DNI</v>
          </cell>
          <cell r="L608">
            <v>10108187471</v>
          </cell>
          <cell r="M608" t="str">
            <v>URBANO</v>
          </cell>
          <cell r="N608">
            <v>44622</v>
          </cell>
          <cell r="O608">
            <v>0</v>
          </cell>
          <cell r="P608" t="str">
            <v>COMFORT</v>
          </cell>
        </row>
        <row r="609">
          <cell r="A609">
            <v>2034</v>
          </cell>
          <cell r="B609">
            <v>2034</v>
          </cell>
          <cell r="C609" t="str">
            <v>CERO MATRICULA</v>
          </cell>
          <cell r="D609" t="str">
            <v>ACTIVO</v>
          </cell>
          <cell r="E609" t="str">
            <v>BVL216</v>
          </cell>
          <cell r="F609" t="str">
            <v>CASTAÑEDA YTURRINO LUIS ANGEL</v>
          </cell>
          <cell r="G609" t="str">
            <v>CASTAÑEDA YTURRINO LUIS ANGEL</v>
          </cell>
          <cell r="H609" t="str">
            <v>71732703</v>
          </cell>
          <cell r="I609" t="str">
            <v>BCP</v>
          </cell>
          <cell r="J609">
            <v>19438520572067</v>
          </cell>
          <cell r="K609" t="str">
            <v>DNI</v>
          </cell>
          <cell r="L609">
            <v>10717327034</v>
          </cell>
          <cell r="M609" t="str">
            <v>URBANO</v>
          </cell>
          <cell r="N609">
            <v>44623</v>
          </cell>
          <cell r="O609">
            <v>0</v>
          </cell>
          <cell r="P609" t="str">
            <v>XL</v>
          </cell>
        </row>
        <row r="610">
          <cell r="A610">
            <v>2035</v>
          </cell>
          <cell r="B610">
            <v>2035</v>
          </cell>
          <cell r="C610" t="str">
            <v>CERO MATRICULA</v>
          </cell>
          <cell r="D610" t="str">
            <v>ACTIVO</v>
          </cell>
          <cell r="E610" t="str">
            <v>BWJ255</v>
          </cell>
          <cell r="F610" t="str">
            <v xml:space="preserve">VASQUEZ DELGADO NIXON DARWIN </v>
          </cell>
          <cell r="G610" t="str">
            <v xml:space="preserve">VASQUEZ DELGADO NIXON DARWIN </v>
          </cell>
          <cell r="H610" t="str">
            <v>46047874</v>
          </cell>
          <cell r="I610" t="str">
            <v>BCP</v>
          </cell>
          <cell r="J610">
            <v>19440024834024</v>
          </cell>
          <cell r="K610" t="str">
            <v xml:space="preserve">DNI </v>
          </cell>
          <cell r="L610">
            <v>10460478745</v>
          </cell>
          <cell r="M610" t="str">
            <v>AEROLINEAS</v>
          </cell>
          <cell r="N610">
            <v>44634</v>
          </cell>
          <cell r="O610">
            <v>0</v>
          </cell>
          <cell r="P610" t="str">
            <v>COMFORT XL</v>
          </cell>
        </row>
        <row r="611">
          <cell r="A611">
            <v>2036</v>
          </cell>
          <cell r="B611">
            <v>2036</v>
          </cell>
          <cell r="C611" t="str">
            <v>CERO MATRICULA</v>
          </cell>
          <cell r="D611" t="str">
            <v>ACTIVO</v>
          </cell>
          <cell r="E611" t="str">
            <v>BXR541</v>
          </cell>
          <cell r="F611" t="str">
            <v>ARCOS REYES ANDERSON JAVIER</v>
          </cell>
          <cell r="G611" t="str">
            <v>NUÑEZ PEREDA ROXY KASSANDRA</v>
          </cell>
          <cell r="H611" t="str">
            <v>76578902</v>
          </cell>
          <cell r="I611" t="str">
            <v>BCP</v>
          </cell>
          <cell r="J611">
            <v>19339272773066</v>
          </cell>
          <cell r="K611" t="str">
            <v>DNI</v>
          </cell>
          <cell r="L611">
            <v>10765789023</v>
          </cell>
          <cell r="M611" t="str">
            <v>URBANO</v>
          </cell>
          <cell r="N611">
            <v>44634</v>
          </cell>
          <cell r="O611">
            <v>0</v>
          </cell>
          <cell r="P611" t="str">
            <v>COMFORT XL</v>
          </cell>
        </row>
        <row r="612">
          <cell r="A612">
            <v>2038</v>
          </cell>
          <cell r="B612">
            <v>2038</v>
          </cell>
          <cell r="C612" t="str">
            <v>CERO MATRICULA</v>
          </cell>
          <cell r="D612" t="str">
            <v>ACTIVO</v>
          </cell>
          <cell r="E612" t="str">
            <v>W3U171</v>
          </cell>
          <cell r="F612" t="str">
            <v>POLO JUSTINIANI NICSON</v>
          </cell>
          <cell r="G612" t="str">
            <v>POLO JUSTINIANI WILBERT RODOLFO</v>
          </cell>
          <cell r="H612" t="str">
            <v>42904903</v>
          </cell>
          <cell r="I612" t="str">
            <v>BCP</v>
          </cell>
          <cell r="J612">
            <v>19193519876018</v>
          </cell>
          <cell r="K612" t="str">
            <v>DNI</v>
          </cell>
          <cell r="L612">
            <v>10429049038</v>
          </cell>
          <cell r="M612" t="str">
            <v>URBANO</v>
          </cell>
          <cell r="N612">
            <v>44634</v>
          </cell>
          <cell r="O612">
            <v>0</v>
          </cell>
          <cell r="P612" t="str">
            <v>LITE</v>
          </cell>
        </row>
        <row r="613">
          <cell r="A613">
            <v>2039</v>
          </cell>
          <cell r="B613">
            <v>2039</v>
          </cell>
          <cell r="C613" t="str">
            <v>CERO MATRICULA</v>
          </cell>
          <cell r="D613" t="str">
            <v>ACTIVO</v>
          </cell>
          <cell r="E613" t="str">
            <v>BWI680</v>
          </cell>
          <cell r="F613" t="str">
            <v>MUNAICO MORALES ROSA MARIA</v>
          </cell>
          <cell r="G613" t="str">
            <v>MUNAICO MORALES ROSA MARIA</v>
          </cell>
          <cell r="H613" t="str">
            <v>21887774</v>
          </cell>
          <cell r="I613" t="str">
            <v>BCP</v>
          </cell>
          <cell r="J613" t="str">
            <v>19197507392012</v>
          </cell>
          <cell r="K613" t="str">
            <v>DNI</v>
          </cell>
          <cell r="L613">
            <v>10218877741</v>
          </cell>
          <cell r="M613" t="str">
            <v>MEMBRESÍA URBANO</v>
          </cell>
          <cell r="N613">
            <v>44634</v>
          </cell>
          <cell r="O613">
            <v>280</v>
          </cell>
          <cell r="P613" t="str">
            <v>COMFORT XL</v>
          </cell>
        </row>
        <row r="614">
          <cell r="A614">
            <v>2040</v>
          </cell>
          <cell r="B614">
            <v>2040</v>
          </cell>
          <cell r="C614" t="str">
            <v>CERO MATRICULA</v>
          </cell>
          <cell r="D614" t="str">
            <v>ACTIVO</v>
          </cell>
          <cell r="E614" t="str">
            <v>BJF139</v>
          </cell>
          <cell r="F614" t="str">
            <v xml:space="preserve">PACHECO SANDOVAL OMAR ERIC </v>
          </cell>
          <cell r="G614" t="str">
            <v xml:space="preserve">PACHECO SANDOVAL OMAR ERIC </v>
          </cell>
          <cell r="H614" t="str">
            <v>40022441</v>
          </cell>
          <cell r="I614" t="str">
            <v>BCP</v>
          </cell>
          <cell r="J614" t="str">
            <v>19106724442064</v>
          </cell>
          <cell r="K614" t="str">
            <v>DNI</v>
          </cell>
          <cell r="L614">
            <v>10400224418</v>
          </cell>
          <cell r="M614" t="str">
            <v>URBANO</v>
          </cell>
          <cell r="N614">
            <v>44634</v>
          </cell>
          <cell r="O614">
            <v>0</v>
          </cell>
          <cell r="P614" t="str">
            <v>LITE</v>
          </cell>
        </row>
        <row r="615">
          <cell r="A615">
            <v>2041</v>
          </cell>
          <cell r="B615">
            <v>2041</v>
          </cell>
          <cell r="C615" t="str">
            <v>CERO MATRICULA</v>
          </cell>
          <cell r="D615" t="str">
            <v>ACTIVO</v>
          </cell>
          <cell r="E615" t="str">
            <v>BCV538</v>
          </cell>
          <cell r="F615" t="str">
            <v>CHUQUINO PRADO GIANCARLO MANUEL</v>
          </cell>
          <cell r="G615" t="str">
            <v>CHUQUINO PRADO GIANCARLO MANUEL</v>
          </cell>
          <cell r="H615" t="str">
            <v>10355948</v>
          </cell>
          <cell r="I615" t="str">
            <v>BCP</v>
          </cell>
          <cell r="J615" t="str">
            <v>19136987834046</v>
          </cell>
          <cell r="K615" t="str">
            <v>DNI</v>
          </cell>
          <cell r="L615">
            <v>10103559486</v>
          </cell>
          <cell r="M615" t="str">
            <v>URBANO</v>
          </cell>
          <cell r="N615">
            <v>44642</v>
          </cell>
          <cell r="O615">
            <v>0</v>
          </cell>
          <cell r="P615" t="str">
            <v>LITE</v>
          </cell>
        </row>
        <row r="616">
          <cell r="A616">
            <v>2044</v>
          </cell>
          <cell r="B616">
            <v>2044</v>
          </cell>
          <cell r="C616" t="str">
            <v>CERO MATRICULA</v>
          </cell>
          <cell r="D616" t="str">
            <v>ACTIVO</v>
          </cell>
          <cell r="E616" t="str">
            <v>BUU370</v>
          </cell>
          <cell r="F616" t="str">
            <v>MUNEMURA BARAHONA WALTER TOMAS</v>
          </cell>
          <cell r="G616" t="str">
            <v>MUNEMURA BARAHONA WALTER TOMAS</v>
          </cell>
          <cell r="H616">
            <v>19248837</v>
          </cell>
          <cell r="I616" t="str">
            <v>BCP</v>
          </cell>
          <cell r="J616" t="str">
            <v>19137323226027</v>
          </cell>
          <cell r="K616" t="str">
            <v>DNI</v>
          </cell>
          <cell r="L616">
            <v>10192488376</v>
          </cell>
          <cell r="M616" t="str">
            <v>URBANO</v>
          </cell>
          <cell r="N616">
            <v>44652</v>
          </cell>
          <cell r="O616">
            <v>0</v>
          </cell>
          <cell r="P616" t="str">
            <v>COMFORT XL</v>
          </cell>
        </row>
        <row r="617">
          <cell r="A617">
            <v>2045</v>
          </cell>
          <cell r="B617">
            <v>2045</v>
          </cell>
          <cell r="C617" t="str">
            <v>CERO MATRICULA</v>
          </cell>
          <cell r="D617" t="str">
            <v>ACTIVO</v>
          </cell>
          <cell r="E617" t="str">
            <v>BHX286</v>
          </cell>
          <cell r="F617" t="str">
            <v>CLEMENTE CANCHA DAVID DANIEL</v>
          </cell>
          <cell r="G617" t="str">
            <v>CLEMENTE CANCHA DAVID DANIEL</v>
          </cell>
          <cell r="H617" t="str">
            <v>74417499</v>
          </cell>
          <cell r="I617" t="str">
            <v>BCP</v>
          </cell>
          <cell r="J617" t="str">
            <v>191-37368673-0-32</v>
          </cell>
          <cell r="K617" t="str">
            <v>DNI</v>
          </cell>
          <cell r="L617">
            <v>10744174991</v>
          </cell>
          <cell r="M617" t="str">
            <v>URBANO</v>
          </cell>
          <cell r="N617">
            <v>44915</v>
          </cell>
          <cell r="O617">
            <v>0</v>
          </cell>
          <cell r="P617" t="str">
            <v>COMFORT XL</v>
          </cell>
        </row>
        <row r="618">
          <cell r="A618">
            <v>2047</v>
          </cell>
          <cell r="B618">
            <v>2047</v>
          </cell>
          <cell r="C618" t="str">
            <v>CERO MATRICULA</v>
          </cell>
          <cell r="D618" t="str">
            <v>ACTIVO</v>
          </cell>
          <cell r="E618" t="str">
            <v>BYV686</v>
          </cell>
          <cell r="F618" t="str">
            <v>SALINAS PORTOCARRERO JOSE LUIS</v>
          </cell>
          <cell r="G618" t="str">
            <v>SALINAS PORTOCARRERO JOSE LUIS</v>
          </cell>
          <cell r="H618" t="str">
            <v>41661142</v>
          </cell>
          <cell r="I618" t="str">
            <v>BCP</v>
          </cell>
          <cell r="J618" t="str">
            <v>19307350018060</v>
          </cell>
          <cell r="K618" t="str">
            <v>DNI</v>
          </cell>
          <cell r="L618">
            <v>10416611420</v>
          </cell>
          <cell r="M618" t="str">
            <v>URBANO</v>
          </cell>
          <cell r="N618">
            <v>44655</v>
          </cell>
          <cell r="O618">
            <v>0</v>
          </cell>
          <cell r="P618" t="str">
            <v>LITE</v>
          </cell>
        </row>
        <row r="619">
          <cell r="A619">
            <v>2048</v>
          </cell>
          <cell r="B619">
            <v>2048</v>
          </cell>
          <cell r="C619" t="str">
            <v>CERO MATRICULA</v>
          </cell>
          <cell r="D619" t="str">
            <v>ACTIVO</v>
          </cell>
          <cell r="E619" t="str">
            <v>BEZ100</v>
          </cell>
          <cell r="F619" t="str">
            <v>PINEDA CARMONA JOSMIR BRAYN</v>
          </cell>
          <cell r="G619" t="str">
            <v>PINEDA CARMONA JOSMIR BRAYN</v>
          </cell>
          <cell r="H619" t="str">
            <v>002547202</v>
          </cell>
          <cell r="I619" t="str">
            <v>INTERBANK</v>
          </cell>
          <cell r="J619" t="str">
            <v>1363238827438</v>
          </cell>
          <cell r="K619" t="str">
            <v>CE</v>
          </cell>
          <cell r="L619">
            <v>15603503535</v>
          </cell>
          <cell r="M619" t="str">
            <v>URBANO</v>
          </cell>
          <cell r="N619">
            <v>44649</v>
          </cell>
          <cell r="O619">
            <v>0</v>
          </cell>
          <cell r="P619" t="str">
            <v>COMFORT XL</v>
          </cell>
        </row>
        <row r="620">
          <cell r="A620">
            <v>2049</v>
          </cell>
          <cell r="B620">
            <v>2049</v>
          </cell>
          <cell r="C620" t="str">
            <v>CERO MATRICULA</v>
          </cell>
          <cell r="D620" t="str">
            <v>ACTIVO</v>
          </cell>
          <cell r="E620" t="str">
            <v>BAR276</v>
          </cell>
          <cell r="F620" t="str">
            <v>RAMOS VERANO EDWIN RAUL</v>
          </cell>
          <cell r="G620" t="str">
            <v>RAMOS VERANO EDWIN RAUL</v>
          </cell>
          <cell r="H620" t="str">
            <v>41594758</v>
          </cell>
          <cell r="I620" t="str">
            <v>BCP</v>
          </cell>
          <cell r="J620" t="str">
            <v>19392302556003</v>
          </cell>
          <cell r="K620" t="str">
            <v>DNI</v>
          </cell>
          <cell r="L620">
            <v>10415947581</v>
          </cell>
          <cell r="M620" t="str">
            <v>URBANO</v>
          </cell>
          <cell r="N620">
            <v>44652</v>
          </cell>
          <cell r="O620">
            <v>0</v>
          </cell>
          <cell r="P620" t="str">
            <v>LITE</v>
          </cell>
        </row>
        <row r="621">
          <cell r="A621">
            <v>2050</v>
          </cell>
          <cell r="B621">
            <v>2050</v>
          </cell>
          <cell r="C621" t="str">
            <v>CERO MATRICULA</v>
          </cell>
          <cell r="D621" t="str">
            <v>ACTIVO</v>
          </cell>
          <cell r="E621" t="str">
            <v>BHI433</v>
          </cell>
          <cell r="F621" t="str">
            <v>YBARRA FLORES LUIS LEANDRO</v>
          </cell>
          <cell r="G621" t="str">
            <v>YBARRA FLORES LUIS LEANDRO</v>
          </cell>
          <cell r="H621" t="str">
            <v>48807357</v>
          </cell>
          <cell r="I621" t="str">
            <v>BBVA</v>
          </cell>
          <cell r="J621" t="str">
            <v>001101430200437270</v>
          </cell>
          <cell r="K621" t="str">
            <v>DNI</v>
          </cell>
          <cell r="L621">
            <v>10488073571</v>
          </cell>
          <cell r="M621" t="str">
            <v>URBANO</v>
          </cell>
          <cell r="N621">
            <v>44651</v>
          </cell>
          <cell r="O621">
            <v>0</v>
          </cell>
          <cell r="P621" t="str">
            <v>COMFORT</v>
          </cell>
        </row>
        <row r="622">
          <cell r="A622">
            <v>2051</v>
          </cell>
          <cell r="B622">
            <v>2051</v>
          </cell>
          <cell r="C622" t="str">
            <v>CERO MATRICULA</v>
          </cell>
          <cell r="D622" t="str">
            <v>ACTIVO</v>
          </cell>
          <cell r="E622" t="str">
            <v>BSF586</v>
          </cell>
          <cell r="F622" t="str">
            <v>LUQUE CONDO JAVIER</v>
          </cell>
          <cell r="G622" t="str">
            <v>LUQUE CONDO JAVIER</v>
          </cell>
          <cell r="H622" t="str">
            <v>46803662</v>
          </cell>
          <cell r="I622" t="str">
            <v>SCOTIABANK</v>
          </cell>
          <cell r="J622" t="str">
            <v>538203340</v>
          </cell>
          <cell r="K622" t="str">
            <v>DNI</v>
          </cell>
          <cell r="L622">
            <v>10468036628</v>
          </cell>
          <cell r="M622" t="str">
            <v>AEROPUERTO</v>
          </cell>
          <cell r="N622">
            <v>44652</v>
          </cell>
          <cell r="O622">
            <v>235</v>
          </cell>
          <cell r="P622" t="str">
            <v>COMFORT XL</v>
          </cell>
        </row>
        <row r="623">
          <cell r="A623">
            <v>2053</v>
          </cell>
          <cell r="B623">
            <v>2053</v>
          </cell>
          <cell r="C623" t="str">
            <v>CERO MATRICULA</v>
          </cell>
          <cell r="D623" t="str">
            <v>ACTIVO</v>
          </cell>
          <cell r="E623" t="str">
            <v>BED224</v>
          </cell>
          <cell r="F623" t="str">
            <v>OSCCO HUAMAN GOYO ROBERTO</v>
          </cell>
          <cell r="G623" t="str">
            <v>OSCCO HUAMAN GOYO ROBERTO</v>
          </cell>
          <cell r="H623" t="str">
            <v>09782146</v>
          </cell>
          <cell r="I623" t="str">
            <v>BCP</v>
          </cell>
          <cell r="J623" t="str">
            <v>19107123182032</v>
          </cell>
          <cell r="K623" t="str">
            <v>DNI</v>
          </cell>
          <cell r="L623">
            <v>10097821467</v>
          </cell>
          <cell r="M623" t="str">
            <v>URBANO</v>
          </cell>
          <cell r="N623">
            <v>44655</v>
          </cell>
          <cell r="O623">
            <v>0</v>
          </cell>
          <cell r="P623" t="str">
            <v>COMFORT XL</v>
          </cell>
        </row>
        <row r="624">
          <cell r="A624">
            <v>2054</v>
          </cell>
          <cell r="B624">
            <v>2054</v>
          </cell>
          <cell r="C624" t="str">
            <v>CERO MATRICULA</v>
          </cell>
          <cell r="D624" t="str">
            <v>ACTIVO</v>
          </cell>
          <cell r="E624" t="str">
            <v>DB5113</v>
          </cell>
          <cell r="F624" t="str">
            <v>NUÑEZ JUNGBLUTH CESAR ADOLFO</v>
          </cell>
          <cell r="G624" t="str">
            <v>NEXUS HD</v>
          </cell>
          <cell r="H624" t="str">
            <v>20565458753</v>
          </cell>
          <cell r="I624" t="str">
            <v>BCP</v>
          </cell>
          <cell r="J624" t="str">
            <v>1932175601066</v>
          </cell>
          <cell r="K624" t="str">
            <v>RUC</v>
          </cell>
          <cell r="L624">
            <v>20565458753</v>
          </cell>
          <cell r="M624" t="str">
            <v>URBANO</v>
          </cell>
          <cell r="N624">
            <v>44662</v>
          </cell>
          <cell r="O624">
            <v>0</v>
          </cell>
          <cell r="P624" t="str">
            <v>COMFORT XL</v>
          </cell>
        </row>
        <row r="625">
          <cell r="A625">
            <v>2056</v>
          </cell>
          <cell r="B625">
            <v>2056</v>
          </cell>
          <cell r="C625" t="str">
            <v>CERO MATRICULA</v>
          </cell>
          <cell r="D625" t="str">
            <v>ACTIVO</v>
          </cell>
          <cell r="E625" t="str">
            <v>ACU121</v>
          </cell>
          <cell r="F625" t="str">
            <v>CONDORI ALFARO HERBERT MARTIN</v>
          </cell>
          <cell r="G625" t="str">
            <v xml:space="preserve">CONDORI ALFARO HERBERT MARTIN </v>
          </cell>
          <cell r="H625" t="str">
            <v>08153904</v>
          </cell>
          <cell r="I625" t="str">
            <v>BCP</v>
          </cell>
          <cell r="J625">
            <v>19391630637097</v>
          </cell>
          <cell r="K625" t="str">
            <v>DNI</v>
          </cell>
          <cell r="L625">
            <v>10081539044</v>
          </cell>
          <cell r="M625" t="str">
            <v>URBANO</v>
          </cell>
          <cell r="N625">
            <v>44662</v>
          </cell>
          <cell r="O625">
            <v>0</v>
          </cell>
          <cell r="P625" t="str">
            <v>LITE</v>
          </cell>
        </row>
        <row r="626">
          <cell r="A626">
            <v>2057</v>
          </cell>
          <cell r="B626">
            <v>2057</v>
          </cell>
          <cell r="C626" t="str">
            <v>CERO MATRICULA</v>
          </cell>
          <cell r="D626" t="str">
            <v>ACTIVO</v>
          </cell>
          <cell r="E626" t="str">
            <v>API374</v>
          </cell>
          <cell r="F626" t="str">
            <v>AVALOS ARIAS DAVID</v>
          </cell>
          <cell r="G626" t="str">
            <v>AVALOS ARIAS DAVID</v>
          </cell>
          <cell r="H626" t="str">
            <v>41628567</v>
          </cell>
          <cell r="I626" t="str">
            <v>INTERBANK</v>
          </cell>
          <cell r="J626">
            <v>2003101222190</v>
          </cell>
          <cell r="K626" t="str">
            <v>DNI</v>
          </cell>
          <cell r="L626">
            <v>10416285671</v>
          </cell>
          <cell r="M626" t="str">
            <v>URBANO</v>
          </cell>
          <cell r="N626">
            <v>44809</v>
          </cell>
          <cell r="O626">
            <v>0</v>
          </cell>
          <cell r="P626" t="str">
            <v>XL</v>
          </cell>
        </row>
        <row r="627">
          <cell r="A627">
            <v>2058</v>
          </cell>
          <cell r="B627">
            <v>2058</v>
          </cell>
          <cell r="C627" t="str">
            <v>CERO MATRICULA</v>
          </cell>
          <cell r="D627" t="str">
            <v>ACTIVO</v>
          </cell>
          <cell r="E627" t="str">
            <v>BCJ123</v>
          </cell>
          <cell r="F627" t="str">
            <v>HUAMAN HUAMAN JOSE ISIDORO</v>
          </cell>
          <cell r="G627" t="str">
            <v>HUAMAN HUAMAN JOSE ISIDORO</v>
          </cell>
          <cell r="H627" t="str">
            <v>73537977</v>
          </cell>
          <cell r="I627" t="str">
            <v>BCP</v>
          </cell>
          <cell r="J627" t="str">
            <v>19394838525087</v>
          </cell>
          <cell r="K627" t="str">
            <v>DNI</v>
          </cell>
          <cell r="L627">
            <v>10735379777</v>
          </cell>
          <cell r="M627" t="str">
            <v>URBANO</v>
          </cell>
          <cell r="N627">
            <v>44658</v>
          </cell>
          <cell r="O627">
            <v>0</v>
          </cell>
          <cell r="P627" t="str">
            <v>LITE</v>
          </cell>
        </row>
        <row r="628">
          <cell r="A628">
            <v>2059</v>
          </cell>
          <cell r="B628">
            <v>2059</v>
          </cell>
          <cell r="C628" t="str">
            <v>CERO MATRICULA</v>
          </cell>
          <cell r="D628" t="str">
            <v>ACTIVO</v>
          </cell>
          <cell r="E628" t="str">
            <v>BNY321</v>
          </cell>
          <cell r="F628" t="str">
            <v>RODRIGUEZ VILCHEZ GERARDO JOSEPH</v>
          </cell>
          <cell r="G628" t="str">
            <v>GALINDO VASQUEZ LUIS ALBERTO</v>
          </cell>
          <cell r="H628" t="str">
            <v>22299737</v>
          </cell>
          <cell r="I628" t="str">
            <v>BCP</v>
          </cell>
          <cell r="J628" t="str">
            <v>193-35774610-0-68</v>
          </cell>
          <cell r="K628" t="str">
            <v>DNI</v>
          </cell>
          <cell r="L628">
            <v>10222997378</v>
          </cell>
          <cell r="M628" t="str">
            <v>URBANO</v>
          </cell>
          <cell r="N628">
            <v>45033</v>
          </cell>
          <cell r="O628">
            <v>0</v>
          </cell>
          <cell r="P628" t="str">
            <v>XL</v>
          </cell>
        </row>
        <row r="629">
          <cell r="A629">
            <v>2060</v>
          </cell>
          <cell r="B629">
            <v>2060</v>
          </cell>
          <cell r="C629" t="str">
            <v>CERO MATRICULA</v>
          </cell>
          <cell r="D629" t="str">
            <v>ACTIVO</v>
          </cell>
          <cell r="E629" t="str">
            <v>BCX181</v>
          </cell>
          <cell r="F629" t="str">
            <v xml:space="preserve">HERENCIA SANCHEZ JUAN CARLOS </v>
          </cell>
          <cell r="G629" t="str">
            <v>RODRIGUEZ VEGAS VIVIANA</v>
          </cell>
          <cell r="H629" t="str">
            <v>40370347</v>
          </cell>
          <cell r="I629" t="str">
            <v>BCP</v>
          </cell>
          <cell r="J629" t="str">
            <v>19170265145092</v>
          </cell>
          <cell r="K629" t="str">
            <v>DNI</v>
          </cell>
          <cell r="L629">
            <v>10403703473</v>
          </cell>
          <cell r="M629" t="str">
            <v>URBANO PARTNER</v>
          </cell>
          <cell r="N629">
            <v>45096</v>
          </cell>
          <cell r="O629">
            <v>0</v>
          </cell>
          <cell r="P629" t="str">
            <v>LITE</v>
          </cell>
        </row>
        <row r="630">
          <cell r="A630">
            <v>2061</v>
          </cell>
          <cell r="B630">
            <v>2061</v>
          </cell>
          <cell r="C630" t="str">
            <v>CERO MATRICULA</v>
          </cell>
          <cell r="D630" t="str">
            <v>ACTIVO</v>
          </cell>
          <cell r="E630" t="str">
            <v>BZE165</v>
          </cell>
          <cell r="F630" t="str">
            <v>VILLA BUITRON ABEL DONATO</v>
          </cell>
          <cell r="G630" t="str">
            <v>VILLA BUITRON ABEL DONATO</v>
          </cell>
          <cell r="H630" t="str">
            <v>70436043</v>
          </cell>
          <cell r="I630" t="str">
            <v>BCP</v>
          </cell>
          <cell r="J630" t="str">
            <v>19294073836075</v>
          </cell>
          <cell r="K630" t="str">
            <v>DNI</v>
          </cell>
          <cell r="L630">
            <v>10704360431</v>
          </cell>
          <cell r="M630" t="str">
            <v>URBANO PARTNER</v>
          </cell>
          <cell r="N630">
            <v>44783</v>
          </cell>
          <cell r="O630">
            <v>0</v>
          </cell>
          <cell r="P630" t="str">
            <v>LITE</v>
          </cell>
        </row>
        <row r="631">
          <cell r="A631">
            <v>2063</v>
          </cell>
          <cell r="B631">
            <v>2063</v>
          </cell>
          <cell r="C631" t="str">
            <v>CERO MATRICULA</v>
          </cell>
          <cell r="D631" t="str">
            <v>ACTIVO</v>
          </cell>
          <cell r="E631" t="str">
            <v>ANM675</v>
          </cell>
          <cell r="F631" t="str">
            <v>MALVACEDA CHAVEZ GIANCARLO GIAMPERO</v>
          </cell>
          <cell r="G631" t="str">
            <v>MALVACEDA CHAVEZ GIANCARLO GIAMPERO</v>
          </cell>
          <cell r="H631" t="str">
            <v>46196245</v>
          </cell>
          <cell r="I631" t="str">
            <v>INTERBANK</v>
          </cell>
          <cell r="J631" t="str">
            <v>2003105202771</v>
          </cell>
          <cell r="K631" t="str">
            <v>DNI</v>
          </cell>
          <cell r="L631">
            <v>10461962454</v>
          </cell>
          <cell r="M631" t="str">
            <v>URBANO</v>
          </cell>
          <cell r="N631">
            <v>44659</v>
          </cell>
          <cell r="O631">
            <v>0</v>
          </cell>
          <cell r="P631" t="str">
            <v>LITE</v>
          </cell>
        </row>
        <row r="632">
          <cell r="A632">
            <v>2065</v>
          </cell>
          <cell r="B632">
            <v>2065</v>
          </cell>
          <cell r="C632" t="str">
            <v>CERO MATRICULA</v>
          </cell>
          <cell r="D632" t="str">
            <v>ACTIVO</v>
          </cell>
          <cell r="E632" t="str">
            <v>BKT498</v>
          </cell>
          <cell r="F632" t="str">
            <v>PAREJA ROCA WILLIAMS LUIS</v>
          </cell>
          <cell r="G632" t="str">
            <v>PAREJA ROCA WILLIAMS LUIS</v>
          </cell>
          <cell r="H632" t="str">
            <v>43451529</v>
          </cell>
          <cell r="I632" t="str">
            <v>BCP</v>
          </cell>
          <cell r="J632" t="str">
            <v>19435067944064</v>
          </cell>
          <cell r="K632" t="str">
            <v>DNI</v>
          </cell>
          <cell r="L632">
            <v>10434515292</v>
          </cell>
          <cell r="M632" t="str">
            <v>URBANO</v>
          </cell>
          <cell r="N632">
            <v>44662</v>
          </cell>
          <cell r="O632">
            <v>0</v>
          </cell>
          <cell r="P632" t="str">
            <v>LITE</v>
          </cell>
        </row>
        <row r="633">
          <cell r="A633">
            <v>2067</v>
          </cell>
          <cell r="B633">
            <v>2067</v>
          </cell>
          <cell r="C633" t="str">
            <v>CERO MATRICULA</v>
          </cell>
          <cell r="D633" t="str">
            <v>ACTIVO</v>
          </cell>
          <cell r="E633" t="str">
            <v>F4O482</v>
          </cell>
          <cell r="F633" t="str">
            <v>HUARI RAMOS CESAR JULIO</v>
          </cell>
          <cell r="G633" t="str">
            <v>HUARI RAMOS CESAR JULIO</v>
          </cell>
          <cell r="H633" t="str">
            <v>45232192</v>
          </cell>
          <cell r="I633" t="str">
            <v>BCP</v>
          </cell>
          <cell r="J633" t="str">
            <v>194-05314441-0-21</v>
          </cell>
          <cell r="K633" t="str">
            <v xml:space="preserve">DNI </v>
          </cell>
          <cell r="L633">
            <v>10452321926</v>
          </cell>
          <cell r="M633" t="str">
            <v>URBANO</v>
          </cell>
          <cell r="N633">
            <v>44890</v>
          </cell>
          <cell r="O633">
            <v>0</v>
          </cell>
          <cell r="P633" t="str">
            <v>COMFORT</v>
          </cell>
        </row>
        <row r="634">
          <cell r="A634">
            <v>2068</v>
          </cell>
          <cell r="B634">
            <v>2068</v>
          </cell>
          <cell r="C634" t="str">
            <v>CERO MATRICULA</v>
          </cell>
          <cell r="D634" t="str">
            <v>ACTIVO</v>
          </cell>
          <cell r="E634" t="str">
            <v>ASJ103</v>
          </cell>
          <cell r="F634" t="str">
            <v>ACEVEDO LUNA ANDRES ENRIQUE</v>
          </cell>
          <cell r="G634" t="str">
            <v>ACEVEDO LUNA LUIS MANUEL</v>
          </cell>
          <cell r="H634" t="str">
            <v>10433873</v>
          </cell>
          <cell r="I634" t="str">
            <v>INTERBANK</v>
          </cell>
          <cell r="J634" t="str">
            <v>2573127057402</v>
          </cell>
          <cell r="K634" t="str">
            <v>DNI</v>
          </cell>
          <cell r="L634">
            <v>10104338734</v>
          </cell>
          <cell r="M634" t="str">
            <v>URBANO</v>
          </cell>
          <cell r="N634">
            <v>44725</v>
          </cell>
          <cell r="O634">
            <v>0</v>
          </cell>
          <cell r="P634" t="str">
            <v>COMFORT XL</v>
          </cell>
        </row>
        <row r="635">
          <cell r="A635">
            <v>2070</v>
          </cell>
          <cell r="B635">
            <v>2070</v>
          </cell>
          <cell r="C635" t="str">
            <v>CERO MATRICULA</v>
          </cell>
          <cell r="D635" t="str">
            <v>ACTIVO</v>
          </cell>
          <cell r="E635" t="str">
            <v>ARC028</v>
          </cell>
          <cell r="F635" t="str">
            <v>TAFUR HUAMAN CARLOS FELIPE</v>
          </cell>
          <cell r="G635" t="str">
            <v>TAFUR HUAMAN CARLOS FELIPE</v>
          </cell>
          <cell r="H635" t="str">
            <v>06878748</v>
          </cell>
          <cell r="I635" t="str">
            <v>BBVA</v>
          </cell>
          <cell r="J635" t="str">
            <v>001108470200095540</v>
          </cell>
          <cell r="K635" t="str">
            <v>DNI</v>
          </cell>
          <cell r="L635">
            <v>10068787489</v>
          </cell>
          <cell r="M635" t="str">
            <v>URBANO</v>
          </cell>
          <cell r="N635">
            <v>44667</v>
          </cell>
          <cell r="O635">
            <v>0</v>
          </cell>
          <cell r="P635" t="str">
            <v>LITE</v>
          </cell>
        </row>
        <row r="636">
          <cell r="A636">
            <v>2071</v>
          </cell>
          <cell r="B636">
            <v>2071</v>
          </cell>
          <cell r="C636" t="str">
            <v>CERO MATRICULA</v>
          </cell>
          <cell r="D636" t="str">
            <v>ACTIVO</v>
          </cell>
          <cell r="E636" t="str">
            <v>P2R344</v>
          </cell>
          <cell r="F636" t="str">
            <v>PALACIOS PALACIOS JOSE RENE</v>
          </cell>
          <cell r="G636" t="str">
            <v>PALACIOS PALACIOS JOSE RENE</v>
          </cell>
          <cell r="H636" t="str">
            <v>001887746</v>
          </cell>
          <cell r="I636" t="str">
            <v>BCP</v>
          </cell>
          <cell r="J636" t="str">
            <v>19391687792028</v>
          </cell>
          <cell r="K636" t="str">
            <v>CE</v>
          </cell>
          <cell r="L636">
            <v>15603986404</v>
          </cell>
          <cell r="M636" t="str">
            <v>URBANO</v>
          </cell>
          <cell r="N636">
            <v>44669</v>
          </cell>
          <cell r="O636">
            <v>0</v>
          </cell>
          <cell r="P636" t="str">
            <v>COMFORT XL</v>
          </cell>
        </row>
        <row r="637">
          <cell r="A637">
            <v>2072</v>
          </cell>
          <cell r="B637">
            <v>2072</v>
          </cell>
          <cell r="C637" t="str">
            <v>CERO MATRICULA</v>
          </cell>
          <cell r="D637" t="str">
            <v>ACTIVO</v>
          </cell>
          <cell r="E637" t="str">
            <v>BKJ247</v>
          </cell>
          <cell r="F637" t="str">
            <v>ROJAS MAESTRE JUNIOR RAMON</v>
          </cell>
          <cell r="G637" t="str">
            <v>ROJAS MAESTRE JUNIOR RAMON</v>
          </cell>
          <cell r="H637" t="str">
            <v>002220031</v>
          </cell>
          <cell r="I637" t="str">
            <v>BCP</v>
          </cell>
          <cell r="J637" t="str">
            <v>191-93591891-0-61</v>
          </cell>
          <cell r="K637" t="str">
            <v>CE</v>
          </cell>
          <cell r="L637">
            <v>15604318278</v>
          </cell>
          <cell r="M637" t="str">
            <v>URBANO</v>
          </cell>
          <cell r="N637">
            <v>44669</v>
          </cell>
          <cell r="O637">
            <v>0</v>
          </cell>
          <cell r="P637" t="str">
            <v>LITE</v>
          </cell>
        </row>
        <row r="638">
          <cell r="A638">
            <v>2073</v>
          </cell>
          <cell r="B638">
            <v>2073</v>
          </cell>
          <cell r="C638" t="str">
            <v>CERO MATRICULA</v>
          </cell>
          <cell r="D638" t="str">
            <v>ACTIVO</v>
          </cell>
          <cell r="E638" t="str">
            <v>AMK255</v>
          </cell>
          <cell r="F638" t="str">
            <v>LINGAN ANAMPA DANNY JOEL</v>
          </cell>
          <cell r="G638" t="str">
            <v>LINGAN ANAMPA DANNY JOEL</v>
          </cell>
          <cell r="H638" t="str">
            <v>40189820</v>
          </cell>
          <cell r="I638" t="str">
            <v>BCP</v>
          </cell>
          <cell r="J638" t="str">
            <v>19393415563052</v>
          </cell>
          <cell r="K638" t="str">
            <v>DNI</v>
          </cell>
          <cell r="L638">
            <v>10401898200</v>
          </cell>
          <cell r="M638" t="str">
            <v>URBANO</v>
          </cell>
          <cell r="N638">
            <v>44669</v>
          </cell>
          <cell r="O638">
            <v>0</v>
          </cell>
          <cell r="P638" t="str">
            <v>COMFORT</v>
          </cell>
        </row>
        <row r="639">
          <cell r="A639">
            <v>2074</v>
          </cell>
          <cell r="B639">
            <v>2074</v>
          </cell>
          <cell r="C639" t="str">
            <v>CERO MATRICULA</v>
          </cell>
          <cell r="D639" t="str">
            <v>ACTIVO</v>
          </cell>
          <cell r="E639" t="str">
            <v>BEJ041</v>
          </cell>
          <cell r="F639" t="str">
            <v>VASQUEZ SANGAMA  SEGUNDO BENJAMIN</v>
          </cell>
          <cell r="G639" t="str">
            <v>VASQUEZ SANGAMA  SEGUNDO BENJAMIN</v>
          </cell>
          <cell r="H639" t="str">
            <v>45699083</v>
          </cell>
          <cell r="I639" t="str">
            <v>BCP</v>
          </cell>
          <cell r="J639">
            <v>19199539725074</v>
          </cell>
          <cell r="K639" t="str">
            <v>DNI</v>
          </cell>
          <cell r="L639">
            <v>10456990831</v>
          </cell>
          <cell r="M639" t="str">
            <v>URBANO</v>
          </cell>
          <cell r="N639">
            <v>44672</v>
          </cell>
          <cell r="O639">
            <v>0</v>
          </cell>
          <cell r="P639" t="str">
            <v>COMFORT</v>
          </cell>
        </row>
        <row r="640">
          <cell r="A640">
            <v>2076</v>
          </cell>
          <cell r="B640">
            <v>2076</v>
          </cell>
          <cell r="C640" t="str">
            <v>CERO MATRICULA</v>
          </cell>
          <cell r="D640" t="str">
            <v>ACTIVO</v>
          </cell>
          <cell r="E640" t="str">
            <v>ABQ140</v>
          </cell>
          <cell r="F640" t="str">
            <v>GONZALES PEREZ DIMAR</v>
          </cell>
          <cell r="G640" t="str">
            <v>GONZALES PEREZ DIMAR</v>
          </cell>
          <cell r="H640" t="str">
            <v>41556879</v>
          </cell>
          <cell r="I640" t="str">
            <v>INTERBANK</v>
          </cell>
          <cell r="J640" t="str">
            <v>2883106908940</v>
          </cell>
          <cell r="K640" t="str">
            <v>DNI</v>
          </cell>
          <cell r="L640">
            <v>10415568792</v>
          </cell>
          <cell r="M640" t="str">
            <v>URBANO</v>
          </cell>
          <cell r="N640">
            <v>44680</v>
          </cell>
          <cell r="O640">
            <v>0</v>
          </cell>
          <cell r="P640" t="str">
            <v>COMFORT XL</v>
          </cell>
        </row>
        <row r="641">
          <cell r="A641">
            <v>2077</v>
          </cell>
          <cell r="B641">
            <v>2077</v>
          </cell>
          <cell r="C641" t="str">
            <v>CERO MATRICULA</v>
          </cell>
          <cell r="D641" t="str">
            <v>ACTIVO</v>
          </cell>
          <cell r="E641" t="str">
            <v>BZC566</v>
          </cell>
          <cell r="F641" t="str">
            <v>FUENTES ROJAS JONATHAN JOSE</v>
          </cell>
          <cell r="G641" t="str">
            <v>FUENTES ROJAS JONATHAN JOSE</v>
          </cell>
          <cell r="H641" t="str">
            <v>002240206</v>
          </cell>
          <cell r="I641" t="str">
            <v>BCP</v>
          </cell>
          <cell r="J641" t="str">
            <v>19497723407010</v>
          </cell>
          <cell r="K641" t="str">
            <v>CE</v>
          </cell>
          <cell r="L641">
            <v>15606106821</v>
          </cell>
          <cell r="M641" t="str">
            <v>URBANO</v>
          </cell>
          <cell r="N641">
            <v>44679</v>
          </cell>
          <cell r="O641">
            <v>0</v>
          </cell>
          <cell r="P641" t="str">
            <v>LITE</v>
          </cell>
        </row>
        <row r="642">
          <cell r="A642">
            <v>2080</v>
          </cell>
          <cell r="B642">
            <v>2080</v>
          </cell>
          <cell r="C642" t="str">
            <v>CERO MATRICULA</v>
          </cell>
          <cell r="D642" t="str">
            <v>ACTIVO</v>
          </cell>
          <cell r="E642" t="str">
            <v>BXW042</v>
          </cell>
          <cell r="F642" t="str">
            <v>DIAZ ESPINOZA JERRY ALEJANDRO</v>
          </cell>
          <cell r="G642" t="str">
            <v>DIAZ ESPINOZA ERIK MANUEL</v>
          </cell>
          <cell r="H642" t="str">
            <v>46503584</v>
          </cell>
          <cell r="I642" t="str">
            <v>SCOTIABANK</v>
          </cell>
          <cell r="J642" t="str">
            <v xml:space="preserve">043-7695265 </v>
          </cell>
          <cell r="K642" t="str">
            <v>DNI</v>
          </cell>
          <cell r="L642">
            <v>10465035841</v>
          </cell>
          <cell r="M642" t="str">
            <v>URBANO</v>
          </cell>
          <cell r="N642">
            <v>44916</v>
          </cell>
          <cell r="O642">
            <v>0</v>
          </cell>
          <cell r="P642" t="str">
            <v>LITE</v>
          </cell>
        </row>
        <row r="643">
          <cell r="A643">
            <v>2081</v>
          </cell>
          <cell r="B643">
            <v>2081</v>
          </cell>
          <cell r="C643" t="str">
            <v>CERO MATRICULA</v>
          </cell>
          <cell r="D643" t="str">
            <v>ACTIVO</v>
          </cell>
          <cell r="E643" t="str">
            <v>BKK178</v>
          </cell>
          <cell r="F643" t="str">
            <v>QUEVEDO CIFUENTES RAFAEL RAMON</v>
          </cell>
          <cell r="G643" t="str">
            <v>QUEVEDO CIFUENTES RAFAEL RAMON</v>
          </cell>
          <cell r="H643" t="str">
            <v>003125466</v>
          </cell>
          <cell r="I643" t="str">
            <v>BCP</v>
          </cell>
          <cell r="J643">
            <v>19392000221015</v>
          </cell>
          <cell r="K643" t="str">
            <v>CE</v>
          </cell>
          <cell r="L643">
            <v>15606965084</v>
          </cell>
          <cell r="M643" t="str">
            <v>URBANO</v>
          </cell>
          <cell r="N643">
            <v>44691</v>
          </cell>
          <cell r="O643">
            <v>0</v>
          </cell>
          <cell r="P643" t="str">
            <v>COMFORT</v>
          </cell>
        </row>
        <row r="644">
          <cell r="A644">
            <v>2082</v>
          </cell>
          <cell r="B644">
            <v>2082</v>
          </cell>
          <cell r="C644" t="str">
            <v>CERO MATRICULA</v>
          </cell>
          <cell r="D644" t="str">
            <v>ACTIVO</v>
          </cell>
          <cell r="E644" t="str">
            <v>AXT040</v>
          </cell>
          <cell r="F644" t="str">
            <v>ROQUE ÑAVINCOPA HENRY MIGUEL</v>
          </cell>
          <cell r="G644" t="str">
            <v>ROQUE ÑAVINCOPA HENRY MIGUEL</v>
          </cell>
          <cell r="H644" t="str">
            <v>09893490</v>
          </cell>
          <cell r="I644" t="str">
            <v>BCP</v>
          </cell>
          <cell r="J644">
            <v>19128552863074</v>
          </cell>
          <cell r="K644" t="str">
            <v>DNI</v>
          </cell>
          <cell r="L644">
            <v>10098934907</v>
          </cell>
          <cell r="M644" t="str">
            <v>URBANO</v>
          </cell>
          <cell r="N644">
            <v>44692</v>
          </cell>
          <cell r="O644">
            <v>0</v>
          </cell>
          <cell r="P644" t="str">
            <v>COMFORT</v>
          </cell>
        </row>
        <row r="645">
          <cell r="A645">
            <v>2083</v>
          </cell>
          <cell r="B645">
            <v>2083</v>
          </cell>
          <cell r="C645" t="str">
            <v>CERO MATRICULA</v>
          </cell>
          <cell r="D645" t="str">
            <v>ACTIVO</v>
          </cell>
          <cell r="E645" t="str">
            <v>ARG176</v>
          </cell>
          <cell r="F645" t="str">
            <v>LLAULLE RIVAS JUNIOR DAVID</v>
          </cell>
          <cell r="G645" t="str">
            <v>LLAULLE RIVAS JUNIOR DAVID</v>
          </cell>
          <cell r="H645" t="str">
            <v>73182509</v>
          </cell>
          <cell r="I645" t="str">
            <v>BBVA</v>
          </cell>
          <cell r="J645" t="str">
            <v>001108140202667207</v>
          </cell>
          <cell r="K645" t="str">
            <v>DNI</v>
          </cell>
          <cell r="L645">
            <v>10731825098</v>
          </cell>
          <cell r="M645" t="str">
            <v>URBANO</v>
          </cell>
          <cell r="N645">
            <v>44795</v>
          </cell>
          <cell r="O645">
            <v>0</v>
          </cell>
          <cell r="P645" t="str">
            <v>LITE</v>
          </cell>
        </row>
        <row r="646">
          <cell r="A646">
            <v>2084</v>
          </cell>
          <cell r="B646">
            <v>2084</v>
          </cell>
          <cell r="C646" t="str">
            <v>CERO MATRICULA</v>
          </cell>
          <cell r="D646" t="str">
            <v>ACTIVO</v>
          </cell>
          <cell r="E646" t="str">
            <v>BSJ613</v>
          </cell>
          <cell r="F646" t="str">
            <v>TAHUA MENDOZA ELMER GRABIEL</v>
          </cell>
          <cell r="G646" t="str">
            <v>TAHUA MENDOZA ELMER GRABIEL</v>
          </cell>
          <cell r="H646" t="str">
            <v>44190966</v>
          </cell>
          <cell r="I646" t="str">
            <v>SCOTIABANK</v>
          </cell>
          <cell r="J646">
            <v>6930438012</v>
          </cell>
          <cell r="K646" t="str">
            <v>DNI</v>
          </cell>
          <cell r="L646">
            <v>10441909662</v>
          </cell>
          <cell r="M646" t="str">
            <v>URBANO</v>
          </cell>
          <cell r="N646">
            <v>44712</v>
          </cell>
          <cell r="O646">
            <v>0</v>
          </cell>
          <cell r="P646" t="str">
            <v>COMFORT XL</v>
          </cell>
        </row>
        <row r="647">
          <cell r="A647">
            <v>2085</v>
          </cell>
          <cell r="B647">
            <v>2085</v>
          </cell>
          <cell r="C647" t="str">
            <v>CERO MATRICULA</v>
          </cell>
          <cell r="D647" t="str">
            <v>ACTIVO</v>
          </cell>
          <cell r="E647" t="str">
            <v>BUK407</v>
          </cell>
          <cell r="F647" t="str">
            <v>PEREZ MURAYARI CESAR</v>
          </cell>
          <cell r="G647" t="str">
            <v>TORREBLANCA PEÑA MARIA DEL CARMEN</v>
          </cell>
          <cell r="H647" t="str">
            <v>40650915</v>
          </cell>
          <cell r="I647" t="str">
            <v>BCP</v>
          </cell>
          <cell r="J647" t="str">
            <v>19127285937051</v>
          </cell>
          <cell r="K647" t="str">
            <v>DNI</v>
          </cell>
          <cell r="L647">
            <v>10406509155</v>
          </cell>
          <cell r="M647" t="str">
            <v>AEROLINEAS</v>
          </cell>
          <cell r="N647">
            <v>44705</v>
          </cell>
          <cell r="O647">
            <v>0</v>
          </cell>
          <cell r="P647" t="str">
            <v>COMFORT XL</v>
          </cell>
        </row>
        <row r="648">
          <cell r="A648">
            <v>2086</v>
          </cell>
          <cell r="B648">
            <v>2086</v>
          </cell>
          <cell r="C648" t="str">
            <v>CERO MATRICULA</v>
          </cell>
          <cell r="D648" t="str">
            <v>ACTIVO</v>
          </cell>
          <cell r="E648" t="str">
            <v>BRQ152</v>
          </cell>
          <cell r="F648" t="str">
            <v>CESPEDES TELLO CHRISTIAN ANDRES</v>
          </cell>
          <cell r="G648" t="str">
            <v>CESPEDES TELLO CHRISTIAN ANDRES</v>
          </cell>
          <cell r="H648" t="str">
            <v>41743346</v>
          </cell>
          <cell r="I648" t="str">
            <v>BCP</v>
          </cell>
          <cell r="J648">
            <v>19106155640017</v>
          </cell>
          <cell r="K648" t="str">
            <v>DNI</v>
          </cell>
          <cell r="L648">
            <v>10417433461</v>
          </cell>
          <cell r="M648" t="str">
            <v>AEROPUERTO</v>
          </cell>
          <cell r="N648">
            <v>44711</v>
          </cell>
          <cell r="O648">
            <v>240</v>
          </cell>
          <cell r="P648" t="str">
            <v>XL</v>
          </cell>
        </row>
        <row r="649">
          <cell r="A649">
            <v>2087</v>
          </cell>
          <cell r="B649">
            <v>2087</v>
          </cell>
          <cell r="C649" t="str">
            <v>CERO MATRICULA</v>
          </cell>
          <cell r="D649" t="str">
            <v>ACTIVO</v>
          </cell>
          <cell r="E649" t="str">
            <v>BXQ620</v>
          </cell>
          <cell r="F649" t="str">
            <v>NOEL DIESTRO MAX GIANCARLO</v>
          </cell>
          <cell r="G649" t="str">
            <v>NOEL DIESTRO MAX GIANCARLO</v>
          </cell>
          <cell r="H649" t="str">
            <v>44802145</v>
          </cell>
          <cell r="I649" t="str">
            <v>BCP</v>
          </cell>
          <cell r="J649">
            <v>19420448015059</v>
          </cell>
          <cell r="K649" t="str">
            <v>DNI</v>
          </cell>
          <cell r="L649">
            <v>10448021454</v>
          </cell>
          <cell r="M649" t="str">
            <v>URBANO</v>
          </cell>
          <cell r="N649">
            <v>44711</v>
          </cell>
          <cell r="O649">
            <v>0</v>
          </cell>
          <cell r="P649" t="str">
            <v>XL</v>
          </cell>
        </row>
        <row r="650">
          <cell r="A650">
            <v>2088</v>
          </cell>
          <cell r="B650">
            <v>2088</v>
          </cell>
          <cell r="C650" t="str">
            <v>CERO MATRICULA</v>
          </cell>
          <cell r="D650" t="str">
            <v>ACTIVO</v>
          </cell>
          <cell r="E650" t="str">
            <v>BVK446</v>
          </cell>
          <cell r="F650" t="str">
            <v>GARCIA YAURI CARLOS JAVIER</v>
          </cell>
          <cell r="G650" t="str">
            <v>GARCIA YAURI CARLOS JAVIER</v>
          </cell>
          <cell r="H650" t="str">
            <v>72484392</v>
          </cell>
          <cell r="I650" t="str">
            <v>BCP</v>
          </cell>
          <cell r="J650">
            <v>19397720131001</v>
          </cell>
          <cell r="K650" t="str">
            <v>DNI</v>
          </cell>
          <cell r="L650">
            <v>10724843927</v>
          </cell>
          <cell r="M650" t="str">
            <v>URBANO</v>
          </cell>
          <cell r="N650">
            <v>44712</v>
          </cell>
          <cell r="O650">
            <v>0</v>
          </cell>
          <cell r="P650" t="str">
            <v>COMFORT XL</v>
          </cell>
        </row>
        <row r="651">
          <cell r="A651">
            <v>2089</v>
          </cell>
          <cell r="B651">
            <v>2089</v>
          </cell>
          <cell r="C651" t="str">
            <v>CERO MATRICULA</v>
          </cell>
          <cell r="D651" t="str">
            <v>ACTIVO</v>
          </cell>
          <cell r="E651" t="str">
            <v>D8L181</v>
          </cell>
          <cell r="F651" t="str">
            <v>TAYPE FELIX LEONIDAS</v>
          </cell>
          <cell r="G651" t="str">
            <v>TAYPE FELIX LEONIDAS</v>
          </cell>
          <cell r="H651" t="str">
            <v>07884286</v>
          </cell>
          <cell r="I651" t="str">
            <v>BBVA</v>
          </cell>
          <cell r="J651" t="str">
            <v>001102530200407993</v>
          </cell>
          <cell r="K651" t="str">
            <v>DNI</v>
          </cell>
          <cell r="L651">
            <v>10078842861</v>
          </cell>
          <cell r="M651" t="str">
            <v>AEROPUERTO</v>
          </cell>
          <cell r="N651">
            <v>44708</v>
          </cell>
          <cell r="O651">
            <v>235</v>
          </cell>
          <cell r="P651" t="str">
            <v>COMFORT XL</v>
          </cell>
        </row>
        <row r="652">
          <cell r="A652">
            <v>2090</v>
          </cell>
          <cell r="B652">
            <v>2090</v>
          </cell>
          <cell r="C652" t="str">
            <v>CERO MATRICULA</v>
          </cell>
          <cell r="D652" t="str">
            <v>ACTIVO</v>
          </cell>
          <cell r="E652" t="str">
            <v>Z6N657</v>
          </cell>
          <cell r="F652" t="str">
            <v>MURILLO ROMERO REINALDO</v>
          </cell>
          <cell r="G652" t="str">
            <v>MURILLO ROMERO REINALDO</v>
          </cell>
          <cell r="H652" t="str">
            <v>002613688</v>
          </cell>
          <cell r="I652" t="str">
            <v>BCP</v>
          </cell>
          <cell r="J652" t="str">
            <v>19290084385026</v>
          </cell>
          <cell r="K652" t="str">
            <v>CE</v>
          </cell>
          <cell r="L652">
            <v>15603564283</v>
          </cell>
          <cell r="M652" t="str">
            <v>URBANO</v>
          </cell>
          <cell r="N652">
            <v>44718</v>
          </cell>
          <cell r="O652">
            <v>0</v>
          </cell>
          <cell r="P652" t="str">
            <v>LITE</v>
          </cell>
        </row>
        <row r="653">
          <cell r="A653">
            <v>2091</v>
          </cell>
          <cell r="B653">
            <v>2091</v>
          </cell>
          <cell r="C653" t="str">
            <v>CERO MATRICULA</v>
          </cell>
          <cell r="D653" t="str">
            <v>ACTIVO</v>
          </cell>
          <cell r="E653" t="str">
            <v>BZS590</v>
          </cell>
          <cell r="F653" t="str">
            <v>ESTRADA CHICANA FRANCISCO</v>
          </cell>
          <cell r="G653" t="str">
            <v>ESTRADA CHICANA FRANCISCO</v>
          </cell>
          <cell r="H653" t="str">
            <v>43639371</v>
          </cell>
          <cell r="I653" t="str">
            <v>BCP</v>
          </cell>
          <cell r="J653" t="str">
            <v>19198089205003</v>
          </cell>
          <cell r="K653" t="str">
            <v>DNI</v>
          </cell>
          <cell r="L653">
            <v>10436393712</v>
          </cell>
          <cell r="M653" t="str">
            <v>URBANO</v>
          </cell>
          <cell r="N653">
            <v>44716</v>
          </cell>
          <cell r="O653">
            <v>0</v>
          </cell>
          <cell r="P653" t="str">
            <v>COMFORT</v>
          </cell>
        </row>
        <row r="654">
          <cell r="A654">
            <v>2092</v>
          </cell>
          <cell r="B654">
            <v>2092</v>
          </cell>
          <cell r="C654" t="str">
            <v>CERO MATRICULA</v>
          </cell>
          <cell r="D654" t="str">
            <v>ACTIVO</v>
          </cell>
          <cell r="E654" t="str">
            <v>BKS562</v>
          </cell>
          <cell r="F654" t="str">
            <v>VALENZUELA BALDERA JEAN PIER ALEJANDRO</v>
          </cell>
          <cell r="G654" t="str">
            <v>VALENZUELA BALDERA JEAN PIER ALEJANDRO</v>
          </cell>
          <cell r="H654" t="str">
            <v>76129860</v>
          </cell>
          <cell r="I654" t="str">
            <v>BCP</v>
          </cell>
          <cell r="J654">
            <v>19496777596044</v>
          </cell>
          <cell r="K654" t="str">
            <v>DNI</v>
          </cell>
          <cell r="L654">
            <v>10761298602</v>
          </cell>
          <cell r="M654" t="str">
            <v>URBANO</v>
          </cell>
          <cell r="N654">
            <v>44714</v>
          </cell>
          <cell r="O654">
            <v>0</v>
          </cell>
          <cell r="P654" t="str">
            <v>LITE</v>
          </cell>
        </row>
        <row r="655">
          <cell r="A655">
            <v>2095</v>
          </cell>
          <cell r="B655">
            <v>2095</v>
          </cell>
          <cell r="C655" t="str">
            <v>CERO MATRICULA</v>
          </cell>
          <cell r="D655" t="str">
            <v>ACTIVO</v>
          </cell>
          <cell r="E655" t="str">
            <v>AVJ643</v>
          </cell>
          <cell r="F655" t="str">
            <v>MENDOZA ROJAS WILLIAM JOSE</v>
          </cell>
          <cell r="G655" t="str">
            <v>MENDOZA ROJAS WILLIAM JOSE</v>
          </cell>
          <cell r="H655" t="str">
            <v>004241768</v>
          </cell>
          <cell r="I655" t="str">
            <v>SCOTIABANK</v>
          </cell>
          <cell r="J655">
            <v>8234077876</v>
          </cell>
          <cell r="K655" t="str">
            <v>CE</v>
          </cell>
          <cell r="L655">
            <v>15607168226</v>
          </cell>
          <cell r="M655" t="str">
            <v>URBANO</v>
          </cell>
          <cell r="N655">
            <v>44718</v>
          </cell>
          <cell r="O655">
            <v>0</v>
          </cell>
          <cell r="P655" t="str">
            <v>LITE</v>
          </cell>
        </row>
        <row r="656">
          <cell r="A656">
            <v>2096</v>
          </cell>
          <cell r="B656">
            <v>2096</v>
          </cell>
          <cell r="C656" t="str">
            <v>CERO MATRICULA</v>
          </cell>
          <cell r="D656" t="str">
            <v>ACTIVO</v>
          </cell>
          <cell r="E656" t="str">
            <v>BXB414</v>
          </cell>
          <cell r="F656" t="str">
            <v>CHAVEZ HUAMAN ANGEL ALBERTO</v>
          </cell>
          <cell r="G656" t="str">
            <v>CHAVEZ HUAMAN ANGEL ALBERTO</v>
          </cell>
          <cell r="H656" t="str">
            <v>08124253</v>
          </cell>
          <cell r="I656" t="str">
            <v>INTERBANK</v>
          </cell>
          <cell r="J656" t="str">
            <v>4823086286478</v>
          </cell>
          <cell r="K656" t="str">
            <v>DNI</v>
          </cell>
          <cell r="L656">
            <v>10081242530</v>
          </cell>
          <cell r="M656" t="str">
            <v>URBANO PARTNER</v>
          </cell>
          <cell r="N656">
            <v>44722</v>
          </cell>
          <cell r="O656">
            <v>0</v>
          </cell>
          <cell r="P656" t="str">
            <v>COMFORT XL</v>
          </cell>
        </row>
        <row r="657">
          <cell r="A657">
            <v>2097</v>
          </cell>
          <cell r="B657">
            <v>2097</v>
          </cell>
          <cell r="C657" t="str">
            <v>CERO MATRICULA</v>
          </cell>
          <cell r="D657" t="str">
            <v>ACTIVO</v>
          </cell>
          <cell r="E657" t="str">
            <v>BRP151</v>
          </cell>
          <cell r="F657" t="str">
            <v>CHUGNAS FLOREZ LUIS ENRIQUE</v>
          </cell>
          <cell r="G657" t="str">
            <v>PALOMINO GUTIERREZ PILAR</v>
          </cell>
          <cell r="H657" t="str">
            <v>25800178</v>
          </cell>
          <cell r="I657" t="str">
            <v>BCP</v>
          </cell>
          <cell r="J657">
            <v>19270131584082</v>
          </cell>
          <cell r="K657" t="str">
            <v>DNI</v>
          </cell>
          <cell r="L657">
            <v>10258001783</v>
          </cell>
          <cell r="M657" t="str">
            <v>URBANO</v>
          </cell>
          <cell r="N657">
            <v>44792</v>
          </cell>
          <cell r="O657">
            <v>0</v>
          </cell>
          <cell r="P657" t="str">
            <v>LITE</v>
          </cell>
        </row>
        <row r="658">
          <cell r="A658">
            <v>2099</v>
          </cell>
          <cell r="B658">
            <v>2099</v>
          </cell>
          <cell r="C658" t="str">
            <v>CERO MATRICULA</v>
          </cell>
          <cell r="D658" t="str">
            <v>ACTIVO</v>
          </cell>
          <cell r="E658" t="str">
            <v>BSZ006</v>
          </cell>
          <cell r="F658" t="str">
            <v>MENDOZA NUÑEZ WILBER HENRY</v>
          </cell>
          <cell r="G658" t="str">
            <v>MENDOZA NUÑEZ WILBER HENRY</v>
          </cell>
          <cell r="H658" t="str">
            <v>10649341</v>
          </cell>
          <cell r="I658" t="str">
            <v>BCP</v>
          </cell>
          <cell r="J658" t="str">
            <v>191-71926884-0-15</v>
          </cell>
          <cell r="K658" t="str">
            <v>DNI</v>
          </cell>
          <cell r="L658">
            <v>10106493419</v>
          </cell>
          <cell r="M658" t="str">
            <v>URBANO PARTNER</v>
          </cell>
          <cell r="N658">
            <v>44759</v>
          </cell>
          <cell r="O658">
            <v>0</v>
          </cell>
          <cell r="P658" t="str">
            <v>COMFORT XL</v>
          </cell>
        </row>
        <row r="659">
          <cell r="A659">
            <v>2100</v>
          </cell>
          <cell r="B659">
            <v>2100</v>
          </cell>
          <cell r="C659" t="str">
            <v>CERO MATRICULA</v>
          </cell>
          <cell r="D659" t="str">
            <v>ACTIVO</v>
          </cell>
          <cell r="E659" t="str">
            <v>BZZ021</v>
          </cell>
          <cell r="F659" t="str">
            <v>RAMIREZ  RIMAY AUBNER</v>
          </cell>
          <cell r="G659" t="str">
            <v>DAVILA VIDARTE GILBER RUBEN</v>
          </cell>
          <cell r="H659" t="str">
            <v>76926450</v>
          </cell>
          <cell r="I659" t="str">
            <v>INTERBANK</v>
          </cell>
          <cell r="J659" t="str">
            <v>8983233976964</v>
          </cell>
          <cell r="K659" t="str">
            <v>DNI</v>
          </cell>
          <cell r="L659">
            <v>10769264502</v>
          </cell>
          <cell r="M659" t="str">
            <v>URBANO</v>
          </cell>
          <cell r="N659">
            <v>44729</v>
          </cell>
          <cell r="O659">
            <v>0</v>
          </cell>
          <cell r="P659" t="str">
            <v>COMFORT XL</v>
          </cell>
        </row>
        <row r="660">
          <cell r="A660">
            <v>2102</v>
          </cell>
          <cell r="B660">
            <v>2102</v>
          </cell>
          <cell r="C660" t="str">
            <v>CERO MATRICULA</v>
          </cell>
          <cell r="D660" t="str">
            <v>ACTIVO</v>
          </cell>
          <cell r="E660" t="str">
            <v>BPB678</v>
          </cell>
          <cell r="F660" t="str">
            <v>LIMACHE SALAZAR LUIS MIGUEL</v>
          </cell>
          <cell r="G660" t="str">
            <v>LIMACHE SALAZAR LUIS MIGUEL</v>
          </cell>
          <cell r="H660" t="str">
            <v>70751373</v>
          </cell>
          <cell r="I660" t="str">
            <v>INTERBANK</v>
          </cell>
          <cell r="J660" t="str">
            <v>8983259265861</v>
          </cell>
          <cell r="K660" t="str">
            <v>DNI</v>
          </cell>
          <cell r="L660">
            <v>10707513735</v>
          </cell>
          <cell r="M660" t="str">
            <v>URBANO</v>
          </cell>
          <cell r="N660">
            <v>44730</v>
          </cell>
          <cell r="O660">
            <v>0</v>
          </cell>
          <cell r="P660" t="str">
            <v>COMFORT</v>
          </cell>
        </row>
        <row r="661">
          <cell r="A661">
            <v>2103</v>
          </cell>
          <cell r="B661">
            <v>2103</v>
          </cell>
          <cell r="C661" t="str">
            <v>CERO MATRICULA</v>
          </cell>
          <cell r="D661" t="str">
            <v>ACTIVO</v>
          </cell>
          <cell r="E661" t="str">
            <v>Z6E552</v>
          </cell>
          <cell r="F661" t="str">
            <v>DIAZ LLERENA ALFONSO SALVADOR</v>
          </cell>
          <cell r="G661" t="str">
            <v>DIAZ LLERENA ALFONSO SALVADOR</v>
          </cell>
          <cell r="H661" t="str">
            <v>10784382</v>
          </cell>
          <cell r="I661" t="str">
            <v>INTERBANK</v>
          </cell>
          <cell r="J661">
            <v>8983149973402</v>
          </cell>
          <cell r="K661" t="str">
            <v>DNI</v>
          </cell>
          <cell r="L661">
            <v>10107843821</v>
          </cell>
          <cell r="M661" t="str">
            <v>URBANO</v>
          </cell>
          <cell r="N661">
            <v>44743</v>
          </cell>
          <cell r="O661">
            <v>0</v>
          </cell>
          <cell r="P661" t="str">
            <v>COMFORT XL</v>
          </cell>
        </row>
        <row r="662">
          <cell r="A662">
            <v>2104</v>
          </cell>
          <cell r="B662">
            <v>2104</v>
          </cell>
          <cell r="C662" t="str">
            <v>CERO MATRICULA</v>
          </cell>
          <cell r="D662" t="str">
            <v>ACTIVO</v>
          </cell>
          <cell r="E662" t="str">
            <v>BRV263</v>
          </cell>
          <cell r="F662" t="str">
            <v xml:space="preserve">CHARA VILLANUEVA JUAN CARLOS </v>
          </cell>
          <cell r="G662" t="str">
            <v xml:space="preserve">CHARA VILLANUEVA JUAN CARLOS </v>
          </cell>
          <cell r="H662" t="str">
            <v>44400436</v>
          </cell>
          <cell r="I662" t="str">
            <v>BCP</v>
          </cell>
          <cell r="J662">
            <v>19490169509010</v>
          </cell>
          <cell r="K662" t="str">
            <v>DNI</v>
          </cell>
          <cell r="L662">
            <v>10444004369</v>
          </cell>
          <cell r="M662" t="str">
            <v>URBANO</v>
          </cell>
          <cell r="N662">
            <v>44741</v>
          </cell>
          <cell r="O662">
            <v>0</v>
          </cell>
          <cell r="P662" t="str">
            <v>LITE</v>
          </cell>
        </row>
        <row r="663">
          <cell r="A663">
            <v>2105</v>
          </cell>
          <cell r="B663">
            <v>2105</v>
          </cell>
          <cell r="C663" t="str">
            <v>CERO MATRICULA</v>
          </cell>
          <cell r="D663" t="str">
            <v>ACTIVO</v>
          </cell>
          <cell r="E663" t="str">
            <v>BPL506</v>
          </cell>
          <cell r="F663" t="str">
            <v>CARDENAS VERA RUBEN DARIO</v>
          </cell>
          <cell r="G663" t="str">
            <v>CARDENAS  VERA RUBEN DARIO</v>
          </cell>
          <cell r="H663" t="str">
            <v>41759316</v>
          </cell>
          <cell r="I663" t="str">
            <v>BCP</v>
          </cell>
          <cell r="J663" t="str">
            <v>19499692978075</v>
          </cell>
          <cell r="K663" t="str">
            <v>DNI</v>
          </cell>
          <cell r="L663">
            <v>10417593166</v>
          </cell>
          <cell r="M663" t="str">
            <v>URBANO</v>
          </cell>
          <cell r="N663">
            <v>44734</v>
          </cell>
          <cell r="O663">
            <v>0</v>
          </cell>
          <cell r="P663" t="str">
            <v>COMFORT XL</v>
          </cell>
        </row>
        <row r="664">
          <cell r="A664">
            <v>2106</v>
          </cell>
          <cell r="B664">
            <v>2106</v>
          </cell>
          <cell r="C664" t="str">
            <v>CERO MATRICULA</v>
          </cell>
          <cell r="D664" t="str">
            <v>ACTIVO</v>
          </cell>
          <cell r="E664" t="str">
            <v>BRP162</v>
          </cell>
          <cell r="F664" t="str">
            <v>CHUIMA MOREANO JONATHAN MARCELO</v>
          </cell>
          <cell r="G664" t="str">
            <v>CHUIMA MOREANO JONATHAN MARCELO</v>
          </cell>
          <cell r="H664" t="str">
            <v>41970048</v>
          </cell>
          <cell r="I664" t="str">
            <v>BCP</v>
          </cell>
          <cell r="J664" t="str">
            <v>19422740074070</v>
          </cell>
          <cell r="K664" t="str">
            <v>DNI</v>
          </cell>
          <cell r="L664">
            <v>10419700482</v>
          </cell>
          <cell r="M664" t="str">
            <v>URBANO</v>
          </cell>
          <cell r="N664">
            <v>44734</v>
          </cell>
          <cell r="O664">
            <v>0</v>
          </cell>
          <cell r="P664" t="str">
            <v>COMFORT XL</v>
          </cell>
        </row>
        <row r="665">
          <cell r="A665">
            <v>2107</v>
          </cell>
          <cell r="B665">
            <v>2107</v>
          </cell>
          <cell r="C665" t="str">
            <v>CERO MATRICULA</v>
          </cell>
          <cell r="D665" t="str">
            <v>ACTIVO</v>
          </cell>
          <cell r="E665" t="str">
            <v>BLY441</v>
          </cell>
          <cell r="F665" t="str">
            <v>CAVERO COSAR MARCO ANTONIO</v>
          </cell>
          <cell r="G665" t="str">
            <v>CAVERO COSAR MARCO ANTONIO</v>
          </cell>
          <cell r="H665" t="str">
            <v>40894249</v>
          </cell>
          <cell r="I665" t="str">
            <v>BCP</v>
          </cell>
          <cell r="J665">
            <v>19399311528073</v>
          </cell>
          <cell r="K665" t="str">
            <v>DNI</v>
          </cell>
          <cell r="L665">
            <v>10408942492</v>
          </cell>
          <cell r="M665" t="str">
            <v>URBANO</v>
          </cell>
          <cell r="N665">
            <v>44733</v>
          </cell>
          <cell r="O665">
            <v>0</v>
          </cell>
          <cell r="P665" t="str">
            <v>COMFORT</v>
          </cell>
        </row>
        <row r="666">
          <cell r="A666">
            <v>2108</v>
          </cell>
          <cell r="B666">
            <v>2108</v>
          </cell>
          <cell r="C666" t="str">
            <v>CERO MATRICULA</v>
          </cell>
          <cell r="D666" t="str">
            <v>ACTIVO</v>
          </cell>
          <cell r="E666" t="str">
            <v>Z6S239</v>
          </cell>
          <cell r="F666" t="str">
            <v>DAVILA VALDERRAMA LUIS FELIPE</v>
          </cell>
          <cell r="G666" t="str">
            <v>DAVILA VALDERRAMA ANGEL GEANMARCO</v>
          </cell>
          <cell r="H666" t="str">
            <v>71524386</v>
          </cell>
          <cell r="I666" t="str">
            <v>BBVA</v>
          </cell>
          <cell r="J666" t="str">
            <v>0011-0814-023132672912</v>
          </cell>
          <cell r="K666" t="str">
            <v>DNI</v>
          </cell>
          <cell r="L666">
            <v>10715243861</v>
          </cell>
          <cell r="M666" t="str">
            <v>AEROLINEAS</v>
          </cell>
          <cell r="N666">
            <v>44795</v>
          </cell>
          <cell r="O666">
            <v>0</v>
          </cell>
          <cell r="P666" t="str">
            <v>COMFORT XL</v>
          </cell>
        </row>
        <row r="667">
          <cell r="A667">
            <v>2109</v>
          </cell>
          <cell r="B667">
            <v>2109</v>
          </cell>
          <cell r="C667" t="str">
            <v>CERO MATRICULA</v>
          </cell>
          <cell r="D667" t="str">
            <v>ACTIVO</v>
          </cell>
          <cell r="E667" t="str">
            <v>BXL419</v>
          </cell>
          <cell r="F667" t="str">
            <v>PERALTA  SUPO RENZO JAVIER</v>
          </cell>
          <cell r="G667" t="str">
            <v>PERALTA  SUPO RENZO JAVIER</v>
          </cell>
          <cell r="H667" t="str">
            <v>25794140</v>
          </cell>
          <cell r="I667" t="str">
            <v>BBVA</v>
          </cell>
          <cell r="J667" t="str">
            <v>001104670200106458</v>
          </cell>
          <cell r="K667" t="str">
            <v>DNI</v>
          </cell>
          <cell r="L667">
            <v>10257941405</v>
          </cell>
          <cell r="M667" t="str">
            <v>URBANO</v>
          </cell>
          <cell r="N667">
            <v>44743</v>
          </cell>
          <cell r="O667">
            <v>0</v>
          </cell>
          <cell r="P667" t="str">
            <v>LITE</v>
          </cell>
        </row>
        <row r="668">
          <cell r="A668">
            <v>2110</v>
          </cell>
          <cell r="B668">
            <v>2110</v>
          </cell>
          <cell r="C668" t="str">
            <v>CERO MATRICULA</v>
          </cell>
          <cell r="D668" t="str">
            <v>ACTIVO</v>
          </cell>
          <cell r="E668" t="str">
            <v>BZI291</v>
          </cell>
          <cell r="F668" t="str">
            <v>CHANDUVI VALLADOLID DANNY ALEXANDER</v>
          </cell>
          <cell r="G668" t="str">
            <v>CHANDUVI VALLADOLID DANNY ALEXANDER</v>
          </cell>
          <cell r="H668" t="str">
            <v>41057394</v>
          </cell>
          <cell r="I668" t="str">
            <v>BCP</v>
          </cell>
          <cell r="J668" t="str">
            <v>19121566039076</v>
          </cell>
          <cell r="K668" t="str">
            <v>DNI</v>
          </cell>
          <cell r="L668">
            <v>10410573941</v>
          </cell>
          <cell r="M668" t="str">
            <v>URBANO</v>
          </cell>
          <cell r="N668">
            <v>44846</v>
          </cell>
          <cell r="O668">
            <v>0</v>
          </cell>
          <cell r="P668" t="str">
            <v>XL</v>
          </cell>
        </row>
        <row r="669">
          <cell r="A669">
            <v>2111</v>
          </cell>
          <cell r="B669">
            <v>2111</v>
          </cell>
          <cell r="C669" t="str">
            <v>CERO MATRICULA</v>
          </cell>
          <cell r="D669" t="str">
            <v>ACTIVO</v>
          </cell>
          <cell r="E669" t="str">
            <v>BUE162</v>
          </cell>
          <cell r="F669" t="str">
            <v>GENTILLE SARAVIA GERSSON DANTE</v>
          </cell>
          <cell r="G669" t="str">
            <v>GENTILLE SARAVIA GERSSON DANTE</v>
          </cell>
          <cell r="H669" t="str">
            <v>71450676</v>
          </cell>
          <cell r="I669" t="str">
            <v>BCP</v>
          </cell>
          <cell r="J669" t="str">
            <v>19133261781057</v>
          </cell>
          <cell r="K669" t="str">
            <v>DNI</v>
          </cell>
          <cell r="L669">
            <v>10714506761</v>
          </cell>
          <cell r="M669" t="str">
            <v>URBANO</v>
          </cell>
          <cell r="N669">
            <v>44743</v>
          </cell>
          <cell r="O669">
            <v>0</v>
          </cell>
          <cell r="P669" t="str">
            <v>COMFORT</v>
          </cell>
        </row>
        <row r="670">
          <cell r="A670">
            <v>2112</v>
          </cell>
          <cell r="B670">
            <v>2112</v>
          </cell>
          <cell r="C670" t="str">
            <v>CERO MATRICULA</v>
          </cell>
          <cell r="D670" t="str">
            <v>ACTIVO</v>
          </cell>
          <cell r="E670" t="str">
            <v>CBN034</v>
          </cell>
          <cell r="F670" t="str">
            <v>SARMIENTO ORTIZ JESUS ALBERTO</v>
          </cell>
          <cell r="G670" t="str">
            <v>SARMIENTO ORTIZ JESUS ALBERTO</v>
          </cell>
          <cell r="H670" t="str">
            <v>47952537</v>
          </cell>
          <cell r="I670" t="str">
            <v>INTERBANK</v>
          </cell>
          <cell r="J670" t="str">
            <v>1223141314582</v>
          </cell>
          <cell r="K670" t="str">
            <v>DNI</v>
          </cell>
          <cell r="L670">
            <v>10479525370</v>
          </cell>
          <cell r="M670" t="str">
            <v>AEROLINEAS</v>
          </cell>
          <cell r="N670">
            <v>45209</v>
          </cell>
          <cell r="O670">
            <v>0</v>
          </cell>
          <cell r="P670" t="str">
            <v>LITE</v>
          </cell>
        </row>
        <row r="671">
          <cell r="A671">
            <v>2113</v>
          </cell>
          <cell r="B671">
            <v>2113</v>
          </cell>
          <cell r="C671" t="str">
            <v>CERO MATRICULA</v>
          </cell>
          <cell r="D671" t="str">
            <v>ACTIVO</v>
          </cell>
          <cell r="E671" t="str">
            <v>Z6G598</v>
          </cell>
          <cell r="F671" t="str">
            <v>CASIMIRO TERAN ROBERT CESAR</v>
          </cell>
          <cell r="G671" t="str">
            <v>CASIMIRO TERAN ROBERT CESAR</v>
          </cell>
          <cell r="H671" t="str">
            <v>07646459</v>
          </cell>
          <cell r="I671" t="str">
            <v>BCP</v>
          </cell>
          <cell r="J671" t="str">
            <v>191-34493436-0-53</v>
          </cell>
          <cell r="K671" t="str">
            <v>DNI</v>
          </cell>
          <cell r="L671">
            <v>10076464591</v>
          </cell>
          <cell r="M671" t="str">
            <v>URBANO</v>
          </cell>
          <cell r="N671">
            <v>44749</v>
          </cell>
          <cell r="O671">
            <v>0</v>
          </cell>
          <cell r="P671" t="str">
            <v>XL</v>
          </cell>
        </row>
        <row r="672">
          <cell r="A672">
            <v>2114</v>
          </cell>
          <cell r="B672">
            <v>2114</v>
          </cell>
          <cell r="C672" t="str">
            <v>CERO MATRICULA</v>
          </cell>
          <cell r="D672" t="str">
            <v>ACTIVO</v>
          </cell>
          <cell r="E672" t="str">
            <v>F0R246</v>
          </cell>
          <cell r="F672" t="str">
            <v>LEON NAVARRO JOHONNY WILLY</v>
          </cell>
          <cell r="G672" t="str">
            <v>LEON NAVARRO JOHONNY WILLY</v>
          </cell>
          <cell r="H672" t="str">
            <v>17859120</v>
          </cell>
          <cell r="I672" t="str">
            <v>BCP</v>
          </cell>
          <cell r="J672" t="str">
            <v>19124934420081</v>
          </cell>
          <cell r="K672" t="str">
            <v>DNI</v>
          </cell>
          <cell r="L672">
            <v>10178591202</v>
          </cell>
          <cell r="M672" t="str">
            <v>URBANO</v>
          </cell>
          <cell r="N672">
            <v>44757</v>
          </cell>
          <cell r="O672">
            <v>0</v>
          </cell>
          <cell r="P672" t="str">
            <v>LITE</v>
          </cell>
        </row>
        <row r="673">
          <cell r="A673">
            <v>2115</v>
          </cell>
          <cell r="B673">
            <v>2115</v>
          </cell>
          <cell r="C673" t="str">
            <v>CERO MATRICULA</v>
          </cell>
          <cell r="D673" t="str">
            <v>ACTIVO</v>
          </cell>
          <cell r="E673" t="str">
            <v>BWS127</v>
          </cell>
          <cell r="F673" t="str">
            <v>Quiva Baptista Antonio ramón</v>
          </cell>
          <cell r="G673" t="str">
            <v>SOTO EIZAGA DIOMEDES DE JESUS</v>
          </cell>
          <cell r="H673" t="str">
            <v>006291393</v>
          </cell>
          <cell r="I673" t="str">
            <v>BCP</v>
          </cell>
          <cell r="J673" t="str">
            <v>19104797482039</v>
          </cell>
          <cell r="K673" t="str">
            <v>CE</v>
          </cell>
          <cell r="L673">
            <v>15610445141</v>
          </cell>
          <cell r="M673" t="str">
            <v>URBANO</v>
          </cell>
          <cell r="N673">
            <v>45433</v>
          </cell>
          <cell r="O673">
            <v>0</v>
          </cell>
          <cell r="P673" t="str">
            <v>LITE</v>
          </cell>
        </row>
        <row r="674">
          <cell r="A674">
            <v>2117</v>
          </cell>
          <cell r="B674">
            <v>2117</v>
          </cell>
          <cell r="C674" t="str">
            <v>CERO MATRICULA</v>
          </cell>
          <cell r="D674" t="str">
            <v>ACTIVO</v>
          </cell>
          <cell r="E674" t="str">
            <v>BZZ027</v>
          </cell>
          <cell r="F674" t="str">
            <v>CHAVEZ BARTOLO RAFAEL HUMBERTO</v>
          </cell>
          <cell r="G674" t="str">
            <v>PAREDES PEREZ ROSAURA ALEJANDRINA</v>
          </cell>
          <cell r="H674" t="str">
            <v>42722788</v>
          </cell>
          <cell r="I674" t="str">
            <v>BBVA</v>
          </cell>
          <cell r="J674" t="str">
            <v>001106590200113598</v>
          </cell>
          <cell r="K674" t="str">
            <v>DNI</v>
          </cell>
          <cell r="L674">
            <v>10427227885</v>
          </cell>
          <cell r="M674" t="str">
            <v>URBANO</v>
          </cell>
          <cell r="N674">
            <v>44756</v>
          </cell>
          <cell r="O674">
            <v>0</v>
          </cell>
          <cell r="P674" t="str">
            <v>COMFORT XL</v>
          </cell>
        </row>
        <row r="675">
          <cell r="A675">
            <v>2118</v>
          </cell>
          <cell r="B675">
            <v>2118</v>
          </cell>
          <cell r="C675" t="str">
            <v>CERO MATRICULA</v>
          </cell>
          <cell r="D675" t="str">
            <v>ACTIVO</v>
          </cell>
          <cell r="E675" t="str">
            <v>Z6F461</v>
          </cell>
          <cell r="F675" t="str">
            <v>OLIVA PALOMINO LUIS MIGUEL</v>
          </cell>
          <cell r="G675" t="str">
            <v>OLIVA PALOMINO LUIS MIGUEL</v>
          </cell>
          <cell r="H675" t="str">
            <v>06310581</v>
          </cell>
          <cell r="I675" t="str">
            <v>BCP</v>
          </cell>
          <cell r="J675" t="str">
            <v>19103594958069</v>
          </cell>
          <cell r="K675" t="str">
            <v>DNI</v>
          </cell>
          <cell r="L675">
            <v>10063105819</v>
          </cell>
          <cell r="M675" t="str">
            <v>AEROLINEAS</v>
          </cell>
          <cell r="N675">
            <v>44756</v>
          </cell>
          <cell r="O675">
            <v>0</v>
          </cell>
          <cell r="P675" t="str">
            <v>LITE</v>
          </cell>
        </row>
        <row r="676">
          <cell r="A676">
            <v>2119</v>
          </cell>
          <cell r="B676">
            <v>2119</v>
          </cell>
          <cell r="C676" t="str">
            <v>CERO MATRICULA</v>
          </cell>
          <cell r="D676" t="str">
            <v>ACTIVO</v>
          </cell>
          <cell r="E676" t="str">
            <v>BNK495</v>
          </cell>
          <cell r="F676" t="str">
            <v>MORENO VILLAREAL RODOLFO JESUS</v>
          </cell>
          <cell r="G676" t="str">
            <v>MORENO VILLAREAL RODOLFO JESUS</v>
          </cell>
          <cell r="H676" t="str">
            <v>47031531</v>
          </cell>
          <cell r="I676" t="str">
            <v>SCOTIABANK</v>
          </cell>
          <cell r="J676" t="str">
            <v>204-0421998</v>
          </cell>
          <cell r="K676" t="str">
            <v>DNI</v>
          </cell>
          <cell r="L676">
            <v>10470315313</v>
          </cell>
          <cell r="M676" t="str">
            <v>URBANO</v>
          </cell>
          <cell r="N676">
            <v>44931</v>
          </cell>
          <cell r="O676">
            <v>0</v>
          </cell>
          <cell r="P676" t="str">
            <v>COMFORT XL</v>
          </cell>
        </row>
        <row r="677">
          <cell r="A677">
            <v>2122</v>
          </cell>
          <cell r="B677">
            <v>2122</v>
          </cell>
          <cell r="C677" t="str">
            <v>CERO MATRICULA</v>
          </cell>
          <cell r="D677" t="str">
            <v>ACTIVO</v>
          </cell>
          <cell r="E677" t="str">
            <v>BKC593</v>
          </cell>
          <cell r="F677" t="str">
            <v>BARBA  TORRES JHEINER MANUEL</v>
          </cell>
          <cell r="G677" t="str">
            <v>BARBA TORRES JHEINER MANUEL</v>
          </cell>
          <cell r="H677" t="str">
            <v>43095335</v>
          </cell>
          <cell r="I677" t="str">
            <v>INTERBANK</v>
          </cell>
          <cell r="J677" t="str">
            <v>898-3390926083</v>
          </cell>
          <cell r="K677" t="str">
            <v>DNI</v>
          </cell>
          <cell r="L677">
            <v>10430953350</v>
          </cell>
          <cell r="M677" t="str">
            <v>AEROLINEAS</v>
          </cell>
          <cell r="N677">
            <v>44757</v>
          </cell>
          <cell r="O677">
            <v>0</v>
          </cell>
          <cell r="P677" t="str">
            <v>XL</v>
          </cell>
        </row>
        <row r="678">
          <cell r="A678">
            <v>2126</v>
          </cell>
          <cell r="B678">
            <v>2126</v>
          </cell>
          <cell r="C678" t="str">
            <v>CERO MATRICULA</v>
          </cell>
          <cell r="D678" t="str">
            <v>ACTIVO</v>
          </cell>
          <cell r="E678" t="str">
            <v>BZU504</v>
          </cell>
          <cell r="F678" t="str">
            <v>ENEQUE MANDUJANO JOHN MANUEL</v>
          </cell>
          <cell r="G678" t="str">
            <v>ENEQUE MANDUJANO JOHN MANUEL</v>
          </cell>
          <cell r="H678" t="str">
            <v>73003047</v>
          </cell>
          <cell r="I678" t="str">
            <v>BBVA</v>
          </cell>
          <cell r="J678" t="str">
            <v>001101080200233260</v>
          </cell>
          <cell r="K678" t="str">
            <v>DNI</v>
          </cell>
          <cell r="L678">
            <v>10730030474</v>
          </cell>
          <cell r="M678" t="str">
            <v>URBANO</v>
          </cell>
          <cell r="N678">
            <v>44762</v>
          </cell>
          <cell r="O678">
            <v>0</v>
          </cell>
          <cell r="P678" t="str">
            <v>XL</v>
          </cell>
        </row>
        <row r="679">
          <cell r="A679">
            <v>2127</v>
          </cell>
          <cell r="B679">
            <v>2127</v>
          </cell>
          <cell r="C679" t="str">
            <v>CERO MATRICULA</v>
          </cell>
          <cell r="D679" t="str">
            <v>ACTIVO</v>
          </cell>
          <cell r="E679" t="str">
            <v>CAM269</v>
          </cell>
          <cell r="F679" t="str">
            <v>ACOSTA PAREDES NOESTARLINZ</v>
          </cell>
          <cell r="G679" t="str">
            <v>BARROSO GONZALES MARYCARMEN</v>
          </cell>
          <cell r="H679" t="str">
            <v>004198122</v>
          </cell>
          <cell r="I679" t="str">
            <v>BCP</v>
          </cell>
          <cell r="J679" t="str">
            <v>19190284424086</v>
          </cell>
          <cell r="K679" t="str">
            <v>CE</v>
          </cell>
          <cell r="L679">
            <v>15606923497</v>
          </cell>
          <cell r="M679" t="str">
            <v>URBANO</v>
          </cell>
          <cell r="N679">
            <v>44762</v>
          </cell>
          <cell r="O679">
            <v>0</v>
          </cell>
          <cell r="P679" t="str">
            <v>LITE</v>
          </cell>
        </row>
        <row r="680">
          <cell r="A680">
            <v>2129</v>
          </cell>
          <cell r="B680">
            <v>2129</v>
          </cell>
          <cell r="C680" t="str">
            <v>CERO MATRICULA</v>
          </cell>
          <cell r="D680" t="str">
            <v>ACTIVO</v>
          </cell>
          <cell r="E680" t="str">
            <v>BKC350</v>
          </cell>
          <cell r="F680" t="str">
            <v>ATALA VELEZ AMEHD RICARDO</v>
          </cell>
          <cell r="G680" t="str">
            <v>ATALA VELEZ AMEHD RICARDO</v>
          </cell>
          <cell r="H680" t="str">
            <v>43557421</v>
          </cell>
          <cell r="I680" t="str">
            <v>BBVA</v>
          </cell>
          <cell r="J680" t="str">
            <v>001101740201001010</v>
          </cell>
          <cell r="K680" t="str">
            <v>DNI</v>
          </cell>
          <cell r="L680">
            <v>10435574217</v>
          </cell>
          <cell r="M680" t="str">
            <v>URBANO</v>
          </cell>
          <cell r="N680">
            <v>44763</v>
          </cell>
          <cell r="O680">
            <v>0</v>
          </cell>
          <cell r="P680" t="str">
            <v>COMFORT XL</v>
          </cell>
        </row>
        <row r="681">
          <cell r="A681">
            <v>2131</v>
          </cell>
          <cell r="B681">
            <v>2131</v>
          </cell>
          <cell r="C681" t="str">
            <v>CERO MATRICULA</v>
          </cell>
          <cell r="D681" t="str">
            <v>ACTIVO</v>
          </cell>
          <cell r="E681" t="str">
            <v>BCO545</v>
          </cell>
          <cell r="F681" t="str">
            <v>AULLA  CARDENAS FREDY</v>
          </cell>
          <cell r="G681" t="str">
            <v>AULLA  CARDENAS FREDY</v>
          </cell>
          <cell r="H681" t="str">
            <v>45219458</v>
          </cell>
          <cell r="I681" t="str">
            <v>BCP</v>
          </cell>
          <cell r="J681" t="str">
            <v>19399066641012</v>
          </cell>
          <cell r="K681" t="str">
            <v>DNI</v>
          </cell>
          <cell r="L681">
            <v>10452194584</v>
          </cell>
          <cell r="M681" t="str">
            <v>URBANO</v>
          </cell>
          <cell r="N681">
            <v>44763</v>
          </cell>
          <cell r="O681">
            <v>0</v>
          </cell>
          <cell r="P681" t="str">
            <v>COMFORT XL</v>
          </cell>
        </row>
        <row r="682">
          <cell r="A682">
            <v>2132</v>
          </cell>
          <cell r="B682">
            <v>2132</v>
          </cell>
          <cell r="C682" t="str">
            <v>CERO MATRICULA</v>
          </cell>
          <cell r="D682" t="str">
            <v>ACTIVO</v>
          </cell>
          <cell r="E682" t="str">
            <v>BMY018</v>
          </cell>
          <cell r="F682" t="str">
            <v>CRISOSTOMO ECHEVERRIA ROBERTO</v>
          </cell>
          <cell r="G682" t="str">
            <v>CRISOSTOMO ECHEVERRIA ROBERTO</v>
          </cell>
          <cell r="H682" t="str">
            <v>40014785</v>
          </cell>
          <cell r="I682" t="str">
            <v>BCP</v>
          </cell>
          <cell r="J682" t="str">
            <v>19496850925015</v>
          </cell>
          <cell r="K682" t="str">
            <v>DNI</v>
          </cell>
          <cell r="L682">
            <v>10400147855</v>
          </cell>
          <cell r="M682" t="str">
            <v>URBANO</v>
          </cell>
          <cell r="N682">
            <v>44763</v>
          </cell>
          <cell r="O682">
            <v>0</v>
          </cell>
          <cell r="P682" t="str">
            <v>LITE</v>
          </cell>
        </row>
        <row r="683">
          <cell r="A683">
            <v>2134</v>
          </cell>
          <cell r="B683">
            <v>2134</v>
          </cell>
          <cell r="C683" t="str">
            <v>CERO MATRICULA</v>
          </cell>
          <cell r="D683" t="str">
            <v>ACTIVO</v>
          </cell>
          <cell r="E683" t="str">
            <v>BNT246</v>
          </cell>
          <cell r="F683" t="str">
            <v>CARDENAS LASTEROS LUIS ANTONIO</v>
          </cell>
          <cell r="G683" t="str">
            <v>CARDENAS LASTEROS LUIS ANTONIO</v>
          </cell>
          <cell r="H683" t="str">
            <v>09884233</v>
          </cell>
          <cell r="I683" t="str">
            <v>BBVA</v>
          </cell>
          <cell r="J683" t="str">
            <v>0011-0186-0200740478</v>
          </cell>
          <cell r="K683" t="str">
            <v>DNI</v>
          </cell>
          <cell r="L683">
            <v>10098842336</v>
          </cell>
          <cell r="M683" t="str">
            <v>URBANO</v>
          </cell>
          <cell r="N683">
            <v>44776</v>
          </cell>
          <cell r="O683">
            <v>0</v>
          </cell>
          <cell r="P683" t="str">
            <v>XL</v>
          </cell>
        </row>
        <row r="684">
          <cell r="A684">
            <v>2135</v>
          </cell>
          <cell r="B684">
            <v>2135</v>
          </cell>
          <cell r="C684" t="str">
            <v>CERO MATRICULA</v>
          </cell>
          <cell r="D684" t="str">
            <v>ACTIVO</v>
          </cell>
          <cell r="E684" t="str">
            <v>BXJ397</v>
          </cell>
          <cell r="F684" t="str">
            <v>ALVAREZ OBLITAS MANUEL ALEJANDRO</v>
          </cell>
          <cell r="G684" t="str">
            <v>Nelida Gianinna Cotrina Cuicapuza</v>
          </cell>
          <cell r="H684" t="str">
            <v>44494492</v>
          </cell>
          <cell r="I684" t="str">
            <v>BBVA</v>
          </cell>
          <cell r="J684" t="str">
            <v>0011-0814-0243478702</v>
          </cell>
          <cell r="K684" t="str">
            <v>DNI</v>
          </cell>
          <cell r="L684">
            <v>10444944922</v>
          </cell>
          <cell r="M684" t="str">
            <v>URBANO</v>
          </cell>
          <cell r="N684">
            <v>45096</v>
          </cell>
          <cell r="O684">
            <v>0</v>
          </cell>
          <cell r="P684" t="str">
            <v>COMFORT</v>
          </cell>
        </row>
        <row r="685">
          <cell r="A685">
            <v>2136</v>
          </cell>
          <cell r="B685">
            <v>2136</v>
          </cell>
          <cell r="C685" t="str">
            <v>CERO MATRICULA</v>
          </cell>
          <cell r="D685" t="str">
            <v>ACTIVO</v>
          </cell>
          <cell r="E685" t="str">
            <v>BCY663</v>
          </cell>
          <cell r="F685" t="str">
            <v>ALEJO RIVERA JHON ALCIDES</v>
          </cell>
          <cell r="G685" t="str">
            <v>CARHUARICRA ALEJO RAUL JAIME</v>
          </cell>
          <cell r="H685" t="str">
            <v>46303243</v>
          </cell>
          <cell r="I685" t="str">
            <v>BCP</v>
          </cell>
          <cell r="J685" t="str">
            <v>191-96721463-0-45</v>
          </cell>
          <cell r="K685" t="str">
            <v>DNI</v>
          </cell>
          <cell r="L685">
            <v>10463032438</v>
          </cell>
          <cell r="M685" t="str">
            <v>URBANO</v>
          </cell>
          <cell r="N685">
            <v>44788</v>
          </cell>
          <cell r="O685">
            <v>0</v>
          </cell>
          <cell r="P685" t="str">
            <v>LITE</v>
          </cell>
        </row>
        <row r="686">
          <cell r="A686">
            <v>2137</v>
          </cell>
          <cell r="B686">
            <v>2137</v>
          </cell>
          <cell r="C686" t="str">
            <v>CERO MATRICULA</v>
          </cell>
          <cell r="D686" t="str">
            <v>ACTIVO</v>
          </cell>
          <cell r="E686" t="str">
            <v>BTH144</v>
          </cell>
          <cell r="F686" t="str">
            <v>MARIN AVALOS CRISTIAN GUILLERMO</v>
          </cell>
          <cell r="G686" t="str">
            <v>MARIN AVALOS CRISTIAN GUILLERMO</v>
          </cell>
          <cell r="H686" t="str">
            <v>45971360</v>
          </cell>
          <cell r="I686" t="str">
            <v>BCP</v>
          </cell>
          <cell r="J686" t="str">
            <v>191-03062214-0-45</v>
          </cell>
          <cell r="K686" t="str">
            <v>DNI</v>
          </cell>
          <cell r="L686">
            <v>10459713609</v>
          </cell>
          <cell r="M686" t="str">
            <v>URBANO</v>
          </cell>
          <cell r="N686">
            <v>44782</v>
          </cell>
          <cell r="O686">
            <v>0</v>
          </cell>
          <cell r="P686" t="str">
            <v>LITE</v>
          </cell>
        </row>
        <row r="687">
          <cell r="A687">
            <v>2139</v>
          </cell>
          <cell r="B687">
            <v>2139</v>
          </cell>
          <cell r="C687" t="str">
            <v>CERO MATRICULA</v>
          </cell>
          <cell r="D687" t="str">
            <v>ACTIVO</v>
          </cell>
          <cell r="E687" t="str">
            <v>BTI460</v>
          </cell>
          <cell r="F687" t="str">
            <v>PINTO GUEVARA MELVIN GONZALO</v>
          </cell>
          <cell r="G687" t="str">
            <v>PINTO GUEVARA MELVIN GONZALO</v>
          </cell>
          <cell r="H687" t="str">
            <v>45646511</v>
          </cell>
          <cell r="I687" t="str">
            <v>BCP</v>
          </cell>
          <cell r="J687" t="str">
            <v>21593466801005</v>
          </cell>
          <cell r="K687" t="str">
            <v>DNI</v>
          </cell>
          <cell r="L687">
            <v>10456465116</v>
          </cell>
          <cell r="M687" t="str">
            <v>URBANO</v>
          </cell>
          <cell r="N687">
            <v>44776</v>
          </cell>
          <cell r="O687">
            <v>0</v>
          </cell>
          <cell r="P687" t="str">
            <v>COMFORT</v>
          </cell>
        </row>
        <row r="688">
          <cell r="A688">
            <v>2141</v>
          </cell>
          <cell r="B688">
            <v>2141</v>
          </cell>
          <cell r="C688" t="str">
            <v>CERO MATRICULA</v>
          </cell>
          <cell r="D688" t="str">
            <v>ACTIVO</v>
          </cell>
          <cell r="E688" t="str">
            <v>Z6R661</v>
          </cell>
          <cell r="F688" t="str">
            <v>RAMOS GREGORIO EUGENIO PEDRO</v>
          </cell>
          <cell r="G688" t="str">
            <v>RAMOS GREGORIO EUGENIO PEDRO</v>
          </cell>
          <cell r="H688" t="str">
            <v>46236257</v>
          </cell>
          <cell r="I688" t="str">
            <v>BCP</v>
          </cell>
          <cell r="J688" t="str">
            <v>191-99524662-0-59</v>
          </cell>
          <cell r="K688" t="str">
            <v>DNI</v>
          </cell>
          <cell r="L688">
            <v>10462362574</v>
          </cell>
          <cell r="M688" t="str">
            <v>URBANO</v>
          </cell>
          <cell r="N688">
            <v>44781</v>
          </cell>
          <cell r="O688">
            <v>0</v>
          </cell>
          <cell r="P688" t="str">
            <v>COMFORT</v>
          </cell>
        </row>
        <row r="689">
          <cell r="A689">
            <v>2142</v>
          </cell>
          <cell r="B689">
            <v>2142</v>
          </cell>
          <cell r="C689" t="str">
            <v>CERO MATRICULA</v>
          </cell>
          <cell r="D689" t="str">
            <v>ACTIVO</v>
          </cell>
          <cell r="E689" t="str">
            <v>BZV079</v>
          </cell>
          <cell r="F689" t="str">
            <v>PACHECO GUEVARA FRANCISCO JAVIER</v>
          </cell>
          <cell r="G689" t="str">
            <v>PACHECO GUEVARA FRANCISCO JAVIER</v>
          </cell>
          <cell r="H689" t="str">
            <v>003106684</v>
          </cell>
          <cell r="I689" t="str">
            <v>INTERBANK</v>
          </cell>
          <cell r="J689" t="str">
            <v>263-3249275552</v>
          </cell>
          <cell r="K689" t="str">
            <v>CE</v>
          </cell>
          <cell r="L689">
            <v>15605139423</v>
          </cell>
          <cell r="M689" t="str">
            <v>URBANO</v>
          </cell>
          <cell r="N689">
            <v>44939</v>
          </cell>
          <cell r="O689">
            <v>0</v>
          </cell>
          <cell r="P689" t="str">
            <v>COMFORT XL</v>
          </cell>
        </row>
        <row r="690">
          <cell r="A690">
            <v>2143</v>
          </cell>
          <cell r="B690">
            <v>2143</v>
          </cell>
          <cell r="C690" t="str">
            <v>CERO MATRICULA</v>
          </cell>
          <cell r="D690" t="str">
            <v>ACTIVO</v>
          </cell>
          <cell r="E690" t="str">
            <v>AYT399</v>
          </cell>
          <cell r="F690" t="str">
            <v>RIVASPLATA HERNANDEZ ELMER ANTONIO</v>
          </cell>
          <cell r="G690" t="str">
            <v>RIVASPLATA HERNANDEZ ELMER ANTONIO</v>
          </cell>
          <cell r="H690" t="str">
            <v>45564786</v>
          </cell>
          <cell r="I690" t="str">
            <v>BCP</v>
          </cell>
          <cell r="J690" t="str">
            <v>191-94910868-0-61</v>
          </cell>
          <cell r="K690" t="str">
            <v>DNI</v>
          </cell>
          <cell r="L690">
            <v>10455647865</v>
          </cell>
          <cell r="M690" t="str">
            <v>URBANO</v>
          </cell>
          <cell r="N690">
            <v>44776</v>
          </cell>
          <cell r="O690">
            <v>0</v>
          </cell>
          <cell r="P690" t="str">
            <v>COMFORT</v>
          </cell>
        </row>
        <row r="691">
          <cell r="A691">
            <v>2144</v>
          </cell>
          <cell r="B691">
            <v>2144</v>
          </cell>
          <cell r="C691" t="str">
            <v>CERO MATRICULA</v>
          </cell>
          <cell r="D691" t="str">
            <v>ACTIVO</v>
          </cell>
          <cell r="E691" t="str">
            <v>BAR127</v>
          </cell>
          <cell r="F691" t="str">
            <v>IBARRA FERREYRA JAIME JUAN</v>
          </cell>
          <cell r="G691" t="str">
            <v>IBARRA FERREYRA JAIME JUAN</v>
          </cell>
          <cell r="H691" t="str">
            <v>06548313</v>
          </cell>
          <cell r="I691" t="str">
            <v>BCP</v>
          </cell>
          <cell r="J691" t="str">
            <v>191-97576592-0-11</v>
          </cell>
          <cell r="K691" t="str">
            <v>DNI</v>
          </cell>
          <cell r="L691">
            <v>15506334389</v>
          </cell>
          <cell r="M691" t="str">
            <v>URBANO</v>
          </cell>
          <cell r="N691">
            <v>44781</v>
          </cell>
          <cell r="O691">
            <v>0</v>
          </cell>
          <cell r="P691" t="str">
            <v>COMFORT</v>
          </cell>
        </row>
        <row r="692">
          <cell r="A692">
            <v>2150</v>
          </cell>
          <cell r="B692">
            <v>2150</v>
          </cell>
          <cell r="C692" t="str">
            <v>CERO MATRICULA</v>
          </cell>
          <cell r="D692" t="str">
            <v>ACTIVO</v>
          </cell>
          <cell r="E692" t="str">
            <v>BVM324</v>
          </cell>
          <cell r="F692" t="str">
            <v xml:space="preserve">CANALES SULCA MARIO ANDRES </v>
          </cell>
          <cell r="G692" t="str">
            <v xml:space="preserve">CANALES SULCA MARIO ANDRES </v>
          </cell>
          <cell r="H692" t="str">
            <v>70030642</v>
          </cell>
          <cell r="I692" t="str">
            <v>BBVA</v>
          </cell>
          <cell r="J692" t="str">
            <v>001108140231870372</v>
          </cell>
          <cell r="K692" t="str">
            <v>DNI</v>
          </cell>
          <cell r="L692">
            <v>10700306424</v>
          </cell>
          <cell r="M692" t="str">
            <v>URBANO</v>
          </cell>
          <cell r="N692">
            <v>44868</v>
          </cell>
          <cell r="O692">
            <v>0</v>
          </cell>
          <cell r="P692" t="str">
            <v>LITE</v>
          </cell>
        </row>
        <row r="693">
          <cell r="A693">
            <v>2151</v>
          </cell>
          <cell r="B693">
            <v>2151</v>
          </cell>
          <cell r="C693" t="str">
            <v>CERO MATRICULA</v>
          </cell>
          <cell r="D693" t="str">
            <v>ACTIVO</v>
          </cell>
          <cell r="E693" t="str">
            <v>CAE457</v>
          </cell>
          <cell r="F693" t="str">
            <v>BARDALES MUÑOZ ERIK FRANCIS</v>
          </cell>
          <cell r="G693" t="str">
            <v>BARDALES MUÑOZ ERIK FRANCIS</v>
          </cell>
          <cell r="H693" t="str">
            <v>25858099</v>
          </cell>
          <cell r="I693" t="str">
            <v>BCP</v>
          </cell>
          <cell r="J693" t="str">
            <v>191-39254550-0-59</v>
          </cell>
          <cell r="K693" t="str">
            <v>DNI</v>
          </cell>
          <cell r="L693">
            <v>10258580996</v>
          </cell>
          <cell r="M693" t="str">
            <v>URBANO</v>
          </cell>
          <cell r="N693">
            <v>44789</v>
          </cell>
          <cell r="O693">
            <v>0</v>
          </cell>
          <cell r="P693" t="str">
            <v>COMFORT XL</v>
          </cell>
        </row>
        <row r="694">
          <cell r="A694">
            <v>2154</v>
          </cell>
          <cell r="B694">
            <v>2154</v>
          </cell>
          <cell r="C694" t="str">
            <v>CERO MATRICULA</v>
          </cell>
          <cell r="D694" t="str">
            <v>ACTIVO</v>
          </cell>
          <cell r="E694" t="str">
            <v>BHB046</v>
          </cell>
          <cell r="F694" t="str">
            <v>FLORES SANTANDER ALEXANDER ANTONIO</v>
          </cell>
          <cell r="G694" t="str">
            <v>FLORES SANTANDER ALEXANDER ANTONIO</v>
          </cell>
          <cell r="H694" t="str">
            <v>002688055</v>
          </cell>
          <cell r="I694" t="str">
            <v>BCP</v>
          </cell>
          <cell r="J694" t="str">
            <v>191-93699828-0-88</v>
          </cell>
          <cell r="K694" t="str">
            <v>CE</v>
          </cell>
          <cell r="L694">
            <v>15607416271</v>
          </cell>
          <cell r="M694" t="str">
            <v>URBANO</v>
          </cell>
          <cell r="N694">
            <v>44789</v>
          </cell>
          <cell r="O694">
            <v>0</v>
          </cell>
          <cell r="P694" t="str">
            <v>LITE</v>
          </cell>
        </row>
        <row r="695">
          <cell r="A695">
            <v>2155</v>
          </cell>
          <cell r="B695">
            <v>2155</v>
          </cell>
          <cell r="C695" t="str">
            <v>CERO MATRICULA</v>
          </cell>
          <cell r="D695" t="str">
            <v>ACTIVO</v>
          </cell>
          <cell r="E695" t="str">
            <v>CAH261</v>
          </cell>
          <cell r="F695" t="str">
            <v>PIRELA - EDIXON RICARDO</v>
          </cell>
          <cell r="G695" t="str">
            <v>PIRELA - EDIXON RICARDO</v>
          </cell>
          <cell r="H695" t="str">
            <v>002783571</v>
          </cell>
          <cell r="I695" t="str">
            <v>BCP</v>
          </cell>
          <cell r="J695" t="str">
            <v>192-93252939-0-86</v>
          </cell>
          <cell r="K695" t="str">
            <v>CE</v>
          </cell>
          <cell r="L695">
            <v>15603983600</v>
          </cell>
          <cell r="M695" t="str">
            <v>URBANO</v>
          </cell>
          <cell r="N695">
            <v>44789</v>
          </cell>
          <cell r="O695">
            <v>0</v>
          </cell>
          <cell r="P695" t="str">
            <v>LITE</v>
          </cell>
        </row>
        <row r="696">
          <cell r="A696">
            <v>2156</v>
          </cell>
          <cell r="B696">
            <v>2156</v>
          </cell>
          <cell r="C696" t="str">
            <v>CERO MATRICULA</v>
          </cell>
          <cell r="D696" t="str">
            <v>ACTIVO</v>
          </cell>
          <cell r="E696" t="str">
            <v>BNL145</v>
          </cell>
          <cell r="F696" t="str">
            <v>ACOSTA RODRIGUEZ ORLANDO MIGUEL</v>
          </cell>
          <cell r="G696" t="str">
            <v>ACOSTA RODRIGUEZ ORLANDO MIGUEL</v>
          </cell>
          <cell r="H696" t="str">
            <v>003483213</v>
          </cell>
          <cell r="I696" t="str">
            <v>BCP</v>
          </cell>
          <cell r="J696" t="str">
            <v>191-93368766-0-82</v>
          </cell>
          <cell r="K696" t="str">
            <v>CE</v>
          </cell>
          <cell r="L696">
            <v>15607626437</v>
          </cell>
          <cell r="M696" t="str">
            <v>URBANO PARTNER</v>
          </cell>
          <cell r="N696">
            <v>44791</v>
          </cell>
          <cell r="O696">
            <v>0</v>
          </cell>
          <cell r="P696" t="str">
            <v>LITE</v>
          </cell>
        </row>
        <row r="697">
          <cell r="A697">
            <v>2157</v>
          </cell>
          <cell r="B697">
            <v>2157</v>
          </cell>
          <cell r="C697" t="str">
            <v>CERO MATRICULA</v>
          </cell>
          <cell r="D697" t="str">
            <v>ACTIVO</v>
          </cell>
          <cell r="E697" t="str">
            <v>BWM373</v>
          </cell>
          <cell r="F697" t="str">
            <v>LOBO PAREDES JESUS GREGORIO</v>
          </cell>
          <cell r="G697" t="str">
            <v>LOBO PAREDES JESUS GREGORIO</v>
          </cell>
          <cell r="H697" t="str">
            <v>003138451</v>
          </cell>
          <cell r="I697" t="str">
            <v>BBVA</v>
          </cell>
          <cell r="J697" t="str">
            <v>0011-0360-0200724796</v>
          </cell>
          <cell r="K697" t="str">
            <v>CE</v>
          </cell>
          <cell r="L697">
            <v>15606671498</v>
          </cell>
          <cell r="M697" t="str">
            <v>URBANO</v>
          </cell>
          <cell r="N697">
            <v>44791</v>
          </cell>
          <cell r="O697">
            <v>0</v>
          </cell>
          <cell r="P697" t="str">
            <v>LITE</v>
          </cell>
        </row>
        <row r="698">
          <cell r="A698">
            <v>2158</v>
          </cell>
          <cell r="B698">
            <v>2158</v>
          </cell>
          <cell r="C698" t="str">
            <v>CERO MATRICULA</v>
          </cell>
          <cell r="D698" t="str">
            <v>ACTIVO</v>
          </cell>
          <cell r="E698" t="str">
            <v>BFE244</v>
          </cell>
          <cell r="F698" t="str">
            <v>CALDERON SAAVEDRA JUAN MANUEL</v>
          </cell>
          <cell r="G698" t="str">
            <v>CALDERON SAAVEDRA JUAN MANUEL</v>
          </cell>
          <cell r="H698" t="str">
            <v>001433533</v>
          </cell>
          <cell r="I698" t="str">
            <v>BCP</v>
          </cell>
          <cell r="J698" t="str">
            <v>191-07451315-0-80</v>
          </cell>
          <cell r="K698" t="str">
            <v>CE</v>
          </cell>
          <cell r="L698">
            <v>15609863860</v>
          </cell>
          <cell r="M698" t="str">
            <v>URBANO</v>
          </cell>
          <cell r="N698">
            <v>44932</v>
          </cell>
          <cell r="O698">
            <v>0</v>
          </cell>
          <cell r="P698" t="str">
            <v>LITE</v>
          </cell>
        </row>
        <row r="699">
          <cell r="A699">
            <v>2161</v>
          </cell>
          <cell r="B699">
            <v>2161</v>
          </cell>
          <cell r="C699" t="str">
            <v>CERO MATRICULA</v>
          </cell>
          <cell r="D699" t="str">
            <v>ACTIVO</v>
          </cell>
          <cell r="E699" t="str">
            <v>CAV622</v>
          </cell>
          <cell r="F699" t="str">
            <v>MENDOZA VASQUEZ ARTURO ALEXIS</v>
          </cell>
          <cell r="G699" t="str">
            <v>MENDOZA VASQUEZ ARTURO ALEXIS</v>
          </cell>
          <cell r="H699" t="str">
            <v>71222375</v>
          </cell>
          <cell r="I699" t="str">
            <v>BCP</v>
          </cell>
          <cell r="J699" t="str">
            <v>191-71027605-0-54</v>
          </cell>
          <cell r="K699" t="str">
            <v>DNI</v>
          </cell>
          <cell r="L699">
            <v>10712223753</v>
          </cell>
          <cell r="M699" t="str">
            <v>URBANO</v>
          </cell>
          <cell r="N699">
            <v>45034</v>
          </cell>
          <cell r="O699">
            <v>0</v>
          </cell>
          <cell r="P699" t="str">
            <v>COMFORT XL</v>
          </cell>
        </row>
        <row r="700">
          <cell r="A700">
            <v>2163</v>
          </cell>
          <cell r="B700">
            <v>2163</v>
          </cell>
          <cell r="C700" t="str">
            <v>CERO MATRICULA</v>
          </cell>
          <cell r="D700" t="str">
            <v>ACTIVO</v>
          </cell>
          <cell r="E700" t="str">
            <v>Z6U370</v>
          </cell>
          <cell r="F700" t="str">
            <v>GRANADOS ROMERO JHONNY DANILO</v>
          </cell>
          <cell r="G700" t="str">
            <v>GRANADOS ROMERO ANGELICA ENITH</v>
          </cell>
          <cell r="H700" t="str">
            <v>47809128</v>
          </cell>
          <cell r="I700" t="str">
            <v>BCP</v>
          </cell>
          <cell r="J700" t="str">
            <v>191-97155684052</v>
          </cell>
          <cell r="K700" t="str">
            <v>DNI</v>
          </cell>
          <cell r="L700">
            <v>10478091287</v>
          </cell>
          <cell r="M700" t="str">
            <v>URBANO</v>
          </cell>
          <cell r="N700">
            <v>44797</v>
          </cell>
          <cell r="O700">
            <v>0</v>
          </cell>
          <cell r="P700" t="str">
            <v>LITE</v>
          </cell>
        </row>
        <row r="701">
          <cell r="A701">
            <v>2164</v>
          </cell>
          <cell r="B701">
            <v>2164</v>
          </cell>
          <cell r="C701" t="str">
            <v>CERO MATRICULA</v>
          </cell>
          <cell r="D701" t="str">
            <v>ACTIVO</v>
          </cell>
          <cell r="E701" t="str">
            <v>CAO383</v>
          </cell>
          <cell r="F701" t="str">
            <v>ACOSTA RODRIGUEZ CRISTOFER PIERO</v>
          </cell>
          <cell r="G701" t="str">
            <v>ACOSTA RODRIGUEZ CRISTOFER PIERO</v>
          </cell>
          <cell r="H701" t="str">
            <v>73253766</v>
          </cell>
          <cell r="I701" t="str">
            <v>BBVA</v>
          </cell>
          <cell r="J701" t="str">
            <v>0011-0057-0232743841</v>
          </cell>
          <cell r="K701" t="str">
            <v>DNI</v>
          </cell>
          <cell r="L701">
            <v>10732537665</v>
          </cell>
          <cell r="M701" t="str">
            <v>URBANO</v>
          </cell>
          <cell r="N701">
            <v>44797</v>
          </cell>
          <cell r="O701">
            <v>0</v>
          </cell>
          <cell r="P701" t="str">
            <v>COMFORT</v>
          </cell>
        </row>
        <row r="702">
          <cell r="A702">
            <v>2168</v>
          </cell>
          <cell r="B702">
            <v>2168</v>
          </cell>
          <cell r="C702" t="str">
            <v>CERO MATRICULA</v>
          </cell>
          <cell r="D702" t="str">
            <v>ACTIVO</v>
          </cell>
          <cell r="E702" t="str">
            <v>CBE341</v>
          </cell>
          <cell r="F702" t="str">
            <v>HAZELL ALCANTARA RONALD MICHAEL</v>
          </cell>
          <cell r="G702" t="str">
            <v>HAZELL ALCANTARA RONALD MICHAEL</v>
          </cell>
          <cell r="H702" t="str">
            <v>003155707</v>
          </cell>
          <cell r="I702" t="str">
            <v>BCP</v>
          </cell>
          <cell r="J702" t="str">
            <v>193-96268880-0-90</v>
          </cell>
          <cell r="K702" t="str">
            <v>CE</v>
          </cell>
          <cell r="L702">
            <v>15604668058</v>
          </cell>
          <cell r="M702" t="str">
            <v>MEMBRESÍA URBANO</v>
          </cell>
          <cell r="N702">
            <v>44804</v>
          </cell>
          <cell r="O702">
            <v>280</v>
          </cell>
          <cell r="P702" t="str">
            <v>LITE</v>
          </cell>
        </row>
        <row r="703">
          <cell r="A703">
            <v>2169</v>
          </cell>
          <cell r="B703">
            <v>2169</v>
          </cell>
          <cell r="C703" t="str">
            <v>CERO MATRICULA</v>
          </cell>
          <cell r="D703" t="str">
            <v>ACTIVO</v>
          </cell>
          <cell r="E703" t="str">
            <v>BPO206</v>
          </cell>
          <cell r="F703" t="str">
            <v>GRANADINO RAMIREZ GIOVANNI GABRIEL</v>
          </cell>
          <cell r="G703" t="str">
            <v>CHAVEZ PEREZ MARIA ISABEL</v>
          </cell>
          <cell r="H703" t="str">
            <v>44856820</v>
          </cell>
          <cell r="I703" t="str">
            <v>BCP</v>
          </cell>
          <cell r="J703" t="str">
            <v>194-01186981-0-69</v>
          </cell>
          <cell r="K703" t="str">
            <v>DNI</v>
          </cell>
          <cell r="L703">
            <v>10448568208</v>
          </cell>
          <cell r="M703" t="str">
            <v>URBANO</v>
          </cell>
          <cell r="N703">
            <v>44805</v>
          </cell>
          <cell r="O703">
            <v>0</v>
          </cell>
          <cell r="P703" t="str">
            <v>LITE</v>
          </cell>
        </row>
        <row r="704">
          <cell r="A704">
            <v>2170</v>
          </cell>
          <cell r="B704">
            <v>2170</v>
          </cell>
          <cell r="C704" t="str">
            <v>CERO MATRICULA</v>
          </cell>
          <cell r="D704" t="str">
            <v>ACTIVO</v>
          </cell>
          <cell r="E704" t="str">
            <v>BWZ357</v>
          </cell>
          <cell r="F704" t="str">
            <v>BELLODAS ISIDRO JOSE LUIS</v>
          </cell>
          <cell r="G704" t="str">
            <v>BELLODAS ISIDRO JOSE LUIS</v>
          </cell>
          <cell r="H704" t="str">
            <v>42437104</v>
          </cell>
          <cell r="I704" t="str">
            <v>INTERBANK</v>
          </cell>
          <cell r="J704" t="str">
            <v>140-3290600503</v>
          </cell>
          <cell r="K704" t="str">
            <v>DNI</v>
          </cell>
          <cell r="L704">
            <v>10424371047</v>
          </cell>
          <cell r="M704" t="str">
            <v>MEMBRESÍA NOCTURNA - APTO</v>
          </cell>
          <cell r="N704">
            <v>46065</v>
          </cell>
          <cell r="O704">
            <v>285</v>
          </cell>
          <cell r="P704" t="str">
            <v>COMFORT XL</v>
          </cell>
        </row>
        <row r="705">
          <cell r="A705">
            <v>2173</v>
          </cell>
          <cell r="B705">
            <v>2173</v>
          </cell>
          <cell r="C705" t="str">
            <v>CERO MATRICULA</v>
          </cell>
          <cell r="D705" t="str">
            <v>ACTIVO</v>
          </cell>
          <cell r="E705" t="str">
            <v>CAW443</v>
          </cell>
          <cell r="F705" t="str">
            <v>VELASQUEZ CUETO ANDRE JESUS</v>
          </cell>
          <cell r="G705" t="str">
            <v>VELASQUEZ CUETO ANDRE JESUS</v>
          </cell>
          <cell r="H705" t="str">
            <v>45061789</v>
          </cell>
          <cell r="I705" t="str">
            <v>BCP</v>
          </cell>
          <cell r="J705" t="str">
            <v>192-71033448-0-56</v>
          </cell>
          <cell r="K705" t="str">
            <v>DNI</v>
          </cell>
          <cell r="L705">
            <v>10450617895</v>
          </cell>
          <cell r="M705" t="str">
            <v>URBANO</v>
          </cell>
          <cell r="N705">
            <v>44813</v>
          </cell>
          <cell r="O705">
            <v>0</v>
          </cell>
          <cell r="P705" t="str">
            <v>LITE</v>
          </cell>
        </row>
        <row r="706">
          <cell r="A706">
            <v>2174</v>
          </cell>
          <cell r="B706">
            <v>2174</v>
          </cell>
          <cell r="C706" t="str">
            <v>CERO MATRICULA</v>
          </cell>
          <cell r="D706" t="str">
            <v>ACTIVO</v>
          </cell>
          <cell r="E706" t="str">
            <v>CAI278</v>
          </cell>
          <cell r="F706" t="str">
            <v>TUPIA RODRIGUEZ YOEL</v>
          </cell>
          <cell r="G706" t="str">
            <v>TUPIA RODRIGUEZ YOEL</v>
          </cell>
          <cell r="H706" t="str">
            <v>43318140</v>
          </cell>
          <cell r="I706" t="str">
            <v>BCP</v>
          </cell>
          <cell r="J706" t="str">
            <v>193-02598930-0-80</v>
          </cell>
          <cell r="K706" t="str">
            <v>DNI</v>
          </cell>
          <cell r="L706">
            <v>10433181404</v>
          </cell>
          <cell r="M706" t="str">
            <v>URBANO</v>
          </cell>
          <cell r="N706">
            <v>44817</v>
          </cell>
          <cell r="O706">
            <v>0</v>
          </cell>
          <cell r="P706" t="str">
            <v>COMFORT</v>
          </cell>
        </row>
        <row r="707">
          <cell r="A707">
            <v>2176</v>
          </cell>
          <cell r="B707">
            <v>2176</v>
          </cell>
          <cell r="C707" t="str">
            <v>CERO MATRICULA</v>
          </cell>
          <cell r="D707" t="str">
            <v>ACTIVO</v>
          </cell>
          <cell r="E707" t="str">
            <v>BJS656</v>
          </cell>
          <cell r="F707" t="str">
            <v>LAZO VERA ANTONY EDWARD</v>
          </cell>
          <cell r="G707" t="str">
            <v>LAZO VERA ANTONY EDWARD</v>
          </cell>
          <cell r="H707" t="str">
            <v>78460582</v>
          </cell>
          <cell r="I707" t="str">
            <v>BCP</v>
          </cell>
          <cell r="J707" t="str">
            <v>193-03933920-0-55</v>
          </cell>
          <cell r="K707" t="str">
            <v>DNI</v>
          </cell>
          <cell r="L707">
            <v>10784605821</v>
          </cell>
          <cell r="M707" t="str">
            <v>URBANO</v>
          </cell>
          <cell r="N707">
            <v>44919</v>
          </cell>
          <cell r="O707">
            <v>0</v>
          </cell>
          <cell r="P707" t="str">
            <v>COMFORT XL</v>
          </cell>
        </row>
        <row r="708">
          <cell r="A708">
            <v>2177</v>
          </cell>
          <cell r="B708">
            <v>2177</v>
          </cell>
          <cell r="C708" t="str">
            <v>CERO MATRICULA</v>
          </cell>
          <cell r="D708" t="str">
            <v>ACTIVO</v>
          </cell>
          <cell r="E708" t="str">
            <v>CAU083</v>
          </cell>
          <cell r="F708" t="str">
            <v>LINARES MANDO CARLOS ENRIQUE</v>
          </cell>
          <cell r="G708" t="str">
            <v>LINARES MANDO CARLOS ENRIQUE</v>
          </cell>
          <cell r="H708" t="str">
            <v>40251167</v>
          </cell>
          <cell r="I708" t="str">
            <v>BCP</v>
          </cell>
          <cell r="J708" t="str">
            <v>191-99211565-0-00</v>
          </cell>
          <cell r="K708" t="str">
            <v>DNI</v>
          </cell>
          <cell r="L708">
            <v>10402511678</v>
          </cell>
          <cell r="M708" t="str">
            <v>URBANO</v>
          </cell>
          <cell r="N708">
            <v>44812</v>
          </cell>
          <cell r="O708">
            <v>0</v>
          </cell>
          <cell r="P708" t="str">
            <v>LITE</v>
          </cell>
        </row>
        <row r="709">
          <cell r="A709">
            <v>2179</v>
          </cell>
          <cell r="B709">
            <v>2179</v>
          </cell>
          <cell r="C709" t="str">
            <v>CERO MATRICULA</v>
          </cell>
          <cell r="D709" t="str">
            <v>ACTIVO</v>
          </cell>
          <cell r="E709" t="str">
            <v>CAR444</v>
          </cell>
          <cell r="F709" t="str">
            <v>SANCHEZ URIBE JUNIOR ENRIQUE</v>
          </cell>
          <cell r="G709" t="str">
            <v>SANCHEZ URIBE JUNIOR ENRIQUE</v>
          </cell>
          <cell r="H709" t="str">
            <v>75387053</v>
          </cell>
          <cell r="I709" t="str">
            <v>BCP</v>
          </cell>
          <cell r="J709" t="str">
            <v>192-07053792-0-41</v>
          </cell>
          <cell r="K709" t="str">
            <v>DNI</v>
          </cell>
          <cell r="L709">
            <v>10753870534</v>
          </cell>
          <cell r="M709" t="str">
            <v>URBANO</v>
          </cell>
          <cell r="N709">
            <v>44813</v>
          </cell>
          <cell r="O709">
            <v>0</v>
          </cell>
          <cell r="P709" t="str">
            <v>LITE</v>
          </cell>
        </row>
        <row r="710">
          <cell r="A710">
            <v>2180</v>
          </cell>
          <cell r="B710">
            <v>2180</v>
          </cell>
          <cell r="C710" t="str">
            <v>CERO MATRICULA</v>
          </cell>
          <cell r="D710" t="str">
            <v>ACTIVO</v>
          </cell>
          <cell r="E710" t="str">
            <v>BZX502</v>
          </cell>
          <cell r="F710" t="str">
            <v>ALMEYDA MATIAS HECTOR GENARO</v>
          </cell>
          <cell r="G710" t="str">
            <v>LLONTOP TESEN YOVANY</v>
          </cell>
          <cell r="H710" t="str">
            <v>42934630</v>
          </cell>
          <cell r="I710" t="str">
            <v>BCP</v>
          </cell>
          <cell r="J710" t="str">
            <v>194-26167232-0-46</v>
          </cell>
          <cell r="K710" t="str">
            <v>DNI</v>
          </cell>
          <cell r="L710">
            <v>10429346300</v>
          </cell>
          <cell r="M710" t="str">
            <v>URBANO</v>
          </cell>
          <cell r="N710">
            <v>44818</v>
          </cell>
          <cell r="O710">
            <v>0</v>
          </cell>
          <cell r="P710" t="str">
            <v>XL</v>
          </cell>
        </row>
        <row r="711">
          <cell r="A711">
            <v>2181</v>
          </cell>
          <cell r="B711">
            <v>2181</v>
          </cell>
          <cell r="C711" t="str">
            <v>CERO MATRICULA</v>
          </cell>
          <cell r="D711" t="str">
            <v>ACTIVO</v>
          </cell>
          <cell r="E711" t="str">
            <v>BJT035</v>
          </cell>
          <cell r="F711" t="str">
            <v>RAMOS ADVINCULA TEODOSIO ADOLFO</v>
          </cell>
          <cell r="G711" t="str">
            <v>RAMOS ADVINCULA TEODOSIO ADOLFO</v>
          </cell>
          <cell r="H711" t="str">
            <v>40822537</v>
          </cell>
          <cell r="I711" t="str">
            <v>INTERBANK</v>
          </cell>
          <cell r="J711" t="str">
            <v>170-3133016150</v>
          </cell>
          <cell r="K711" t="str">
            <v>DNI</v>
          </cell>
          <cell r="L711">
            <v>10408225375</v>
          </cell>
          <cell r="M711" t="str">
            <v>URBANO</v>
          </cell>
          <cell r="N711">
            <v>44811</v>
          </cell>
          <cell r="O711">
            <v>0</v>
          </cell>
          <cell r="P711" t="str">
            <v>LITE</v>
          </cell>
        </row>
        <row r="712">
          <cell r="A712">
            <v>2182</v>
          </cell>
          <cell r="B712">
            <v>2182</v>
          </cell>
          <cell r="C712" t="str">
            <v>CERO MATRICULA</v>
          </cell>
          <cell r="D712" t="str">
            <v>ACTIVO</v>
          </cell>
          <cell r="E712" t="str">
            <v>BCQ082</v>
          </cell>
          <cell r="F712" t="str">
            <v>RAMOS SANDOVAL CESAR ALEJANDRO</v>
          </cell>
          <cell r="G712" t="str">
            <v>RAMOS SANDOVAL CESAR ALEJANDRO</v>
          </cell>
          <cell r="H712" t="str">
            <v>43354472</v>
          </cell>
          <cell r="I712" t="str">
            <v>BBVA</v>
          </cell>
          <cell r="J712" t="str">
            <v>0011-0166-0200661552</v>
          </cell>
          <cell r="K712" t="str">
            <v>DNI</v>
          </cell>
          <cell r="L712">
            <v>10433544728</v>
          </cell>
          <cell r="M712" t="str">
            <v>URBANO</v>
          </cell>
          <cell r="N712">
            <v>44818</v>
          </cell>
          <cell r="O712">
            <v>0</v>
          </cell>
          <cell r="P712" t="str">
            <v>LITE</v>
          </cell>
        </row>
        <row r="713">
          <cell r="A713">
            <v>2183</v>
          </cell>
          <cell r="B713">
            <v>2183</v>
          </cell>
          <cell r="C713" t="str">
            <v>CERO MATRICULA</v>
          </cell>
          <cell r="D713" t="str">
            <v>ACTIVO</v>
          </cell>
          <cell r="E713" t="str">
            <v>CAT591</v>
          </cell>
          <cell r="F713" t="str">
            <v>ACEITUNO RUIZ WILLY ACEITUNO</v>
          </cell>
          <cell r="G713" t="str">
            <v>ACEITUNO RUIZ WILLY ACEITUNO</v>
          </cell>
          <cell r="H713" t="str">
            <v>129655664</v>
          </cell>
          <cell r="I713" t="str">
            <v>BCP</v>
          </cell>
          <cell r="J713" t="str">
            <v>191-91316187-0-70</v>
          </cell>
          <cell r="K713" t="str">
            <v>PASAPORTE</v>
          </cell>
          <cell r="L713">
            <v>15605584427</v>
          </cell>
          <cell r="M713" t="str">
            <v>AEROPUERTO</v>
          </cell>
          <cell r="N713">
            <v>44880</v>
          </cell>
          <cell r="O713">
            <v>265</v>
          </cell>
          <cell r="P713" t="str">
            <v>LITE</v>
          </cell>
        </row>
        <row r="714">
          <cell r="A714">
            <v>2185</v>
          </cell>
          <cell r="B714">
            <v>2185</v>
          </cell>
          <cell r="C714" t="str">
            <v>CERO MATRICULA</v>
          </cell>
          <cell r="D714" t="str">
            <v>ACTIVO</v>
          </cell>
          <cell r="E714" t="str">
            <v>CAH260</v>
          </cell>
          <cell r="F714" t="str">
            <v>VALLADARES CASTILLEJO JOSÉ LUIS</v>
          </cell>
          <cell r="G714" t="str">
            <v>VALLADARES CASTILLEJO JOSÉ LUIS</v>
          </cell>
          <cell r="H714" t="str">
            <v>72773516</v>
          </cell>
          <cell r="I714" t="str">
            <v>INTERBANK</v>
          </cell>
          <cell r="J714" t="str">
            <v>898-3221456701</v>
          </cell>
          <cell r="K714" t="str">
            <v>DNI</v>
          </cell>
          <cell r="L714">
            <v>10727735165</v>
          </cell>
          <cell r="M714" t="str">
            <v>URBANO</v>
          </cell>
          <cell r="N714">
            <v>44909</v>
          </cell>
          <cell r="O714">
            <v>0</v>
          </cell>
          <cell r="P714" t="str">
            <v>COMFORT</v>
          </cell>
        </row>
        <row r="715">
          <cell r="A715">
            <v>2186</v>
          </cell>
          <cell r="B715">
            <v>2186</v>
          </cell>
          <cell r="C715" t="str">
            <v>CERO MATRICULA</v>
          </cell>
          <cell r="D715" t="str">
            <v>ACTIVO</v>
          </cell>
          <cell r="E715" t="str">
            <v>BWX187</v>
          </cell>
          <cell r="F715" t="str">
            <v>TRUJILLO MACHADO ANANIAS JOSE</v>
          </cell>
          <cell r="G715" t="str">
            <v>TRUJILLO MACHADO ANANIAS JOSE</v>
          </cell>
          <cell r="H715" t="str">
            <v>10398140</v>
          </cell>
          <cell r="I715" t="str">
            <v>BCP</v>
          </cell>
          <cell r="J715" t="str">
            <v>191-03013779-0-20</v>
          </cell>
          <cell r="K715" t="str">
            <v>DNI</v>
          </cell>
          <cell r="L715">
            <v>10103981404</v>
          </cell>
          <cell r="M715" t="str">
            <v>URBANO</v>
          </cell>
          <cell r="N715">
            <v>44823</v>
          </cell>
          <cell r="O715">
            <v>0</v>
          </cell>
          <cell r="P715" t="str">
            <v>LITE</v>
          </cell>
        </row>
        <row r="716">
          <cell r="A716">
            <v>2187</v>
          </cell>
          <cell r="B716">
            <v>2187</v>
          </cell>
          <cell r="C716" t="str">
            <v>CERO MATRICULA</v>
          </cell>
          <cell r="D716" t="str">
            <v>ACTIVO</v>
          </cell>
          <cell r="E716" t="str">
            <v>Z6X236</v>
          </cell>
          <cell r="F716" t="str">
            <v>CHAVEZ SARAVIA CLAUDIA PATRICIA</v>
          </cell>
          <cell r="G716" t="str">
            <v>CHAVEZ SARAVIA CLAUDIA PATRICIA</v>
          </cell>
          <cell r="H716" t="str">
            <v>45018306</v>
          </cell>
          <cell r="I716" t="str">
            <v>BCP</v>
          </cell>
          <cell r="J716" t="str">
            <v>191-71856705-0-28</v>
          </cell>
          <cell r="K716" t="str">
            <v>DNI</v>
          </cell>
          <cell r="L716">
            <v>10450183062</v>
          </cell>
          <cell r="M716" t="str">
            <v>URBANO</v>
          </cell>
          <cell r="N716">
            <v>44830</v>
          </cell>
          <cell r="O716">
            <v>0</v>
          </cell>
          <cell r="P716" t="str">
            <v>LITE</v>
          </cell>
        </row>
        <row r="717">
          <cell r="A717">
            <v>2188</v>
          </cell>
          <cell r="B717">
            <v>2188</v>
          </cell>
          <cell r="C717" t="str">
            <v>CERO MATRICULA</v>
          </cell>
          <cell r="D717" t="str">
            <v>ACTIVO</v>
          </cell>
          <cell r="E717" t="str">
            <v>CBL608</v>
          </cell>
          <cell r="F717" t="str">
            <v>DELGADO CAMPOS CARLOS LUIS</v>
          </cell>
          <cell r="G717" t="str">
            <v>DELGADO CAMPOS CARLOS LUIS</v>
          </cell>
          <cell r="H717" t="str">
            <v>003435614</v>
          </cell>
          <cell r="I717" t="str">
            <v>BCP</v>
          </cell>
          <cell r="J717" t="str">
            <v>193-92799483-0-48</v>
          </cell>
          <cell r="K717" t="str">
            <v>CE</v>
          </cell>
          <cell r="L717">
            <v>15606186921</v>
          </cell>
          <cell r="M717" t="str">
            <v>URBANO PARTNER</v>
          </cell>
          <cell r="N717">
            <v>44825</v>
          </cell>
          <cell r="O717">
            <v>0</v>
          </cell>
          <cell r="P717" t="str">
            <v>LITE</v>
          </cell>
        </row>
        <row r="718">
          <cell r="A718">
            <v>2189</v>
          </cell>
          <cell r="B718">
            <v>2189</v>
          </cell>
          <cell r="C718" t="str">
            <v>CERO MATRICULA</v>
          </cell>
          <cell r="D718" t="str">
            <v>ACTIVO</v>
          </cell>
          <cell r="E718" t="str">
            <v>CAQ002</v>
          </cell>
          <cell r="F718" t="str">
            <v>SALAS SOTELO ALEXANDER OSCAR</v>
          </cell>
          <cell r="G718" t="str">
            <v>SALAS SOTELO ALEXANDER OSCAR</v>
          </cell>
          <cell r="H718" t="str">
            <v>72877726</v>
          </cell>
          <cell r="I718" t="str">
            <v>BCP</v>
          </cell>
          <cell r="J718" t="str">
            <v>191-72576339-0-31</v>
          </cell>
          <cell r="K718" t="str">
            <v>DNI</v>
          </cell>
          <cell r="L718">
            <v>10728777261</v>
          </cell>
          <cell r="M718" t="str">
            <v>MEMBRESÍA URBANO</v>
          </cell>
          <cell r="N718">
            <v>45075</v>
          </cell>
          <cell r="O718">
            <v>280</v>
          </cell>
          <cell r="P718" t="str">
            <v>COMFORT</v>
          </cell>
        </row>
        <row r="719">
          <cell r="A719">
            <v>2190</v>
          </cell>
          <cell r="B719">
            <v>2190</v>
          </cell>
          <cell r="C719" t="str">
            <v>CERO MATRICULA</v>
          </cell>
          <cell r="D719" t="str">
            <v>ACTIVO</v>
          </cell>
          <cell r="E719" t="str">
            <v>CBM544</v>
          </cell>
          <cell r="F719" t="str">
            <v>BLANCO SANDOVAL FREDDY ANTONIO</v>
          </cell>
          <cell r="G719" t="str">
            <v>BLANCO SANDOVAL FREDDY ANTONIO</v>
          </cell>
          <cell r="H719" t="str">
            <v>001567707</v>
          </cell>
          <cell r="I719" t="str">
            <v>BBVA</v>
          </cell>
          <cell r="J719" t="str">
            <v>0011-0316-0200391142</v>
          </cell>
          <cell r="K719" t="str">
            <v>CE</v>
          </cell>
          <cell r="L719">
            <v>15609973282</v>
          </cell>
          <cell r="M719" t="str">
            <v>MEMBRESÍA URBANO</v>
          </cell>
          <cell r="N719">
            <v>44827</v>
          </cell>
          <cell r="O719">
            <v>280</v>
          </cell>
          <cell r="P719" t="str">
            <v>COMFORT</v>
          </cell>
        </row>
        <row r="720">
          <cell r="A720">
            <v>2191</v>
          </cell>
          <cell r="B720">
            <v>2191</v>
          </cell>
          <cell r="C720" t="str">
            <v>CERO MATRICULA</v>
          </cell>
          <cell r="D720" t="str">
            <v>ACTIVO</v>
          </cell>
          <cell r="E720" t="str">
            <v>AZS051</v>
          </cell>
          <cell r="F720" t="str">
            <v>LOPEZ ESPINOZA LUIS ANTONIO</v>
          </cell>
          <cell r="G720" t="str">
            <v>LOPEZ ESPINOZA LUIS ANTONIO</v>
          </cell>
          <cell r="H720" t="str">
            <v>08146412</v>
          </cell>
          <cell r="I720" t="str">
            <v>BCP</v>
          </cell>
          <cell r="J720" t="str">
            <v>191-00673140-0-38</v>
          </cell>
          <cell r="K720" t="str">
            <v>DNI</v>
          </cell>
          <cell r="L720">
            <v>10081464125</v>
          </cell>
          <cell r="M720" t="str">
            <v>URBANO PARTNER</v>
          </cell>
          <cell r="N720">
            <v>44831</v>
          </cell>
          <cell r="O720">
            <v>0</v>
          </cell>
          <cell r="P720" t="str">
            <v>COMFORT XL</v>
          </cell>
        </row>
        <row r="721">
          <cell r="A721">
            <v>2192</v>
          </cell>
          <cell r="B721">
            <v>2192</v>
          </cell>
          <cell r="C721" t="str">
            <v>CERO MATRICULA</v>
          </cell>
          <cell r="D721" t="str">
            <v>ACTIVO</v>
          </cell>
          <cell r="E721" t="str">
            <v>BLX216</v>
          </cell>
          <cell r="F721" t="str">
            <v>ILMAN CANALES JOSE LUIS</v>
          </cell>
          <cell r="G721" t="str">
            <v>CCOTO CANALES JHON RICHAR</v>
          </cell>
          <cell r="H721" t="str">
            <v>78548183</v>
          </cell>
          <cell r="I721" t="str">
            <v>BCP</v>
          </cell>
          <cell r="J721" t="str">
            <v>191-92733475074</v>
          </cell>
          <cell r="K721" t="str">
            <v>DNI</v>
          </cell>
          <cell r="L721">
            <v>10785481831</v>
          </cell>
          <cell r="M721" t="str">
            <v>URBANO</v>
          </cell>
          <cell r="N721">
            <v>44866</v>
          </cell>
          <cell r="O721">
            <v>0</v>
          </cell>
          <cell r="P721" t="str">
            <v>XL</v>
          </cell>
        </row>
        <row r="722">
          <cell r="A722">
            <v>2193</v>
          </cell>
          <cell r="B722">
            <v>2193</v>
          </cell>
          <cell r="C722" t="str">
            <v>CERO MATRICULA</v>
          </cell>
          <cell r="D722" t="str">
            <v>ACTIVO</v>
          </cell>
          <cell r="E722" t="str">
            <v>BKJ545</v>
          </cell>
          <cell r="F722" t="str">
            <v>SANCHEZ BANCES FELIX ENRIQUE</v>
          </cell>
          <cell r="G722" t="str">
            <v>SANCHEZ BANCES FELIX ENRIQUE</v>
          </cell>
          <cell r="H722" t="str">
            <v>47738823</v>
          </cell>
          <cell r="I722" t="str">
            <v>BBVA</v>
          </cell>
          <cell r="J722" t="str">
            <v>0011-0814-0216855367</v>
          </cell>
          <cell r="K722" t="str">
            <v>DNI</v>
          </cell>
          <cell r="L722">
            <v>10477388235</v>
          </cell>
          <cell r="M722" t="str">
            <v>URBANO</v>
          </cell>
          <cell r="N722">
            <v>44832</v>
          </cell>
          <cell r="O722">
            <v>0</v>
          </cell>
          <cell r="P722" t="str">
            <v>COMFORT XL</v>
          </cell>
        </row>
        <row r="723">
          <cell r="A723">
            <v>2194</v>
          </cell>
          <cell r="B723">
            <v>2194</v>
          </cell>
          <cell r="C723" t="str">
            <v>CERO MATRICULA</v>
          </cell>
          <cell r="D723" t="str">
            <v>ACTIVO</v>
          </cell>
          <cell r="E723" t="str">
            <v>ABB105</v>
          </cell>
          <cell r="F723" t="str">
            <v>CARMENES SERNAQUE JIMMY JHOEL</v>
          </cell>
          <cell r="G723" t="str">
            <v>CARMENES SERNAQUE JIMMY JHOEL</v>
          </cell>
          <cell r="H723" t="str">
            <v>44443757</v>
          </cell>
          <cell r="I723" t="str">
            <v>BCP</v>
          </cell>
          <cell r="J723" t="str">
            <v>191-71141927-0-31</v>
          </cell>
          <cell r="K723" t="str">
            <v>DNI</v>
          </cell>
          <cell r="L723">
            <v>10444437575</v>
          </cell>
          <cell r="M723" t="str">
            <v>URBANO</v>
          </cell>
          <cell r="N723">
            <v>44833</v>
          </cell>
          <cell r="O723">
            <v>0</v>
          </cell>
          <cell r="P723" t="str">
            <v>COMFORT</v>
          </cell>
        </row>
        <row r="724">
          <cell r="A724">
            <v>2195</v>
          </cell>
          <cell r="B724">
            <v>2195</v>
          </cell>
          <cell r="C724" t="str">
            <v>CERO MATRICULA</v>
          </cell>
          <cell r="D724" t="str">
            <v>ACTIVO</v>
          </cell>
          <cell r="E724" t="str">
            <v>BMV632</v>
          </cell>
          <cell r="F724" t="str">
            <v>NORIEGA TORRES WALTER ENRIQUE</v>
          </cell>
          <cell r="G724" t="str">
            <v>NORIEGA TORRES WALTER ENRIQUE</v>
          </cell>
          <cell r="H724" t="str">
            <v>44689259</v>
          </cell>
          <cell r="I724" t="str">
            <v>INTERBANK</v>
          </cell>
          <cell r="J724" t="str">
            <v>827-3114447308</v>
          </cell>
          <cell r="K724" t="str">
            <v>DNI</v>
          </cell>
          <cell r="L724">
            <v>10446892598</v>
          </cell>
          <cell r="M724" t="str">
            <v>URBANO</v>
          </cell>
          <cell r="N724">
            <v>44847</v>
          </cell>
          <cell r="O724">
            <v>0</v>
          </cell>
          <cell r="P724" t="str">
            <v>LITE</v>
          </cell>
        </row>
        <row r="725">
          <cell r="A725">
            <v>2196</v>
          </cell>
          <cell r="B725">
            <v>2196</v>
          </cell>
          <cell r="C725" t="str">
            <v>CERO MATRICULA</v>
          </cell>
          <cell r="D725" t="str">
            <v>ACTIVO</v>
          </cell>
          <cell r="E725" t="str">
            <v>BYJ371</v>
          </cell>
          <cell r="F725" t="str">
            <v>SENCIE NIEVES LUIS ALBERTO</v>
          </cell>
          <cell r="G725" t="str">
            <v>SENCIE NIEVES LUIS ALBERTO</v>
          </cell>
          <cell r="H725" t="str">
            <v>41504691</v>
          </cell>
          <cell r="I725" t="str">
            <v>BBVA</v>
          </cell>
          <cell r="J725">
            <v>1107520200319360</v>
          </cell>
          <cell r="K725" t="str">
            <v>DNI</v>
          </cell>
          <cell r="L725">
            <v>10415046915</v>
          </cell>
          <cell r="M725" t="str">
            <v>URBANO</v>
          </cell>
          <cell r="N725">
            <v>44839</v>
          </cell>
          <cell r="O725">
            <v>0</v>
          </cell>
          <cell r="P725" t="str">
            <v>COMFORT XL</v>
          </cell>
        </row>
        <row r="726">
          <cell r="A726">
            <v>2197</v>
          </cell>
          <cell r="B726">
            <v>2197</v>
          </cell>
          <cell r="C726" t="str">
            <v>CERO MATRICULA</v>
          </cell>
          <cell r="D726" t="str">
            <v>ACTIVO</v>
          </cell>
          <cell r="E726" t="str">
            <v>CBM626</v>
          </cell>
          <cell r="F726" t="str">
            <v>APARICIO FERNANDEZ JOSE ANTONIO</v>
          </cell>
          <cell r="G726" t="str">
            <v>APARICIO FERNANDEZ JOSE ANTONIO</v>
          </cell>
          <cell r="H726" t="str">
            <v>10355702</v>
          </cell>
          <cell r="I726" t="str">
            <v>BCP</v>
          </cell>
          <cell r="J726" t="str">
            <v>191-17010568-0-91</v>
          </cell>
          <cell r="K726" t="str">
            <v>DNI</v>
          </cell>
          <cell r="L726">
            <v>10103557025</v>
          </cell>
          <cell r="M726" t="str">
            <v>URBANO PARTNER</v>
          </cell>
          <cell r="N726">
            <v>44865</v>
          </cell>
          <cell r="O726">
            <v>0</v>
          </cell>
          <cell r="P726" t="str">
            <v>XL</v>
          </cell>
        </row>
        <row r="727">
          <cell r="A727">
            <v>2198</v>
          </cell>
          <cell r="B727">
            <v>2198</v>
          </cell>
          <cell r="C727" t="str">
            <v>CERO MATRICULA</v>
          </cell>
          <cell r="D727" t="str">
            <v>ACTIVO</v>
          </cell>
          <cell r="E727" t="str">
            <v>CAR283</v>
          </cell>
          <cell r="F727" t="str">
            <v>SOLIS PARRA LEE VAN PAUL</v>
          </cell>
          <cell r="G727" t="str">
            <v>SOLIS PARRA LEE VAN PAUL</v>
          </cell>
          <cell r="H727" t="str">
            <v>20740521</v>
          </cell>
          <cell r="I727" t="str">
            <v>BCP</v>
          </cell>
          <cell r="J727" t="str">
            <v>191-04516528-0-48</v>
          </cell>
          <cell r="K727" t="str">
            <v>DNI</v>
          </cell>
          <cell r="L727">
            <v>10207405219</v>
          </cell>
          <cell r="M727" t="str">
            <v>URBANO PARTNER</v>
          </cell>
          <cell r="N727">
            <v>44844</v>
          </cell>
          <cell r="O727">
            <v>0</v>
          </cell>
          <cell r="P727" t="str">
            <v>COMFORT</v>
          </cell>
        </row>
        <row r="728">
          <cell r="A728">
            <v>2199</v>
          </cell>
          <cell r="B728">
            <v>2199</v>
          </cell>
          <cell r="C728" t="str">
            <v>CERO MATRICULA</v>
          </cell>
          <cell r="D728" t="str">
            <v>ACTIVO</v>
          </cell>
          <cell r="E728" t="str">
            <v>CBN168</v>
          </cell>
          <cell r="F728" t="str">
            <v>CANDELA ROJAS JOSE ARANIBAR</v>
          </cell>
          <cell r="G728" t="str">
            <v>LAZARTE LOYOLA JULIA GLADYS</v>
          </cell>
          <cell r="H728" t="str">
            <v>07827696</v>
          </cell>
          <cell r="I728" t="str">
            <v>BCP</v>
          </cell>
          <cell r="J728" t="str">
            <v>191-22785566021</v>
          </cell>
          <cell r="K728" t="str">
            <v>DNI</v>
          </cell>
          <cell r="L728">
            <v>10078276962</v>
          </cell>
          <cell r="M728" t="str">
            <v>URBANO</v>
          </cell>
          <cell r="N728">
            <v>44865</v>
          </cell>
          <cell r="O728">
            <v>0</v>
          </cell>
          <cell r="P728" t="str">
            <v>COMFORT XL</v>
          </cell>
        </row>
        <row r="729">
          <cell r="A729">
            <v>2200</v>
          </cell>
          <cell r="B729">
            <v>2200</v>
          </cell>
          <cell r="C729" t="str">
            <v>CERO MATRICULA</v>
          </cell>
          <cell r="D729" t="str">
            <v>ACTIVO</v>
          </cell>
          <cell r="E729" t="str">
            <v>BSE439</v>
          </cell>
          <cell r="F729" t="str">
            <v>DIAZ MADRIZ USBAN JAVIER</v>
          </cell>
          <cell r="G729" t="str">
            <v>GARCIA TAPIA VISMAR DAVID</v>
          </cell>
          <cell r="H729" t="str">
            <v>003230907</v>
          </cell>
          <cell r="I729" t="str">
            <v>INTERBANK</v>
          </cell>
          <cell r="J729" t="str">
            <v>162-3344373820</v>
          </cell>
          <cell r="K729" t="str">
            <v>CE</v>
          </cell>
          <cell r="L729">
            <v>15603983006</v>
          </cell>
          <cell r="M729" t="str">
            <v>URBANO PARTNER</v>
          </cell>
          <cell r="N729">
            <v>44914</v>
          </cell>
          <cell r="O729">
            <v>0</v>
          </cell>
          <cell r="P729" t="str">
            <v>LITE</v>
          </cell>
        </row>
        <row r="730">
          <cell r="A730">
            <v>2201</v>
          </cell>
          <cell r="B730">
            <v>2201</v>
          </cell>
          <cell r="C730" t="str">
            <v>CERO MATRICULA</v>
          </cell>
          <cell r="D730" t="str">
            <v>ACTIVO</v>
          </cell>
          <cell r="E730" t="str">
            <v>CBL608</v>
          </cell>
          <cell r="F730" t="str">
            <v>DELGADO CAMPOS CARLOS EDUARDO</v>
          </cell>
          <cell r="G730" t="str">
            <v>DELGADO CAMPOS CARLOS EDUARDO</v>
          </cell>
          <cell r="H730" t="str">
            <v>001263962</v>
          </cell>
          <cell r="I730" t="str">
            <v>BCP</v>
          </cell>
          <cell r="J730" t="str">
            <v>191-06896611-0-72</v>
          </cell>
          <cell r="K730" t="str">
            <v>CPP</v>
          </cell>
          <cell r="L730">
            <v>15610105821</v>
          </cell>
          <cell r="M730" t="str">
            <v>URBANO</v>
          </cell>
          <cell r="N730">
            <v>44852</v>
          </cell>
          <cell r="O730">
            <v>0</v>
          </cell>
          <cell r="P730" t="str">
            <v>LITE</v>
          </cell>
        </row>
        <row r="731">
          <cell r="A731">
            <v>2204</v>
          </cell>
          <cell r="B731">
            <v>2204</v>
          </cell>
          <cell r="C731" t="str">
            <v>CERO MATRICULA</v>
          </cell>
          <cell r="D731" t="str">
            <v>ACTIVO</v>
          </cell>
          <cell r="E731" t="str">
            <v>BNK390</v>
          </cell>
          <cell r="F731" t="str">
            <v>JAYOS GALVEZ NICK RAUL</v>
          </cell>
          <cell r="G731" t="str">
            <v>JAYOS GALVEZ NICK RAUL</v>
          </cell>
          <cell r="H731" t="str">
            <v>45820747</v>
          </cell>
          <cell r="I731" t="str">
            <v>BBVA</v>
          </cell>
          <cell r="J731" t="str">
            <v>0011-0814-0204554035</v>
          </cell>
          <cell r="K731" t="str">
            <v>DNI</v>
          </cell>
          <cell r="L731">
            <v>10458207475</v>
          </cell>
          <cell r="M731" t="str">
            <v>URBANO</v>
          </cell>
          <cell r="N731">
            <v>44853</v>
          </cell>
          <cell r="O731">
            <v>0</v>
          </cell>
          <cell r="P731" t="str">
            <v>COMFORT</v>
          </cell>
        </row>
        <row r="732">
          <cell r="A732">
            <v>2205</v>
          </cell>
          <cell r="B732">
            <v>2205</v>
          </cell>
          <cell r="C732" t="str">
            <v>CERO MATRICULA</v>
          </cell>
          <cell r="D732" t="str">
            <v>ACTIVO</v>
          </cell>
          <cell r="E732" t="str">
            <v>BUU501</v>
          </cell>
          <cell r="F732" t="str">
            <v>DIAZ ROSAS ALEJANDRO DAVID</v>
          </cell>
          <cell r="G732" t="str">
            <v>DIAZ ROSAS ALEJANDRO DAVID</v>
          </cell>
          <cell r="H732" t="str">
            <v>004321734</v>
          </cell>
          <cell r="I732" t="str">
            <v>SCOTIABANK</v>
          </cell>
          <cell r="J732" t="str">
            <v>825-3601051</v>
          </cell>
          <cell r="K732" t="str">
            <v>CE</v>
          </cell>
          <cell r="L732">
            <v>15608210650</v>
          </cell>
          <cell r="M732" t="str">
            <v>URBANO</v>
          </cell>
          <cell r="N732">
            <v>44853</v>
          </cell>
          <cell r="O732">
            <v>0</v>
          </cell>
          <cell r="P732" t="str">
            <v>LITE</v>
          </cell>
        </row>
        <row r="733">
          <cell r="A733">
            <v>2206</v>
          </cell>
          <cell r="B733">
            <v>2206</v>
          </cell>
          <cell r="C733" t="str">
            <v>CERO MATRICULA</v>
          </cell>
          <cell r="D733" t="str">
            <v>ACTIVO</v>
          </cell>
          <cell r="E733" t="str">
            <v>ASD150</v>
          </cell>
          <cell r="F733" t="str">
            <v>LOZANO ANYOSA ERICK FARDY</v>
          </cell>
          <cell r="G733" t="str">
            <v>LOZANO ANYOSA ERICK FARDY</v>
          </cell>
          <cell r="H733" t="str">
            <v>09780833</v>
          </cell>
          <cell r="I733" t="str">
            <v>BCP</v>
          </cell>
          <cell r="J733" t="str">
            <v>19405701007092</v>
          </cell>
          <cell r="K733" t="str">
            <v>DNI</v>
          </cell>
          <cell r="L733">
            <v>10097808339</v>
          </cell>
          <cell r="M733" t="str">
            <v>URBANO</v>
          </cell>
          <cell r="N733">
            <v>44865</v>
          </cell>
          <cell r="O733">
            <v>0</v>
          </cell>
          <cell r="P733" t="str">
            <v>LITE</v>
          </cell>
        </row>
        <row r="734">
          <cell r="A734">
            <v>2207</v>
          </cell>
          <cell r="B734">
            <v>2207</v>
          </cell>
          <cell r="C734" t="str">
            <v>CERO MATRICULA</v>
          </cell>
          <cell r="D734" t="str">
            <v>ACTIVO</v>
          </cell>
          <cell r="E734" t="str">
            <v>CAN349</v>
          </cell>
          <cell r="F734" t="str">
            <v>HUAMAN CHAVEZ WILDER</v>
          </cell>
          <cell r="G734" t="str">
            <v>HUAMAN CHAVEZ WILDER</v>
          </cell>
          <cell r="H734" t="str">
            <v>42650673</v>
          </cell>
          <cell r="I734" t="str">
            <v>BBVA</v>
          </cell>
          <cell r="J734" t="str">
            <v>0011-0814-0239337851</v>
          </cell>
          <cell r="K734" t="str">
            <v>DNI</v>
          </cell>
          <cell r="L734">
            <v>10426506730</v>
          </cell>
          <cell r="M734" t="str">
            <v>URBANO</v>
          </cell>
          <cell r="N734">
            <v>44859</v>
          </cell>
          <cell r="O734">
            <v>0</v>
          </cell>
          <cell r="P734" t="str">
            <v>LITE</v>
          </cell>
        </row>
        <row r="735">
          <cell r="A735">
            <v>2211</v>
          </cell>
          <cell r="B735">
            <v>2211</v>
          </cell>
          <cell r="C735" t="str">
            <v>CERO MATRICULA</v>
          </cell>
          <cell r="D735" t="str">
            <v>ACTIVO</v>
          </cell>
          <cell r="E735" t="str">
            <v>CAK250</v>
          </cell>
          <cell r="F735" t="str">
            <v>MONTALVO CORREA OSKAR MARTIN</v>
          </cell>
          <cell r="G735" t="str">
            <v>MONTALVO CORREA OSKAR MARTIN</v>
          </cell>
          <cell r="H735" t="str">
            <v>41693943</v>
          </cell>
          <cell r="I735" t="str">
            <v>BCP</v>
          </cell>
          <cell r="J735" t="str">
            <v>191-72856346-0-66</v>
          </cell>
          <cell r="K735" t="str">
            <v>DNI</v>
          </cell>
          <cell r="L735">
            <v>10416939433</v>
          </cell>
          <cell r="M735" t="str">
            <v>URBANO</v>
          </cell>
          <cell r="N735">
            <v>44915</v>
          </cell>
          <cell r="O735">
            <v>0</v>
          </cell>
          <cell r="P735" t="str">
            <v>COMFORT XL</v>
          </cell>
        </row>
        <row r="736">
          <cell r="A736">
            <v>2212</v>
          </cell>
          <cell r="B736">
            <v>2212</v>
          </cell>
          <cell r="C736" t="str">
            <v>CERO MATRICULA</v>
          </cell>
          <cell r="D736" t="str">
            <v>ACTIVO</v>
          </cell>
          <cell r="E736" t="str">
            <v>BCN320</v>
          </cell>
          <cell r="F736" t="str">
            <v>SANDOVAL ALVARADO PAUL JOSEPH</v>
          </cell>
          <cell r="G736" t="str">
            <v>SANDOVAL ALVARADO PAUL JOSEPH</v>
          </cell>
          <cell r="H736" t="str">
            <v>41184465</v>
          </cell>
          <cell r="I736" t="str">
            <v>BCP</v>
          </cell>
          <cell r="J736" t="str">
            <v>191-38702263-0-93</v>
          </cell>
          <cell r="K736" t="str">
            <v>DNI</v>
          </cell>
          <cell r="L736">
            <v>10411844655</v>
          </cell>
          <cell r="M736" t="str">
            <v>URBANO PARTNER</v>
          </cell>
          <cell r="N736">
            <v>44865</v>
          </cell>
          <cell r="O736">
            <v>0</v>
          </cell>
          <cell r="P736" t="str">
            <v>XL</v>
          </cell>
        </row>
        <row r="737">
          <cell r="A737">
            <v>2214</v>
          </cell>
          <cell r="B737">
            <v>2214</v>
          </cell>
          <cell r="C737" t="str">
            <v>CERO MATRICULA</v>
          </cell>
          <cell r="D737" t="str">
            <v>ACTIVO</v>
          </cell>
          <cell r="E737" t="str">
            <v>CBV281</v>
          </cell>
          <cell r="F737" t="str">
            <v>DE LA CRUZ WITRON MIGUEL ANGEL</v>
          </cell>
          <cell r="G737" t="str">
            <v>DE LA CRUZ WITRON MIGUEL ANGEL</v>
          </cell>
          <cell r="H737" t="str">
            <v>47358211</v>
          </cell>
          <cell r="I737" t="str">
            <v>INTERBANK</v>
          </cell>
          <cell r="J737" t="str">
            <v>2003139881236</v>
          </cell>
          <cell r="K737" t="str">
            <v>DNI</v>
          </cell>
          <cell r="L737">
            <v>10473582118</v>
          </cell>
          <cell r="M737" t="str">
            <v>URBANO</v>
          </cell>
          <cell r="N737">
            <v>44861</v>
          </cell>
          <cell r="O737">
            <v>0</v>
          </cell>
          <cell r="P737" t="str">
            <v>COMFORT XL</v>
          </cell>
        </row>
        <row r="738">
          <cell r="A738">
            <v>2217</v>
          </cell>
          <cell r="B738">
            <v>2217</v>
          </cell>
          <cell r="C738" t="str">
            <v>CERO MATRICULA</v>
          </cell>
          <cell r="D738" t="str">
            <v>ACTIVO</v>
          </cell>
          <cell r="E738" t="str">
            <v>CAI219</v>
          </cell>
          <cell r="F738" t="str">
            <v>LEVANO TENA JORGE JONATHAN</v>
          </cell>
          <cell r="G738" t="str">
            <v>LEVANO TENA JORGE JONATHAN</v>
          </cell>
          <cell r="H738" t="str">
            <v>76188499</v>
          </cell>
          <cell r="I738" t="str">
            <v>BCP</v>
          </cell>
          <cell r="J738" t="str">
            <v>19170814354048</v>
          </cell>
          <cell r="K738" t="str">
            <v>DNI</v>
          </cell>
          <cell r="L738">
            <v>10761884994</v>
          </cell>
          <cell r="M738" t="str">
            <v>URBANO</v>
          </cell>
          <cell r="N738">
            <v>44868</v>
          </cell>
          <cell r="O738">
            <v>0</v>
          </cell>
          <cell r="P738" t="str">
            <v>XL</v>
          </cell>
        </row>
        <row r="739">
          <cell r="A739">
            <v>2218</v>
          </cell>
          <cell r="B739">
            <v>2218</v>
          </cell>
          <cell r="C739" t="str">
            <v>CERO MATRICULA</v>
          </cell>
          <cell r="D739" t="str">
            <v>ACTIVO</v>
          </cell>
          <cell r="E739" t="str">
            <v>BPG151</v>
          </cell>
          <cell r="F739" t="str">
            <v>CALLAÑAUPA AYALA ANDERSON RENATO</v>
          </cell>
          <cell r="G739" t="str">
            <v>CALLAÑAUPA AYALA ANDERSON RENATO</v>
          </cell>
          <cell r="H739" t="str">
            <v>77275561</v>
          </cell>
          <cell r="I739" t="str">
            <v>BCP</v>
          </cell>
          <cell r="J739" t="str">
            <v>19192976366018</v>
          </cell>
          <cell r="K739" t="str">
            <v>DNI</v>
          </cell>
          <cell r="L739">
            <v>10772755614</v>
          </cell>
          <cell r="M739" t="str">
            <v>MEMBRESÍA URBANO</v>
          </cell>
          <cell r="N739">
            <v>44873</v>
          </cell>
          <cell r="O739">
            <v>280</v>
          </cell>
          <cell r="P739" t="str">
            <v>COMFORT XL</v>
          </cell>
        </row>
        <row r="740">
          <cell r="A740">
            <v>2219</v>
          </cell>
          <cell r="B740">
            <v>2219</v>
          </cell>
          <cell r="C740" t="str">
            <v>CERO MATRICULA</v>
          </cell>
          <cell r="D740" t="str">
            <v>ACTIVO</v>
          </cell>
          <cell r="E740" t="str">
            <v>BTE102</v>
          </cell>
          <cell r="F740" t="str">
            <v>CARRILLO MARTINEZ JOSE RAUL</v>
          </cell>
          <cell r="G740" t="str">
            <v>CARRILLO MARTINEZ JOSE RAUL</v>
          </cell>
          <cell r="H740" t="str">
            <v>74291657</v>
          </cell>
          <cell r="I740" t="str">
            <v>BCP</v>
          </cell>
          <cell r="J740" t="str">
            <v>191-00861014-0-10</v>
          </cell>
          <cell r="K740" t="str">
            <v>DNI</v>
          </cell>
          <cell r="L740">
            <v>10742916575</v>
          </cell>
          <cell r="M740" t="str">
            <v>AEROLINEAS</v>
          </cell>
          <cell r="N740">
            <v>44997</v>
          </cell>
          <cell r="O740">
            <v>0</v>
          </cell>
          <cell r="P740" t="str">
            <v>LITE</v>
          </cell>
        </row>
        <row r="741">
          <cell r="A741">
            <v>2220</v>
          </cell>
          <cell r="B741">
            <v>2220</v>
          </cell>
          <cell r="C741" t="str">
            <v>CERO MATRICULA</v>
          </cell>
          <cell r="D741" t="str">
            <v>ACTIVO</v>
          </cell>
          <cell r="E741" t="str">
            <v>CBP025</v>
          </cell>
          <cell r="F741" t="str">
            <v>CORREA MONTES JHONATAN DANIEL</v>
          </cell>
          <cell r="G741" t="str">
            <v>CORREA MONTES JHONATAN DANIEL</v>
          </cell>
          <cell r="H741" t="str">
            <v>70670101</v>
          </cell>
          <cell r="I741" t="str">
            <v>BBVA</v>
          </cell>
          <cell r="J741" t="str">
            <v>0011-0143-0200471456</v>
          </cell>
          <cell r="K741" t="str">
            <v>DNI</v>
          </cell>
          <cell r="L741">
            <v>10706701015</v>
          </cell>
          <cell r="M741" t="str">
            <v>MEMBRESÍA URBANO</v>
          </cell>
          <cell r="N741">
            <v>44868</v>
          </cell>
          <cell r="O741">
            <v>280</v>
          </cell>
          <cell r="P741" t="str">
            <v>LITE</v>
          </cell>
        </row>
        <row r="742">
          <cell r="A742">
            <v>2223</v>
          </cell>
          <cell r="B742">
            <v>2223</v>
          </cell>
          <cell r="C742" t="str">
            <v>CERO MATRICULA</v>
          </cell>
          <cell r="D742" t="str">
            <v>ACTIVO</v>
          </cell>
          <cell r="E742" t="str">
            <v>APO388</v>
          </cell>
          <cell r="F742" t="str">
            <v>TICONA MOYA FRANK HERMOGENES</v>
          </cell>
          <cell r="G742" t="str">
            <v>TICONA MOYA FRANK HERMOGENES</v>
          </cell>
          <cell r="H742" t="str">
            <v>42479152</v>
          </cell>
          <cell r="I742" t="str">
            <v>INTERBANK</v>
          </cell>
          <cell r="J742" t="str">
            <v>205-3136620790</v>
          </cell>
          <cell r="K742" t="str">
            <v>DNI</v>
          </cell>
          <cell r="L742">
            <v>10424791526</v>
          </cell>
          <cell r="M742" t="str">
            <v>URBANO</v>
          </cell>
          <cell r="N742">
            <v>44872</v>
          </cell>
          <cell r="O742">
            <v>0</v>
          </cell>
          <cell r="P742" t="str">
            <v>COMFORT</v>
          </cell>
        </row>
        <row r="743">
          <cell r="A743">
            <v>2224</v>
          </cell>
          <cell r="B743">
            <v>2224</v>
          </cell>
          <cell r="C743" t="str">
            <v>CERO MATRICULA</v>
          </cell>
          <cell r="D743" t="str">
            <v>ACTIVO</v>
          </cell>
          <cell r="E743" t="str">
            <v>CAQ321</v>
          </cell>
          <cell r="F743" t="str">
            <v>RODRIGUEZ ALFONZO RICARDO JOSERAFAEL</v>
          </cell>
          <cell r="G743" t="str">
            <v>RODRIGUEZ ALFONZO RICARDO JOSERAFAEL</v>
          </cell>
          <cell r="H743" t="str">
            <v>004402216</v>
          </cell>
          <cell r="I743" t="str">
            <v>BCP</v>
          </cell>
          <cell r="J743" t="str">
            <v>191-92467313-0-24</v>
          </cell>
          <cell r="K743" t="str">
            <v>CE</v>
          </cell>
          <cell r="L743">
            <v>15606065598</v>
          </cell>
          <cell r="M743" t="str">
            <v>URBANO</v>
          </cell>
          <cell r="N743">
            <v>44874</v>
          </cell>
          <cell r="O743">
            <v>0</v>
          </cell>
          <cell r="P743" t="str">
            <v>COMFORT</v>
          </cell>
        </row>
        <row r="744">
          <cell r="A744">
            <v>2225</v>
          </cell>
          <cell r="B744">
            <v>2225</v>
          </cell>
          <cell r="C744" t="str">
            <v>CERO MATRICULA</v>
          </cell>
          <cell r="D744" t="str">
            <v>ACTIVO</v>
          </cell>
          <cell r="E744" t="str">
            <v>BVM349</v>
          </cell>
          <cell r="F744" t="str">
            <v>SUAREZ BARRAGAN HAINZTHER ORLANDO</v>
          </cell>
          <cell r="G744" t="str">
            <v xml:space="preserve">Jennifer Geraldine Molina Suárez </v>
          </cell>
          <cell r="H744" t="str">
            <v>007057825</v>
          </cell>
          <cell r="I744" t="str">
            <v>INTERBANK</v>
          </cell>
          <cell r="J744" t="str">
            <v>00389801327021383047</v>
          </cell>
          <cell r="K744" t="str">
            <v>CE</v>
          </cell>
          <cell r="L744">
            <v>15609179560</v>
          </cell>
          <cell r="M744" t="str">
            <v>AEROLINEAS</v>
          </cell>
          <cell r="N744">
            <v>45103</v>
          </cell>
          <cell r="O744">
            <v>0</v>
          </cell>
          <cell r="P744" t="str">
            <v>COMFORT XL</v>
          </cell>
        </row>
        <row r="745">
          <cell r="A745">
            <v>2226</v>
          </cell>
          <cell r="B745">
            <v>2226</v>
          </cell>
          <cell r="C745" t="str">
            <v>CERO MATRICULA</v>
          </cell>
          <cell r="D745" t="str">
            <v>ACTIVO</v>
          </cell>
          <cell r="E745" t="str">
            <v>BXS044</v>
          </cell>
          <cell r="F745" t="str">
            <v>BURGA YAMPUFE LUIS RAMON</v>
          </cell>
          <cell r="G745" t="str">
            <v>BURGA YAMPUFE LUIS RAMON</v>
          </cell>
          <cell r="H745" t="str">
            <v>45674949</v>
          </cell>
          <cell r="I745" t="str">
            <v>INTERBANK</v>
          </cell>
          <cell r="J745" t="str">
            <v>270-3208054905</v>
          </cell>
          <cell r="K745" t="str">
            <v>DNI</v>
          </cell>
          <cell r="L745">
            <v>10456749491</v>
          </cell>
          <cell r="M745" t="str">
            <v>URBANO</v>
          </cell>
          <cell r="N745">
            <v>44874</v>
          </cell>
          <cell r="O745">
            <v>0</v>
          </cell>
          <cell r="P745" t="str">
            <v>LITE</v>
          </cell>
        </row>
        <row r="746">
          <cell r="A746">
            <v>2227</v>
          </cell>
          <cell r="B746">
            <v>2227</v>
          </cell>
          <cell r="C746" t="str">
            <v>CERO MATRICULA</v>
          </cell>
          <cell r="D746" t="str">
            <v>ACTIVO</v>
          </cell>
          <cell r="E746" t="str">
            <v>BZW413</v>
          </cell>
          <cell r="F746" t="str">
            <v>MATOS CABELLO JORGE ARMANDO</v>
          </cell>
          <cell r="G746" t="str">
            <v>MATOS CABELLO JORGE ARMANDO</v>
          </cell>
          <cell r="H746" t="str">
            <v>43153333</v>
          </cell>
          <cell r="I746" t="str">
            <v>INTERBANK</v>
          </cell>
          <cell r="J746" t="str">
            <v>378 3209789778</v>
          </cell>
          <cell r="K746" t="str">
            <v>DNI</v>
          </cell>
          <cell r="L746">
            <v>10431533338</v>
          </cell>
          <cell r="M746" t="str">
            <v>URBANO</v>
          </cell>
          <cell r="N746">
            <v>44875</v>
          </cell>
          <cell r="O746">
            <v>0</v>
          </cell>
          <cell r="P746" t="str">
            <v>COMFORT XL</v>
          </cell>
        </row>
        <row r="747">
          <cell r="A747">
            <v>2228</v>
          </cell>
          <cell r="B747">
            <v>2228</v>
          </cell>
          <cell r="C747" t="str">
            <v>CERO MATRICULA</v>
          </cell>
          <cell r="D747" t="str">
            <v>ACTIVO</v>
          </cell>
          <cell r="E747" t="str">
            <v>ADX670</v>
          </cell>
          <cell r="F747" t="str">
            <v>NINAMAQUE VASQUEZ JOSE</v>
          </cell>
          <cell r="G747" t="str">
            <v>NINAMAQUE VASQUEZ JOSE</v>
          </cell>
          <cell r="H747" t="str">
            <v>40016683</v>
          </cell>
          <cell r="I747" t="str">
            <v>BCP</v>
          </cell>
          <cell r="J747" t="str">
            <v>194-34851920-0-58</v>
          </cell>
          <cell r="K747" t="str">
            <v>DNI</v>
          </cell>
          <cell r="L747">
            <v>10400166833</v>
          </cell>
          <cell r="M747" t="str">
            <v>URBANO</v>
          </cell>
          <cell r="N747">
            <v>44885</v>
          </cell>
          <cell r="O747">
            <v>0</v>
          </cell>
          <cell r="P747" t="str">
            <v>COMFORT</v>
          </cell>
        </row>
        <row r="748">
          <cell r="A748">
            <v>2230</v>
          </cell>
          <cell r="B748">
            <v>2230</v>
          </cell>
          <cell r="C748" t="str">
            <v>CERO MATRICULA</v>
          </cell>
          <cell r="D748" t="str">
            <v>ACTIVO</v>
          </cell>
          <cell r="E748" t="str">
            <v>CBQ409</v>
          </cell>
          <cell r="F748" t="str">
            <v>HUANUCO SOTELO EDGAR LENIN</v>
          </cell>
          <cell r="G748" t="str">
            <v>HUANUCO  SOTELO EDGAR LENIN</v>
          </cell>
          <cell r="H748" t="str">
            <v>42021957</v>
          </cell>
          <cell r="I748" t="str">
            <v>BCP</v>
          </cell>
          <cell r="J748" t="str">
            <v>191-73624389-0-67</v>
          </cell>
          <cell r="K748" t="str">
            <v>DNI</v>
          </cell>
          <cell r="L748">
            <v>10420219577</v>
          </cell>
          <cell r="M748" t="str">
            <v>URBANO</v>
          </cell>
          <cell r="N748">
            <v>44880</v>
          </cell>
          <cell r="O748">
            <v>0</v>
          </cell>
          <cell r="P748" t="str">
            <v>LITE</v>
          </cell>
        </row>
        <row r="749">
          <cell r="A749">
            <v>2231</v>
          </cell>
          <cell r="B749">
            <v>2231</v>
          </cell>
          <cell r="C749" t="str">
            <v>CERO MATRICULA</v>
          </cell>
          <cell r="D749" t="str">
            <v>ACTIVO</v>
          </cell>
          <cell r="E749" t="str">
            <v>CBY599</v>
          </cell>
          <cell r="F749" t="str">
            <v>QUISPE QUISPE ARBIN JHOEL</v>
          </cell>
          <cell r="G749" t="str">
            <v>QUISPE QUISPE ARBIN JHOEL</v>
          </cell>
          <cell r="H749" t="str">
            <v>47208543</v>
          </cell>
          <cell r="I749" t="str">
            <v>BBVA</v>
          </cell>
          <cell r="J749" t="str">
            <v>0011-0750-0200369171</v>
          </cell>
          <cell r="K749" t="str">
            <v>DNI</v>
          </cell>
          <cell r="L749">
            <v>10472085439</v>
          </cell>
          <cell r="M749" t="str">
            <v>URBANO</v>
          </cell>
          <cell r="N749">
            <v>45068</v>
          </cell>
          <cell r="O749">
            <v>0</v>
          </cell>
          <cell r="P749" t="str">
            <v>COMFORT XL</v>
          </cell>
        </row>
        <row r="750">
          <cell r="A750">
            <v>2232</v>
          </cell>
          <cell r="B750">
            <v>2232</v>
          </cell>
          <cell r="C750" t="str">
            <v>CERO MATRICULA</v>
          </cell>
          <cell r="D750" t="str">
            <v>ACTIVO</v>
          </cell>
          <cell r="E750" t="str">
            <v>CBZ121</v>
          </cell>
          <cell r="F750" t="str">
            <v>YOMONA SALINAS GREGORY YENSON</v>
          </cell>
          <cell r="G750" t="str">
            <v>YOMONA SALINAS GREGORY YENSON</v>
          </cell>
          <cell r="H750" t="str">
            <v>41612311</v>
          </cell>
          <cell r="I750" t="str">
            <v>BCP</v>
          </cell>
          <cell r="J750" t="str">
            <v>191-97553053-0-35</v>
          </cell>
          <cell r="K750" t="str">
            <v>DNI</v>
          </cell>
          <cell r="L750">
            <v>10416123115</v>
          </cell>
          <cell r="M750" t="str">
            <v>URBANO</v>
          </cell>
          <cell r="N750">
            <v>44881</v>
          </cell>
          <cell r="O750">
            <v>0</v>
          </cell>
          <cell r="P750" t="str">
            <v>COMFORT</v>
          </cell>
        </row>
        <row r="751">
          <cell r="A751">
            <v>2233</v>
          </cell>
          <cell r="B751">
            <v>2233</v>
          </cell>
          <cell r="C751" t="str">
            <v>CERO MATRICULA</v>
          </cell>
          <cell r="D751" t="str">
            <v>ACTIVO</v>
          </cell>
          <cell r="E751" t="str">
            <v>BNY615</v>
          </cell>
          <cell r="F751" t="str">
            <v>GALINDO VARGAS DENIS</v>
          </cell>
          <cell r="G751" t="str">
            <v>GALINDO VARGAS DENIS</v>
          </cell>
          <cell r="H751" t="str">
            <v>00521115</v>
          </cell>
          <cell r="I751" t="str">
            <v>BBVA</v>
          </cell>
          <cell r="J751" t="str">
            <v>0011-0232-0200269871</v>
          </cell>
          <cell r="K751" t="str">
            <v>DNI</v>
          </cell>
          <cell r="L751">
            <v>10005211153</v>
          </cell>
          <cell r="M751" t="str">
            <v>URBANO</v>
          </cell>
          <cell r="N751">
            <v>44881</v>
          </cell>
          <cell r="O751">
            <v>0</v>
          </cell>
          <cell r="P751" t="str">
            <v>LITE</v>
          </cell>
        </row>
        <row r="752">
          <cell r="A752">
            <v>2234</v>
          </cell>
          <cell r="B752">
            <v>2234</v>
          </cell>
          <cell r="C752" t="str">
            <v>CERO MATRICULA</v>
          </cell>
          <cell r="D752" t="str">
            <v>ACTIVO</v>
          </cell>
          <cell r="E752" t="str">
            <v>F6V127</v>
          </cell>
          <cell r="F752" t="str">
            <v>MAVILA ALCANTARA RAY CARLOS</v>
          </cell>
          <cell r="G752" t="str">
            <v>MAVILA ALCANTARA RAY CARLOS</v>
          </cell>
          <cell r="H752" t="str">
            <v>43826600</v>
          </cell>
          <cell r="I752" t="str">
            <v>BCP</v>
          </cell>
          <cell r="J752" t="str">
            <v>194-06002008-0-34</v>
          </cell>
          <cell r="K752" t="str">
            <v>DNI</v>
          </cell>
          <cell r="L752">
            <v>10438266009</v>
          </cell>
          <cell r="M752" t="str">
            <v>URBANO</v>
          </cell>
          <cell r="N752">
            <v>44881</v>
          </cell>
          <cell r="O752">
            <v>0</v>
          </cell>
          <cell r="P752" t="str">
            <v>COMFORT XL</v>
          </cell>
        </row>
        <row r="753">
          <cell r="A753">
            <v>2235</v>
          </cell>
          <cell r="B753">
            <v>2235</v>
          </cell>
          <cell r="C753" t="str">
            <v>CERO MATRICULA</v>
          </cell>
          <cell r="D753" t="str">
            <v>ACTIVO</v>
          </cell>
          <cell r="E753" t="str">
            <v>BVO496</v>
          </cell>
          <cell r="F753" t="str">
            <v>HERRERA GUTIERREZ CROSBY FRANCISCO</v>
          </cell>
          <cell r="G753" t="str">
            <v>TRUJILLO MARTINEZ JUANA BETTY</v>
          </cell>
          <cell r="H753" t="str">
            <v>09794623</v>
          </cell>
          <cell r="I753" t="str">
            <v>BCP</v>
          </cell>
          <cell r="J753" t="str">
            <v>191-04743068-0-76</v>
          </cell>
          <cell r="K753" t="str">
            <v>DNI</v>
          </cell>
          <cell r="L753">
            <v>10097946235</v>
          </cell>
          <cell r="M753" t="str">
            <v>URBANO PARTNER</v>
          </cell>
          <cell r="N753">
            <v>44888</v>
          </cell>
          <cell r="O753">
            <v>0</v>
          </cell>
          <cell r="P753" t="str">
            <v>COMFORT</v>
          </cell>
        </row>
        <row r="754">
          <cell r="A754">
            <v>2236</v>
          </cell>
          <cell r="B754">
            <v>2236</v>
          </cell>
          <cell r="C754" t="str">
            <v>CERO MATRICULA</v>
          </cell>
          <cell r="D754" t="str">
            <v>ACTIVO</v>
          </cell>
          <cell r="E754" t="str">
            <v>ABC023</v>
          </cell>
          <cell r="F754" t="str">
            <v>ACEVEDO TORIBIO JHON MAYCOL</v>
          </cell>
          <cell r="G754" t="str">
            <v>ACEVEDO TORIBIO JHON MAYCOL</v>
          </cell>
          <cell r="H754" t="str">
            <v>46296658</v>
          </cell>
          <cell r="I754" t="str">
            <v>BBVA</v>
          </cell>
          <cell r="J754" t="str">
            <v>0011-0814-0218415453</v>
          </cell>
          <cell r="K754" t="str">
            <v>DNI</v>
          </cell>
          <cell r="L754">
            <v>10462966585</v>
          </cell>
          <cell r="M754" t="str">
            <v>URBANO</v>
          </cell>
          <cell r="N754">
            <v>44887</v>
          </cell>
          <cell r="O754">
            <v>0</v>
          </cell>
          <cell r="P754" t="str">
            <v>COMFORT</v>
          </cell>
        </row>
        <row r="755">
          <cell r="A755">
            <v>2237</v>
          </cell>
          <cell r="B755">
            <v>2237</v>
          </cell>
          <cell r="C755" t="str">
            <v>CERO MATRICULA</v>
          </cell>
          <cell r="D755" t="str">
            <v>ACTIVO</v>
          </cell>
          <cell r="E755" t="str">
            <v>BZC275</v>
          </cell>
          <cell r="F755" t="str">
            <v>GARRO PONCE JAVIER RAUL</v>
          </cell>
          <cell r="G755" t="str">
            <v>GARRO PONCE JAVIER RAUL</v>
          </cell>
          <cell r="H755" t="str">
            <v>47097616</v>
          </cell>
          <cell r="I755" t="str">
            <v>INTERBANK</v>
          </cell>
          <cell r="J755" t="str">
            <v>442-3103012929</v>
          </cell>
          <cell r="K755" t="str">
            <v>DNI</v>
          </cell>
          <cell r="L755">
            <v>10470976166</v>
          </cell>
          <cell r="M755" t="str">
            <v>URBANO</v>
          </cell>
          <cell r="N755">
            <v>44887</v>
          </cell>
          <cell r="O755">
            <v>0</v>
          </cell>
          <cell r="P755" t="str">
            <v>XL</v>
          </cell>
        </row>
        <row r="756">
          <cell r="A756">
            <v>2239</v>
          </cell>
          <cell r="B756">
            <v>2239</v>
          </cell>
          <cell r="C756" t="str">
            <v>CERO MATRICULA</v>
          </cell>
          <cell r="D756" t="str">
            <v>ACTIVO</v>
          </cell>
          <cell r="E756" t="str">
            <v>BME526</v>
          </cell>
          <cell r="F756" t="str">
            <v>TORRES REYNA JAIRO MICHAEL</v>
          </cell>
          <cell r="G756" t="str">
            <v>TORRES REYNA JAIRO MICHAEL</v>
          </cell>
          <cell r="H756" t="str">
            <v>41266261</v>
          </cell>
          <cell r="I756" t="str">
            <v>BCP</v>
          </cell>
          <cell r="J756" t="str">
            <v>19300433032005</v>
          </cell>
          <cell r="K756" t="str">
            <v>DNI</v>
          </cell>
          <cell r="L756">
            <v>10412662615</v>
          </cell>
          <cell r="M756" t="str">
            <v>URBANO</v>
          </cell>
          <cell r="N756">
            <v>44894</v>
          </cell>
          <cell r="O756">
            <v>0</v>
          </cell>
          <cell r="P756" t="str">
            <v>LITE</v>
          </cell>
        </row>
        <row r="757">
          <cell r="A757">
            <v>2240</v>
          </cell>
          <cell r="B757">
            <v>2240</v>
          </cell>
          <cell r="C757" t="str">
            <v>CERO MATRICULA</v>
          </cell>
          <cell r="D757" t="str">
            <v>ACTIVO</v>
          </cell>
          <cell r="E757" t="str">
            <v>BAF355</v>
          </cell>
          <cell r="F757" t="str">
            <v>AYRAHUACHO PARDO NINELS JHOSSMELL</v>
          </cell>
          <cell r="G757" t="str">
            <v>AYRAHUACHO PARDO EDITH KARINA</v>
          </cell>
          <cell r="H757" t="str">
            <v>43598636</v>
          </cell>
          <cell r="I757" t="str">
            <v>BCP</v>
          </cell>
          <cell r="J757" t="str">
            <v>191-77918135-0-84</v>
          </cell>
          <cell r="K757" t="str">
            <v>DNI</v>
          </cell>
          <cell r="L757">
            <v>10435986361</v>
          </cell>
          <cell r="M757" t="str">
            <v>URBANO</v>
          </cell>
          <cell r="N757">
            <v>44887</v>
          </cell>
          <cell r="O757">
            <v>0</v>
          </cell>
          <cell r="P757" t="str">
            <v>COMFORT</v>
          </cell>
        </row>
        <row r="758">
          <cell r="A758">
            <v>2241</v>
          </cell>
          <cell r="B758">
            <v>2241</v>
          </cell>
          <cell r="C758" t="str">
            <v>CERO MATRICULA</v>
          </cell>
          <cell r="D758" t="str">
            <v>ACTIVO</v>
          </cell>
          <cell r="E758" t="str">
            <v>CAC234</v>
          </cell>
          <cell r="F758" t="str">
            <v>CORTEZ SOTO GILBER ANTONIO</v>
          </cell>
          <cell r="G758" t="str">
            <v>CORTEZ SOTO GILBER ANTONIO</v>
          </cell>
          <cell r="H758" t="str">
            <v>000576862</v>
          </cell>
          <cell r="I758" t="str">
            <v>BCP</v>
          </cell>
          <cell r="J758" t="str">
            <v>191-05670495-0-71</v>
          </cell>
          <cell r="K758" t="str">
            <v>CPP/PTP</v>
          </cell>
          <cell r="L758">
            <v>15610268223</v>
          </cell>
          <cell r="M758" t="str">
            <v>URBANO</v>
          </cell>
          <cell r="N758">
            <v>44886</v>
          </cell>
          <cell r="O758">
            <v>0</v>
          </cell>
          <cell r="P758" t="str">
            <v>LITE</v>
          </cell>
        </row>
        <row r="759">
          <cell r="A759">
            <v>2242</v>
          </cell>
          <cell r="B759">
            <v>2242</v>
          </cell>
          <cell r="C759" t="str">
            <v>CERO MATRICULA</v>
          </cell>
          <cell r="D759" t="str">
            <v>ACTIVO</v>
          </cell>
          <cell r="E759" t="str">
            <v>CAF303</v>
          </cell>
          <cell r="F759" t="str">
            <v>ACUÑA ROMAN  JOEL LUCIO</v>
          </cell>
          <cell r="G759" t="str">
            <v>DOMINGUEZ FARFAN ANA CECILIA</v>
          </cell>
          <cell r="H759" t="str">
            <v>46808304</v>
          </cell>
          <cell r="I759" t="str">
            <v>BBVA</v>
          </cell>
          <cell r="J759" t="str">
            <v>0011-0579-0204215706</v>
          </cell>
          <cell r="K759" t="str">
            <v>DNI</v>
          </cell>
          <cell r="L759">
            <v>10468083049</v>
          </cell>
          <cell r="M759" t="str">
            <v>URBANO</v>
          </cell>
          <cell r="N759">
            <v>44888</v>
          </cell>
          <cell r="O759">
            <v>0</v>
          </cell>
          <cell r="P759" t="str">
            <v>COMFORT XL</v>
          </cell>
        </row>
        <row r="760">
          <cell r="A760">
            <v>2244</v>
          </cell>
          <cell r="B760">
            <v>2244</v>
          </cell>
          <cell r="C760" t="str">
            <v>CERO MATRICULA</v>
          </cell>
          <cell r="D760" t="str">
            <v>ACTIVO</v>
          </cell>
          <cell r="E760" t="str">
            <v>BEN632</v>
          </cell>
          <cell r="F760" t="str">
            <v xml:space="preserve">SOTO  JULCA MANUEL  </v>
          </cell>
          <cell r="G760" t="str">
            <v>SOTO JULCA MANUEL</v>
          </cell>
          <cell r="H760" t="str">
            <v>46757285</v>
          </cell>
          <cell r="I760" t="str">
            <v>BCP</v>
          </cell>
          <cell r="J760" t="str">
            <v>191-92002805-0-25</v>
          </cell>
          <cell r="K760" t="str">
            <v>DNI</v>
          </cell>
          <cell r="L760">
            <v>10467572852</v>
          </cell>
          <cell r="M760" t="str">
            <v>URBANO</v>
          </cell>
          <cell r="N760">
            <v>45075</v>
          </cell>
          <cell r="O760">
            <v>0</v>
          </cell>
          <cell r="P760" t="str">
            <v>XL</v>
          </cell>
        </row>
        <row r="761">
          <cell r="A761">
            <v>2245</v>
          </cell>
          <cell r="B761">
            <v>2245</v>
          </cell>
          <cell r="C761" t="str">
            <v>CERO MATRICULA</v>
          </cell>
          <cell r="D761" t="str">
            <v>ACTIVO</v>
          </cell>
          <cell r="E761" t="str">
            <v>CBM478</v>
          </cell>
          <cell r="F761" t="str">
            <v>ROMERO PEREZ JEAN CARLOS</v>
          </cell>
          <cell r="G761" t="str">
            <v>ROMERO PEREZ JEAN CARLOS</v>
          </cell>
          <cell r="H761" t="str">
            <v>70019775</v>
          </cell>
          <cell r="I761" t="str">
            <v>BCP</v>
          </cell>
          <cell r="J761" t="str">
            <v>191-06789753-0-34</v>
          </cell>
          <cell r="K761" t="str">
            <v>DNI</v>
          </cell>
          <cell r="L761">
            <v>10700197757</v>
          </cell>
          <cell r="M761" t="str">
            <v>URBANO</v>
          </cell>
          <cell r="N761">
            <v>44889</v>
          </cell>
          <cell r="O761">
            <v>0</v>
          </cell>
          <cell r="P761" t="str">
            <v>COMFORT XL</v>
          </cell>
        </row>
        <row r="762">
          <cell r="A762">
            <v>2246</v>
          </cell>
          <cell r="B762">
            <v>2246</v>
          </cell>
          <cell r="C762" t="str">
            <v>CERO MATRICULA</v>
          </cell>
          <cell r="D762" t="str">
            <v>ACTIVO</v>
          </cell>
          <cell r="E762" t="str">
            <v>ACZ039</v>
          </cell>
          <cell r="F762" t="str">
            <v>QUISPE VARGAS CESAR CHRISTIAN</v>
          </cell>
          <cell r="G762" t="str">
            <v>QUISPE VARGAS CESAR CHRISTIAN</v>
          </cell>
          <cell r="H762" t="str">
            <v>46499080</v>
          </cell>
          <cell r="I762" t="str">
            <v>MIBANCO</v>
          </cell>
          <cell r="J762" t="str">
            <v>049-46700602659663542</v>
          </cell>
          <cell r="K762" t="str">
            <v>DNI</v>
          </cell>
          <cell r="L762">
            <v>10464990807</v>
          </cell>
          <cell r="M762" t="str">
            <v>MEMBRESÍA URBANO</v>
          </cell>
          <cell r="N762">
            <v>45075</v>
          </cell>
          <cell r="O762">
            <v>280</v>
          </cell>
          <cell r="P762" t="str">
            <v>COMFORT</v>
          </cell>
        </row>
        <row r="763">
          <cell r="A763">
            <v>2247</v>
          </cell>
          <cell r="B763">
            <v>2247</v>
          </cell>
          <cell r="C763" t="str">
            <v>CERO MATRICULA</v>
          </cell>
          <cell r="D763" t="str">
            <v>ACTIVO</v>
          </cell>
          <cell r="E763" t="str">
            <v>BHJ246</v>
          </cell>
          <cell r="F763" t="str">
            <v>GOMEZ TRUJILLO EDUARDO GAUDENCIO</v>
          </cell>
          <cell r="G763" t="str">
            <v>GOMEZ TRUJILLO EDUARDO GAUDENCIO</v>
          </cell>
          <cell r="H763" t="str">
            <v>00185895</v>
          </cell>
          <cell r="I763" t="str">
            <v>BBVA</v>
          </cell>
          <cell r="J763" t="str">
            <v>0011-0387-0200382485</v>
          </cell>
          <cell r="K763" t="str">
            <v>DNI</v>
          </cell>
          <cell r="L763">
            <v>10001858951</v>
          </cell>
          <cell r="M763" t="str">
            <v>URBANO</v>
          </cell>
          <cell r="N763">
            <v>44890</v>
          </cell>
          <cell r="O763">
            <v>0</v>
          </cell>
          <cell r="P763" t="str">
            <v>COMFORT</v>
          </cell>
        </row>
        <row r="764">
          <cell r="A764">
            <v>2248</v>
          </cell>
          <cell r="B764">
            <v>2248</v>
          </cell>
          <cell r="C764" t="str">
            <v>CERO MATRICULA</v>
          </cell>
          <cell r="D764" t="str">
            <v>ACTIVO</v>
          </cell>
          <cell r="E764" t="str">
            <v>BNQ507</v>
          </cell>
          <cell r="F764" t="str">
            <v>MENDOZA STUVA CRISTHOPHER EMILIO</v>
          </cell>
          <cell r="G764" t="str">
            <v>SANTOS GRANDE VALERIA</v>
          </cell>
          <cell r="H764" t="str">
            <v>47359231</v>
          </cell>
          <cell r="I764" t="str">
            <v>BCP</v>
          </cell>
          <cell r="J764" t="str">
            <v>194-06655947-0-77</v>
          </cell>
          <cell r="K764" t="str">
            <v>DNI</v>
          </cell>
          <cell r="L764">
            <v>10473592318</v>
          </cell>
          <cell r="M764" t="str">
            <v>URBANO</v>
          </cell>
          <cell r="N764">
            <v>44888</v>
          </cell>
          <cell r="O764">
            <v>0</v>
          </cell>
          <cell r="P764" t="str">
            <v>COMFORT</v>
          </cell>
        </row>
        <row r="765">
          <cell r="A765">
            <v>2250</v>
          </cell>
          <cell r="B765">
            <v>2250</v>
          </cell>
          <cell r="C765" t="str">
            <v>CERO MATRICULA</v>
          </cell>
          <cell r="D765" t="str">
            <v>ACTIVO</v>
          </cell>
          <cell r="E765" t="str">
            <v>AWY109</v>
          </cell>
          <cell r="F765" t="str">
            <v>PRECIADO RAMOS SANTOS VICTOR</v>
          </cell>
          <cell r="G765" t="str">
            <v>PRECIADO RAMOS SANTOS VICTOR</v>
          </cell>
          <cell r="H765" t="str">
            <v>25800432</v>
          </cell>
          <cell r="I765" t="str">
            <v>BCP</v>
          </cell>
          <cell r="J765" t="str">
            <v>192-97276087-0-71</v>
          </cell>
          <cell r="K765" t="str">
            <v>DNI</v>
          </cell>
          <cell r="L765">
            <v>10258004324</v>
          </cell>
          <cell r="M765" t="str">
            <v>URBANO</v>
          </cell>
          <cell r="N765">
            <v>44889</v>
          </cell>
          <cell r="O765">
            <v>0</v>
          </cell>
          <cell r="P765" t="str">
            <v>COMFORT</v>
          </cell>
        </row>
        <row r="766">
          <cell r="A766">
            <v>2251</v>
          </cell>
          <cell r="B766">
            <v>2251</v>
          </cell>
          <cell r="C766" t="str">
            <v>CERO MATRICULA</v>
          </cell>
          <cell r="D766" t="str">
            <v>ACTIVO</v>
          </cell>
          <cell r="E766" t="str">
            <v>BNL498</v>
          </cell>
          <cell r="F766" t="str">
            <v>PACHECO PIZANGO MANUEL IGNACIO</v>
          </cell>
          <cell r="G766" t="str">
            <v>PACHECO PIZANGO MANUEL IGNACIO</v>
          </cell>
          <cell r="H766" t="str">
            <v>47383518</v>
          </cell>
          <cell r="I766" t="str">
            <v>BCP</v>
          </cell>
          <cell r="J766" t="str">
            <v>191-99433843-0-23</v>
          </cell>
          <cell r="K766" t="str">
            <v>DNI</v>
          </cell>
          <cell r="L766">
            <v>10473835181</v>
          </cell>
          <cell r="M766" t="str">
            <v>URBANO</v>
          </cell>
          <cell r="N766">
            <v>44890</v>
          </cell>
          <cell r="O766">
            <v>0</v>
          </cell>
          <cell r="P766" t="str">
            <v>LITE</v>
          </cell>
        </row>
        <row r="767">
          <cell r="A767">
            <v>2252</v>
          </cell>
          <cell r="B767">
            <v>2252</v>
          </cell>
          <cell r="C767" t="str">
            <v>CERO MATRICULA</v>
          </cell>
          <cell r="D767" t="str">
            <v>ACTIVO</v>
          </cell>
          <cell r="E767" t="str">
            <v>CCH343</v>
          </cell>
          <cell r="F767" t="str">
            <v>MENDOZA ORTIZ EDGAR JOSE</v>
          </cell>
          <cell r="G767" t="str">
            <v>MENDOZA ORTIZ EDGAR JOSE</v>
          </cell>
          <cell r="H767" t="str">
            <v>003225905</v>
          </cell>
          <cell r="I767" t="str">
            <v>INTERBANK</v>
          </cell>
          <cell r="J767" t="str">
            <v>288-3326978345</v>
          </cell>
          <cell r="K767" t="str">
            <v>CE</v>
          </cell>
          <cell r="L767">
            <v>15606470077</v>
          </cell>
          <cell r="M767" t="str">
            <v>URBANO PARTNER</v>
          </cell>
          <cell r="N767">
            <v>44890</v>
          </cell>
          <cell r="O767">
            <v>0</v>
          </cell>
          <cell r="P767" t="str">
            <v>LITE</v>
          </cell>
        </row>
        <row r="768">
          <cell r="A768">
            <v>2253</v>
          </cell>
          <cell r="B768">
            <v>2253</v>
          </cell>
          <cell r="C768" t="str">
            <v>CERO MATRICULA</v>
          </cell>
          <cell r="D768" t="str">
            <v>ACTIVO</v>
          </cell>
          <cell r="E768" t="str">
            <v>CCH343</v>
          </cell>
          <cell r="F768" t="str">
            <v>PERDOMO  GARCIA FRANCISCO JOSE</v>
          </cell>
          <cell r="G768" t="str">
            <v>PERDOMO  GARCIA FRANCISCO JOSE</v>
          </cell>
          <cell r="H768" t="str">
            <v>003374868</v>
          </cell>
          <cell r="I768" t="str">
            <v>BCP</v>
          </cell>
          <cell r="J768" t="str">
            <v>194-93022809-0-32</v>
          </cell>
          <cell r="K768" t="str">
            <v>CE</v>
          </cell>
          <cell r="L768">
            <v>15606044370</v>
          </cell>
          <cell r="M768" t="str">
            <v>URBANO PARTNER</v>
          </cell>
          <cell r="N768">
            <v>45068</v>
          </cell>
          <cell r="O768">
            <v>0</v>
          </cell>
          <cell r="P768" t="str">
            <v>LITE</v>
          </cell>
        </row>
        <row r="769">
          <cell r="A769">
            <v>2255</v>
          </cell>
          <cell r="B769">
            <v>2255</v>
          </cell>
          <cell r="C769" t="str">
            <v>CERO MATRICULA</v>
          </cell>
          <cell r="D769" t="str">
            <v>ACTIVO</v>
          </cell>
          <cell r="E769" t="str">
            <v>CBE156</v>
          </cell>
          <cell r="F769" t="str">
            <v>ESPINOZA IZAGUIRRE MARCO ANTONIO</v>
          </cell>
          <cell r="G769" t="str">
            <v>ESPINOZA IZAGUIRRE MARCO ANTONIO</v>
          </cell>
          <cell r="H769" t="str">
            <v>002935232</v>
          </cell>
          <cell r="I769" t="str">
            <v>INTERBANK</v>
          </cell>
          <cell r="J769" t="str">
            <v>093-3326608039</v>
          </cell>
          <cell r="K769" t="str">
            <v>CE</v>
          </cell>
          <cell r="L769">
            <v>15605769966</v>
          </cell>
          <cell r="M769" t="str">
            <v>URBANO</v>
          </cell>
          <cell r="N769">
            <v>44890</v>
          </cell>
          <cell r="O769">
            <v>0</v>
          </cell>
          <cell r="P769" t="str">
            <v>LITE</v>
          </cell>
        </row>
        <row r="770">
          <cell r="A770">
            <v>2256</v>
          </cell>
          <cell r="B770">
            <v>2256</v>
          </cell>
          <cell r="C770" t="str">
            <v>CERO MATRICULA</v>
          </cell>
          <cell r="D770" t="str">
            <v>ACTIVO</v>
          </cell>
          <cell r="E770" t="str">
            <v>AWE145</v>
          </cell>
          <cell r="F770" t="str">
            <v>ASCENCIOS JUAREZ JUAN CARLOS</v>
          </cell>
          <cell r="G770" t="str">
            <v>ASCENCIOS JUAREZ JUAN CARLOS</v>
          </cell>
          <cell r="H770" t="str">
            <v>43082464</v>
          </cell>
          <cell r="I770" t="str">
            <v>INTERBANK</v>
          </cell>
          <cell r="J770" t="str">
            <v>370-3159268411</v>
          </cell>
          <cell r="K770" t="str">
            <v>DNI</v>
          </cell>
          <cell r="L770">
            <v>10430824649</v>
          </cell>
          <cell r="M770" t="str">
            <v>URBANO</v>
          </cell>
          <cell r="N770">
            <v>45096</v>
          </cell>
          <cell r="O770">
            <v>0</v>
          </cell>
          <cell r="P770" t="str">
            <v>COMFORT XL</v>
          </cell>
        </row>
        <row r="771">
          <cell r="A771">
            <v>2257</v>
          </cell>
          <cell r="B771">
            <v>2257</v>
          </cell>
          <cell r="C771" t="str">
            <v>CERO MATRICULA</v>
          </cell>
          <cell r="D771" t="str">
            <v>ACTIVO</v>
          </cell>
          <cell r="E771" t="str">
            <v xml:space="preserve">B5E277 </v>
          </cell>
          <cell r="F771" t="str">
            <v>BALTAZAR GUERRERO JOSE ALBERTO</v>
          </cell>
          <cell r="G771" t="str">
            <v>ACOSTA VERA EVELYN</v>
          </cell>
          <cell r="H771" t="str">
            <v>42425262</v>
          </cell>
          <cell r="I771" t="str">
            <v>BCP</v>
          </cell>
          <cell r="J771" t="str">
            <v>191-93744401-0-12</v>
          </cell>
          <cell r="K771" t="str">
            <v>DNI</v>
          </cell>
          <cell r="L771">
            <v>10424252625</v>
          </cell>
          <cell r="M771" t="str">
            <v>URBANO</v>
          </cell>
          <cell r="N771">
            <v>44890</v>
          </cell>
          <cell r="O771">
            <v>0</v>
          </cell>
          <cell r="P771" t="str">
            <v>XL</v>
          </cell>
        </row>
        <row r="772">
          <cell r="A772">
            <v>2259</v>
          </cell>
          <cell r="B772">
            <v>2259</v>
          </cell>
          <cell r="C772" t="str">
            <v>CERO MATRICULA</v>
          </cell>
          <cell r="D772" t="str">
            <v>ACTIVO</v>
          </cell>
          <cell r="E772" t="str">
            <v>BMI544</v>
          </cell>
          <cell r="F772" t="str">
            <v>HUAMANCHUNO DIANDERAS MIGUEL ARTURO</v>
          </cell>
          <cell r="G772" t="str">
            <v>HUAMANCHUNO DIANDERAS MIGUEL ARTURO</v>
          </cell>
          <cell r="H772" t="str">
            <v>46172879</v>
          </cell>
          <cell r="I772" t="str">
            <v>BCP</v>
          </cell>
          <cell r="J772" t="str">
            <v>191-99550137-0-92</v>
          </cell>
          <cell r="K772" t="str">
            <v>DNI</v>
          </cell>
          <cell r="L772">
            <v>10461728796</v>
          </cell>
          <cell r="M772" t="str">
            <v>URBANO PARTNER</v>
          </cell>
          <cell r="N772">
            <v>44895</v>
          </cell>
          <cell r="O772">
            <v>0</v>
          </cell>
          <cell r="P772" t="str">
            <v>COMFORT XL</v>
          </cell>
        </row>
        <row r="773">
          <cell r="A773">
            <v>2261</v>
          </cell>
          <cell r="B773">
            <v>2261</v>
          </cell>
          <cell r="C773" t="str">
            <v>CERO MATRICULA</v>
          </cell>
          <cell r="D773" t="str">
            <v>ACTIVO</v>
          </cell>
          <cell r="E773" t="str">
            <v>CBF032</v>
          </cell>
          <cell r="F773" t="str">
            <v>VILLEGAS RODRIGUEZ YEANPAUO</v>
          </cell>
          <cell r="G773" t="str">
            <v>VILLEGAS RODRIGUEZ YEANPAUO</v>
          </cell>
          <cell r="H773" t="str">
            <v>004258255</v>
          </cell>
          <cell r="I773" t="str">
            <v>BCP</v>
          </cell>
          <cell r="J773" t="str">
            <v>191-01814270-0-94</v>
          </cell>
          <cell r="K773" t="str">
            <v>CE</v>
          </cell>
          <cell r="L773">
            <v>15604432216</v>
          </cell>
          <cell r="M773" t="str">
            <v>URBANO</v>
          </cell>
          <cell r="N773">
            <v>44895</v>
          </cell>
          <cell r="O773">
            <v>0</v>
          </cell>
          <cell r="P773" t="str">
            <v>LITE</v>
          </cell>
        </row>
        <row r="774">
          <cell r="A774">
            <v>2262</v>
          </cell>
          <cell r="B774">
            <v>2262</v>
          </cell>
          <cell r="C774" t="str">
            <v>CERO MATRICULA</v>
          </cell>
          <cell r="D774" t="str">
            <v>ACTIVO</v>
          </cell>
          <cell r="E774" t="str">
            <v>AWE506</v>
          </cell>
          <cell r="F774" t="str">
            <v>AREVALO RAMIREZ MIGUEL</v>
          </cell>
          <cell r="G774" t="str">
            <v>AREVALO RAMIREZ MIGUEL</v>
          </cell>
          <cell r="H774" t="str">
            <v>10615664</v>
          </cell>
          <cell r="I774" t="str">
            <v>BBVA</v>
          </cell>
          <cell r="J774" t="str">
            <v>0011-0126-0200-195758</v>
          </cell>
          <cell r="K774" t="str">
            <v>DNI</v>
          </cell>
          <cell r="L774">
            <v>10106156641</v>
          </cell>
          <cell r="M774" t="str">
            <v>URBANO</v>
          </cell>
          <cell r="N774">
            <v>44905</v>
          </cell>
          <cell r="O774">
            <v>0</v>
          </cell>
          <cell r="P774" t="str">
            <v>LITE</v>
          </cell>
        </row>
        <row r="775">
          <cell r="A775">
            <v>2263</v>
          </cell>
          <cell r="B775">
            <v>2263</v>
          </cell>
          <cell r="C775" t="str">
            <v>CERO MATRICULA</v>
          </cell>
          <cell r="D775" t="str">
            <v>ACTIVO</v>
          </cell>
          <cell r="E775" t="str">
            <v>BCX399</v>
          </cell>
          <cell r="F775" t="str">
            <v>VASQUEZ AVELLANEDA SEGUNDO FRANCISCO</v>
          </cell>
          <cell r="G775" t="str">
            <v>VASQUEZ AVELLANEDA SEGUNDO FRANCISCO</v>
          </cell>
          <cell r="H775" t="str">
            <v>41781234</v>
          </cell>
          <cell r="I775" t="str">
            <v>BCP</v>
          </cell>
          <cell r="J775" t="str">
            <v>191-98366376-0-73</v>
          </cell>
          <cell r="K775" t="str">
            <v>DNI</v>
          </cell>
          <cell r="L775">
            <v>10417812348</v>
          </cell>
          <cell r="M775" t="str">
            <v>URBANO</v>
          </cell>
          <cell r="N775">
            <v>44896</v>
          </cell>
          <cell r="O775">
            <v>0</v>
          </cell>
          <cell r="P775" t="str">
            <v>COMFORT</v>
          </cell>
        </row>
        <row r="776">
          <cell r="A776">
            <v>2264</v>
          </cell>
          <cell r="B776">
            <v>2264</v>
          </cell>
          <cell r="C776" t="str">
            <v>CERO MATRICULA</v>
          </cell>
          <cell r="D776" t="str">
            <v>ACTIVO</v>
          </cell>
          <cell r="E776" t="str">
            <v>Z6U008</v>
          </cell>
          <cell r="F776" t="str">
            <v>BALLONA HERNANDEZ LYONEL ANTHONY</v>
          </cell>
          <cell r="G776" t="str">
            <v>BALLONA HERNANDEZ LYONEL ANTHONY</v>
          </cell>
          <cell r="H776" t="str">
            <v>74430033</v>
          </cell>
          <cell r="I776" t="str">
            <v>BCP</v>
          </cell>
          <cell r="J776" t="str">
            <v>193-32714372-0-18</v>
          </cell>
          <cell r="K776" t="str">
            <v>DNI</v>
          </cell>
          <cell r="L776">
            <v>10744300334</v>
          </cell>
          <cell r="M776" t="str">
            <v>URBANO PARTNER</v>
          </cell>
          <cell r="N776">
            <v>45075</v>
          </cell>
          <cell r="O776">
            <v>0</v>
          </cell>
          <cell r="P776" t="str">
            <v>XL</v>
          </cell>
        </row>
        <row r="777">
          <cell r="A777">
            <v>2265</v>
          </cell>
          <cell r="B777">
            <v>2265</v>
          </cell>
          <cell r="C777" t="str">
            <v>CERO MATRICULA</v>
          </cell>
          <cell r="D777" t="str">
            <v>ACTIVO</v>
          </cell>
          <cell r="E777" t="str">
            <v>CCC401</v>
          </cell>
          <cell r="F777" t="str">
            <v>MARTINEZ MONTAÑO DOUGLAS ENRIQUE</v>
          </cell>
          <cell r="G777" t="str">
            <v>MARTINEZ MONTAÑO DOUGLAS ENRIQUE</v>
          </cell>
          <cell r="H777" t="str">
            <v>001826106</v>
          </cell>
          <cell r="I777" t="str">
            <v>SCOTIABANK</v>
          </cell>
          <cell r="J777" t="str">
            <v>167-0411782</v>
          </cell>
          <cell r="K777" t="str">
            <v>CPP</v>
          </cell>
          <cell r="L777">
            <v>15610309485</v>
          </cell>
          <cell r="M777" t="str">
            <v>URBANO</v>
          </cell>
          <cell r="N777">
            <v>44895</v>
          </cell>
          <cell r="O777">
            <v>0</v>
          </cell>
          <cell r="P777" t="str">
            <v>LITE</v>
          </cell>
        </row>
        <row r="778">
          <cell r="A778">
            <v>2267</v>
          </cell>
          <cell r="B778">
            <v>2267</v>
          </cell>
          <cell r="C778" t="str">
            <v>CERO MATRICULA</v>
          </cell>
          <cell r="D778" t="str">
            <v>ACTIVO</v>
          </cell>
          <cell r="E778" t="str">
            <v>BWQ568</v>
          </cell>
          <cell r="F778" t="str">
            <v xml:space="preserve">CRUZ GAVILAN ALBERTO  </v>
          </cell>
          <cell r="G778" t="str">
            <v xml:space="preserve">CRUZ GAVILAN ALBERTO  </v>
          </cell>
          <cell r="H778" t="str">
            <v>09408716</v>
          </cell>
          <cell r="I778" t="str">
            <v>BCP</v>
          </cell>
          <cell r="J778" t="str">
            <v>193-06918679-0-62</v>
          </cell>
          <cell r="K778" t="str">
            <v>DNI</v>
          </cell>
          <cell r="L778">
            <v>10094087169</v>
          </cell>
          <cell r="M778" t="str">
            <v>URBANO</v>
          </cell>
          <cell r="N778">
            <v>44896</v>
          </cell>
          <cell r="O778">
            <v>0</v>
          </cell>
          <cell r="P778" t="str">
            <v>XL</v>
          </cell>
        </row>
        <row r="779">
          <cell r="A779">
            <v>2269</v>
          </cell>
          <cell r="B779">
            <v>2269</v>
          </cell>
          <cell r="C779" t="str">
            <v>CERO MATRICULA</v>
          </cell>
          <cell r="D779" t="str">
            <v>ACTIVO</v>
          </cell>
          <cell r="E779" t="str">
            <v>Z6G667</v>
          </cell>
          <cell r="F779" t="str">
            <v>BORDOY SOUZA CARLOS ALFONSO</v>
          </cell>
          <cell r="G779" t="str">
            <v>BORDOY SOUZA CARLOS ALFONSO</v>
          </cell>
          <cell r="H779" t="str">
            <v>21144469</v>
          </cell>
          <cell r="I779" t="str">
            <v>BCP</v>
          </cell>
          <cell r="J779" t="str">
            <v>194-77148108-0-80</v>
          </cell>
          <cell r="K779" t="str">
            <v>DNI</v>
          </cell>
          <cell r="L779">
            <v>10211444695</v>
          </cell>
          <cell r="M779" t="str">
            <v>URBANO</v>
          </cell>
          <cell r="N779">
            <v>44921</v>
          </cell>
          <cell r="O779">
            <v>0</v>
          </cell>
          <cell r="P779" t="str">
            <v>LITE</v>
          </cell>
        </row>
        <row r="780">
          <cell r="A780">
            <v>2270</v>
          </cell>
          <cell r="B780">
            <v>2270</v>
          </cell>
          <cell r="C780" t="str">
            <v>CERO MATRICULA</v>
          </cell>
          <cell r="D780" t="str">
            <v>ACTIVO</v>
          </cell>
          <cell r="E780" t="str">
            <v>P2Y016</v>
          </cell>
          <cell r="F780" t="str">
            <v>DIAZ CAMACHO CARLOS ENRIQUE</v>
          </cell>
          <cell r="G780" t="str">
            <v>DIAZ CAMACHO CARLOS ENRIQUE</v>
          </cell>
          <cell r="H780" t="str">
            <v>10555220</v>
          </cell>
          <cell r="I780" t="str">
            <v>BCP</v>
          </cell>
          <cell r="J780" t="str">
            <v>193-97251315-0-50</v>
          </cell>
          <cell r="K780" t="str">
            <v>DNI</v>
          </cell>
          <cell r="L780">
            <v>10105552209</v>
          </cell>
          <cell r="M780" t="str">
            <v>URBANO</v>
          </cell>
          <cell r="N780">
            <v>44896</v>
          </cell>
          <cell r="O780">
            <v>0</v>
          </cell>
          <cell r="P780" t="str">
            <v>LITE</v>
          </cell>
        </row>
        <row r="781">
          <cell r="A781">
            <v>2272</v>
          </cell>
          <cell r="B781">
            <v>2272</v>
          </cell>
          <cell r="C781" t="str">
            <v>CERO MATRICULA</v>
          </cell>
          <cell r="D781" t="str">
            <v>ACTIVO</v>
          </cell>
          <cell r="E781" t="str">
            <v>BJF589</v>
          </cell>
          <cell r="F781" t="str">
            <v>ZUÑIGA LEÓN  RÓMULO ERNESTO</v>
          </cell>
          <cell r="G781" t="str">
            <v>ZUÑIGA LEÓN  RÓMULO ERNESTO</v>
          </cell>
          <cell r="H781" t="str">
            <v>44499194</v>
          </cell>
          <cell r="I781" t="str">
            <v>SCOTIABANK</v>
          </cell>
          <cell r="J781" t="str">
            <v>080-7398029</v>
          </cell>
          <cell r="K781" t="str">
            <v xml:space="preserve">DNI </v>
          </cell>
          <cell r="L781">
            <v>10444991947</v>
          </cell>
          <cell r="M781" t="str">
            <v>URBANO</v>
          </cell>
          <cell r="N781">
            <v>44897</v>
          </cell>
          <cell r="O781">
            <v>0</v>
          </cell>
          <cell r="P781" t="str">
            <v>COMFORT</v>
          </cell>
        </row>
        <row r="782">
          <cell r="A782">
            <v>2273</v>
          </cell>
          <cell r="B782">
            <v>2273</v>
          </cell>
          <cell r="C782" t="str">
            <v>CERO MATRICULA</v>
          </cell>
          <cell r="D782" t="str">
            <v>ACTIVO</v>
          </cell>
          <cell r="E782" t="str">
            <v>BNN214</v>
          </cell>
          <cell r="F782" t="str">
            <v>CACERES LAVANDERA GIANPIERRE ELIE</v>
          </cell>
          <cell r="G782" t="str">
            <v>CACERES LAVANDERA GIANPIERRE ELIE</v>
          </cell>
          <cell r="H782" t="str">
            <v>71128744</v>
          </cell>
          <cell r="I782" t="str">
            <v>BBVA</v>
          </cell>
          <cell r="J782" t="str">
            <v>0011-0933-0200522772</v>
          </cell>
          <cell r="K782" t="str">
            <v xml:space="preserve">DNI </v>
          </cell>
          <cell r="L782">
            <v>10711287448</v>
          </cell>
          <cell r="M782" t="str">
            <v>URBANO</v>
          </cell>
          <cell r="N782">
            <v>44897</v>
          </cell>
          <cell r="O782">
            <v>0</v>
          </cell>
          <cell r="P782" t="str">
            <v>COMFORT</v>
          </cell>
        </row>
        <row r="783">
          <cell r="A783">
            <v>2274</v>
          </cell>
          <cell r="B783">
            <v>2274</v>
          </cell>
          <cell r="C783" t="str">
            <v>CERO MATRICULA</v>
          </cell>
          <cell r="D783" t="str">
            <v>ACTIVO</v>
          </cell>
          <cell r="E783" t="str">
            <v>CBR364</v>
          </cell>
          <cell r="F783" t="str">
            <v>OCHOA PARRA AXZHEL MANUEL</v>
          </cell>
          <cell r="G783" t="str">
            <v>OCHOA PARRA AXZHEL MANUEL</v>
          </cell>
          <cell r="H783" t="str">
            <v>004622650</v>
          </cell>
          <cell r="I783" t="str">
            <v>BCP</v>
          </cell>
          <cell r="J783" t="str">
            <v>191-02816131-0-75</v>
          </cell>
          <cell r="K783" t="str">
            <v>CE</v>
          </cell>
          <cell r="L783">
            <v>15604971044</v>
          </cell>
          <cell r="M783" t="str">
            <v>URBANO</v>
          </cell>
          <cell r="N783">
            <v>44897</v>
          </cell>
          <cell r="O783">
            <v>0</v>
          </cell>
          <cell r="P783" t="str">
            <v>LITE</v>
          </cell>
        </row>
        <row r="784">
          <cell r="A784">
            <v>2275</v>
          </cell>
          <cell r="B784">
            <v>2275</v>
          </cell>
          <cell r="C784" t="str">
            <v>CERO MATRICULA</v>
          </cell>
          <cell r="D784" t="str">
            <v>ACTIVO</v>
          </cell>
          <cell r="E784" t="str">
            <v>CMO382</v>
          </cell>
          <cell r="F784" t="str">
            <v>Gomez Suarez Juan Alexander</v>
          </cell>
          <cell r="G784" t="str">
            <v>GOMEZ SUAREZ JUAN ALEXANDER</v>
          </cell>
          <cell r="H784" t="str">
            <v>41789965</v>
          </cell>
          <cell r="I784" t="str">
            <v>BCP</v>
          </cell>
          <cell r="J784" t="str">
            <v>19103861767073</v>
          </cell>
          <cell r="K784" t="str">
            <v>DNI</v>
          </cell>
          <cell r="L784">
            <v>10417899656</v>
          </cell>
          <cell r="M784" t="str">
            <v>AEROPUERTO</v>
          </cell>
          <cell r="N784">
            <v>45505</v>
          </cell>
          <cell r="O784">
            <v>240</v>
          </cell>
          <cell r="P784" t="str">
            <v>XL</v>
          </cell>
        </row>
        <row r="785">
          <cell r="A785">
            <v>2276</v>
          </cell>
          <cell r="B785">
            <v>2276</v>
          </cell>
          <cell r="C785" t="str">
            <v>CERO MATRICULA</v>
          </cell>
          <cell r="D785" t="str">
            <v>ACTIVO</v>
          </cell>
          <cell r="E785" t="str">
            <v>CBI011</v>
          </cell>
          <cell r="F785" t="str">
            <v>MALDONADO  PAUCARCAJA VICTOR MANUEL</v>
          </cell>
          <cell r="G785" t="str">
            <v>MALDONADO  PAUCARCAJA VICTOR MANUEL</v>
          </cell>
          <cell r="H785" t="str">
            <v>72214824</v>
          </cell>
          <cell r="I785" t="str">
            <v>BCP</v>
          </cell>
          <cell r="J785" t="str">
            <v>191-07013027-0-65</v>
          </cell>
          <cell r="K785" t="str">
            <v xml:space="preserve">DNI </v>
          </cell>
          <cell r="L785">
            <v>10722148245</v>
          </cell>
          <cell r="M785" t="str">
            <v>URBANO PARTNER</v>
          </cell>
          <cell r="N785">
            <v>44896</v>
          </cell>
          <cell r="O785">
            <v>0</v>
          </cell>
          <cell r="P785" t="str">
            <v>COMFORT XL</v>
          </cell>
        </row>
        <row r="786">
          <cell r="A786">
            <v>2277</v>
          </cell>
          <cell r="B786">
            <v>2277</v>
          </cell>
          <cell r="C786" t="str">
            <v>CERO MATRICULA</v>
          </cell>
          <cell r="D786" t="str">
            <v>ACTIVO</v>
          </cell>
          <cell r="E786" t="str">
            <v>CBO669</v>
          </cell>
          <cell r="F786" t="str">
            <v>TREJO CUBA JACSSON</v>
          </cell>
          <cell r="G786" t="str">
            <v>TREJO CUBA JACSSON</v>
          </cell>
          <cell r="H786" t="str">
            <v>80154129</v>
          </cell>
          <cell r="I786" t="str">
            <v>BCP</v>
          </cell>
          <cell r="J786" t="str">
            <v>191-70803098-0-78</v>
          </cell>
          <cell r="K786" t="str">
            <v>DNI</v>
          </cell>
          <cell r="L786">
            <v>10801541297</v>
          </cell>
          <cell r="M786" t="str">
            <v>URBANO</v>
          </cell>
          <cell r="N786">
            <v>44897</v>
          </cell>
          <cell r="O786">
            <v>0</v>
          </cell>
          <cell r="P786" t="str">
            <v>COMFORT</v>
          </cell>
        </row>
        <row r="787">
          <cell r="A787">
            <v>2278</v>
          </cell>
          <cell r="B787">
            <v>2278</v>
          </cell>
          <cell r="C787" t="str">
            <v>CERO MATRICULA</v>
          </cell>
          <cell r="D787" t="str">
            <v>ACTIVO</v>
          </cell>
          <cell r="E787" t="str">
            <v>AYP652</v>
          </cell>
          <cell r="F787" t="str">
            <v>SUAREZ NAMAY HAROLD DAVID</v>
          </cell>
          <cell r="G787" t="str">
            <v>LADY MARGIET SUAREZ NAMAY</v>
          </cell>
          <cell r="H787" t="str">
            <v>48561167</v>
          </cell>
          <cell r="I787" t="str">
            <v>INTERBANK</v>
          </cell>
          <cell r="J787">
            <v>2953073267975</v>
          </cell>
          <cell r="K787" t="str">
            <v>DNI</v>
          </cell>
          <cell r="L787">
            <v>10485611679</v>
          </cell>
          <cell r="M787" t="str">
            <v>URBANO</v>
          </cell>
          <cell r="N787">
            <v>44897</v>
          </cell>
          <cell r="O787">
            <v>0</v>
          </cell>
          <cell r="P787" t="str">
            <v>COMFORT</v>
          </cell>
        </row>
        <row r="788">
          <cell r="A788">
            <v>2279</v>
          </cell>
          <cell r="B788">
            <v>2279</v>
          </cell>
          <cell r="C788" t="str">
            <v>CERO MATRICULA</v>
          </cell>
          <cell r="D788" t="str">
            <v>ACTIVO</v>
          </cell>
          <cell r="E788" t="str">
            <v>AKG306</v>
          </cell>
          <cell r="F788" t="str">
            <v>CARRASCO GRANDA MANUEL ERNESTO</v>
          </cell>
          <cell r="G788" t="str">
            <v>CARRASCO GRANDA MANUEL ERNESTO</v>
          </cell>
          <cell r="H788" t="str">
            <v>10036013</v>
          </cell>
          <cell r="I788" t="str">
            <v>INTERBANK</v>
          </cell>
          <cell r="J788" t="str">
            <v>441-3152001874</v>
          </cell>
          <cell r="K788" t="str">
            <v>DNI</v>
          </cell>
          <cell r="L788">
            <v>10100360131</v>
          </cell>
          <cell r="M788" t="str">
            <v>URBANO</v>
          </cell>
          <cell r="N788">
            <v>44897</v>
          </cell>
          <cell r="O788">
            <v>0</v>
          </cell>
          <cell r="P788" t="str">
            <v>LITE</v>
          </cell>
        </row>
        <row r="789">
          <cell r="A789">
            <v>2280</v>
          </cell>
          <cell r="B789">
            <v>2280</v>
          </cell>
          <cell r="C789" t="str">
            <v>CERO MATRICULA</v>
          </cell>
          <cell r="D789" t="str">
            <v>ACTIVO</v>
          </cell>
          <cell r="E789" t="str">
            <v>BSP082</v>
          </cell>
          <cell r="F789" t="str">
            <v>ROJAS CABELLO JUAN CARLOS</v>
          </cell>
          <cell r="G789" t="str">
            <v>ROJAS CABELLO JUAN CARLOS</v>
          </cell>
          <cell r="H789" t="str">
            <v>09907450</v>
          </cell>
          <cell r="I789" t="str">
            <v>BCP</v>
          </cell>
          <cell r="J789" t="str">
            <v>191-97102517-0-49</v>
          </cell>
          <cell r="K789" t="str">
            <v>DNI</v>
          </cell>
          <cell r="L789">
            <v>10099074502</v>
          </cell>
          <cell r="M789" t="str">
            <v>URBANO</v>
          </cell>
          <cell r="N789">
            <v>44898</v>
          </cell>
          <cell r="O789">
            <v>0</v>
          </cell>
          <cell r="P789" t="str">
            <v>COMFORT XL</v>
          </cell>
        </row>
        <row r="790">
          <cell r="A790">
            <v>2281</v>
          </cell>
          <cell r="B790">
            <v>2281</v>
          </cell>
          <cell r="C790" t="str">
            <v>CERO MATRICULA</v>
          </cell>
          <cell r="D790" t="str">
            <v>ACTIVO</v>
          </cell>
          <cell r="E790" t="str">
            <v>BBO561</v>
          </cell>
          <cell r="F790" t="str">
            <v>AMAIZ SILVA ALEJANDRO JOSE</v>
          </cell>
          <cell r="G790" t="str">
            <v>AMAIZ SILVA ALEJANDRO JOSE</v>
          </cell>
          <cell r="H790" t="str">
            <v>02116107</v>
          </cell>
          <cell r="I790" t="str">
            <v>BCP</v>
          </cell>
          <cell r="J790" t="str">
            <v>191-71923543-0-41</v>
          </cell>
          <cell r="K790" t="str">
            <v>CPP</v>
          </cell>
          <cell r="L790">
            <v>15610311510</v>
          </cell>
          <cell r="M790" t="str">
            <v>URBANO</v>
          </cell>
          <cell r="N790">
            <v>44897</v>
          </cell>
          <cell r="O790">
            <v>0</v>
          </cell>
          <cell r="P790" t="str">
            <v>LITE</v>
          </cell>
        </row>
        <row r="791">
          <cell r="A791">
            <v>2283</v>
          </cell>
          <cell r="B791">
            <v>2283</v>
          </cell>
          <cell r="C791" t="str">
            <v>CERO MATRICULA</v>
          </cell>
          <cell r="D791" t="str">
            <v>ACTIVO</v>
          </cell>
          <cell r="E791" t="str">
            <v>CAH382</v>
          </cell>
          <cell r="F791" t="str">
            <v>MENDOZA ORTIZ JOSE ALEJANDRO</v>
          </cell>
          <cell r="G791" t="str">
            <v>MENDOZA ORTIZ JOSE ALEJANDRO</v>
          </cell>
          <cell r="H791" t="str">
            <v>003475906</v>
          </cell>
          <cell r="I791" t="str">
            <v>BCP</v>
          </cell>
          <cell r="J791" t="str">
            <v>194-93525829-0-32</v>
          </cell>
          <cell r="K791" t="str">
            <v>CE</v>
          </cell>
          <cell r="L791">
            <v>15606952519</v>
          </cell>
          <cell r="M791" t="str">
            <v>URBANO PARTNER</v>
          </cell>
          <cell r="N791">
            <v>44909</v>
          </cell>
          <cell r="O791">
            <v>0</v>
          </cell>
          <cell r="P791" t="str">
            <v>LITE</v>
          </cell>
        </row>
        <row r="792">
          <cell r="A792">
            <v>2284</v>
          </cell>
          <cell r="B792">
            <v>2284</v>
          </cell>
          <cell r="C792" t="str">
            <v>CERO MATRICULA</v>
          </cell>
          <cell r="D792" t="str">
            <v>ACTIVO</v>
          </cell>
          <cell r="E792" t="str">
            <v>CCL-144</v>
          </cell>
          <cell r="F792" t="str">
            <v>VEGA  CRIBILLERO BRYAN SAUL</v>
          </cell>
          <cell r="G792" t="str">
            <v>VEGA  CRIBILLERO BRYAN SAUL</v>
          </cell>
          <cell r="H792" t="str">
            <v>75426768</v>
          </cell>
          <cell r="I792" t="str">
            <v>BCP</v>
          </cell>
          <cell r="J792" t="str">
            <v>192-04077746-0-34</v>
          </cell>
          <cell r="K792" t="str">
            <v>DNI</v>
          </cell>
          <cell r="L792">
            <v>10754267688</v>
          </cell>
          <cell r="M792" t="str">
            <v>URBANO</v>
          </cell>
          <cell r="N792">
            <v>44901</v>
          </cell>
          <cell r="O792">
            <v>0</v>
          </cell>
          <cell r="P792" t="str">
            <v>COMFORT XL</v>
          </cell>
        </row>
        <row r="793">
          <cell r="A793">
            <v>2285</v>
          </cell>
          <cell r="B793">
            <v>2285</v>
          </cell>
          <cell r="C793" t="str">
            <v>CERO MATRICULA</v>
          </cell>
          <cell r="D793" t="str">
            <v>ACTIVO</v>
          </cell>
          <cell r="E793" t="str">
            <v>CCR-475</v>
          </cell>
          <cell r="F793" t="str">
            <v xml:space="preserve">AULAR  RODRIGUEZ JOSE DE LA STMA T </v>
          </cell>
          <cell r="G793" t="str">
            <v xml:space="preserve">AULAR  RODRIGUEZ JOSE DE LA STMA T </v>
          </cell>
          <cell r="H793" t="str">
            <v>002269588</v>
          </cell>
          <cell r="I793" t="str">
            <v>BCP</v>
          </cell>
          <cell r="J793" t="str">
            <v>191-01536322-0-39</v>
          </cell>
          <cell r="K793" t="str">
            <v>CE</v>
          </cell>
          <cell r="L793">
            <v>15603297480</v>
          </cell>
          <cell r="M793" t="str">
            <v>URBANO</v>
          </cell>
          <cell r="N793">
            <v>44901</v>
          </cell>
          <cell r="O793">
            <v>0</v>
          </cell>
          <cell r="P793" t="str">
            <v>LITE</v>
          </cell>
        </row>
        <row r="794">
          <cell r="A794">
            <v>2286</v>
          </cell>
          <cell r="B794">
            <v>2286</v>
          </cell>
          <cell r="C794" t="str">
            <v>CERO MATRICULA</v>
          </cell>
          <cell r="D794" t="str">
            <v>ACTIVO</v>
          </cell>
          <cell r="E794" t="str">
            <v>BTZ-395</v>
          </cell>
          <cell r="F794" t="str">
            <v>SANDOVAL  RAMOS  CARLOS GUILLERMO</v>
          </cell>
          <cell r="G794" t="str">
            <v>PENDIENTE</v>
          </cell>
          <cell r="H794" t="str">
            <v>PENDIENTE</v>
          </cell>
          <cell r="I794" t="str">
            <v>PENDIENTE</v>
          </cell>
          <cell r="J794" t="str">
            <v>PENDIENTE</v>
          </cell>
          <cell r="K794" t="str">
            <v>PENDIENTE</v>
          </cell>
          <cell r="L794" t="str">
            <v>PENDIENTE</v>
          </cell>
          <cell r="M794" t="str">
            <v>URBANO</v>
          </cell>
          <cell r="N794">
            <v>44902</v>
          </cell>
          <cell r="O794">
            <v>0</v>
          </cell>
          <cell r="P794" t="str">
            <v>LITE</v>
          </cell>
        </row>
        <row r="795">
          <cell r="A795">
            <v>2287</v>
          </cell>
          <cell r="B795">
            <v>2287</v>
          </cell>
          <cell r="C795" t="str">
            <v>CERO MATRICULA</v>
          </cell>
          <cell r="D795" t="str">
            <v>ACTIVO</v>
          </cell>
          <cell r="E795" t="str">
            <v>Z7A-145</v>
          </cell>
          <cell r="F795" t="str">
            <v>GONZALES REYES CARLOS ALEXIS</v>
          </cell>
          <cell r="G795" t="str">
            <v>GONZALES REYES CARLOS ALEXIS</v>
          </cell>
          <cell r="H795" t="str">
            <v>71992469</v>
          </cell>
          <cell r="I795" t="str">
            <v>BCP</v>
          </cell>
          <cell r="J795" t="str">
            <v>192-93356690-0-84</v>
          </cell>
          <cell r="K795" t="str">
            <v xml:space="preserve">DNI </v>
          </cell>
          <cell r="L795">
            <v>10719924692</v>
          </cell>
          <cell r="M795" t="str">
            <v>URBANO</v>
          </cell>
          <cell r="N795">
            <v>44902</v>
          </cell>
          <cell r="O795">
            <v>0</v>
          </cell>
          <cell r="P795" t="str">
            <v>LITE</v>
          </cell>
        </row>
        <row r="796">
          <cell r="A796">
            <v>2288</v>
          </cell>
          <cell r="B796">
            <v>2288</v>
          </cell>
          <cell r="C796" t="str">
            <v>CERO MATRICULA</v>
          </cell>
          <cell r="D796" t="str">
            <v>ACTIVO</v>
          </cell>
          <cell r="E796" t="str">
            <v xml:space="preserve">CBN166 </v>
          </cell>
          <cell r="F796" t="str">
            <v>ROMÁN  VILLAR  RUBEN ERNESTO</v>
          </cell>
          <cell r="G796" t="str">
            <v>ROMÁN  VILLAR  RUBEN ERNESTO</v>
          </cell>
          <cell r="H796" t="str">
            <v>72604363</v>
          </cell>
          <cell r="I796" t="str">
            <v>BCP</v>
          </cell>
          <cell r="J796" t="str">
            <v>191-73416527-0-06</v>
          </cell>
          <cell r="K796" t="str">
            <v xml:space="preserve">DNI </v>
          </cell>
          <cell r="L796">
            <v>10726043634</v>
          </cell>
          <cell r="M796" t="str">
            <v>URBANO</v>
          </cell>
          <cell r="N796">
            <v>44901</v>
          </cell>
          <cell r="O796">
            <v>0</v>
          </cell>
          <cell r="P796" t="str">
            <v>COMFORT XL</v>
          </cell>
        </row>
        <row r="797">
          <cell r="A797">
            <v>2289</v>
          </cell>
          <cell r="B797">
            <v>2289</v>
          </cell>
          <cell r="C797" t="str">
            <v>CERO MATRICULA</v>
          </cell>
          <cell r="D797" t="str">
            <v>ACTIVO</v>
          </cell>
          <cell r="E797" t="str">
            <v>BBJ-323</v>
          </cell>
          <cell r="F797" t="str">
            <v>SOTO JULCA TOMAS</v>
          </cell>
          <cell r="G797" t="str">
            <v>SOTO JULCA MANUEL</v>
          </cell>
          <cell r="H797" t="str">
            <v>46757285</v>
          </cell>
          <cell r="I797" t="str">
            <v>BCP</v>
          </cell>
          <cell r="J797" t="str">
            <v>191-92002805-0-25</v>
          </cell>
          <cell r="K797" t="str">
            <v xml:space="preserve">DNI </v>
          </cell>
          <cell r="L797">
            <v>10467572852</v>
          </cell>
          <cell r="M797" t="str">
            <v>URBANO</v>
          </cell>
          <cell r="N797">
            <v>45075</v>
          </cell>
          <cell r="O797">
            <v>0</v>
          </cell>
          <cell r="P797" t="str">
            <v>XL</v>
          </cell>
        </row>
        <row r="798">
          <cell r="A798">
            <v>2290</v>
          </cell>
          <cell r="B798">
            <v>2290</v>
          </cell>
          <cell r="C798" t="str">
            <v>CERO MATRICULA</v>
          </cell>
          <cell r="D798" t="str">
            <v>ACTIVO</v>
          </cell>
          <cell r="E798" t="str">
            <v>AZH163</v>
          </cell>
          <cell r="F798" t="str">
            <v>PINEDO  TENORIO ROBIN STEVE</v>
          </cell>
          <cell r="G798" t="str">
            <v>PINEDO  TENORIO MISHEL</v>
          </cell>
          <cell r="H798" t="str">
            <v>70168397</v>
          </cell>
          <cell r="I798" t="str">
            <v>BCP</v>
          </cell>
          <cell r="J798" t="str">
            <v>191-04684984-0-05</v>
          </cell>
          <cell r="K798" t="str">
            <v xml:space="preserve">DNI </v>
          </cell>
          <cell r="L798">
            <v>10701683973</v>
          </cell>
          <cell r="M798" t="str">
            <v>URBANO</v>
          </cell>
          <cell r="N798">
            <v>44910</v>
          </cell>
          <cell r="O798">
            <v>0</v>
          </cell>
          <cell r="P798" t="str">
            <v>COMFORT</v>
          </cell>
        </row>
        <row r="799">
          <cell r="A799">
            <v>2291</v>
          </cell>
          <cell r="B799">
            <v>2291</v>
          </cell>
          <cell r="C799" t="str">
            <v>CERO MATRICULA</v>
          </cell>
          <cell r="D799" t="str">
            <v>ACTIVO</v>
          </cell>
          <cell r="E799" t="str">
            <v>CAC174</v>
          </cell>
          <cell r="F799" t="str">
            <v>VILLEGAS FUENTES MARCOS PAULO</v>
          </cell>
          <cell r="G799" t="str">
            <v>VILLEGAS FUENTES MARCOS PAULO</v>
          </cell>
          <cell r="H799" t="str">
            <v>46962237</v>
          </cell>
          <cell r="I799" t="str">
            <v>SCOTIABANK</v>
          </cell>
          <cell r="J799" t="str">
            <v>825-3690534</v>
          </cell>
          <cell r="K799" t="str">
            <v xml:space="preserve">DNI </v>
          </cell>
          <cell r="L799">
            <v>10469622377</v>
          </cell>
          <cell r="M799" t="str">
            <v>URBANO PARTNER</v>
          </cell>
          <cell r="N799">
            <v>44916</v>
          </cell>
          <cell r="O799">
            <v>0</v>
          </cell>
          <cell r="P799" t="str">
            <v>COMFORT XL</v>
          </cell>
        </row>
        <row r="800">
          <cell r="A800">
            <v>2293</v>
          </cell>
          <cell r="B800">
            <v>2293</v>
          </cell>
          <cell r="C800" t="str">
            <v>CERO MATRICULA</v>
          </cell>
          <cell r="D800" t="str">
            <v>ACTIVO</v>
          </cell>
          <cell r="E800" t="str">
            <v>BRI-272</v>
          </cell>
          <cell r="F800" t="str">
            <v>TEJADA GARCIA CLEYDY</v>
          </cell>
          <cell r="G800" t="str">
            <v>TEJADA GARCIA CLEYDY</v>
          </cell>
          <cell r="H800" t="str">
            <v>47506849</v>
          </cell>
          <cell r="I800" t="str">
            <v>BBVA</v>
          </cell>
          <cell r="J800" t="str">
            <v>0011-0814-0232323308</v>
          </cell>
          <cell r="K800" t="str">
            <v>DNI</v>
          </cell>
          <cell r="L800">
            <v>10475068497</v>
          </cell>
          <cell r="M800" t="str">
            <v>URBANO PARTNER</v>
          </cell>
          <cell r="N800">
            <v>44902</v>
          </cell>
          <cell r="O800">
            <v>0</v>
          </cell>
          <cell r="P800" t="str">
            <v>COMFORT</v>
          </cell>
        </row>
        <row r="801">
          <cell r="A801">
            <v>2294</v>
          </cell>
          <cell r="B801">
            <v>2294</v>
          </cell>
          <cell r="C801" t="str">
            <v>CERO MATRICULA</v>
          </cell>
          <cell r="D801" t="str">
            <v>ACTIVO</v>
          </cell>
          <cell r="E801" t="str">
            <v>AJU-228</v>
          </cell>
          <cell r="F801" t="str">
            <v>JULCA SOTO JUAN</v>
          </cell>
          <cell r="G801" t="str">
            <v>JULCA SOTO JUAN</v>
          </cell>
          <cell r="H801" t="str">
            <v>43559041</v>
          </cell>
          <cell r="I801" t="str">
            <v>BCP</v>
          </cell>
          <cell r="J801" t="str">
            <v>191-99691599-0-82</v>
          </cell>
          <cell r="K801" t="str">
            <v>DNI</v>
          </cell>
          <cell r="L801">
            <v>10435590417</v>
          </cell>
          <cell r="M801" t="str">
            <v>URBANO</v>
          </cell>
          <cell r="N801">
            <v>44904</v>
          </cell>
          <cell r="O801">
            <v>0</v>
          </cell>
          <cell r="P801" t="str">
            <v>COMFORT</v>
          </cell>
        </row>
        <row r="802">
          <cell r="A802">
            <v>2297</v>
          </cell>
          <cell r="B802">
            <v>2297</v>
          </cell>
          <cell r="C802" t="str">
            <v>CERO MATRICULA</v>
          </cell>
          <cell r="D802" t="str">
            <v>ACTIVO</v>
          </cell>
          <cell r="E802" t="str">
            <v>ANE518</v>
          </cell>
          <cell r="F802" t="str">
            <v>HUALPA BENAVENTE MARIA DEL CARMEN</v>
          </cell>
          <cell r="G802" t="str">
            <v>HUALPA BENAVENTE MARIA DEL CARMEN</v>
          </cell>
          <cell r="H802" t="str">
            <v>43162573</v>
          </cell>
          <cell r="I802" t="str">
            <v>BCP</v>
          </cell>
          <cell r="J802" t="str">
            <v>194-33307615-0-54</v>
          </cell>
          <cell r="K802" t="str">
            <v>DNI</v>
          </cell>
          <cell r="L802">
            <v>10431625739</v>
          </cell>
          <cell r="M802" t="str">
            <v>URBANO</v>
          </cell>
          <cell r="N802">
            <v>44922</v>
          </cell>
          <cell r="O802">
            <v>0</v>
          </cell>
          <cell r="P802" t="str">
            <v>COMFORT</v>
          </cell>
        </row>
        <row r="803">
          <cell r="A803">
            <v>2298</v>
          </cell>
          <cell r="B803">
            <v>2298</v>
          </cell>
          <cell r="C803" t="str">
            <v>CERO MATRICULA</v>
          </cell>
          <cell r="D803" t="str">
            <v>ACTIVO</v>
          </cell>
          <cell r="E803" t="str">
            <v>BNU586</v>
          </cell>
          <cell r="F803" t="str">
            <v>INFANTE  ESPINOZA GREGORIO ANTONIO</v>
          </cell>
          <cell r="G803" t="str">
            <v>INFANTE  ESPINOZA GREGORIO ANTONIO</v>
          </cell>
          <cell r="H803" t="str">
            <v>002362518</v>
          </cell>
          <cell r="I803" t="str">
            <v>BCP</v>
          </cell>
          <cell r="J803" t="str">
            <v>192-92383014-0-74</v>
          </cell>
          <cell r="K803" t="str">
            <v>CE</v>
          </cell>
          <cell r="L803">
            <v>15603974783</v>
          </cell>
          <cell r="M803" t="str">
            <v>URBANO</v>
          </cell>
          <cell r="N803">
            <v>44907</v>
          </cell>
          <cell r="O803">
            <v>0</v>
          </cell>
          <cell r="P803" t="str">
            <v>LITE</v>
          </cell>
        </row>
        <row r="804">
          <cell r="A804">
            <v>2299</v>
          </cell>
          <cell r="B804">
            <v>2299</v>
          </cell>
          <cell r="C804" t="str">
            <v>CERO MATRICULA</v>
          </cell>
          <cell r="D804" t="str">
            <v>ACTIVO</v>
          </cell>
          <cell r="E804" t="str">
            <v>BYV542</v>
          </cell>
          <cell r="F804" t="str">
            <v>ROJAS TORRES POOL GUILLERMO</v>
          </cell>
          <cell r="G804" t="str">
            <v>ROJAS TORRES POOL GUILLERMO</v>
          </cell>
          <cell r="H804" t="str">
            <v>47516146</v>
          </cell>
          <cell r="I804" t="str">
            <v>BCP</v>
          </cell>
          <cell r="J804" t="str">
            <v>191-96366130-0-23</v>
          </cell>
          <cell r="K804" t="str">
            <v>DNI</v>
          </cell>
          <cell r="L804">
            <v>10475161462</v>
          </cell>
          <cell r="M804" t="str">
            <v>URBANO</v>
          </cell>
          <cell r="N804">
            <v>44911</v>
          </cell>
          <cell r="O804">
            <v>0</v>
          </cell>
          <cell r="P804" t="str">
            <v>LITE</v>
          </cell>
        </row>
        <row r="805">
          <cell r="A805">
            <v>2300</v>
          </cell>
          <cell r="B805">
            <v>2300</v>
          </cell>
          <cell r="C805" t="str">
            <v>CERO MATRICULA</v>
          </cell>
          <cell r="D805" t="str">
            <v>ACTIVO</v>
          </cell>
          <cell r="E805" t="str">
            <v>CAJ000</v>
          </cell>
          <cell r="F805" t="str">
            <v>MURGA SALCEDO ANTHONY EDGAR</v>
          </cell>
          <cell r="G805" t="str">
            <v>MURGA SALCEDO ANTHONY EDGAR</v>
          </cell>
          <cell r="H805" t="str">
            <v>77092475</v>
          </cell>
          <cell r="I805" t="str">
            <v>BBVA</v>
          </cell>
          <cell r="J805" t="str">
            <v>0011-0814-0226354668</v>
          </cell>
          <cell r="K805" t="str">
            <v xml:space="preserve">DNI </v>
          </cell>
          <cell r="L805">
            <v>10770924753</v>
          </cell>
          <cell r="M805" t="str">
            <v>URBANO</v>
          </cell>
          <cell r="N805">
            <v>44932</v>
          </cell>
          <cell r="O805">
            <v>0</v>
          </cell>
          <cell r="P805" t="str">
            <v>COMFORT</v>
          </cell>
        </row>
        <row r="806">
          <cell r="A806">
            <v>2301</v>
          </cell>
          <cell r="B806">
            <v>2301</v>
          </cell>
          <cell r="C806" t="str">
            <v>CERO MATRICULA</v>
          </cell>
          <cell r="D806" t="str">
            <v>ACTIVO</v>
          </cell>
          <cell r="E806" t="str">
            <v>CCG422</v>
          </cell>
          <cell r="F806" t="str">
            <v>RUIZ CORREA YENNIFER LIZET</v>
          </cell>
          <cell r="G806" t="str">
            <v>RUIZ CORREA YENNIFER LIZET</v>
          </cell>
          <cell r="H806" t="str">
            <v>001310751</v>
          </cell>
          <cell r="I806" t="str">
            <v>BCP</v>
          </cell>
          <cell r="J806" t="str">
            <v>191-91143173-0-09</v>
          </cell>
          <cell r="K806" t="str">
            <v>CE</v>
          </cell>
          <cell r="L806">
            <v>15603651071</v>
          </cell>
          <cell r="M806" t="str">
            <v>AEROLINEAS</v>
          </cell>
          <cell r="N806">
            <v>44908</v>
          </cell>
          <cell r="O806">
            <v>0</v>
          </cell>
          <cell r="P806" t="str">
            <v>LITE</v>
          </cell>
        </row>
        <row r="807">
          <cell r="A807">
            <v>2303</v>
          </cell>
          <cell r="B807">
            <v>2303</v>
          </cell>
          <cell r="C807" t="str">
            <v>CERO MATRICULA</v>
          </cell>
          <cell r="D807" t="str">
            <v>ACTIVO</v>
          </cell>
          <cell r="E807" t="str">
            <v>BSL070</v>
          </cell>
          <cell r="F807" t="str">
            <v xml:space="preserve">PACHERRE CHIRA EDIN LUIS </v>
          </cell>
          <cell r="G807" t="str">
            <v xml:space="preserve">PACHERRE CHIRA EDIN LUIS </v>
          </cell>
          <cell r="H807" t="str">
            <v>47017593</v>
          </cell>
          <cell r="I807" t="str">
            <v>BCP</v>
          </cell>
          <cell r="J807" t="str">
            <v>192-02283007-0-67</v>
          </cell>
          <cell r="K807" t="str">
            <v>DNI</v>
          </cell>
          <cell r="L807">
            <v>10470175937</v>
          </cell>
          <cell r="M807" t="str">
            <v>URBANO</v>
          </cell>
          <cell r="N807">
            <v>44910</v>
          </cell>
          <cell r="O807">
            <v>0</v>
          </cell>
          <cell r="P807" t="str">
            <v>XL</v>
          </cell>
        </row>
        <row r="808">
          <cell r="A808">
            <v>2305</v>
          </cell>
          <cell r="B808">
            <v>2305</v>
          </cell>
          <cell r="C808" t="str">
            <v>CERO MATRICULA</v>
          </cell>
          <cell r="D808" t="str">
            <v>ACTIVO</v>
          </cell>
          <cell r="E808" t="str">
            <v>CAD656</v>
          </cell>
          <cell r="F808" t="str">
            <v>URPE CAYLLAHUA RONALD</v>
          </cell>
          <cell r="G808" t="str">
            <v>URPE CAYLLAHUA RONALD</v>
          </cell>
          <cell r="H808" t="str">
            <v>76938143</v>
          </cell>
          <cell r="I808" t="str">
            <v>BBVA</v>
          </cell>
          <cell r="J808" t="str">
            <v>0011-0832-0200471176</v>
          </cell>
          <cell r="K808" t="str">
            <v>DNI</v>
          </cell>
          <cell r="L808">
            <v>10769381436</v>
          </cell>
          <cell r="M808" t="str">
            <v>URBANO</v>
          </cell>
          <cell r="N808">
            <v>44910</v>
          </cell>
          <cell r="O808">
            <v>0</v>
          </cell>
          <cell r="P808" t="str">
            <v>COMFORT XL</v>
          </cell>
        </row>
        <row r="809">
          <cell r="A809">
            <v>2306</v>
          </cell>
          <cell r="B809">
            <v>2306</v>
          </cell>
          <cell r="C809" t="str">
            <v>CERO MATRICULA</v>
          </cell>
          <cell r="D809" t="str">
            <v>ACTIVO</v>
          </cell>
          <cell r="E809" t="str">
            <v>BES196</v>
          </cell>
          <cell r="F809" t="str">
            <v>BREÑA ALIAGA JUAN MANUEL</v>
          </cell>
          <cell r="G809" t="str">
            <v>BREÑA ALIAGA JUAN MANUEL</v>
          </cell>
          <cell r="H809" t="str">
            <v>46730075</v>
          </cell>
          <cell r="I809" t="str">
            <v>SCOTIABANK</v>
          </cell>
          <cell r="J809" t="str">
            <v xml:space="preserve">1300201660 </v>
          </cell>
          <cell r="K809" t="str">
            <v>DNI</v>
          </cell>
          <cell r="L809">
            <v>10467300755</v>
          </cell>
          <cell r="M809" t="str">
            <v>URBANO</v>
          </cell>
          <cell r="N809">
            <v>44910</v>
          </cell>
          <cell r="O809">
            <v>0</v>
          </cell>
          <cell r="P809" t="str">
            <v>COMFORT</v>
          </cell>
        </row>
        <row r="810">
          <cell r="A810">
            <v>2307</v>
          </cell>
          <cell r="B810">
            <v>2307</v>
          </cell>
          <cell r="C810" t="str">
            <v>CERO MATRICULA</v>
          </cell>
          <cell r="D810" t="str">
            <v>ACTIVO</v>
          </cell>
          <cell r="E810" t="str">
            <v>BCD226</v>
          </cell>
          <cell r="F810" t="str">
            <v>PEÑA  MORETO EDUEN</v>
          </cell>
          <cell r="G810" t="str">
            <v>PEÑA  MORETO EDUEN EFREN</v>
          </cell>
          <cell r="H810" t="str">
            <v>07794292</v>
          </cell>
          <cell r="I810" t="str">
            <v>BCP</v>
          </cell>
          <cell r="J810" t="str">
            <v>194-79788911-0-57</v>
          </cell>
          <cell r="K810" t="str">
            <v>DNI</v>
          </cell>
          <cell r="L810">
            <v>10077942926</v>
          </cell>
          <cell r="M810" t="str">
            <v>URBANO</v>
          </cell>
          <cell r="N810">
            <v>44909</v>
          </cell>
          <cell r="O810">
            <v>0</v>
          </cell>
          <cell r="P810" t="str">
            <v>COMFORT</v>
          </cell>
        </row>
        <row r="811">
          <cell r="A811">
            <v>2308</v>
          </cell>
          <cell r="B811">
            <v>2308</v>
          </cell>
          <cell r="C811" t="str">
            <v>CERO MATRICULA</v>
          </cell>
          <cell r="D811" t="str">
            <v>ACTIVO</v>
          </cell>
          <cell r="E811" t="str">
            <v>APC021</v>
          </cell>
          <cell r="F811" t="str">
            <v>SUAREZ DIAZ RAUL ALFREDO</v>
          </cell>
          <cell r="G811" t="str">
            <v>SUAREZ DIAZ RAUL ALFREDO</v>
          </cell>
          <cell r="H811" t="str">
            <v>08541176</v>
          </cell>
          <cell r="I811" t="str">
            <v>BBVA</v>
          </cell>
          <cell r="J811" t="str">
            <v>0011-0107-0200339721</v>
          </cell>
          <cell r="K811" t="str">
            <v>DNI</v>
          </cell>
          <cell r="L811">
            <v>10085411760</v>
          </cell>
          <cell r="M811" t="str">
            <v>URBANO</v>
          </cell>
          <cell r="N811">
            <v>44910</v>
          </cell>
          <cell r="O811">
            <v>0</v>
          </cell>
          <cell r="P811" t="str">
            <v>COMFORT</v>
          </cell>
        </row>
        <row r="812">
          <cell r="A812">
            <v>2309</v>
          </cell>
          <cell r="B812">
            <v>2309</v>
          </cell>
          <cell r="C812" t="str">
            <v>CERO MATRICULA</v>
          </cell>
          <cell r="D812" t="str">
            <v>ACTIVO</v>
          </cell>
          <cell r="E812" t="str">
            <v>BZV079</v>
          </cell>
          <cell r="F812" t="str">
            <v>BARRERA VASQUEZ JHONANDER EDUARDO</v>
          </cell>
          <cell r="G812" t="str">
            <v>JHONANDER EDUARDO BARRERA VASQUEZ</v>
          </cell>
          <cell r="H812" t="str">
            <v>48975760</v>
          </cell>
          <cell r="I812" t="str">
            <v xml:space="preserve">BBVA </v>
          </cell>
          <cell r="J812" t="str">
            <v>001102570200300870</v>
          </cell>
          <cell r="K812" t="str">
            <v>DNI</v>
          </cell>
          <cell r="L812">
            <v>10489757601</v>
          </cell>
          <cell r="M812" t="str">
            <v>URBANO PARTNER</v>
          </cell>
          <cell r="N812">
            <v>44909</v>
          </cell>
          <cell r="O812">
            <v>0</v>
          </cell>
          <cell r="P812" t="str">
            <v>COMFORT XL</v>
          </cell>
        </row>
        <row r="813">
          <cell r="A813">
            <v>2311</v>
          </cell>
          <cell r="B813">
            <v>2311</v>
          </cell>
          <cell r="C813" t="str">
            <v>CERO MATRICULA</v>
          </cell>
          <cell r="D813" t="str">
            <v>ACTIVO</v>
          </cell>
          <cell r="E813" t="str">
            <v>CCK592</v>
          </cell>
          <cell r="F813" t="str">
            <v>OTERO VILARREAL LUIS RAUL</v>
          </cell>
          <cell r="G813" t="str">
            <v>AREVALO JIMENEZ ELOISA LIZETH</v>
          </cell>
          <cell r="H813" t="str">
            <v>71455683</v>
          </cell>
          <cell r="I813" t="str">
            <v>INTERBANK</v>
          </cell>
          <cell r="J813" t="str">
            <v>898-3312670463</v>
          </cell>
          <cell r="K813" t="str">
            <v>DNI</v>
          </cell>
          <cell r="L813">
            <v>10714556831</v>
          </cell>
          <cell r="M813" t="str">
            <v>URBANO</v>
          </cell>
          <cell r="N813">
            <v>44909</v>
          </cell>
          <cell r="O813">
            <v>0</v>
          </cell>
          <cell r="P813" t="str">
            <v>COMFORT XL</v>
          </cell>
        </row>
        <row r="814">
          <cell r="A814">
            <v>2312</v>
          </cell>
          <cell r="B814">
            <v>2312</v>
          </cell>
          <cell r="C814" t="str">
            <v>CERO MATRICULA</v>
          </cell>
          <cell r="D814" t="str">
            <v>ACTIVO</v>
          </cell>
          <cell r="E814" t="str">
            <v>CBT127</v>
          </cell>
          <cell r="F814" t="str">
            <v>CHAVEZ BARRIENTOS CELFA GENARA</v>
          </cell>
          <cell r="G814" t="str">
            <v>CHAVEZ BARRIENTOS CELFA GENARA</v>
          </cell>
          <cell r="H814" t="str">
            <v>10055372</v>
          </cell>
          <cell r="I814" t="str">
            <v>BCP</v>
          </cell>
          <cell r="J814" t="str">
            <v>194-36219174-0-22</v>
          </cell>
          <cell r="K814" t="str">
            <v>DNI</v>
          </cell>
          <cell r="L814">
            <v>10100553720</v>
          </cell>
          <cell r="M814" t="str">
            <v>URBANO</v>
          </cell>
          <cell r="N814">
            <v>44910</v>
          </cell>
          <cell r="O814">
            <v>0</v>
          </cell>
          <cell r="P814" t="str">
            <v>COMFORT</v>
          </cell>
        </row>
        <row r="815">
          <cell r="A815">
            <v>2315</v>
          </cell>
          <cell r="B815">
            <v>2315</v>
          </cell>
          <cell r="C815" t="str">
            <v>CERO MATRICULA</v>
          </cell>
          <cell r="D815" t="str">
            <v>ACTIVO</v>
          </cell>
          <cell r="E815" t="str">
            <v>Z6U353</v>
          </cell>
          <cell r="F815" t="str">
            <v>DUQUE  MEJIAS ENGELBERT JESUS</v>
          </cell>
          <cell r="G815" t="str">
            <v>MASIAS GARCIA AMPARITO MARGARITA</v>
          </cell>
          <cell r="H815">
            <v>8636797</v>
          </cell>
          <cell r="I815" t="str">
            <v>BCP</v>
          </cell>
          <cell r="J815" t="str">
            <v>191-22687339-0-02</v>
          </cell>
          <cell r="K815" t="str">
            <v>DNI</v>
          </cell>
          <cell r="L815">
            <v>10086367977</v>
          </cell>
          <cell r="M815" t="str">
            <v>URBANO</v>
          </cell>
          <cell r="N815">
            <v>44914</v>
          </cell>
          <cell r="O815">
            <v>0</v>
          </cell>
          <cell r="P815" t="str">
            <v>LITE</v>
          </cell>
        </row>
        <row r="816">
          <cell r="A816">
            <v>2316</v>
          </cell>
          <cell r="B816">
            <v>2316</v>
          </cell>
          <cell r="C816" t="str">
            <v>CERO MATRICULA</v>
          </cell>
          <cell r="D816" t="str">
            <v>ACTIVO</v>
          </cell>
          <cell r="E816" t="str">
            <v>CBK464</v>
          </cell>
          <cell r="F816" t="str">
            <v>CALLE  ARNAO JESUS PAVEL</v>
          </cell>
          <cell r="G816" t="str">
            <v>CALLE  ARNAO JESUS PAVEL</v>
          </cell>
          <cell r="H816" t="str">
            <v>08140508</v>
          </cell>
          <cell r="I816" t="str">
            <v>INTERBANK</v>
          </cell>
          <cell r="J816" t="str">
            <v>898-3250818272</v>
          </cell>
          <cell r="K816" t="str">
            <v>DNI</v>
          </cell>
          <cell r="L816">
            <v>10081405081</v>
          </cell>
          <cell r="M816" t="str">
            <v>URBANO</v>
          </cell>
          <cell r="N816">
            <v>44914</v>
          </cell>
          <cell r="O816">
            <v>0</v>
          </cell>
          <cell r="P816" t="str">
            <v>XL</v>
          </cell>
        </row>
        <row r="817">
          <cell r="A817">
            <v>2317</v>
          </cell>
          <cell r="B817">
            <v>2317</v>
          </cell>
          <cell r="C817" t="str">
            <v>CERO MATRICULA</v>
          </cell>
          <cell r="D817" t="str">
            <v>ACTIVO</v>
          </cell>
          <cell r="E817" t="str">
            <v>BYM048</v>
          </cell>
          <cell r="F817" t="str">
            <v>VILCHEZ FLORES JOELVIS ANTONIO</v>
          </cell>
          <cell r="G817" t="str">
            <v>VILCHEZ FLORES JOELVIS ANTONIO</v>
          </cell>
          <cell r="H817" t="str">
            <v>003281127</v>
          </cell>
          <cell r="I817" t="str">
            <v>BBVA</v>
          </cell>
          <cell r="J817" t="str">
            <v>0011-0831-0200148736</v>
          </cell>
          <cell r="K817" t="str">
            <v>CE</v>
          </cell>
          <cell r="L817">
            <v>15607717726</v>
          </cell>
          <cell r="M817" t="str">
            <v>URBANO PARTNER</v>
          </cell>
          <cell r="N817">
            <v>44914</v>
          </cell>
          <cell r="O817">
            <v>0</v>
          </cell>
          <cell r="P817" t="str">
            <v>LITE</v>
          </cell>
        </row>
        <row r="818">
          <cell r="A818">
            <v>2319</v>
          </cell>
          <cell r="B818">
            <v>2319</v>
          </cell>
          <cell r="C818" t="str">
            <v>CERO MATRICULA</v>
          </cell>
          <cell r="D818" t="str">
            <v>ACTIVO</v>
          </cell>
          <cell r="E818" t="str">
            <v>AZA246</v>
          </cell>
          <cell r="F818" t="str">
            <v>FLORES PALOMINO WALTER</v>
          </cell>
          <cell r="G818" t="str">
            <v>FLORES PALOMINO WALTER</v>
          </cell>
          <cell r="H818" t="str">
            <v>42220481</v>
          </cell>
          <cell r="I818" t="str">
            <v>BCP</v>
          </cell>
          <cell r="J818" t="str">
            <v>191-37549066-0-47</v>
          </cell>
          <cell r="K818" t="str">
            <v>DNI</v>
          </cell>
          <cell r="L818">
            <v>10422204810</v>
          </cell>
          <cell r="M818" t="str">
            <v>URBANO</v>
          </cell>
          <cell r="N818">
            <v>44915</v>
          </cell>
          <cell r="O818">
            <v>0</v>
          </cell>
          <cell r="P818" t="str">
            <v>COMFORT</v>
          </cell>
        </row>
        <row r="819">
          <cell r="A819">
            <v>2320</v>
          </cell>
          <cell r="B819">
            <v>2320</v>
          </cell>
          <cell r="C819" t="str">
            <v>CERO MATRICULA</v>
          </cell>
          <cell r="D819" t="str">
            <v>ACTIVO</v>
          </cell>
          <cell r="E819" t="str">
            <v>AHI356</v>
          </cell>
          <cell r="F819" t="str">
            <v>CORTEZ CASTILLO JUNIOR GONZALO</v>
          </cell>
          <cell r="G819" t="str">
            <v>CORTEZ CASTILLO JUNIOR GONZALO</v>
          </cell>
          <cell r="H819" t="str">
            <v>73379181</v>
          </cell>
          <cell r="I819" t="str">
            <v>BCP</v>
          </cell>
          <cell r="J819" t="str">
            <v>191-99718749-0-06</v>
          </cell>
          <cell r="K819" t="str">
            <v>DNI</v>
          </cell>
          <cell r="L819">
            <v>10733791816</v>
          </cell>
          <cell r="M819" t="str">
            <v>URBANO</v>
          </cell>
          <cell r="N819">
            <v>45068</v>
          </cell>
          <cell r="O819">
            <v>0</v>
          </cell>
          <cell r="P819" t="str">
            <v>LITE</v>
          </cell>
        </row>
        <row r="820">
          <cell r="A820">
            <v>2321</v>
          </cell>
          <cell r="B820">
            <v>2321</v>
          </cell>
          <cell r="C820" t="str">
            <v>CERO MATRICULA</v>
          </cell>
          <cell r="D820" t="str">
            <v>ACTIVO</v>
          </cell>
          <cell r="E820" t="str">
            <v>ABH288</v>
          </cell>
          <cell r="F820" t="str">
            <v xml:space="preserve">MENDOZA ROJAS FERNANDO CARLOS </v>
          </cell>
          <cell r="G820" t="str">
            <v xml:space="preserve">MENDOZA ROJAS FERNANDO CARLOS </v>
          </cell>
          <cell r="H820" t="str">
            <v>09294404</v>
          </cell>
          <cell r="I820" t="str">
            <v>INTERBANK</v>
          </cell>
          <cell r="J820" t="str">
            <v>330-3152854835</v>
          </cell>
          <cell r="K820" t="str">
            <v>DNI</v>
          </cell>
          <cell r="L820">
            <v>10092944048</v>
          </cell>
          <cell r="M820" t="str">
            <v>URBANO</v>
          </cell>
          <cell r="N820">
            <v>44911</v>
          </cell>
          <cell r="O820">
            <v>0</v>
          </cell>
          <cell r="P820" t="str">
            <v>LITE</v>
          </cell>
        </row>
        <row r="821">
          <cell r="A821">
            <v>2322</v>
          </cell>
          <cell r="B821">
            <v>2322</v>
          </cell>
          <cell r="C821" t="str">
            <v>CERO MATRICULA</v>
          </cell>
          <cell r="D821" t="str">
            <v>ACTIVO</v>
          </cell>
          <cell r="E821" t="str">
            <v>CBJ-245</v>
          </cell>
          <cell r="F821" t="str">
            <v>AGUILAR TARAZONA GUSTAVO</v>
          </cell>
          <cell r="G821" t="str">
            <v>AGUILAR TARAZONA GUSTAVO</v>
          </cell>
          <cell r="H821" t="str">
            <v>40175094</v>
          </cell>
          <cell r="I821" t="str">
            <v>BCP</v>
          </cell>
          <cell r="J821" t="str">
            <v>191-21543571-0-81</v>
          </cell>
          <cell r="K821" t="str">
            <v>DNI</v>
          </cell>
          <cell r="L821">
            <v>10401750946</v>
          </cell>
          <cell r="M821" t="str">
            <v>URBANO</v>
          </cell>
          <cell r="N821">
            <v>44966</v>
          </cell>
          <cell r="O821">
            <v>0</v>
          </cell>
          <cell r="P821" t="str">
            <v>COMFORT XL</v>
          </cell>
        </row>
        <row r="822">
          <cell r="A822">
            <v>2324</v>
          </cell>
          <cell r="B822">
            <v>2324</v>
          </cell>
          <cell r="C822" t="str">
            <v>CERO MATRICULA</v>
          </cell>
          <cell r="D822" t="str">
            <v>ACTIVO</v>
          </cell>
          <cell r="E822" t="str">
            <v>BBF121</v>
          </cell>
          <cell r="F822" t="str">
            <v>YOCYA RAMIREZ PIERO FERNANDO</v>
          </cell>
          <cell r="G822" t="str">
            <v>YOCYA RAMIREZ PIERO FERNANDO</v>
          </cell>
          <cell r="H822" t="str">
            <v>71258550</v>
          </cell>
          <cell r="I822" t="str">
            <v>BCP</v>
          </cell>
          <cell r="J822">
            <v>19293504922014</v>
          </cell>
          <cell r="K822" t="str">
            <v>DNI</v>
          </cell>
          <cell r="L822">
            <v>10712585507</v>
          </cell>
          <cell r="M822" t="str">
            <v>URBANO</v>
          </cell>
          <cell r="N822">
            <v>44931</v>
          </cell>
          <cell r="O822">
            <v>0</v>
          </cell>
          <cell r="P822" t="str">
            <v>COMFORT</v>
          </cell>
        </row>
        <row r="823">
          <cell r="A823">
            <v>2325</v>
          </cell>
          <cell r="B823">
            <v>2325</v>
          </cell>
          <cell r="C823" t="str">
            <v>CERO MATRICULA</v>
          </cell>
          <cell r="D823" t="str">
            <v>ACTIVO</v>
          </cell>
          <cell r="E823" t="str">
            <v>CBA661</v>
          </cell>
          <cell r="F823" t="str">
            <v>CHAMPA RODRIGUEZ PEDRO JEFFERSON</v>
          </cell>
          <cell r="G823" t="str">
            <v>CHAMPA RODRIGUEZ PEDRO JEFFERSON</v>
          </cell>
          <cell r="H823" t="str">
            <v>45450001</v>
          </cell>
          <cell r="I823" t="str">
            <v>BCP</v>
          </cell>
          <cell r="J823" t="str">
            <v>191-74207492-0-60</v>
          </cell>
          <cell r="K823" t="str">
            <v>DNI</v>
          </cell>
          <cell r="L823">
            <v>10454500011</v>
          </cell>
          <cell r="M823" t="str">
            <v>URBANO</v>
          </cell>
          <cell r="N823">
            <v>45068</v>
          </cell>
          <cell r="O823">
            <v>0</v>
          </cell>
          <cell r="P823" t="str">
            <v>COMFORT</v>
          </cell>
        </row>
        <row r="824">
          <cell r="A824">
            <v>2326</v>
          </cell>
          <cell r="B824">
            <v>2326</v>
          </cell>
          <cell r="C824" t="str">
            <v>CERO MATRICULA</v>
          </cell>
          <cell r="D824" t="str">
            <v>ACTIVO</v>
          </cell>
          <cell r="E824" t="str">
            <v>CAC648</v>
          </cell>
          <cell r="F824" t="str">
            <v>CASTRO SUAREZ ELADIO JOSE</v>
          </cell>
          <cell r="G824" t="str">
            <v>CASTRO SUAREZ ELADIO JOSE</v>
          </cell>
          <cell r="H824" t="str">
            <v>002554131</v>
          </cell>
          <cell r="I824" t="str">
            <v>BBVA</v>
          </cell>
          <cell r="J824" t="str">
            <v>0011-0933-0200619865</v>
          </cell>
          <cell r="K824" t="str">
            <v>CE</v>
          </cell>
          <cell r="L824">
            <v>15607249994</v>
          </cell>
          <cell r="M824" t="str">
            <v>URBANO</v>
          </cell>
          <cell r="N824">
            <v>44924</v>
          </cell>
          <cell r="O824">
            <v>0</v>
          </cell>
          <cell r="P824" t="str">
            <v>LITE</v>
          </cell>
        </row>
        <row r="825">
          <cell r="A825">
            <v>2327</v>
          </cell>
          <cell r="B825">
            <v>2327</v>
          </cell>
          <cell r="C825" t="str">
            <v>CERO MATRICULA</v>
          </cell>
          <cell r="D825" t="str">
            <v>ACTIVO</v>
          </cell>
          <cell r="E825" t="str">
            <v>BZF680</v>
          </cell>
          <cell r="F825" t="str">
            <v>FERRER FUENMAYOR MIGUEL ANGEL</v>
          </cell>
          <cell r="G825" t="str">
            <v>FERRER FUENMAYOR MIGUEL ANGEL</v>
          </cell>
          <cell r="H825" t="str">
            <v>003276986</v>
          </cell>
          <cell r="I825" t="str">
            <v>BCP</v>
          </cell>
          <cell r="J825" t="str">
            <v>191-93002235-0-50</v>
          </cell>
          <cell r="K825" t="str">
            <v>CE</v>
          </cell>
          <cell r="L825">
            <v>15607859938</v>
          </cell>
          <cell r="M825" t="str">
            <v>URBANO PARTNER</v>
          </cell>
          <cell r="N825">
            <v>44940</v>
          </cell>
          <cell r="O825">
            <v>0</v>
          </cell>
          <cell r="P825" t="str">
            <v>LITE</v>
          </cell>
        </row>
        <row r="826">
          <cell r="A826">
            <v>2328</v>
          </cell>
          <cell r="B826">
            <v>2328</v>
          </cell>
          <cell r="C826" t="str">
            <v>CERO MATRICULA</v>
          </cell>
          <cell r="D826" t="str">
            <v>ACTIVO</v>
          </cell>
          <cell r="E826" t="str">
            <v>BFD327</v>
          </cell>
          <cell r="F826" t="str">
            <v>HUACHACA GUTIERREZ JUAN CARLOS</v>
          </cell>
          <cell r="G826" t="str">
            <v>HUACHACA GUTIERREZ JUAN CARLOS</v>
          </cell>
          <cell r="H826" t="str">
            <v>80652185</v>
          </cell>
          <cell r="I826" t="str">
            <v>BCP</v>
          </cell>
          <cell r="J826" t="str">
            <v>194-74570700-0-38</v>
          </cell>
          <cell r="K826" t="str">
            <v>DNI</v>
          </cell>
          <cell r="L826">
            <v>10806521855</v>
          </cell>
          <cell r="M826" t="str">
            <v>URBANO</v>
          </cell>
          <cell r="N826">
            <v>44938</v>
          </cell>
          <cell r="O826">
            <v>0</v>
          </cell>
          <cell r="P826" t="str">
            <v>COMFORT</v>
          </cell>
        </row>
        <row r="827">
          <cell r="A827">
            <v>2330</v>
          </cell>
          <cell r="B827">
            <v>2330</v>
          </cell>
          <cell r="C827" t="str">
            <v>CERO MATRICULA</v>
          </cell>
          <cell r="D827" t="str">
            <v>ACTIVO</v>
          </cell>
          <cell r="E827" t="str">
            <v>Z6S-151</v>
          </cell>
          <cell r="F827" t="str">
            <v>QUINTERO OCANTO LUIS DAVID</v>
          </cell>
          <cell r="G827" t="str">
            <v>QUINTERO OCANTO LUIS DAVID</v>
          </cell>
          <cell r="H827" t="str">
            <v>03682346</v>
          </cell>
          <cell r="I827" t="str">
            <v>BCP</v>
          </cell>
          <cell r="J827" t="str">
            <v>191-04429775-0-18</v>
          </cell>
          <cell r="K827" t="str">
            <v>CE</v>
          </cell>
          <cell r="L827">
            <v>15610460981</v>
          </cell>
          <cell r="M827" t="str">
            <v>URBANO PARTNER</v>
          </cell>
          <cell r="N827">
            <v>44949</v>
          </cell>
          <cell r="O827">
            <v>0</v>
          </cell>
          <cell r="P827" t="str">
            <v>LITE</v>
          </cell>
        </row>
        <row r="828">
          <cell r="A828">
            <v>2331</v>
          </cell>
          <cell r="B828">
            <v>2331</v>
          </cell>
          <cell r="C828" t="str">
            <v>CERO MATRICULA</v>
          </cell>
          <cell r="D828" t="str">
            <v>ACTIVO</v>
          </cell>
          <cell r="E828" t="str">
            <v>BBK-557</v>
          </cell>
          <cell r="F828" t="str">
            <v>LLANOS VILLANUEVA DIEGO ALEXANDER</v>
          </cell>
          <cell r="G828" t="str">
            <v>LLANOS VILLANUEVA DIEGO ALEXANDER</v>
          </cell>
          <cell r="H828" t="str">
            <v>72313971</v>
          </cell>
          <cell r="I828" t="str">
            <v>BCP</v>
          </cell>
          <cell r="J828" t="str">
            <v>191-95905584-0-24</v>
          </cell>
          <cell r="K828" t="str">
            <v>DNI</v>
          </cell>
          <cell r="L828">
            <v>10723139711</v>
          </cell>
          <cell r="M828" t="str">
            <v>URBANO</v>
          </cell>
          <cell r="N828">
            <v>44944</v>
          </cell>
          <cell r="O828">
            <v>0</v>
          </cell>
          <cell r="P828" t="str">
            <v>XL</v>
          </cell>
        </row>
        <row r="829">
          <cell r="A829">
            <v>2332</v>
          </cell>
          <cell r="B829">
            <v>2332</v>
          </cell>
          <cell r="C829" t="str">
            <v>CERO MATRICULA</v>
          </cell>
          <cell r="D829" t="str">
            <v>ACTIVO</v>
          </cell>
          <cell r="E829" t="str">
            <v>CCY-122</v>
          </cell>
          <cell r="F829" t="str">
            <v>RODRIGUEZ BALAREZO JOHN PAUL</v>
          </cell>
          <cell r="G829" t="str">
            <v>RODRIGUEZ BALAREZO JOHN PAUL</v>
          </cell>
          <cell r="H829" t="str">
            <v>41510042</v>
          </cell>
          <cell r="I829" t="str">
            <v>BCP</v>
          </cell>
          <cell r="J829" t="str">
            <v>191-31770911-0-28</v>
          </cell>
          <cell r="K829" t="str">
            <v>DNI</v>
          </cell>
          <cell r="L829">
            <v>10415100421</v>
          </cell>
          <cell r="M829" t="str">
            <v>URBANO</v>
          </cell>
          <cell r="N829">
            <v>44944</v>
          </cell>
          <cell r="O829">
            <v>0</v>
          </cell>
          <cell r="P829" t="str">
            <v>COMFORT XL</v>
          </cell>
        </row>
        <row r="830">
          <cell r="A830">
            <v>2333</v>
          </cell>
          <cell r="B830">
            <v>2333</v>
          </cell>
          <cell r="C830" t="str">
            <v>CERO MATRICULA</v>
          </cell>
          <cell r="D830" t="str">
            <v>ACTIVO</v>
          </cell>
          <cell r="E830" t="str">
            <v>BWZ-102</v>
          </cell>
          <cell r="F830" t="str">
            <v>COMETIVOS MONTES EDILWERTH</v>
          </cell>
          <cell r="G830" t="str">
            <v>ZEÑA MORENO MERLE EVELYN</v>
          </cell>
          <cell r="H830" t="str">
            <v>42137767</v>
          </cell>
          <cell r="I830" t="str">
            <v>BCP</v>
          </cell>
          <cell r="J830" t="str">
            <v>193-24544234-0-54</v>
          </cell>
          <cell r="K830" t="str">
            <v>DNI</v>
          </cell>
          <cell r="L830">
            <v>10421377672</v>
          </cell>
          <cell r="M830" t="str">
            <v>URBANO</v>
          </cell>
          <cell r="N830">
            <v>44954</v>
          </cell>
          <cell r="O830">
            <v>0</v>
          </cell>
          <cell r="P830" t="str">
            <v>XL</v>
          </cell>
        </row>
        <row r="831">
          <cell r="A831">
            <v>2334</v>
          </cell>
          <cell r="B831">
            <v>2334</v>
          </cell>
          <cell r="C831" t="str">
            <v>CERO MATRICULA</v>
          </cell>
          <cell r="D831" t="str">
            <v>ACTIVO</v>
          </cell>
          <cell r="E831" t="str">
            <v>BNK-206</v>
          </cell>
          <cell r="F831" t="str">
            <v>SAEZ CABALLERO GIORDY LUIS</v>
          </cell>
          <cell r="G831" t="str">
            <v>NAVARRO FERREYRA PAOLA MILAGROS</v>
          </cell>
          <cell r="H831" t="str">
            <v>42880100</v>
          </cell>
          <cell r="I831" t="str">
            <v>SCOTIABANK</v>
          </cell>
          <cell r="J831" t="str">
            <v>058-7563636</v>
          </cell>
          <cell r="K831" t="str">
            <v>DNI</v>
          </cell>
          <cell r="L831">
            <v>10428801003</v>
          </cell>
          <cell r="M831" t="str">
            <v>URBANO</v>
          </cell>
          <cell r="N831">
            <v>44948</v>
          </cell>
          <cell r="O831">
            <v>0</v>
          </cell>
          <cell r="P831" t="str">
            <v>COMFORT XL</v>
          </cell>
        </row>
        <row r="832">
          <cell r="A832">
            <v>2335</v>
          </cell>
          <cell r="B832">
            <v>2335</v>
          </cell>
          <cell r="C832" t="str">
            <v>CERO MATRICULA</v>
          </cell>
          <cell r="D832" t="str">
            <v>ACTIVO</v>
          </cell>
          <cell r="E832" t="str">
            <v>BJB-100</v>
          </cell>
          <cell r="F832" t="str">
            <v>CHAVEZ ORTIZ JABIER</v>
          </cell>
          <cell r="G832" t="str">
            <v>CHAVEZ ORTIZ JABIER</v>
          </cell>
          <cell r="H832" t="str">
            <v>47731348</v>
          </cell>
          <cell r="I832" t="str">
            <v>MIBANCO</v>
          </cell>
          <cell r="J832" t="str">
            <v>0498-2800-60197830-4778</v>
          </cell>
          <cell r="K832" t="str">
            <v>DNI</v>
          </cell>
          <cell r="L832">
            <v>10477313481</v>
          </cell>
          <cell r="M832" t="str">
            <v>URBANO</v>
          </cell>
          <cell r="N832">
            <v>44946</v>
          </cell>
          <cell r="O832">
            <v>0</v>
          </cell>
          <cell r="P832" t="str">
            <v>COMFORT XL</v>
          </cell>
        </row>
        <row r="833">
          <cell r="A833">
            <v>2337</v>
          </cell>
          <cell r="B833">
            <v>2337</v>
          </cell>
          <cell r="C833" t="str">
            <v>CERO MATRICULA</v>
          </cell>
          <cell r="D833" t="str">
            <v>ACTIVO</v>
          </cell>
          <cell r="E833" t="str">
            <v>CCO-242</v>
          </cell>
          <cell r="F833" t="str">
            <v>BENITES VELASQUEZ GIANMARCOS</v>
          </cell>
          <cell r="G833" t="str">
            <v>BENITES VELASQUEZ GIANMARCO EDILBERTO</v>
          </cell>
          <cell r="H833" t="str">
            <v>47573784</v>
          </cell>
          <cell r="I833" t="str">
            <v>BCP</v>
          </cell>
          <cell r="J833" t="str">
            <v>192-72260671-0-75</v>
          </cell>
          <cell r="K833" t="str">
            <v>DNI</v>
          </cell>
          <cell r="L833">
            <v>10475737844</v>
          </cell>
          <cell r="M833" t="str">
            <v>URBANO</v>
          </cell>
          <cell r="N833">
            <v>44951</v>
          </cell>
          <cell r="O833">
            <v>0</v>
          </cell>
          <cell r="P833" t="str">
            <v>COMFORT</v>
          </cell>
        </row>
        <row r="834">
          <cell r="A834">
            <v>2338</v>
          </cell>
          <cell r="B834">
            <v>2338</v>
          </cell>
          <cell r="C834" t="str">
            <v>CERO MATRICULA</v>
          </cell>
          <cell r="D834" t="str">
            <v>ACTIVO</v>
          </cell>
          <cell r="E834" t="str">
            <v>BAW-428</v>
          </cell>
          <cell r="F834" t="str">
            <v xml:space="preserve">LLANTO BANDO MIGUEL ANGEL </v>
          </cell>
          <cell r="G834" t="str">
            <v>LLANTO BANDA MIGUEL ANGEL</v>
          </cell>
          <cell r="H834" t="str">
            <v>43569553</v>
          </cell>
          <cell r="I834" t="str">
            <v>INTERBANK</v>
          </cell>
          <cell r="J834" t="str">
            <v>898-322162560-0</v>
          </cell>
          <cell r="K834" t="str">
            <v>DNI</v>
          </cell>
          <cell r="L834">
            <v>10435695537</v>
          </cell>
          <cell r="M834" t="str">
            <v>URBANO</v>
          </cell>
          <cell r="N834">
            <v>44956</v>
          </cell>
          <cell r="O834">
            <v>0</v>
          </cell>
          <cell r="P834" t="str">
            <v>COMFORT</v>
          </cell>
        </row>
        <row r="835">
          <cell r="A835">
            <v>2339</v>
          </cell>
          <cell r="B835">
            <v>2339</v>
          </cell>
          <cell r="C835" t="str">
            <v>CERO MATRICULA</v>
          </cell>
          <cell r="D835" t="str">
            <v>ACTIVO</v>
          </cell>
          <cell r="E835" t="str">
            <v>T5L-349</v>
          </cell>
          <cell r="F835" t="str">
            <v>DEL CASTILLO MANDUJANO DANIEL BRAYAN</v>
          </cell>
          <cell r="G835" t="str">
            <v>DEL CASTILLO MANDUJANO DANIEL BRAYAN</v>
          </cell>
          <cell r="H835" t="str">
            <v>75678015</v>
          </cell>
          <cell r="I835" t="str">
            <v>BCP</v>
          </cell>
          <cell r="J835" t="str">
            <v>191-02725909-0-42</v>
          </cell>
          <cell r="K835" t="str">
            <v>DNI</v>
          </cell>
          <cell r="L835">
            <v>10756780153</v>
          </cell>
          <cell r="M835" t="str">
            <v>URBANO</v>
          </cell>
          <cell r="N835">
            <v>44956</v>
          </cell>
          <cell r="O835">
            <v>0</v>
          </cell>
          <cell r="P835" t="str">
            <v>COMFORT XL</v>
          </cell>
        </row>
        <row r="836">
          <cell r="A836">
            <v>2340</v>
          </cell>
          <cell r="B836">
            <v>2340</v>
          </cell>
          <cell r="C836" t="str">
            <v>CERO MATRICULA</v>
          </cell>
          <cell r="D836" t="str">
            <v>ACTIVO</v>
          </cell>
          <cell r="E836" t="str">
            <v>BWW-298</v>
          </cell>
          <cell r="F836" t="str">
            <v>CHUNA MARESCO CHRISTIAN DAVID</v>
          </cell>
          <cell r="G836" t="str">
            <v>CHUNA MARESCO CHRISTIAN DAVID</v>
          </cell>
          <cell r="H836" t="str">
            <v>42640829</v>
          </cell>
          <cell r="I836" t="str">
            <v>BCP</v>
          </cell>
          <cell r="J836" t="str">
            <v>191-93786126-0-58</v>
          </cell>
          <cell r="K836" t="str">
            <v>DNI</v>
          </cell>
          <cell r="L836">
            <v>10426408291</v>
          </cell>
          <cell r="M836" t="str">
            <v>URBANO</v>
          </cell>
          <cell r="N836">
            <v>44956</v>
          </cell>
          <cell r="O836">
            <v>0</v>
          </cell>
          <cell r="P836" t="str">
            <v>COMFORT</v>
          </cell>
        </row>
        <row r="837">
          <cell r="A837">
            <v>2341</v>
          </cell>
          <cell r="B837">
            <v>2341</v>
          </cell>
          <cell r="C837" t="str">
            <v>CERO MATRICULA</v>
          </cell>
          <cell r="D837" t="str">
            <v>ACTIVO</v>
          </cell>
          <cell r="E837" t="str">
            <v>CAP-338</v>
          </cell>
          <cell r="F837" t="str">
            <v>PIMENTEL  CARRERA SANTOS</v>
          </cell>
          <cell r="G837" t="str">
            <v>PIMENTEL  CARRERA SANTOS</v>
          </cell>
          <cell r="H837" t="str">
            <v>10065667</v>
          </cell>
          <cell r="I837" t="str">
            <v>BBVA</v>
          </cell>
          <cell r="J837" t="str">
            <v>0011-0186-0200370271</v>
          </cell>
          <cell r="K837" t="str">
            <v>DNI</v>
          </cell>
          <cell r="L837">
            <v>10100656677</v>
          </cell>
          <cell r="M837" t="str">
            <v>URBANO</v>
          </cell>
          <cell r="N837">
            <v>44956</v>
          </cell>
          <cell r="O837">
            <v>0</v>
          </cell>
          <cell r="P837" t="str">
            <v>COMFORT XL</v>
          </cell>
        </row>
        <row r="838">
          <cell r="A838">
            <v>2342</v>
          </cell>
          <cell r="B838">
            <v>2342</v>
          </cell>
          <cell r="C838" t="str">
            <v>CERO MATRICULA</v>
          </cell>
          <cell r="D838" t="str">
            <v>ACTIVO</v>
          </cell>
          <cell r="E838" t="str">
            <v>CCS-117</v>
          </cell>
          <cell r="F838" t="str">
            <v>COSTILLA TENADENIS JULIAN</v>
          </cell>
          <cell r="G838" t="str">
            <v>COSTILLA TENADENIS JULIAN</v>
          </cell>
          <cell r="H838" t="str">
            <v>77385105</v>
          </cell>
          <cell r="I838" t="str">
            <v>BCP</v>
          </cell>
          <cell r="J838" t="str">
            <v>191-94893677-0-96</v>
          </cell>
          <cell r="K838" t="str">
            <v>DNI</v>
          </cell>
          <cell r="L838">
            <v>10773851056</v>
          </cell>
          <cell r="M838" t="str">
            <v>URBANO</v>
          </cell>
          <cell r="N838">
            <v>44958</v>
          </cell>
          <cell r="O838">
            <v>0</v>
          </cell>
          <cell r="P838" t="str">
            <v>COMFORT</v>
          </cell>
        </row>
        <row r="839">
          <cell r="A839">
            <v>2343</v>
          </cell>
          <cell r="B839">
            <v>2343</v>
          </cell>
          <cell r="C839" t="str">
            <v>CERO MATRICULA</v>
          </cell>
          <cell r="D839" t="str">
            <v>ACTIVO</v>
          </cell>
          <cell r="E839" t="str">
            <v>BHQ-584</v>
          </cell>
          <cell r="F839" t="str">
            <v>GIMENEZ GOMEZ ERICK MIGUEL</v>
          </cell>
          <cell r="G839" t="str">
            <v>GIMENEZ GOMEZ ERICK MIGUEL</v>
          </cell>
          <cell r="H839" t="str">
            <v>003335111</v>
          </cell>
          <cell r="I839" t="str">
            <v>BCP</v>
          </cell>
          <cell r="J839" t="str">
            <v>191-92843427-0-37</v>
          </cell>
          <cell r="K839" t="str">
            <v>CE</v>
          </cell>
          <cell r="L839">
            <v>15604249471</v>
          </cell>
          <cell r="M839" t="str">
            <v>URBANO</v>
          </cell>
          <cell r="N839">
            <v>44958</v>
          </cell>
          <cell r="O839">
            <v>0</v>
          </cell>
          <cell r="P839" t="str">
            <v>LITE</v>
          </cell>
        </row>
        <row r="840">
          <cell r="A840">
            <v>2344</v>
          </cell>
          <cell r="B840">
            <v>2344</v>
          </cell>
          <cell r="C840" t="str">
            <v>CERO MATRICULA</v>
          </cell>
          <cell r="D840" t="str">
            <v>ACTIVO</v>
          </cell>
          <cell r="E840" t="str">
            <v>BUS063</v>
          </cell>
          <cell r="F840" t="str">
            <v>QUISPE CALLE MIGUEL ANGEL</v>
          </cell>
          <cell r="G840" t="str">
            <v>QUISPE CALLE MIGUEL ANGEL</v>
          </cell>
          <cell r="H840" t="str">
            <v>45700640</v>
          </cell>
          <cell r="I840" t="str">
            <v>INTERBANK</v>
          </cell>
          <cell r="J840" t="str">
            <v>898-3346069262</v>
          </cell>
          <cell r="K840" t="str">
            <v>DNI</v>
          </cell>
          <cell r="L840">
            <v>10457006409</v>
          </cell>
          <cell r="M840" t="str">
            <v>URBANO</v>
          </cell>
          <cell r="N840">
            <v>44958</v>
          </cell>
          <cell r="O840">
            <v>0</v>
          </cell>
          <cell r="P840" t="str">
            <v>XL</v>
          </cell>
        </row>
        <row r="841">
          <cell r="A841">
            <v>2345</v>
          </cell>
          <cell r="B841">
            <v>2345</v>
          </cell>
          <cell r="C841" t="str">
            <v>CERO MATRICULA</v>
          </cell>
          <cell r="D841" t="str">
            <v>ACTIVO</v>
          </cell>
          <cell r="E841" t="str">
            <v>BLJ-677</v>
          </cell>
          <cell r="F841" t="str">
            <v>QUIVA BAPTISTA ELIAS DAVID</v>
          </cell>
          <cell r="G841" t="str">
            <v>QUIVA BAPTISTA ELIAS DAVID</v>
          </cell>
          <cell r="H841" t="str">
            <v>005047132</v>
          </cell>
          <cell r="I841" t="str">
            <v>BCP</v>
          </cell>
          <cell r="J841" t="str">
            <v>191-07319055-0-83</v>
          </cell>
          <cell r="K841" t="str">
            <v>CE</v>
          </cell>
          <cell r="L841">
            <v>15610224544</v>
          </cell>
          <cell r="M841" t="str">
            <v>URBANO</v>
          </cell>
          <cell r="N841">
            <v>44957</v>
          </cell>
          <cell r="O841">
            <v>0</v>
          </cell>
          <cell r="P841" t="str">
            <v>LITE</v>
          </cell>
        </row>
        <row r="842">
          <cell r="A842">
            <v>2347</v>
          </cell>
          <cell r="B842">
            <v>2347</v>
          </cell>
          <cell r="C842" t="str">
            <v>CERO MATRICULA</v>
          </cell>
          <cell r="D842" t="str">
            <v>ACTIVO</v>
          </cell>
          <cell r="E842" t="str">
            <v>BPM202</v>
          </cell>
          <cell r="F842" t="str">
            <v>CERRON BARRERA DIEGO MARCIAL</v>
          </cell>
          <cell r="G842" t="str">
            <v>CERRON BARRERA DIEGO MARCIAL</v>
          </cell>
          <cell r="H842" t="str">
            <v>71833763</v>
          </cell>
          <cell r="I842" t="str">
            <v>BCP</v>
          </cell>
          <cell r="J842" t="str">
            <v>194-01084897-0-54</v>
          </cell>
          <cell r="K842" t="str">
            <v>DNI</v>
          </cell>
          <cell r="L842">
            <v>10718337637</v>
          </cell>
          <cell r="M842" t="str">
            <v>URBANO</v>
          </cell>
          <cell r="N842">
            <v>44960</v>
          </cell>
          <cell r="O842">
            <v>0</v>
          </cell>
          <cell r="P842" t="str">
            <v>LITE</v>
          </cell>
        </row>
        <row r="843">
          <cell r="A843">
            <v>2349</v>
          </cell>
          <cell r="B843">
            <v>2349</v>
          </cell>
          <cell r="C843" t="str">
            <v>CERO MATRICULA</v>
          </cell>
          <cell r="D843" t="str">
            <v>ACTIVO</v>
          </cell>
          <cell r="E843" t="str">
            <v>F8B-624</v>
          </cell>
          <cell r="F843" t="str">
            <v>LOZA PEREZ EDWIN WILFREDO</v>
          </cell>
          <cell r="G843" t="str">
            <v>LOZA PEREZ EDWIN WILFREDO</v>
          </cell>
          <cell r="H843" t="str">
            <v>40073384</v>
          </cell>
          <cell r="I843" t="str">
            <v>INTERBANK</v>
          </cell>
          <cell r="J843" t="str">
            <v>007-3099366830</v>
          </cell>
          <cell r="K843" t="str">
            <v>DNI</v>
          </cell>
          <cell r="L843">
            <v>10400733843</v>
          </cell>
          <cell r="M843" t="str">
            <v>URBANO</v>
          </cell>
          <cell r="N843">
            <v>44965</v>
          </cell>
          <cell r="O843">
            <v>0</v>
          </cell>
          <cell r="P843" t="str">
            <v>COMFORT XL</v>
          </cell>
        </row>
        <row r="844">
          <cell r="A844">
            <v>2350</v>
          </cell>
          <cell r="B844">
            <v>2350</v>
          </cell>
          <cell r="C844" t="str">
            <v>CERO MATRICULA</v>
          </cell>
          <cell r="D844" t="str">
            <v>ACTIVO</v>
          </cell>
          <cell r="E844" t="str">
            <v>BEU027</v>
          </cell>
          <cell r="F844" t="str">
            <v>CASTRO CASTILLO MIGUEL ANGEL</v>
          </cell>
          <cell r="G844" t="str">
            <v>CASTRO CASTILLO MIGUEL ANGEL</v>
          </cell>
          <cell r="H844" t="str">
            <v>40218834</v>
          </cell>
          <cell r="I844" t="str">
            <v>BCP</v>
          </cell>
          <cell r="J844" t="str">
            <v>191-30090257-0-98</v>
          </cell>
          <cell r="K844" t="str">
            <v>DNI</v>
          </cell>
          <cell r="L844">
            <v>10402188346</v>
          </cell>
          <cell r="M844" t="str">
            <v>URBANO</v>
          </cell>
          <cell r="N844">
            <v>44958</v>
          </cell>
          <cell r="O844">
            <v>0</v>
          </cell>
          <cell r="P844" t="str">
            <v>COMFORT</v>
          </cell>
        </row>
        <row r="845">
          <cell r="A845">
            <v>2352</v>
          </cell>
          <cell r="B845">
            <v>2352</v>
          </cell>
          <cell r="C845" t="str">
            <v>CERO MATRICULA</v>
          </cell>
          <cell r="D845" t="str">
            <v>ACTIVO</v>
          </cell>
          <cell r="E845" t="str">
            <v>V3X318</v>
          </cell>
          <cell r="F845" t="str">
            <v>RUIZ TIRADO SANTOS NAZARIO</v>
          </cell>
          <cell r="G845" t="str">
            <v>RUIZ TIRADO SANTOS PALERMO</v>
          </cell>
          <cell r="H845" t="str">
            <v>43356240</v>
          </cell>
          <cell r="I845" t="str">
            <v>BBVA</v>
          </cell>
          <cell r="J845" t="str">
            <v>0011-0284-0200554553</v>
          </cell>
          <cell r="K845" t="str">
            <v>DNI</v>
          </cell>
          <cell r="L845">
            <v>10433562408</v>
          </cell>
          <cell r="M845" t="str">
            <v>URBANO</v>
          </cell>
          <cell r="N845">
            <v>44965</v>
          </cell>
          <cell r="O845">
            <v>0</v>
          </cell>
          <cell r="P845" t="str">
            <v>LITE</v>
          </cell>
        </row>
        <row r="846">
          <cell r="A846">
            <v>2354</v>
          </cell>
          <cell r="B846">
            <v>2354</v>
          </cell>
          <cell r="C846" t="str">
            <v>CERO MATRICULA</v>
          </cell>
          <cell r="D846" t="str">
            <v>ACTIVO</v>
          </cell>
          <cell r="E846" t="str">
            <v>BFO121</v>
          </cell>
          <cell r="F846" t="str">
            <v>DEZA SERRANO ALEX SAMIR</v>
          </cell>
          <cell r="G846" t="str">
            <v>DEZA SERRANO ALEX SAMIR</v>
          </cell>
          <cell r="H846" t="str">
            <v>76982614</v>
          </cell>
          <cell r="I846" t="str">
            <v>BCP</v>
          </cell>
          <cell r="J846" t="str">
            <v>193-98088563-0-54</v>
          </cell>
          <cell r="K846" t="str">
            <v>DNI</v>
          </cell>
          <cell r="L846">
            <v>10769826144</v>
          </cell>
          <cell r="M846" t="str">
            <v>URBANO</v>
          </cell>
          <cell r="N846">
            <v>44965</v>
          </cell>
          <cell r="O846">
            <v>0</v>
          </cell>
          <cell r="P846" t="str">
            <v>LITE</v>
          </cell>
        </row>
        <row r="847">
          <cell r="A847">
            <v>2356</v>
          </cell>
          <cell r="B847">
            <v>2356</v>
          </cell>
          <cell r="C847" t="str">
            <v>CERO MATRICULA</v>
          </cell>
          <cell r="D847" t="str">
            <v>ACTIVO</v>
          </cell>
          <cell r="E847" t="str">
            <v>CCX688</v>
          </cell>
          <cell r="F847" t="str">
            <v>QUISPE RAMOS HECTOR ELOY</v>
          </cell>
          <cell r="G847" t="str">
            <v>PRO EJECUTIVO EIRL</v>
          </cell>
          <cell r="H847" t="str">
            <v>20614025752</v>
          </cell>
          <cell r="I847" t="str">
            <v>BBVA</v>
          </cell>
          <cell r="J847" t="str">
            <v>0011-0284-0201025228</v>
          </cell>
          <cell r="K847" t="str">
            <v>RUC</v>
          </cell>
          <cell r="L847">
            <v>20614025752</v>
          </cell>
          <cell r="M847" t="str">
            <v>URBANO PARTNER</v>
          </cell>
          <cell r="N847">
            <v>44967</v>
          </cell>
          <cell r="O847">
            <v>0</v>
          </cell>
          <cell r="P847" t="str">
            <v>COMFORT XL</v>
          </cell>
        </row>
        <row r="848">
          <cell r="A848">
            <v>2357</v>
          </cell>
          <cell r="B848">
            <v>2357</v>
          </cell>
          <cell r="C848" t="str">
            <v>CERO MATRICULA</v>
          </cell>
          <cell r="D848" t="str">
            <v>ACTIVO</v>
          </cell>
          <cell r="E848" t="str">
            <v>CCW473</v>
          </cell>
          <cell r="F848" t="str">
            <v>VASQUEZ QUISPE RUBEN VLADIMIR</v>
          </cell>
          <cell r="G848" t="str">
            <v>VASQUEZ QUISPE RUBEN VLADIMIR</v>
          </cell>
          <cell r="H848" t="str">
            <v>43982930</v>
          </cell>
          <cell r="I848" t="str">
            <v>BBVA</v>
          </cell>
          <cell r="J848" t="str">
            <v>0011-0814-0236613106</v>
          </cell>
          <cell r="K848" t="str">
            <v>DNI</v>
          </cell>
          <cell r="L848">
            <v>10439829309</v>
          </cell>
          <cell r="M848" t="str">
            <v>URBANO</v>
          </cell>
          <cell r="N848">
            <v>45112</v>
          </cell>
          <cell r="O848">
            <v>0</v>
          </cell>
          <cell r="P848" t="str">
            <v>COMFORT XL</v>
          </cell>
        </row>
        <row r="849">
          <cell r="A849">
            <v>2359</v>
          </cell>
          <cell r="B849">
            <v>2359</v>
          </cell>
          <cell r="C849" t="str">
            <v>CERO MATRICULA</v>
          </cell>
          <cell r="D849" t="str">
            <v>ACTIVO</v>
          </cell>
          <cell r="E849" t="str">
            <v>BDL032</v>
          </cell>
          <cell r="F849" t="str">
            <v>Gómez Orosco Paul Michael</v>
          </cell>
          <cell r="G849" t="str">
            <v>GOMEZ OROSCO PAUL MICHAEL</v>
          </cell>
          <cell r="H849" t="str">
            <v>41879094</v>
          </cell>
          <cell r="I849" t="str">
            <v>BCP</v>
          </cell>
          <cell r="J849" t="str">
            <v>19293368962080</v>
          </cell>
          <cell r="K849" t="str">
            <v>DNI</v>
          </cell>
          <cell r="L849">
            <v>10418790941</v>
          </cell>
          <cell r="M849" t="str">
            <v>URBANO</v>
          </cell>
          <cell r="N849">
            <v>45572</v>
          </cell>
          <cell r="O849">
            <v>0</v>
          </cell>
          <cell r="P849" t="str">
            <v>LITE</v>
          </cell>
        </row>
        <row r="850">
          <cell r="A850">
            <v>2360</v>
          </cell>
          <cell r="B850">
            <v>2360</v>
          </cell>
          <cell r="C850" t="str">
            <v>CERO MATRICULA</v>
          </cell>
          <cell r="D850" t="str">
            <v>ACTIVO</v>
          </cell>
          <cell r="E850" t="str">
            <v>BNG073</v>
          </cell>
          <cell r="F850" t="str">
            <v>BENANCIO VIVANCO FRANK JUNIOR</v>
          </cell>
          <cell r="G850" t="str">
            <v>BENANCIO VIVANCO FRANK JUNIOR</v>
          </cell>
          <cell r="H850" t="str">
            <v>72300862</v>
          </cell>
          <cell r="I850" t="str">
            <v>INTERBANK</v>
          </cell>
          <cell r="J850" t="str">
            <v>2503-1516-3329-0</v>
          </cell>
          <cell r="K850" t="str">
            <v>DNI</v>
          </cell>
          <cell r="L850">
            <v>10723008625</v>
          </cell>
          <cell r="M850" t="str">
            <v>URBANO</v>
          </cell>
          <cell r="N850">
            <v>44979</v>
          </cell>
          <cell r="O850">
            <v>0</v>
          </cell>
          <cell r="P850" t="str">
            <v>COMFORT XL</v>
          </cell>
        </row>
        <row r="851">
          <cell r="A851">
            <v>2361</v>
          </cell>
          <cell r="B851">
            <v>2361</v>
          </cell>
          <cell r="C851" t="str">
            <v>CERO MATRICULA</v>
          </cell>
          <cell r="D851" t="str">
            <v>ACTIVO</v>
          </cell>
          <cell r="E851" t="str">
            <v>CDF135</v>
          </cell>
          <cell r="F851" t="str">
            <v xml:space="preserve">BERMUDEZ ZAMORA KATHERINE ANDREINA </v>
          </cell>
          <cell r="G851" t="str">
            <v xml:space="preserve">BERMUDEZ ZAMORA KATHERINE ANDREINA </v>
          </cell>
          <cell r="H851" t="str">
            <v>45969264 </v>
          </cell>
          <cell r="I851" t="str">
            <v>BCP</v>
          </cell>
          <cell r="J851" t="str">
            <v>191-95196775-0-56</v>
          </cell>
          <cell r="K851" t="str">
            <v>DNI</v>
          </cell>
          <cell r="L851">
            <v>10459692644</v>
          </cell>
          <cell r="M851" t="str">
            <v>URBANO</v>
          </cell>
          <cell r="N851">
            <v>44971</v>
          </cell>
          <cell r="O851">
            <v>0</v>
          </cell>
          <cell r="P851" t="str">
            <v>COMFORT</v>
          </cell>
        </row>
        <row r="852">
          <cell r="A852">
            <v>2362</v>
          </cell>
          <cell r="B852">
            <v>2362</v>
          </cell>
          <cell r="C852" t="str">
            <v>CERO MATRICULA</v>
          </cell>
          <cell r="D852" t="str">
            <v>ACTIVO</v>
          </cell>
          <cell r="E852" t="str">
            <v>Z6J432</v>
          </cell>
          <cell r="F852" t="str">
            <v>LOPEZ YSTURIZ DAVID ANTONIO</v>
          </cell>
          <cell r="G852" t="str">
            <v>LOPEZ YSTURIZ DAVID ANTONIO</v>
          </cell>
          <cell r="H852" t="str">
            <v>003977422</v>
          </cell>
          <cell r="I852" t="str">
            <v>BBVA</v>
          </cell>
          <cell r="J852" t="str">
            <v>0011-0831-0200193081</v>
          </cell>
          <cell r="K852" t="str">
            <v>CE</v>
          </cell>
          <cell r="L852">
            <v>15609514326</v>
          </cell>
          <cell r="M852" t="str">
            <v>URBANO</v>
          </cell>
          <cell r="N852">
            <v>44977</v>
          </cell>
          <cell r="O852">
            <v>0</v>
          </cell>
          <cell r="P852" t="str">
            <v>LITE</v>
          </cell>
        </row>
        <row r="853">
          <cell r="A853">
            <v>2363</v>
          </cell>
          <cell r="B853">
            <v>2363</v>
          </cell>
          <cell r="C853" t="str">
            <v>CERO MATRICULA</v>
          </cell>
          <cell r="D853" t="str">
            <v>ACTIVO</v>
          </cell>
          <cell r="E853" t="str">
            <v>AVM331</v>
          </cell>
          <cell r="F853" t="str">
            <v>NIETO CARDENAS CARLOS ENRIQUE</v>
          </cell>
          <cell r="G853" t="str">
            <v>NIETO CARDENAS CARLOS ENRIQUE</v>
          </cell>
          <cell r="H853" t="str">
            <v>47006669</v>
          </cell>
          <cell r="I853" t="str">
            <v>BBVA</v>
          </cell>
          <cell r="J853" t="str">
            <v>0011-0163-0200-3659-57</v>
          </cell>
          <cell r="K853" t="str">
            <v>DNI</v>
          </cell>
          <cell r="L853">
            <v>10470066691</v>
          </cell>
          <cell r="M853" t="str">
            <v>URBANO</v>
          </cell>
          <cell r="N853">
            <v>44973</v>
          </cell>
          <cell r="O853">
            <v>0</v>
          </cell>
          <cell r="P853" t="str">
            <v>LITE</v>
          </cell>
        </row>
        <row r="854">
          <cell r="A854">
            <v>2364</v>
          </cell>
          <cell r="B854">
            <v>2364</v>
          </cell>
          <cell r="C854" t="str">
            <v>CERO MATRICULA</v>
          </cell>
          <cell r="D854" t="str">
            <v>ACTIVO</v>
          </cell>
          <cell r="E854" t="str">
            <v>BAU301</v>
          </cell>
          <cell r="F854" t="str">
            <v>ANTIALON COSME LUIS EDGAR</v>
          </cell>
          <cell r="G854" t="str">
            <v>MADRID TRAVEL E.I.R.L.</v>
          </cell>
          <cell r="H854" t="str">
            <v>20615298957</v>
          </cell>
          <cell r="I854" t="str">
            <v>BBVA</v>
          </cell>
          <cell r="J854" t="str">
            <v>001101060200571904</v>
          </cell>
          <cell r="K854" t="str">
            <v>RUC</v>
          </cell>
          <cell r="L854">
            <v>20615298957</v>
          </cell>
          <cell r="M854" t="str">
            <v>URBANO</v>
          </cell>
          <cell r="N854">
            <v>44979</v>
          </cell>
          <cell r="O854">
            <v>0</v>
          </cell>
          <cell r="P854" t="str">
            <v>COMFORT XL</v>
          </cell>
        </row>
        <row r="855">
          <cell r="A855">
            <v>2365</v>
          </cell>
          <cell r="B855">
            <v>2365</v>
          </cell>
          <cell r="C855" t="str">
            <v>CERO MATRICULA</v>
          </cell>
          <cell r="D855" t="str">
            <v>ACTIVO</v>
          </cell>
          <cell r="E855" t="str">
            <v>CAV216</v>
          </cell>
          <cell r="F855" t="str">
            <v>LANDAETA JOEL GUILLERMO</v>
          </cell>
          <cell r="G855" t="str">
            <v>LANDAETA JOEL GUILLERMO</v>
          </cell>
          <cell r="H855" t="str">
            <v>002653042</v>
          </cell>
          <cell r="I855" t="str">
            <v>BCP</v>
          </cell>
          <cell r="J855" t="str">
            <v>194-96420966-0-13</v>
          </cell>
          <cell r="K855" t="str">
            <v>CE</v>
          </cell>
          <cell r="L855">
            <v>15605968900</v>
          </cell>
          <cell r="M855" t="str">
            <v>AEROLINEAS</v>
          </cell>
          <cell r="N855">
            <v>45103</v>
          </cell>
          <cell r="O855">
            <v>0</v>
          </cell>
          <cell r="P855" t="str">
            <v>LITE</v>
          </cell>
        </row>
        <row r="856">
          <cell r="A856">
            <v>2366</v>
          </cell>
          <cell r="B856">
            <v>2366</v>
          </cell>
          <cell r="C856" t="str">
            <v>CERO MATRICULA</v>
          </cell>
          <cell r="D856" t="str">
            <v>ACTIVO</v>
          </cell>
          <cell r="E856" t="str">
            <v>BBP590</v>
          </cell>
          <cell r="F856" t="str">
            <v>FERNANDEZ RONDON RAY ANDERSON</v>
          </cell>
          <cell r="G856" t="str">
            <v>FERNANDEZ RONDON RAY ANDERSON</v>
          </cell>
          <cell r="H856" t="str">
            <v>002239701</v>
          </cell>
          <cell r="I856" t="str">
            <v>SCOTIABANK</v>
          </cell>
          <cell r="J856" t="str">
            <v>0697-7575-16</v>
          </cell>
          <cell r="K856" t="str">
            <v>CPP</v>
          </cell>
          <cell r="L856">
            <v>15610410011</v>
          </cell>
          <cell r="M856" t="str">
            <v>URBANO</v>
          </cell>
          <cell r="N856">
            <v>44978</v>
          </cell>
          <cell r="O856">
            <v>0</v>
          </cell>
          <cell r="P856" t="str">
            <v>LITE</v>
          </cell>
        </row>
        <row r="857">
          <cell r="A857">
            <v>2367</v>
          </cell>
          <cell r="B857">
            <v>2367</v>
          </cell>
          <cell r="C857" t="str">
            <v>CERO MATRICULA</v>
          </cell>
          <cell r="D857" t="str">
            <v>ACTIVO</v>
          </cell>
          <cell r="E857" t="str">
            <v>CAV690</v>
          </cell>
          <cell r="F857" t="str">
            <v>DIAZ QUIROZ LUIS ALFREDO</v>
          </cell>
          <cell r="G857" t="str">
            <v>DIAZ DELGADO JORGE ALIPIO</v>
          </cell>
          <cell r="H857" t="str">
            <v>07730066</v>
          </cell>
          <cell r="I857" t="str">
            <v>BCP</v>
          </cell>
          <cell r="J857" t="str">
            <v>191-77254831-0-81</v>
          </cell>
          <cell r="K857" t="str">
            <v>DNI</v>
          </cell>
          <cell r="L857">
            <v>10077300665</v>
          </cell>
          <cell r="M857" t="str">
            <v>URBANO</v>
          </cell>
          <cell r="N857">
            <v>44978</v>
          </cell>
          <cell r="O857">
            <v>0</v>
          </cell>
          <cell r="P857" t="str">
            <v>COMFORT XL</v>
          </cell>
        </row>
        <row r="858">
          <cell r="A858">
            <v>2368</v>
          </cell>
          <cell r="B858">
            <v>2368</v>
          </cell>
          <cell r="C858" t="str">
            <v>CERO MATRICULA</v>
          </cell>
          <cell r="D858" t="str">
            <v>ACTIVO</v>
          </cell>
          <cell r="E858" t="str">
            <v>BVA477</v>
          </cell>
          <cell r="F858" t="str">
            <v>FERRO FUERTE ROBERTO MANUEL</v>
          </cell>
          <cell r="G858" t="str">
            <v>GOMEZ UQUICHE SANDRA MILAGROS</v>
          </cell>
          <cell r="H858" t="str">
            <v>42180025</v>
          </cell>
          <cell r="I858" t="str">
            <v>BCP</v>
          </cell>
          <cell r="J858" t="str">
            <v>194-98244204-0-68</v>
          </cell>
          <cell r="K858" t="str">
            <v>DNI</v>
          </cell>
          <cell r="L858">
            <v>10421800257</v>
          </cell>
          <cell r="M858" t="str">
            <v>URBANO</v>
          </cell>
          <cell r="N858">
            <v>44971</v>
          </cell>
          <cell r="O858">
            <v>0</v>
          </cell>
          <cell r="P858" t="str">
            <v>COMFORT XL</v>
          </cell>
        </row>
        <row r="859">
          <cell r="A859">
            <v>2369</v>
          </cell>
          <cell r="B859">
            <v>2369</v>
          </cell>
          <cell r="C859" t="str">
            <v>CERO MATRICULA</v>
          </cell>
          <cell r="D859" t="str">
            <v>ACTIVO</v>
          </cell>
          <cell r="E859" t="str">
            <v>CCY059</v>
          </cell>
          <cell r="F859" t="str">
            <v>MATLLE CIRIACO JUAN</v>
          </cell>
          <cell r="G859" t="str">
            <v>MATLLE CIRIACO JUAN</v>
          </cell>
          <cell r="H859" t="str">
            <v>40106132</v>
          </cell>
          <cell r="I859" t="str">
            <v>BCP</v>
          </cell>
          <cell r="J859" t="str">
            <v>191-06007803-0-87</v>
          </cell>
          <cell r="K859" t="str">
            <v>DNI</v>
          </cell>
          <cell r="L859">
            <v>10401061326</v>
          </cell>
          <cell r="M859" t="str">
            <v>URBANO</v>
          </cell>
          <cell r="N859">
            <v>45027</v>
          </cell>
          <cell r="O859">
            <v>0</v>
          </cell>
          <cell r="P859" t="str">
            <v>XL</v>
          </cell>
        </row>
        <row r="860">
          <cell r="A860">
            <v>2370</v>
          </cell>
          <cell r="B860">
            <v>2370</v>
          </cell>
          <cell r="C860" t="str">
            <v>CERO MATRICULA</v>
          </cell>
          <cell r="D860" t="str">
            <v>ACTIVO</v>
          </cell>
          <cell r="E860" t="str">
            <v>BHA691</v>
          </cell>
          <cell r="F860" t="str">
            <v>MARCHAND HUAMANCARI LUIGGI NATALIO</v>
          </cell>
          <cell r="G860" t="str">
            <v>MARCHAND HUAMANCARI LUIGGI NATALIO</v>
          </cell>
          <cell r="H860" t="str">
            <v>74694407</v>
          </cell>
          <cell r="I860" t="str">
            <v>SCOTIABANK</v>
          </cell>
          <cell r="J860" t="str">
            <v>825-3013968</v>
          </cell>
          <cell r="K860" t="str">
            <v>DNI</v>
          </cell>
          <cell r="L860">
            <v>10746944077</v>
          </cell>
          <cell r="M860" t="str">
            <v>URBANO</v>
          </cell>
          <cell r="N860">
            <v>45013</v>
          </cell>
          <cell r="O860">
            <v>0</v>
          </cell>
          <cell r="P860" t="str">
            <v>LITE</v>
          </cell>
        </row>
        <row r="861">
          <cell r="A861">
            <v>2372</v>
          </cell>
          <cell r="B861">
            <v>2372</v>
          </cell>
          <cell r="C861" t="str">
            <v>CERO MATRICULA</v>
          </cell>
          <cell r="D861" t="str">
            <v>ACTIVO</v>
          </cell>
          <cell r="E861" t="str">
            <v>BHU036</v>
          </cell>
          <cell r="F861" t="str">
            <v>VALENCIA PIÑIN OSCAR</v>
          </cell>
          <cell r="G861" t="str">
            <v>GUERRA MUÑOZ EMERITA</v>
          </cell>
          <cell r="H861" t="str">
            <v>47850806</v>
          </cell>
          <cell r="I861" t="str">
            <v>BCP</v>
          </cell>
          <cell r="J861" t="str">
            <v>194-38444094-0-16</v>
          </cell>
          <cell r="K861" t="str">
            <v>DNI</v>
          </cell>
          <cell r="L861">
            <v>10478508064</v>
          </cell>
          <cell r="M861" t="str">
            <v>URBANO</v>
          </cell>
          <cell r="N861">
            <v>44978</v>
          </cell>
          <cell r="O861">
            <v>0</v>
          </cell>
          <cell r="P861" t="str">
            <v>LITE</v>
          </cell>
        </row>
        <row r="862">
          <cell r="A862">
            <v>2373</v>
          </cell>
          <cell r="B862">
            <v>2373</v>
          </cell>
          <cell r="C862" t="str">
            <v>CERO MATRICULA</v>
          </cell>
          <cell r="D862" t="str">
            <v>ACTIVO</v>
          </cell>
          <cell r="E862" t="str">
            <v>BZK462</v>
          </cell>
          <cell r="F862" t="str">
            <v>DIAZ ORTIZ JOSE LUIS</v>
          </cell>
          <cell r="G862" t="str">
            <v>DIAZ ORTIZ JOSE LUIS</v>
          </cell>
          <cell r="H862" t="str">
            <v>72630319</v>
          </cell>
          <cell r="I862" t="str">
            <v>BBVA</v>
          </cell>
          <cell r="J862" t="str">
            <v>0011-0814-0239-4980-65</v>
          </cell>
          <cell r="K862" t="str">
            <v>DNI</v>
          </cell>
          <cell r="L862">
            <v>10726303199</v>
          </cell>
          <cell r="M862" t="str">
            <v>URBANO</v>
          </cell>
          <cell r="N862">
            <v>44980</v>
          </cell>
          <cell r="O862">
            <v>0</v>
          </cell>
          <cell r="P862" t="str">
            <v>COMFORT</v>
          </cell>
        </row>
        <row r="863">
          <cell r="A863">
            <v>2374</v>
          </cell>
          <cell r="B863">
            <v>2374</v>
          </cell>
          <cell r="C863" t="str">
            <v>CERO MATRICULA</v>
          </cell>
          <cell r="D863" t="str">
            <v>ACTIVO</v>
          </cell>
          <cell r="E863" t="str">
            <v>CCQ075</v>
          </cell>
          <cell r="F863" t="str">
            <v>MATA MENDEZ ALEJANDRO JOSE</v>
          </cell>
          <cell r="G863" t="str">
            <v>MATA MENDEZ ALEJANDRO JOSE</v>
          </cell>
          <cell r="H863" t="str">
            <v>004033168</v>
          </cell>
          <cell r="I863" t="str">
            <v>BCP</v>
          </cell>
          <cell r="J863" t="str">
            <v>191-93473278-0-50</v>
          </cell>
          <cell r="K863" t="str">
            <v>CE</v>
          </cell>
          <cell r="L863">
            <v>15605073619</v>
          </cell>
          <cell r="M863" t="str">
            <v>URBANO</v>
          </cell>
          <cell r="N863">
            <v>45110</v>
          </cell>
          <cell r="O863">
            <v>0</v>
          </cell>
          <cell r="P863" t="str">
            <v>LITE</v>
          </cell>
        </row>
        <row r="864">
          <cell r="A864">
            <v>2375</v>
          </cell>
          <cell r="B864">
            <v>2375</v>
          </cell>
          <cell r="C864" t="str">
            <v>CERO MATRICULA</v>
          </cell>
          <cell r="D864" t="str">
            <v>ACTIVO</v>
          </cell>
          <cell r="E864" t="str">
            <v>CAT089</v>
          </cell>
          <cell r="F864" t="str">
            <v>FUENTES ROMAN CRISTIAN FELIX ALFREDO</v>
          </cell>
          <cell r="G864" t="str">
            <v>FUENTES ROMAN CRISTIAN FELIX ALFREDO</v>
          </cell>
          <cell r="H864" t="str">
            <v>76503384</v>
          </cell>
          <cell r="I864" t="str">
            <v>INTERBANK</v>
          </cell>
          <cell r="J864" t="str">
            <v>200-3147714217</v>
          </cell>
          <cell r="K864" t="str">
            <v>DNI</v>
          </cell>
          <cell r="L864">
            <v>10765033841</v>
          </cell>
          <cell r="M864" t="str">
            <v>URBANO</v>
          </cell>
          <cell r="N864">
            <v>45012</v>
          </cell>
          <cell r="O864">
            <v>0</v>
          </cell>
          <cell r="P864" t="str">
            <v>LITE</v>
          </cell>
        </row>
        <row r="865">
          <cell r="A865">
            <v>2376</v>
          </cell>
          <cell r="B865">
            <v>2376</v>
          </cell>
          <cell r="C865" t="str">
            <v>CERO MATRICULA</v>
          </cell>
          <cell r="D865" t="str">
            <v>ACTIVO</v>
          </cell>
          <cell r="E865" t="str">
            <v>CDO093</v>
          </cell>
          <cell r="F865" t="str">
            <v>VARGAS ARAUJO JOEL</v>
          </cell>
          <cell r="G865" t="str">
            <v>RODRIGUEZ SOTELO YESSENIA EVELYN</v>
          </cell>
          <cell r="H865" t="str">
            <v>45750903</v>
          </cell>
          <cell r="I865" t="str">
            <v>BBVA</v>
          </cell>
          <cell r="J865" t="str">
            <v>0011-0814-0240324860</v>
          </cell>
          <cell r="K865" t="str">
            <v>DNI</v>
          </cell>
          <cell r="L865">
            <v>10457509036</v>
          </cell>
          <cell r="M865" t="str">
            <v>URBANO</v>
          </cell>
          <cell r="N865">
            <v>44992</v>
          </cell>
          <cell r="O865">
            <v>0</v>
          </cell>
          <cell r="P865" t="str">
            <v>LITE</v>
          </cell>
        </row>
        <row r="866">
          <cell r="A866">
            <v>2378</v>
          </cell>
          <cell r="B866">
            <v>2378</v>
          </cell>
          <cell r="C866" t="str">
            <v>CERO MATRICULA</v>
          </cell>
          <cell r="D866" t="str">
            <v>ACTIVO</v>
          </cell>
          <cell r="E866" t="str">
            <v>AUI094</v>
          </cell>
          <cell r="F866" t="str">
            <v>GUIDO MORALES SICHA VICTOR</v>
          </cell>
          <cell r="G866" t="str">
            <v>GUIDO MORALES SICHA VICTOR</v>
          </cell>
          <cell r="H866" t="str">
            <v>09945162</v>
          </cell>
          <cell r="I866" t="str">
            <v>BBVA</v>
          </cell>
          <cell r="J866" t="str">
            <v>0011-0323-0200-4428-8830</v>
          </cell>
          <cell r="K866" t="str">
            <v>DNI</v>
          </cell>
          <cell r="L866">
            <v>10099451624</v>
          </cell>
          <cell r="M866" t="str">
            <v>URBANO</v>
          </cell>
          <cell r="N866">
            <v>44985</v>
          </cell>
          <cell r="O866">
            <v>0</v>
          </cell>
          <cell r="P866" t="str">
            <v>COMFORT</v>
          </cell>
        </row>
        <row r="867">
          <cell r="A867">
            <v>2380</v>
          </cell>
          <cell r="B867">
            <v>2380</v>
          </cell>
          <cell r="C867" t="str">
            <v>CERO MATRICULA</v>
          </cell>
          <cell r="D867" t="str">
            <v>ACTIVO</v>
          </cell>
          <cell r="E867" t="str">
            <v>BNH554</v>
          </cell>
          <cell r="F867" t="str">
            <v>CRUZ REINA JOAN FERNANDO</v>
          </cell>
          <cell r="G867" t="str">
            <v>CRUZ REYNA JOAN FERNANDO</v>
          </cell>
          <cell r="H867" t="str">
            <v>45636893</v>
          </cell>
          <cell r="I867" t="str">
            <v>INTERBANK</v>
          </cell>
          <cell r="J867" t="str">
            <v>8983-254369880</v>
          </cell>
          <cell r="K867" t="str">
            <v>DNI</v>
          </cell>
          <cell r="L867">
            <v>10456368935</v>
          </cell>
          <cell r="M867" t="str">
            <v>URBANO</v>
          </cell>
          <cell r="N867">
            <v>44985</v>
          </cell>
          <cell r="O867">
            <v>0</v>
          </cell>
          <cell r="P867" t="str">
            <v>COMFORT XL</v>
          </cell>
        </row>
        <row r="868">
          <cell r="A868">
            <v>2382</v>
          </cell>
          <cell r="B868">
            <v>2382</v>
          </cell>
          <cell r="C868" t="str">
            <v>CERO MATRICULA</v>
          </cell>
          <cell r="D868" t="str">
            <v>ACTIVO</v>
          </cell>
          <cell r="E868" t="str">
            <v>BFS094</v>
          </cell>
          <cell r="F868" t="str">
            <v>GONZALEZ BERROTERAN JESUS MANUEL</v>
          </cell>
          <cell r="G868" t="str">
            <v>GONZALEZ BERROTERAN JESUS MANUEL</v>
          </cell>
          <cell r="H868" t="str">
            <v>002013012</v>
          </cell>
          <cell r="I868" t="str">
            <v>BBVA</v>
          </cell>
          <cell r="J868" t="str">
            <v>0011-0187-0200-3768-28</v>
          </cell>
          <cell r="K868" t="str">
            <v>CE</v>
          </cell>
          <cell r="L868">
            <v>15602569621</v>
          </cell>
          <cell r="M868" t="str">
            <v>URBANO</v>
          </cell>
          <cell r="N868">
            <v>44985</v>
          </cell>
          <cell r="O868">
            <v>0</v>
          </cell>
          <cell r="P868" t="str">
            <v>LITE</v>
          </cell>
        </row>
        <row r="869">
          <cell r="A869">
            <v>2383</v>
          </cell>
          <cell r="B869">
            <v>2383</v>
          </cell>
          <cell r="C869" t="str">
            <v>CERO MATRICULA</v>
          </cell>
          <cell r="D869" t="str">
            <v>ACTIVO</v>
          </cell>
          <cell r="E869" t="str">
            <v>CDF294</v>
          </cell>
          <cell r="F869" t="str">
            <v>CEREZO IBARRA CARLOS EDUARDO</v>
          </cell>
          <cell r="G869" t="str">
            <v>CEREZO IBARRA CARLOS EDUARDO</v>
          </cell>
          <cell r="H869" t="str">
            <v>003522653</v>
          </cell>
          <cell r="I869" t="str">
            <v>BBVA</v>
          </cell>
          <cell r="J869" t="str">
            <v>0011-0831-53-0200-2514-05</v>
          </cell>
          <cell r="K869" t="str">
            <v>CE</v>
          </cell>
          <cell r="L869">
            <v>15607217138</v>
          </cell>
          <cell r="M869" t="str">
            <v>URBANO</v>
          </cell>
          <cell r="N869">
            <v>44985</v>
          </cell>
          <cell r="O869">
            <v>0</v>
          </cell>
          <cell r="P869" t="str">
            <v>LITE</v>
          </cell>
        </row>
        <row r="870">
          <cell r="A870">
            <v>2384</v>
          </cell>
          <cell r="B870">
            <v>2384</v>
          </cell>
          <cell r="C870" t="str">
            <v>CERO MATRICULA</v>
          </cell>
          <cell r="D870" t="str">
            <v>ACTIVO</v>
          </cell>
          <cell r="E870" t="str">
            <v>F4S471</v>
          </cell>
          <cell r="F870" t="str">
            <v>HUAMAN YNGA OLGER MANUEL</v>
          </cell>
          <cell r="G870" t="str">
            <v>HUAMAN INGA WILLY MEYSTER</v>
          </cell>
          <cell r="H870" t="str">
            <v>40276022</v>
          </cell>
          <cell r="I870" t="str">
            <v>BCP</v>
          </cell>
          <cell r="J870" t="str">
            <v>194-3224-8127-0-64</v>
          </cell>
          <cell r="K870" t="str">
            <v>DNI</v>
          </cell>
          <cell r="L870">
            <v>10402760228</v>
          </cell>
          <cell r="M870" t="str">
            <v>URBANO</v>
          </cell>
          <cell r="N870">
            <v>44986</v>
          </cell>
          <cell r="O870">
            <v>0</v>
          </cell>
          <cell r="P870" t="str">
            <v>COMFORT</v>
          </cell>
        </row>
        <row r="871">
          <cell r="A871">
            <v>2385</v>
          </cell>
          <cell r="B871">
            <v>2385</v>
          </cell>
          <cell r="C871" t="str">
            <v>CERO MATRICULA</v>
          </cell>
          <cell r="D871" t="str">
            <v>ACTIVO</v>
          </cell>
          <cell r="E871" t="str">
            <v>BJJ-118</v>
          </cell>
          <cell r="F871" t="str">
            <v>ANTUNEZ QUISPE VICTOR HUGO</v>
          </cell>
          <cell r="G871" t="str">
            <v>ANTUNEZ QUISPE VICTOR HUGO</v>
          </cell>
          <cell r="H871" t="str">
            <v>46429490</v>
          </cell>
          <cell r="I871" t="str">
            <v>BANCO DE LA NACIÓN</v>
          </cell>
          <cell r="J871" t="str">
            <v>018-000-004026310925-04</v>
          </cell>
          <cell r="K871" t="str">
            <v>DNI</v>
          </cell>
          <cell r="L871">
            <v>10464294908</v>
          </cell>
          <cell r="M871" t="str">
            <v>URBANO</v>
          </cell>
          <cell r="N871">
            <v>44988</v>
          </cell>
          <cell r="O871">
            <v>0</v>
          </cell>
          <cell r="P871" t="str">
            <v>COMFORT</v>
          </cell>
        </row>
        <row r="872">
          <cell r="A872">
            <v>2386</v>
          </cell>
          <cell r="B872">
            <v>2386</v>
          </cell>
          <cell r="C872" t="str">
            <v>CERO MATRICULA</v>
          </cell>
          <cell r="D872" t="str">
            <v>ACTIVO</v>
          </cell>
          <cell r="E872" t="str">
            <v>BYT073</v>
          </cell>
          <cell r="F872" t="str">
            <v>TORRES TORRES JOEL ANTHONY</v>
          </cell>
          <cell r="G872" t="str">
            <v>TORRES TORRES  DE TORRES BETTY</v>
          </cell>
          <cell r="H872" t="str">
            <v>08296900</v>
          </cell>
          <cell r="I872" t="str">
            <v>BCP</v>
          </cell>
          <cell r="J872" t="str">
            <v>191-74533712-0-76</v>
          </cell>
          <cell r="K872" t="str">
            <v>DNI</v>
          </cell>
          <cell r="L872">
            <v>10082969000</v>
          </cell>
          <cell r="M872" t="str">
            <v>URBANO</v>
          </cell>
          <cell r="N872">
            <v>44991</v>
          </cell>
          <cell r="O872">
            <v>0</v>
          </cell>
          <cell r="P872" t="str">
            <v>COMFORT</v>
          </cell>
        </row>
        <row r="873">
          <cell r="A873">
            <v>2387</v>
          </cell>
          <cell r="B873">
            <v>2387</v>
          </cell>
          <cell r="C873" t="str">
            <v>CERO MATRICULA</v>
          </cell>
          <cell r="D873" t="str">
            <v>ACTIVO</v>
          </cell>
          <cell r="E873" t="str">
            <v>BDC436</v>
          </cell>
          <cell r="F873" t="str">
            <v>FARFAN CHAMBI NOLBERTO</v>
          </cell>
          <cell r="G873" t="str">
            <v>FARFAN CHAMBI NOLBERTO</v>
          </cell>
          <cell r="H873" t="str">
            <v>74504514</v>
          </cell>
          <cell r="I873" t="str">
            <v>BCP</v>
          </cell>
          <cell r="J873" t="str">
            <v>191-96163137-0-80</v>
          </cell>
          <cell r="K873" t="str">
            <v>DNI</v>
          </cell>
          <cell r="L873">
            <v>10745045141</v>
          </cell>
          <cell r="M873" t="str">
            <v>AEROLINEAS</v>
          </cell>
          <cell r="N873">
            <v>45027</v>
          </cell>
          <cell r="O873">
            <v>0</v>
          </cell>
          <cell r="P873" t="str">
            <v>COMFORT</v>
          </cell>
        </row>
        <row r="874">
          <cell r="A874">
            <v>2388</v>
          </cell>
          <cell r="B874">
            <v>2388</v>
          </cell>
          <cell r="C874" t="str">
            <v>CERO MATRICULA</v>
          </cell>
          <cell r="D874" t="str">
            <v>ACTIVO</v>
          </cell>
          <cell r="E874" t="str">
            <v>BXE187</v>
          </cell>
          <cell r="F874" t="str">
            <v>SAAVEDRA NUÑEZ JOSE ELBER</v>
          </cell>
          <cell r="G874" t="str">
            <v>SAAVEDRA NUÑEZ JOSE ELBER</v>
          </cell>
          <cell r="H874" t="str">
            <v>42677461</v>
          </cell>
          <cell r="I874" t="str">
            <v>INTERBANK</v>
          </cell>
          <cell r="J874" t="str">
            <v>432-3070667322</v>
          </cell>
          <cell r="K874" t="str">
            <v>DNI</v>
          </cell>
          <cell r="L874">
            <v>10426774611</v>
          </cell>
          <cell r="M874" t="str">
            <v>URBANO</v>
          </cell>
          <cell r="N874">
            <v>44986</v>
          </cell>
          <cell r="O874">
            <v>0</v>
          </cell>
          <cell r="P874" t="str">
            <v>COMFORT</v>
          </cell>
        </row>
        <row r="875">
          <cell r="A875">
            <v>2389</v>
          </cell>
          <cell r="B875">
            <v>2389</v>
          </cell>
          <cell r="C875" t="str">
            <v>CERO MATRICULA</v>
          </cell>
          <cell r="D875" t="str">
            <v>ACTIVO</v>
          </cell>
          <cell r="E875" t="str">
            <v>AVS 219</v>
          </cell>
          <cell r="F875" t="str">
            <v>UMPIRE FUENTES ELOY ISRAEL</v>
          </cell>
          <cell r="G875" t="str">
            <v>UMPIRE FUENTES ELOY ISRAEL</v>
          </cell>
          <cell r="H875" t="str">
            <v>10741208</v>
          </cell>
          <cell r="I875" t="str">
            <v>INTERBANK</v>
          </cell>
          <cell r="J875" t="str">
            <v>898-32193885-96</v>
          </cell>
          <cell r="K875" t="str">
            <v>DNI</v>
          </cell>
          <cell r="L875">
            <v>10107412081</v>
          </cell>
          <cell r="M875" t="str">
            <v>URBANO</v>
          </cell>
          <cell r="N875">
            <v>45068</v>
          </cell>
          <cell r="O875">
            <v>0</v>
          </cell>
          <cell r="P875" t="str">
            <v>LITE</v>
          </cell>
        </row>
        <row r="876">
          <cell r="A876">
            <v>2390</v>
          </cell>
          <cell r="B876">
            <v>2390</v>
          </cell>
          <cell r="C876" t="str">
            <v>CERO MATRICULA</v>
          </cell>
          <cell r="D876" t="str">
            <v>ACTIVO</v>
          </cell>
          <cell r="E876" t="str">
            <v>CDU 378</v>
          </cell>
          <cell r="F876" t="str">
            <v>BRUNO GARCIA TEDDY JAVIER</v>
          </cell>
          <cell r="G876" t="str">
            <v>BRUNO GARCIA TEDDY JAVIER</v>
          </cell>
          <cell r="H876" t="str">
            <v>10418469</v>
          </cell>
          <cell r="I876" t="str">
            <v>BCP</v>
          </cell>
          <cell r="J876" t="str">
            <v>191-77133459-0-83</v>
          </cell>
          <cell r="K876" t="str">
            <v>DNI</v>
          </cell>
          <cell r="L876">
            <v>10104184699</v>
          </cell>
          <cell r="M876" t="str">
            <v>URBANO</v>
          </cell>
          <cell r="N876">
            <v>44986</v>
          </cell>
          <cell r="O876">
            <v>0</v>
          </cell>
          <cell r="P876" t="str">
            <v>COMFORT XL</v>
          </cell>
        </row>
        <row r="877">
          <cell r="A877">
            <v>2391</v>
          </cell>
          <cell r="B877">
            <v>2391</v>
          </cell>
          <cell r="C877" t="str">
            <v>CERO MATRICULA</v>
          </cell>
          <cell r="D877" t="str">
            <v>ACTIVO</v>
          </cell>
          <cell r="E877" t="str">
            <v>BFM296</v>
          </cell>
          <cell r="F877" t="str">
            <v>LEIVA GARCIA HUGO DANIEL</v>
          </cell>
          <cell r="G877" t="str">
            <v>LEIVA GARCIA HUGO DANIEL</v>
          </cell>
          <cell r="H877" t="str">
            <v>41920732</v>
          </cell>
          <cell r="I877" t="str">
            <v>BCP</v>
          </cell>
          <cell r="J877" t="str">
            <v>194-95034486-0-28</v>
          </cell>
          <cell r="K877" t="str">
            <v>DNI</v>
          </cell>
          <cell r="L877">
            <v>10419207328</v>
          </cell>
          <cell r="M877" t="str">
            <v>URBANO</v>
          </cell>
          <cell r="N877">
            <v>44998</v>
          </cell>
          <cell r="O877">
            <v>0</v>
          </cell>
          <cell r="P877" t="str">
            <v>LITE</v>
          </cell>
        </row>
        <row r="878">
          <cell r="A878">
            <v>2392</v>
          </cell>
          <cell r="B878">
            <v>2392</v>
          </cell>
          <cell r="C878" t="str">
            <v>CERO MATRICULA</v>
          </cell>
          <cell r="D878" t="str">
            <v>ACTIVO</v>
          </cell>
          <cell r="E878" t="str">
            <v>CCU280</v>
          </cell>
          <cell r="F878" t="str">
            <v>MORENO GUERRA DAYLON ANDRES</v>
          </cell>
          <cell r="G878" t="str">
            <v>MORENO GUERRA DAYLON ANDRES</v>
          </cell>
          <cell r="H878" t="str">
            <v>002686334</v>
          </cell>
          <cell r="I878" t="str">
            <v>BCP</v>
          </cell>
          <cell r="J878" t="str">
            <v>194-91312213-0-57</v>
          </cell>
          <cell r="K878" t="str">
            <v>CE</v>
          </cell>
          <cell r="L878">
            <v>15603610757</v>
          </cell>
          <cell r="M878" t="str">
            <v>URBANO</v>
          </cell>
          <cell r="N878">
            <v>45110</v>
          </cell>
          <cell r="O878">
            <v>0</v>
          </cell>
          <cell r="P878" t="str">
            <v>COMFORT XL</v>
          </cell>
        </row>
        <row r="879">
          <cell r="A879">
            <v>2394</v>
          </cell>
          <cell r="B879">
            <v>2394</v>
          </cell>
          <cell r="C879" t="str">
            <v>CERO MATRICULA</v>
          </cell>
          <cell r="D879" t="str">
            <v>ACTIVO</v>
          </cell>
          <cell r="E879" t="str">
            <v>Z7C-417</v>
          </cell>
          <cell r="F879" t="str">
            <v>GUILARTE ROJAS JAIRO ALEXANDER</v>
          </cell>
          <cell r="G879" t="str">
            <v>GUILARTE ROJAS JAIRO ALEXANDER</v>
          </cell>
          <cell r="H879" t="str">
            <v>005092111</v>
          </cell>
          <cell r="I879" t="str">
            <v>BCP</v>
          </cell>
          <cell r="J879" t="str">
            <v>191-04672812-0-11</v>
          </cell>
          <cell r="K879" t="str">
            <v>CE</v>
          </cell>
          <cell r="L879">
            <v>15609161806</v>
          </cell>
          <cell r="M879" t="str">
            <v>MEMBRESÍA URBANO</v>
          </cell>
          <cell r="N879">
            <v>44993</v>
          </cell>
          <cell r="O879">
            <v>280</v>
          </cell>
          <cell r="P879" t="str">
            <v>LITE</v>
          </cell>
        </row>
        <row r="880">
          <cell r="A880">
            <v>2395</v>
          </cell>
          <cell r="B880">
            <v>2395</v>
          </cell>
          <cell r="C880" t="str">
            <v>CERO MATRICULA</v>
          </cell>
          <cell r="D880" t="str">
            <v>ACTIVO</v>
          </cell>
          <cell r="E880" t="str">
            <v>BUL 304</v>
          </cell>
          <cell r="F880" t="str">
            <v>TORRES LOZADA PAUL NOLLY</v>
          </cell>
          <cell r="G880" t="str">
            <v>TORRES LOZADA PAUL NOLLY</v>
          </cell>
          <cell r="H880" t="str">
            <v>44132783</v>
          </cell>
          <cell r="I880" t="str">
            <v>BCP</v>
          </cell>
          <cell r="J880" t="str">
            <v>193-9404-7763-0-38</v>
          </cell>
          <cell r="K880" t="str">
            <v>DNI</v>
          </cell>
          <cell r="L880">
            <v>10441327833</v>
          </cell>
          <cell r="M880" t="str">
            <v>URBANO</v>
          </cell>
          <cell r="N880">
            <v>44992</v>
          </cell>
          <cell r="O880">
            <v>0</v>
          </cell>
          <cell r="P880" t="str">
            <v>COMFORT</v>
          </cell>
        </row>
        <row r="881">
          <cell r="A881">
            <v>2396</v>
          </cell>
          <cell r="B881">
            <v>2396</v>
          </cell>
          <cell r="C881" t="str">
            <v>CERO MATRICULA</v>
          </cell>
          <cell r="D881" t="str">
            <v>ACTIVO</v>
          </cell>
          <cell r="E881" t="str">
            <v>CBQ 176</v>
          </cell>
          <cell r="F881" t="str">
            <v>ZAMBRANO JIMENEZ ISAAC NELSON</v>
          </cell>
          <cell r="G881" t="str">
            <v>ZAMBRANO JIMENEZ ISAAC NELSON</v>
          </cell>
          <cell r="H881" t="str">
            <v>002185996</v>
          </cell>
          <cell r="I881" t="str">
            <v>BCP</v>
          </cell>
          <cell r="J881" t="str">
            <v>191-97751875-0-65</v>
          </cell>
          <cell r="K881" t="str">
            <v>CE</v>
          </cell>
          <cell r="L881">
            <v>15603172792</v>
          </cell>
          <cell r="M881" t="str">
            <v>URBANO</v>
          </cell>
          <cell r="N881">
            <v>44992</v>
          </cell>
          <cell r="O881">
            <v>0</v>
          </cell>
          <cell r="P881" t="str">
            <v>LITE</v>
          </cell>
        </row>
        <row r="882">
          <cell r="A882">
            <v>2397</v>
          </cell>
          <cell r="B882">
            <v>2397</v>
          </cell>
          <cell r="C882" t="str">
            <v>CERO MATRICULA</v>
          </cell>
          <cell r="D882" t="str">
            <v>ACTIVO</v>
          </cell>
          <cell r="E882" t="str">
            <v>BPR 471</v>
          </cell>
          <cell r="F882" t="str">
            <v>PERNIA ORTEGA XAVIER ANTONIO</v>
          </cell>
          <cell r="G882" t="str">
            <v>PERNIA ORTEGA XAVIER ANTONIO</v>
          </cell>
          <cell r="H882" t="str">
            <v>004171771</v>
          </cell>
          <cell r="I882" t="str">
            <v>BCP</v>
          </cell>
          <cell r="J882" t="str">
            <v>192-06761841-0-41</v>
          </cell>
          <cell r="K882" t="str">
            <v>CE</v>
          </cell>
          <cell r="L882">
            <v>15606345795</v>
          </cell>
          <cell r="M882" t="str">
            <v>URBANO</v>
          </cell>
          <cell r="N882">
            <v>44992</v>
          </cell>
          <cell r="O882">
            <v>0</v>
          </cell>
          <cell r="P882" t="str">
            <v>COMFORT</v>
          </cell>
        </row>
        <row r="883">
          <cell r="A883">
            <v>2399</v>
          </cell>
          <cell r="B883">
            <v>2399</v>
          </cell>
          <cell r="C883" t="str">
            <v>CERO MATRICULA</v>
          </cell>
          <cell r="D883" t="str">
            <v>ACTIVO</v>
          </cell>
          <cell r="E883" t="str">
            <v>BYE342</v>
          </cell>
          <cell r="F883" t="str">
            <v>BRUNO ENCO VICTOR LORENZO</v>
          </cell>
          <cell r="G883" t="str">
            <v>BRUNO ENCO VICTOR LORENZO</v>
          </cell>
          <cell r="H883" t="str">
            <v>45728581</v>
          </cell>
          <cell r="I883" t="str">
            <v>INTERBANK</v>
          </cell>
          <cell r="J883" t="str">
            <v>288-3121619202</v>
          </cell>
          <cell r="K883" t="str">
            <v>DNI</v>
          </cell>
          <cell r="L883">
            <v>10457285812</v>
          </cell>
          <cell r="M883" t="str">
            <v>URBANO</v>
          </cell>
          <cell r="N883">
            <v>45000</v>
          </cell>
          <cell r="O883">
            <v>0</v>
          </cell>
          <cell r="P883" t="str">
            <v>COMFORT XL</v>
          </cell>
        </row>
        <row r="884">
          <cell r="A884">
            <v>2401</v>
          </cell>
          <cell r="B884">
            <v>2401</v>
          </cell>
          <cell r="C884" t="str">
            <v>CERO MATRICULA</v>
          </cell>
          <cell r="D884" t="str">
            <v>ACTIVO</v>
          </cell>
          <cell r="E884" t="str">
            <v>BVG463</v>
          </cell>
          <cell r="F884" t="str">
            <v>VITE QUEREVALU YAZMIN FLOR DE MARIA</v>
          </cell>
          <cell r="G884" t="str">
            <v>VITE QUEREVALU YAZMIN FLOR DE MARIA</v>
          </cell>
          <cell r="H884" t="str">
            <v>70876457</v>
          </cell>
          <cell r="I884" t="str">
            <v>INTERBANK</v>
          </cell>
          <cell r="J884" t="str">
            <v>8983-192911224</v>
          </cell>
          <cell r="K884" t="str">
            <v>DNI</v>
          </cell>
          <cell r="L884">
            <v>10708764570</v>
          </cell>
          <cell r="M884" t="str">
            <v>URBANO</v>
          </cell>
          <cell r="N884">
            <v>45000</v>
          </cell>
          <cell r="O884">
            <v>0</v>
          </cell>
          <cell r="P884" t="str">
            <v>COMFORT</v>
          </cell>
        </row>
        <row r="885">
          <cell r="A885">
            <v>2402</v>
          </cell>
          <cell r="B885">
            <v>2402</v>
          </cell>
          <cell r="C885" t="str">
            <v>CERO MATRICULA</v>
          </cell>
          <cell r="D885" t="str">
            <v>ACTIVO</v>
          </cell>
          <cell r="E885" t="str">
            <v>P3S218</v>
          </cell>
          <cell r="F885" t="str">
            <v>SALCEDO LINARES JOSE RAMON</v>
          </cell>
          <cell r="G885" t="str">
            <v>SALCEDO LINARES JOSE RAMON</v>
          </cell>
          <cell r="H885" t="str">
            <v>003231035</v>
          </cell>
          <cell r="I885" t="str">
            <v>BCP</v>
          </cell>
          <cell r="J885" t="str">
            <v>194-97829916-0-94</v>
          </cell>
          <cell r="K885" t="str">
            <v>CE</v>
          </cell>
          <cell r="L885">
            <v>15607593563</v>
          </cell>
          <cell r="M885" t="str">
            <v>URBANO</v>
          </cell>
          <cell r="N885">
            <v>44999</v>
          </cell>
          <cell r="O885">
            <v>0</v>
          </cell>
          <cell r="P885" t="str">
            <v>LITE</v>
          </cell>
        </row>
        <row r="886">
          <cell r="A886">
            <v>2403</v>
          </cell>
          <cell r="B886">
            <v>2403</v>
          </cell>
          <cell r="C886" t="str">
            <v>CERO MATRICULA</v>
          </cell>
          <cell r="D886" t="str">
            <v>ACTIVO</v>
          </cell>
          <cell r="E886" t="str">
            <v>BZD611</v>
          </cell>
          <cell r="F886" t="str">
            <v>DEL VILLAR BRICEÑO EDUARDO</v>
          </cell>
          <cell r="G886" t="str">
            <v>DEL VILLAR BRICEÑO EDUARDO</v>
          </cell>
          <cell r="H886" t="str">
            <v>40404964</v>
          </cell>
          <cell r="I886" t="str">
            <v>BCP</v>
          </cell>
          <cell r="J886" t="str">
            <v>194-70091021-0-10</v>
          </cell>
          <cell r="K886" t="str">
            <v>DNI</v>
          </cell>
          <cell r="L886">
            <v>10404049645</v>
          </cell>
          <cell r="M886" t="str">
            <v>URBANO</v>
          </cell>
          <cell r="N886">
            <v>45000</v>
          </cell>
          <cell r="O886">
            <v>0</v>
          </cell>
          <cell r="P886" t="str">
            <v>COMFORT</v>
          </cell>
        </row>
        <row r="887">
          <cell r="A887">
            <v>2404</v>
          </cell>
          <cell r="B887">
            <v>2404</v>
          </cell>
          <cell r="C887" t="str">
            <v>CERO MATRICULA</v>
          </cell>
          <cell r="D887" t="str">
            <v>ACTIVO</v>
          </cell>
          <cell r="E887" t="str">
            <v>BFM606</v>
          </cell>
          <cell r="F887" t="str">
            <v>GUTIERREZ ARISMENDI ANDRES DANILO</v>
          </cell>
          <cell r="G887" t="str">
            <v>GUTIERREZ ARISMENDI ANDRES DANILO</v>
          </cell>
          <cell r="H887" t="str">
            <v>42910196</v>
          </cell>
          <cell r="I887" t="str">
            <v>BCP</v>
          </cell>
          <cell r="J887" t="str">
            <v>191-34928607-0-19</v>
          </cell>
          <cell r="K887" t="str">
            <v>DNI</v>
          </cell>
          <cell r="L887">
            <v>10429101960</v>
          </cell>
          <cell r="M887" t="str">
            <v>AEROLINEAS</v>
          </cell>
          <cell r="N887">
            <v>45002</v>
          </cell>
          <cell r="O887">
            <v>0</v>
          </cell>
          <cell r="P887" t="str">
            <v>VAN</v>
          </cell>
        </row>
        <row r="888">
          <cell r="A888">
            <v>2405</v>
          </cell>
          <cell r="B888">
            <v>2405</v>
          </cell>
          <cell r="C888" t="str">
            <v>CERO MATRICULA</v>
          </cell>
          <cell r="D888" t="str">
            <v>ACTIVO</v>
          </cell>
          <cell r="E888" t="str">
            <v>BND595</v>
          </cell>
          <cell r="F888" t="str">
            <v>ARIAS SANTA CRUZ JESUS ALBERTO</v>
          </cell>
          <cell r="G888" t="str">
            <v>ARIAS SANTA CRUZ JESUS ALBERTO</v>
          </cell>
          <cell r="H888" t="str">
            <v>46656038</v>
          </cell>
          <cell r="I888" t="str">
            <v>BBVA</v>
          </cell>
          <cell r="J888" t="str">
            <v>0011-0814-0242270016</v>
          </cell>
          <cell r="K888" t="str">
            <v>DNI</v>
          </cell>
          <cell r="L888">
            <v>10466560389</v>
          </cell>
          <cell r="M888" t="str">
            <v>URBANO</v>
          </cell>
          <cell r="N888">
            <v>45002</v>
          </cell>
          <cell r="O888">
            <v>0</v>
          </cell>
          <cell r="P888" t="str">
            <v>XL</v>
          </cell>
        </row>
        <row r="889">
          <cell r="A889">
            <v>2406</v>
          </cell>
          <cell r="B889">
            <v>2406</v>
          </cell>
          <cell r="C889" t="str">
            <v>CERO MATRICULA</v>
          </cell>
          <cell r="D889" t="str">
            <v>ACTIVO</v>
          </cell>
          <cell r="E889" t="str">
            <v>CDX557</v>
          </cell>
          <cell r="F889" t="str">
            <v>GARCIA RODRIGUEZ JOSE LUIS</v>
          </cell>
          <cell r="G889" t="str">
            <v>ALARCON HUAMAN  BEATRIZ NORMA</v>
          </cell>
          <cell r="H889" t="str">
            <v>10361689</v>
          </cell>
          <cell r="I889" t="str">
            <v>BCP</v>
          </cell>
          <cell r="J889" t="str">
            <v>191-78236881-0-50</v>
          </cell>
          <cell r="K889" t="str">
            <v>DNI</v>
          </cell>
          <cell r="L889">
            <v>10103616897</v>
          </cell>
          <cell r="M889" t="str">
            <v>URBANO PARTNER</v>
          </cell>
          <cell r="N889">
            <v>45000</v>
          </cell>
          <cell r="O889">
            <v>0</v>
          </cell>
          <cell r="P889" t="str">
            <v>COMFORT</v>
          </cell>
        </row>
        <row r="890">
          <cell r="A890">
            <v>2407</v>
          </cell>
          <cell r="B890">
            <v>2407</v>
          </cell>
          <cell r="C890" t="str">
            <v>CERO MATRICULA</v>
          </cell>
          <cell r="D890" t="str">
            <v>ACTIVO</v>
          </cell>
          <cell r="E890" t="str">
            <v>CDA198</v>
          </cell>
          <cell r="F890" t="str">
            <v>DELGADO CORDOVA LUIS ALBERTO</v>
          </cell>
          <cell r="G890" t="str">
            <v>DELGADO CORDOVA LUIS ALBERTO</v>
          </cell>
          <cell r="H890" t="str">
            <v>43187227</v>
          </cell>
          <cell r="I890" t="str">
            <v>BCP</v>
          </cell>
          <cell r="J890" t="str">
            <v>193-03361000-0-49</v>
          </cell>
          <cell r="K890" t="str">
            <v>DNI</v>
          </cell>
          <cell r="L890">
            <v>10431872272</v>
          </cell>
          <cell r="M890" t="str">
            <v>URBANO</v>
          </cell>
          <cell r="N890">
            <v>44999</v>
          </cell>
          <cell r="O890">
            <v>0</v>
          </cell>
          <cell r="P890" t="str">
            <v>COMFORT XL</v>
          </cell>
        </row>
        <row r="891">
          <cell r="A891">
            <v>2408</v>
          </cell>
          <cell r="B891">
            <v>2408</v>
          </cell>
          <cell r="C891" t="str">
            <v>CERO MATRICULA</v>
          </cell>
          <cell r="D891" t="str">
            <v>ACTIVO</v>
          </cell>
          <cell r="E891" t="str">
            <v>CDI053</v>
          </cell>
          <cell r="F891" t="str">
            <v>MUNDACA TERRONES JESUS GUZMAN</v>
          </cell>
          <cell r="G891" t="str">
            <v>MUNDACA TERRONES JESUS GUZMAN</v>
          </cell>
          <cell r="H891" t="str">
            <v>46424104</v>
          </cell>
          <cell r="I891" t="str">
            <v>BCP</v>
          </cell>
          <cell r="J891" t="str">
            <v>191-397523640-01</v>
          </cell>
          <cell r="K891" t="str">
            <v>DNI</v>
          </cell>
          <cell r="L891">
            <v>10464241049</v>
          </cell>
          <cell r="M891" t="str">
            <v>URBANO</v>
          </cell>
          <cell r="N891">
            <v>45001</v>
          </cell>
          <cell r="O891">
            <v>0</v>
          </cell>
          <cell r="P891" t="str">
            <v>LITE</v>
          </cell>
        </row>
        <row r="892">
          <cell r="A892">
            <v>2412</v>
          </cell>
          <cell r="B892">
            <v>2412</v>
          </cell>
          <cell r="C892" t="str">
            <v>CERO MATRICULA</v>
          </cell>
          <cell r="D892" t="str">
            <v>ACTIVO</v>
          </cell>
          <cell r="E892" t="str">
            <v>Z7D201</v>
          </cell>
          <cell r="F892" t="str">
            <v>COBO TEJADA CARLOS LEONARDO</v>
          </cell>
          <cell r="G892" t="str">
            <v>COBO TEJADA CARLOS LEONARDO</v>
          </cell>
          <cell r="H892" t="str">
            <v>40017274</v>
          </cell>
          <cell r="I892" t="str">
            <v>SCOTIABANK</v>
          </cell>
          <cell r="J892" t="str">
            <v>022-786190-3</v>
          </cell>
          <cell r="K892" t="str">
            <v>DNI</v>
          </cell>
          <cell r="L892">
            <v>10400172744</v>
          </cell>
          <cell r="M892" t="str">
            <v>AEROLINEAS</v>
          </cell>
          <cell r="N892">
            <v>45002</v>
          </cell>
          <cell r="O892">
            <v>0</v>
          </cell>
          <cell r="P892" t="str">
            <v>LITE</v>
          </cell>
        </row>
        <row r="893">
          <cell r="A893">
            <v>2414</v>
          </cell>
          <cell r="B893">
            <v>2414</v>
          </cell>
          <cell r="C893" t="str">
            <v>CERO MATRICULA</v>
          </cell>
          <cell r="D893" t="str">
            <v>ACTIVO</v>
          </cell>
          <cell r="E893" t="str">
            <v>CDL157</v>
          </cell>
          <cell r="F893" t="str">
            <v>AVILA SOLIER BRYAN ANTHONY</v>
          </cell>
          <cell r="G893" t="str">
            <v>AVILA SOLIER BRYAN ANTHONY</v>
          </cell>
          <cell r="H893" t="str">
            <v>46024229</v>
          </cell>
          <cell r="I893" t="str">
            <v>BCP</v>
          </cell>
          <cell r="J893" t="str">
            <v>192-39937264-0-68</v>
          </cell>
          <cell r="K893" t="str">
            <v>DNI</v>
          </cell>
          <cell r="L893">
            <v>10460242296</v>
          </cell>
          <cell r="M893" t="str">
            <v>URBANO</v>
          </cell>
          <cell r="N893">
            <v>45006</v>
          </cell>
          <cell r="O893">
            <v>0</v>
          </cell>
          <cell r="P893" t="str">
            <v>LITE</v>
          </cell>
        </row>
        <row r="894">
          <cell r="A894">
            <v>2415</v>
          </cell>
          <cell r="B894">
            <v>2415</v>
          </cell>
          <cell r="C894" t="str">
            <v>CERO MATRICULA</v>
          </cell>
          <cell r="D894" t="str">
            <v>ACTIVO</v>
          </cell>
          <cell r="E894" t="str">
            <v>CCR255</v>
          </cell>
          <cell r="F894" t="str">
            <v>TERAN MARTINEZ JOSE ANGEL</v>
          </cell>
          <cell r="G894" t="str">
            <v>TERAN MARTINEZ JOSE ANGEL</v>
          </cell>
          <cell r="H894" t="str">
            <v>004171615</v>
          </cell>
          <cell r="I894" t="str">
            <v>BCP</v>
          </cell>
          <cell r="J894" t="str">
            <v>191-94457823-0-40</v>
          </cell>
          <cell r="K894" t="str">
            <v>CE</v>
          </cell>
          <cell r="L894">
            <v>15606863001</v>
          </cell>
          <cell r="M894" t="str">
            <v>URBANO</v>
          </cell>
          <cell r="N894">
            <v>45068</v>
          </cell>
          <cell r="O894">
            <v>0</v>
          </cell>
          <cell r="P894" t="str">
            <v>LITE</v>
          </cell>
        </row>
        <row r="895">
          <cell r="A895">
            <v>2416</v>
          </cell>
          <cell r="B895">
            <v>2416</v>
          </cell>
          <cell r="C895" t="str">
            <v>CERO MATRICULA</v>
          </cell>
          <cell r="D895" t="str">
            <v>ACTIVO</v>
          </cell>
          <cell r="E895" t="str">
            <v>BPR661</v>
          </cell>
          <cell r="F895" t="str">
            <v>VILLENA FUENTES RIVERA OSWALDO EMILIO</v>
          </cell>
          <cell r="G895" t="str">
            <v>VILLENA FUENTES RIVERA OSWALDO EMILIO</v>
          </cell>
          <cell r="H895" t="str">
            <v>08338068</v>
          </cell>
          <cell r="I895" t="str">
            <v>BBVA</v>
          </cell>
          <cell r="J895" t="str">
            <v>0011-0139-0200-969886</v>
          </cell>
          <cell r="K895" t="str">
            <v>DNI</v>
          </cell>
          <cell r="L895">
            <v>10083380689</v>
          </cell>
          <cell r="M895" t="str">
            <v>URBANO</v>
          </cell>
          <cell r="N895">
            <v>45008</v>
          </cell>
          <cell r="O895">
            <v>0</v>
          </cell>
          <cell r="P895" t="str">
            <v>COMFORT</v>
          </cell>
        </row>
        <row r="896">
          <cell r="A896">
            <v>2417</v>
          </cell>
          <cell r="B896">
            <v>2417</v>
          </cell>
          <cell r="C896" t="str">
            <v>CERO MATRICULA</v>
          </cell>
          <cell r="D896" t="str">
            <v>ACTIVO</v>
          </cell>
          <cell r="E896" t="str">
            <v>CCL253</v>
          </cell>
          <cell r="F896" t="str">
            <v>VELASQUEZ GUIZADO PEDRO MIGUEL</v>
          </cell>
          <cell r="G896" t="str">
            <v>VELASQUEZ GUIZADO PEDRO MIGUEL</v>
          </cell>
          <cell r="H896" t="str">
            <v>42264633</v>
          </cell>
          <cell r="I896" t="str">
            <v>BCP</v>
          </cell>
          <cell r="J896" t="str">
            <v>191-06724417-0-39</v>
          </cell>
          <cell r="K896" t="str">
            <v>DNI</v>
          </cell>
          <cell r="L896">
            <v>10422646332</v>
          </cell>
          <cell r="M896" t="str">
            <v>URBANO</v>
          </cell>
          <cell r="N896">
            <v>45007</v>
          </cell>
          <cell r="O896">
            <v>0</v>
          </cell>
          <cell r="P896" t="str">
            <v>LITE</v>
          </cell>
        </row>
        <row r="897">
          <cell r="A897">
            <v>2418</v>
          </cell>
          <cell r="B897">
            <v>2418</v>
          </cell>
          <cell r="C897" t="str">
            <v>CERO MATRICULA</v>
          </cell>
          <cell r="D897" t="str">
            <v>ACTIVO</v>
          </cell>
          <cell r="E897" t="str">
            <v>CAH605</v>
          </cell>
          <cell r="F897" t="str">
            <v>LUCUMBER CASTELLANOS ROBERTO HIPOLITO</v>
          </cell>
          <cell r="G897" t="str">
            <v>LUCUMBER CASTELLANOS ROBERTO HIPOLITO</v>
          </cell>
          <cell r="H897" t="str">
            <v>06954251</v>
          </cell>
          <cell r="I897" t="str">
            <v>INTERBANK</v>
          </cell>
          <cell r="J897" t="str">
            <v>898-3352678530</v>
          </cell>
          <cell r="K897" t="str">
            <v>DNI</v>
          </cell>
          <cell r="L897">
            <v>10069542510</v>
          </cell>
          <cell r="M897" t="str">
            <v>URBANO</v>
          </cell>
          <cell r="N897">
            <v>45007</v>
          </cell>
          <cell r="O897">
            <v>0</v>
          </cell>
          <cell r="P897" t="str">
            <v>COMFORT XL</v>
          </cell>
        </row>
        <row r="898">
          <cell r="A898">
            <v>2419</v>
          </cell>
          <cell r="B898">
            <v>2419</v>
          </cell>
          <cell r="C898" t="str">
            <v>CERO MATRICULA</v>
          </cell>
          <cell r="D898" t="str">
            <v>ACTIVO</v>
          </cell>
          <cell r="E898" t="str">
            <v>CCD545</v>
          </cell>
          <cell r="F898" t="str">
            <v>GONZALEZ HERRERA ALEJANDRA MARIA</v>
          </cell>
          <cell r="G898" t="str">
            <v>GONZALEZ  HERRERA ALEJANDRA MARIA</v>
          </cell>
          <cell r="H898" t="str">
            <v>001256173</v>
          </cell>
          <cell r="I898" t="str">
            <v>INTERBANK</v>
          </cell>
          <cell r="J898" t="str">
            <v>144-3105689182</v>
          </cell>
          <cell r="K898" t="str">
            <v>CE</v>
          </cell>
          <cell r="L898">
            <v>15601590953</v>
          </cell>
          <cell r="M898" t="str">
            <v>URBANO</v>
          </cell>
          <cell r="N898">
            <v>45007</v>
          </cell>
          <cell r="O898">
            <v>0</v>
          </cell>
          <cell r="P898" t="str">
            <v>COMFORT XL</v>
          </cell>
        </row>
        <row r="899">
          <cell r="A899">
            <v>2420</v>
          </cell>
          <cell r="B899">
            <v>2420</v>
          </cell>
          <cell r="C899" t="str">
            <v>CERO MATRICULA</v>
          </cell>
          <cell r="D899" t="str">
            <v>ACTIVO</v>
          </cell>
          <cell r="E899" t="str">
            <v>CDX255</v>
          </cell>
          <cell r="F899" t="str">
            <v>GOMEZ REATEGUI ROGER</v>
          </cell>
          <cell r="G899" t="str">
            <v>GOMEZ REATEGUI ROGER</v>
          </cell>
          <cell r="H899" t="str">
            <v>40058852</v>
          </cell>
          <cell r="I899" t="str">
            <v>BCP</v>
          </cell>
          <cell r="J899" t="str">
            <v>191-05330296-0-36</v>
          </cell>
          <cell r="K899" t="str">
            <v>DNI</v>
          </cell>
          <cell r="L899">
            <v>10400588525</v>
          </cell>
          <cell r="M899" t="str">
            <v>URBANO</v>
          </cell>
          <cell r="N899">
            <v>45026</v>
          </cell>
          <cell r="O899">
            <v>0</v>
          </cell>
          <cell r="P899" t="str">
            <v>COMFORT</v>
          </cell>
        </row>
        <row r="900">
          <cell r="A900">
            <v>2421</v>
          </cell>
          <cell r="B900">
            <v>2421</v>
          </cell>
          <cell r="C900" t="str">
            <v>CERO MATRICULA</v>
          </cell>
          <cell r="D900" t="str">
            <v>ACTIVO</v>
          </cell>
          <cell r="E900" t="str">
            <v>BEM312</v>
          </cell>
          <cell r="F900" t="str">
            <v>CAMPOMANES PORTUGUEZ DIXON MICHEL</v>
          </cell>
          <cell r="G900" t="str">
            <v>CAMPOMANES PORTUGUEZ DIXON MICHEL</v>
          </cell>
          <cell r="H900" t="str">
            <v>10181036</v>
          </cell>
          <cell r="I900" t="str">
            <v>BCP</v>
          </cell>
          <cell r="J900">
            <v>19301579752007</v>
          </cell>
          <cell r="K900" t="str">
            <v>DNI</v>
          </cell>
          <cell r="L900">
            <v>10101810360</v>
          </cell>
          <cell r="M900" t="str">
            <v>URBANO PARTNER</v>
          </cell>
          <cell r="N900">
            <v>45006</v>
          </cell>
          <cell r="O900">
            <v>0</v>
          </cell>
          <cell r="P900" t="str">
            <v>COMFORT XL</v>
          </cell>
        </row>
        <row r="901">
          <cell r="A901">
            <v>2422</v>
          </cell>
          <cell r="B901">
            <v>2422</v>
          </cell>
          <cell r="C901" t="str">
            <v>CERO MATRICULA</v>
          </cell>
          <cell r="D901" t="str">
            <v>ACTIVO</v>
          </cell>
          <cell r="E901" t="str">
            <v>BNZ035</v>
          </cell>
          <cell r="F901" t="str">
            <v>LOPEZ CASUSOL JOSE ADOLFO</v>
          </cell>
          <cell r="G901" t="str">
            <v>LOPEZ CASUSOL JOSE ADOLFO</v>
          </cell>
          <cell r="H901" t="str">
            <v>45367371</v>
          </cell>
          <cell r="I901" t="str">
            <v xml:space="preserve">BBVA </v>
          </cell>
          <cell r="J901" t="str">
            <v>0011 0295 0201687352</v>
          </cell>
          <cell r="K901" t="str">
            <v>DNI</v>
          </cell>
          <cell r="L901">
            <v>10453673711</v>
          </cell>
          <cell r="M901" t="str">
            <v>URBANO</v>
          </cell>
          <cell r="N901">
            <v>45008</v>
          </cell>
          <cell r="O901">
            <v>0</v>
          </cell>
          <cell r="P901" t="str">
            <v>LITE</v>
          </cell>
        </row>
        <row r="902">
          <cell r="A902">
            <v>2424</v>
          </cell>
          <cell r="B902">
            <v>2424</v>
          </cell>
          <cell r="C902" t="str">
            <v>CERO MATRICULA</v>
          </cell>
          <cell r="D902" t="str">
            <v>ACTIVO</v>
          </cell>
          <cell r="E902" t="str">
            <v>BAM509</v>
          </cell>
          <cell r="F902" t="str">
            <v>CORREA FALCON ELVIS LUIS</v>
          </cell>
          <cell r="G902" t="str">
            <v>CORREA  FALCON ELVIS LUIS</v>
          </cell>
          <cell r="H902" t="str">
            <v>44169284</v>
          </cell>
          <cell r="I902" t="str">
            <v>INTERBANK</v>
          </cell>
          <cell r="J902" t="str">
            <v>148-3144240715</v>
          </cell>
          <cell r="K902" t="str">
            <v>DNI</v>
          </cell>
          <cell r="L902">
            <v>10441692841</v>
          </cell>
          <cell r="M902" t="str">
            <v>URBANO</v>
          </cell>
          <cell r="N902">
            <v>45011</v>
          </cell>
          <cell r="O902">
            <v>0</v>
          </cell>
          <cell r="P902" t="str">
            <v>LITE</v>
          </cell>
        </row>
        <row r="903">
          <cell r="A903">
            <v>2426</v>
          </cell>
          <cell r="B903">
            <v>2426</v>
          </cell>
          <cell r="C903" t="str">
            <v>CERO MATRICULA</v>
          </cell>
          <cell r="D903" t="str">
            <v>ACTIVO</v>
          </cell>
          <cell r="E903" t="str">
            <v>CDS635</v>
          </cell>
          <cell r="F903" t="str">
            <v>PALOMINO MALLQUI JOSE LUIS</v>
          </cell>
          <cell r="G903" t="str">
            <v>PALOMINO MALLQUI JOSE LUIS</v>
          </cell>
          <cell r="H903" t="str">
            <v>09885816</v>
          </cell>
          <cell r="I903" t="str">
            <v>BANBIF</v>
          </cell>
          <cell r="J903" t="str">
            <v>0383-0810801625243-530</v>
          </cell>
          <cell r="K903" t="str">
            <v>DNI</v>
          </cell>
          <cell r="L903">
            <v>10098858160</v>
          </cell>
          <cell r="M903" t="str">
            <v>URBANO</v>
          </cell>
          <cell r="N903">
            <v>45012</v>
          </cell>
          <cell r="O903">
            <v>0</v>
          </cell>
          <cell r="P903" t="str">
            <v>LITE</v>
          </cell>
        </row>
        <row r="904">
          <cell r="A904">
            <v>2427</v>
          </cell>
          <cell r="B904">
            <v>2427</v>
          </cell>
          <cell r="C904" t="str">
            <v>CERO MATRICULA</v>
          </cell>
          <cell r="D904" t="str">
            <v>ACTIVO</v>
          </cell>
          <cell r="E904" t="str">
            <v>CEG463</v>
          </cell>
          <cell r="F904" t="str">
            <v>VASQUEZ MELENDEZ VICTOR ANTONIO</v>
          </cell>
          <cell r="G904" t="str">
            <v>VASQUEZ MELENDEZ VICTOR ANTONIO</v>
          </cell>
          <cell r="H904" t="str">
            <v>005358918</v>
          </cell>
          <cell r="I904" t="str">
            <v>BCP</v>
          </cell>
          <cell r="J904" t="str">
            <v>193-95767462-0-07</v>
          </cell>
          <cell r="K904" t="str">
            <v>CE</v>
          </cell>
          <cell r="L904">
            <v>15609821911</v>
          </cell>
          <cell r="M904" t="str">
            <v>URBANO PARTNER</v>
          </cell>
          <cell r="N904">
            <v>45012</v>
          </cell>
          <cell r="O904">
            <v>0</v>
          </cell>
          <cell r="P904" t="str">
            <v>LITE</v>
          </cell>
        </row>
        <row r="905">
          <cell r="A905">
            <v>2428</v>
          </cell>
          <cell r="B905">
            <v>2428</v>
          </cell>
          <cell r="C905" t="str">
            <v>CERO MATRICULA</v>
          </cell>
          <cell r="D905" t="str">
            <v>ACTIVO</v>
          </cell>
          <cell r="E905" t="str">
            <v>Z6T 667</v>
          </cell>
          <cell r="F905" t="str">
            <v>ZAGA CARDENAS  FRANK ALEXIS</v>
          </cell>
          <cell r="G905" t="str">
            <v>ZAGA CARDENAS  FRANK ALEXIS</v>
          </cell>
          <cell r="H905" t="str">
            <v>75463405</v>
          </cell>
          <cell r="I905" t="str">
            <v>SCOTIABANK</v>
          </cell>
          <cell r="J905" t="str">
            <v>562-1023976</v>
          </cell>
          <cell r="K905" t="str">
            <v>DNI</v>
          </cell>
          <cell r="L905">
            <v>10754634052</v>
          </cell>
          <cell r="M905" t="str">
            <v>URBANO</v>
          </cell>
          <cell r="N905">
            <v>45013</v>
          </cell>
          <cell r="O905">
            <v>0</v>
          </cell>
          <cell r="P905" t="str">
            <v>COMFORT XL</v>
          </cell>
        </row>
        <row r="906">
          <cell r="A906">
            <v>2429</v>
          </cell>
          <cell r="B906">
            <v>2429</v>
          </cell>
          <cell r="C906" t="str">
            <v>CERO MATRICULA</v>
          </cell>
          <cell r="D906" t="str">
            <v>ACTIVO</v>
          </cell>
          <cell r="E906" t="str">
            <v>ATE 155</v>
          </cell>
          <cell r="F906" t="str">
            <v>REVILLA COPA ELMER JESUS</v>
          </cell>
          <cell r="G906" t="str">
            <v>FLORES HERNANI GRIMALDINA</v>
          </cell>
          <cell r="H906" t="str">
            <v>40881236</v>
          </cell>
          <cell r="I906" t="str">
            <v>BCP</v>
          </cell>
          <cell r="J906" t="str">
            <v>191-71372213-0-43</v>
          </cell>
          <cell r="K906" t="str">
            <v>DNI</v>
          </cell>
          <cell r="L906">
            <v>10408812360</v>
          </cell>
          <cell r="M906" t="str">
            <v>URBANO</v>
          </cell>
          <cell r="N906">
            <v>45013</v>
          </cell>
          <cell r="O906">
            <v>0</v>
          </cell>
          <cell r="P906" t="str">
            <v>COMFORT</v>
          </cell>
        </row>
        <row r="907">
          <cell r="A907">
            <v>2430</v>
          </cell>
          <cell r="B907">
            <v>2430</v>
          </cell>
          <cell r="C907" t="str">
            <v>CERO MATRICULA</v>
          </cell>
          <cell r="D907" t="str">
            <v>ACTIVO</v>
          </cell>
          <cell r="E907" t="str">
            <v>BYP 507</v>
          </cell>
          <cell r="F907" t="str">
            <v>VELA  VERGARA CESAR ROBERTO</v>
          </cell>
          <cell r="G907" t="str">
            <v>VELA  VERGARA CESAR ROBERTO</v>
          </cell>
          <cell r="H907" t="str">
            <v>40014404</v>
          </cell>
          <cell r="I907" t="str">
            <v>BCP</v>
          </cell>
          <cell r="J907" t="str">
            <v>191-92648749-0-92</v>
          </cell>
          <cell r="K907" t="str">
            <v>DNI</v>
          </cell>
          <cell r="L907">
            <v>10400144040</v>
          </cell>
          <cell r="M907" t="str">
            <v>URBANO</v>
          </cell>
          <cell r="N907">
            <v>45013</v>
          </cell>
          <cell r="O907">
            <v>0</v>
          </cell>
          <cell r="P907" t="str">
            <v>COMFORT XL</v>
          </cell>
        </row>
        <row r="908">
          <cell r="A908">
            <v>2431</v>
          </cell>
          <cell r="B908">
            <v>2431</v>
          </cell>
          <cell r="C908" t="str">
            <v>CERO MATRICULA</v>
          </cell>
          <cell r="D908" t="str">
            <v>ACTIVO</v>
          </cell>
          <cell r="E908" t="str">
            <v>CDG 454</v>
          </cell>
          <cell r="F908" t="str">
            <v>GOMEZ COTRINA PAUL MICHAEL</v>
          </cell>
          <cell r="G908" t="str">
            <v>GOMEZ COTRINA PAUL MICHAEL</v>
          </cell>
          <cell r="H908" t="str">
            <v>41682766</v>
          </cell>
          <cell r="I908" t="str">
            <v>BCP</v>
          </cell>
          <cell r="J908" t="str">
            <v>191-96563356-0-41</v>
          </cell>
          <cell r="K908" t="str">
            <v>DNI</v>
          </cell>
          <cell r="L908">
            <v>10416827660</v>
          </cell>
          <cell r="M908" t="str">
            <v>URBANO</v>
          </cell>
          <cell r="N908">
            <v>45014</v>
          </cell>
          <cell r="O908">
            <v>0</v>
          </cell>
          <cell r="P908" t="str">
            <v>COMFORT XL</v>
          </cell>
        </row>
        <row r="909">
          <cell r="A909">
            <v>2432</v>
          </cell>
          <cell r="B909">
            <v>2432</v>
          </cell>
          <cell r="C909" t="str">
            <v>CERO MATRICULA</v>
          </cell>
          <cell r="D909" t="str">
            <v>ACTIVO</v>
          </cell>
          <cell r="E909" t="str">
            <v>CBB 689</v>
          </cell>
          <cell r="F909" t="str">
            <v>PANTOJA SALDIVIA CARLOS JAVIER</v>
          </cell>
          <cell r="G909" t="str">
            <v>PANTOJA SALDIVIA CARLOS JAVIER</v>
          </cell>
          <cell r="H909" t="str">
            <v>002794058</v>
          </cell>
          <cell r="I909" t="str">
            <v>BCP</v>
          </cell>
          <cell r="J909" t="str">
            <v>194-96908783-0-56</v>
          </cell>
          <cell r="K909" t="str">
            <v>CE</v>
          </cell>
          <cell r="L909">
            <v>15605609918</v>
          </cell>
          <cell r="M909" t="str">
            <v>URBANO</v>
          </cell>
          <cell r="N909">
            <v>45013</v>
          </cell>
          <cell r="O909">
            <v>0</v>
          </cell>
          <cell r="P909" t="str">
            <v>LITE</v>
          </cell>
        </row>
        <row r="910">
          <cell r="A910">
            <v>2433</v>
          </cell>
          <cell r="B910">
            <v>2433</v>
          </cell>
          <cell r="C910" t="str">
            <v>CERO MATRICULA</v>
          </cell>
          <cell r="D910" t="str">
            <v>ACTIVO</v>
          </cell>
          <cell r="E910" t="str">
            <v>CCZ 264</v>
          </cell>
          <cell r="F910" t="str">
            <v>CAIRO BEJARANO LUIS ANTONIO</v>
          </cell>
          <cell r="G910" t="str">
            <v>CAIRO BEJARANO LUIS ANTONIO</v>
          </cell>
          <cell r="H910" t="str">
            <v>004030541</v>
          </cell>
          <cell r="I910" t="str">
            <v>BCP</v>
          </cell>
          <cell r="J910" t="str">
            <v>191-93561873-0-40</v>
          </cell>
          <cell r="K910" t="str">
            <v>CE</v>
          </cell>
          <cell r="L910">
            <v>15604505981</v>
          </cell>
          <cell r="M910" t="str">
            <v>URBANO</v>
          </cell>
          <cell r="N910">
            <v>45014</v>
          </cell>
          <cell r="O910">
            <v>0</v>
          </cell>
          <cell r="P910" t="str">
            <v>LITE</v>
          </cell>
        </row>
        <row r="911">
          <cell r="A911">
            <v>2434</v>
          </cell>
          <cell r="B911">
            <v>2434</v>
          </cell>
          <cell r="C911" t="str">
            <v>CERO MATRICULA</v>
          </cell>
          <cell r="D911" t="str">
            <v>ACTIVO</v>
          </cell>
          <cell r="E911" t="str">
            <v>CEG685</v>
          </cell>
          <cell r="F911" t="str">
            <v>VALDIVIA CASTILLO MIGUEL ANGEL</v>
          </cell>
          <cell r="G911" t="str">
            <v>VALDIVIA CASTILLO MIGUEL ANGEL</v>
          </cell>
          <cell r="H911" t="str">
            <v>09209086</v>
          </cell>
          <cell r="I911" t="str">
            <v>BBVA</v>
          </cell>
          <cell r="J911" t="str">
            <v>0011-0139-0200840913</v>
          </cell>
          <cell r="K911" t="str">
            <v>DNI</v>
          </cell>
          <cell r="L911">
            <v>10092090863</v>
          </cell>
          <cell r="M911" t="str">
            <v>URBANO</v>
          </cell>
          <cell r="N911">
            <v>45016</v>
          </cell>
          <cell r="O911">
            <v>0</v>
          </cell>
          <cell r="P911" t="str">
            <v>LITE</v>
          </cell>
        </row>
        <row r="912">
          <cell r="A912">
            <v>2437</v>
          </cell>
          <cell r="B912">
            <v>2437</v>
          </cell>
          <cell r="C912" t="str">
            <v>CERO MATRICULA</v>
          </cell>
          <cell r="D912" t="str">
            <v>ACTIVO</v>
          </cell>
          <cell r="E912" t="str">
            <v>F5G544</v>
          </cell>
          <cell r="F912" t="str">
            <v>CAVERO CAPITAN VICTOR EDUARDO</v>
          </cell>
          <cell r="G912" t="str">
            <v>CAVERO CAPITAN VICTOR EDUARDO</v>
          </cell>
          <cell r="H912" t="str">
            <v>43020927</v>
          </cell>
          <cell r="I912" t="str">
            <v>BCP</v>
          </cell>
          <cell r="J912" t="str">
            <v>191-97929053-0-32</v>
          </cell>
          <cell r="K912" t="str">
            <v>DNI</v>
          </cell>
          <cell r="L912">
            <v>10430209278</v>
          </cell>
          <cell r="M912" t="str">
            <v>URBANO</v>
          </cell>
          <cell r="N912">
            <v>45015</v>
          </cell>
          <cell r="O912">
            <v>0</v>
          </cell>
          <cell r="P912" t="str">
            <v>LITE</v>
          </cell>
        </row>
        <row r="913">
          <cell r="A913">
            <v>2438</v>
          </cell>
          <cell r="B913">
            <v>2438</v>
          </cell>
          <cell r="C913" t="str">
            <v>CERO MATRICULA</v>
          </cell>
          <cell r="D913" t="str">
            <v>ACTIVO</v>
          </cell>
          <cell r="E913" t="str">
            <v>BUR496</v>
          </cell>
          <cell r="F913" t="str">
            <v>VILLALOBOS ROSALES HENRY SISXTO</v>
          </cell>
          <cell r="G913" t="str">
            <v>VILLALOBOS ROSALES HENRY SISXTO</v>
          </cell>
          <cell r="H913" t="str">
            <v>48971764</v>
          </cell>
          <cell r="I913" t="str">
            <v>INTERBANK</v>
          </cell>
          <cell r="J913" t="str">
            <v>898-3330121680</v>
          </cell>
          <cell r="K913" t="str">
            <v>DNI</v>
          </cell>
          <cell r="L913">
            <v>10489717641</v>
          </cell>
          <cell r="M913" t="str">
            <v>URBANO</v>
          </cell>
          <cell r="N913">
            <v>45028</v>
          </cell>
          <cell r="O913">
            <v>0</v>
          </cell>
          <cell r="P913" t="str">
            <v>LITE</v>
          </cell>
        </row>
        <row r="914">
          <cell r="A914">
            <v>2439</v>
          </cell>
          <cell r="B914">
            <v>2439</v>
          </cell>
          <cell r="C914" t="str">
            <v>CERO MATRICULA</v>
          </cell>
          <cell r="D914" t="str">
            <v>ACTIVO</v>
          </cell>
          <cell r="E914" t="str">
            <v>Z7E427</v>
          </cell>
          <cell r="F914" t="str">
            <v>SALAZAR MENA LUIS DIONISIO</v>
          </cell>
          <cell r="G914" t="str">
            <v>SALAZAR MENA LUIS DIONISIO</v>
          </cell>
          <cell r="H914" t="str">
            <v>003858998</v>
          </cell>
          <cell r="I914" t="str">
            <v>BBVA</v>
          </cell>
          <cell r="J914" t="str">
            <v>0011-0123-0200732927</v>
          </cell>
          <cell r="K914" t="str">
            <v>CE</v>
          </cell>
          <cell r="L914">
            <v>15604904665</v>
          </cell>
          <cell r="M914" t="str">
            <v>URBANO</v>
          </cell>
          <cell r="N914">
            <v>45015</v>
          </cell>
          <cell r="O914">
            <v>0</v>
          </cell>
          <cell r="P914" t="str">
            <v>XL</v>
          </cell>
        </row>
        <row r="915">
          <cell r="A915">
            <v>2440</v>
          </cell>
          <cell r="B915">
            <v>2440</v>
          </cell>
          <cell r="C915" t="str">
            <v>CERO MATRICULA</v>
          </cell>
          <cell r="D915" t="str">
            <v>ACTIVO</v>
          </cell>
          <cell r="E915" t="str">
            <v>BXR570</v>
          </cell>
          <cell r="F915" t="str">
            <v>TAVARA VALDIVIEZO LIONEL EDUARDO</v>
          </cell>
          <cell r="G915" t="str">
            <v>TAVARA VALDIVIEZO LIONEL EDUARDO</v>
          </cell>
          <cell r="H915" t="str">
            <v>42092786</v>
          </cell>
          <cell r="I915" t="str">
            <v>BCP</v>
          </cell>
          <cell r="J915" t="str">
            <v>191-92728059-0-03</v>
          </cell>
          <cell r="K915" t="str">
            <v>DNI</v>
          </cell>
          <cell r="L915">
            <v>10420927865</v>
          </cell>
          <cell r="M915" t="str">
            <v>AEROLINEAS</v>
          </cell>
          <cell r="N915">
            <v>45030</v>
          </cell>
          <cell r="O915">
            <v>0</v>
          </cell>
          <cell r="P915" t="str">
            <v>LITE</v>
          </cell>
        </row>
        <row r="916">
          <cell r="A916">
            <v>2441</v>
          </cell>
          <cell r="B916">
            <v>2441</v>
          </cell>
          <cell r="C916" t="str">
            <v>CERO MATRICULA</v>
          </cell>
          <cell r="D916" t="str">
            <v>ACTIVO</v>
          </cell>
          <cell r="E916" t="str">
            <v>BHW621</v>
          </cell>
          <cell r="F916" t="str">
            <v>PONTE VASQUEZ FRANCISCO PAULINO</v>
          </cell>
          <cell r="G916" t="str">
            <v>PONTE VASQUEZ FRANCISCO PAULINO</v>
          </cell>
          <cell r="H916" t="str">
            <v>06819621</v>
          </cell>
          <cell r="I916" t="str">
            <v>INTERBANK</v>
          </cell>
          <cell r="J916" t="str">
            <v>140-3088840993</v>
          </cell>
          <cell r="K916" t="str">
            <v>DNI</v>
          </cell>
          <cell r="L916">
            <v>10068196219</v>
          </cell>
          <cell r="M916" t="str">
            <v>URBANO</v>
          </cell>
          <cell r="N916">
            <v>45033</v>
          </cell>
          <cell r="O916">
            <v>0</v>
          </cell>
          <cell r="P916" t="str">
            <v>COMFORT XL</v>
          </cell>
        </row>
        <row r="917">
          <cell r="A917">
            <v>2442</v>
          </cell>
          <cell r="B917">
            <v>2442</v>
          </cell>
          <cell r="C917" t="str">
            <v>CERO MATRICULA</v>
          </cell>
          <cell r="D917" t="str">
            <v>ACTIVO</v>
          </cell>
          <cell r="E917" t="str">
            <v>BUI446</v>
          </cell>
          <cell r="F917" t="str">
            <v>MOLLEDA HUARI CLEVER JOHN</v>
          </cell>
          <cell r="G917" t="str">
            <v>MOLLEDA HUARI CLEVER JOHN</v>
          </cell>
          <cell r="H917" t="str">
            <v>06841936</v>
          </cell>
          <cell r="I917" t="str">
            <v>BCP</v>
          </cell>
          <cell r="J917" t="str">
            <v>191-99975114-0-61</v>
          </cell>
          <cell r="K917" t="str">
            <v>DNI</v>
          </cell>
          <cell r="L917">
            <v>10068419366</v>
          </cell>
          <cell r="M917" t="str">
            <v>URBANO</v>
          </cell>
          <cell r="N917">
            <v>45028</v>
          </cell>
          <cell r="O917">
            <v>0</v>
          </cell>
          <cell r="P917" t="str">
            <v>COMFORT XL</v>
          </cell>
        </row>
        <row r="918">
          <cell r="A918">
            <v>2443</v>
          </cell>
          <cell r="B918">
            <v>2443</v>
          </cell>
          <cell r="C918" t="str">
            <v>CERO MATRICULA</v>
          </cell>
          <cell r="D918" t="str">
            <v>ACTIVO</v>
          </cell>
          <cell r="E918" t="str">
            <v>CCY192</v>
          </cell>
          <cell r="F918" t="str">
            <v>SALAZAR TOUTOUNDJI JESUS ANTONIO</v>
          </cell>
          <cell r="G918" t="str">
            <v>SALAZAR TOUTOUNDJI JESUS ANTONIO</v>
          </cell>
          <cell r="H918" t="str">
            <v>001106946</v>
          </cell>
          <cell r="I918" t="str">
            <v>SCOTIABANK</v>
          </cell>
          <cell r="J918" t="str">
            <v>048-7999435</v>
          </cell>
          <cell r="K918" t="str">
            <v>CPP</v>
          </cell>
          <cell r="L918">
            <v>15610347352</v>
          </cell>
          <cell r="M918" t="str">
            <v>URBANO</v>
          </cell>
          <cell r="N918">
            <v>45096</v>
          </cell>
          <cell r="O918">
            <v>0</v>
          </cell>
          <cell r="P918" t="str">
            <v>LITE</v>
          </cell>
        </row>
        <row r="919">
          <cell r="A919">
            <v>2444</v>
          </cell>
          <cell r="B919">
            <v>2444</v>
          </cell>
          <cell r="C919" t="str">
            <v>CERO MATRICULA</v>
          </cell>
          <cell r="D919" t="str">
            <v>ACTIVO</v>
          </cell>
          <cell r="E919" t="str">
            <v>CDS590</v>
          </cell>
          <cell r="F919" t="str">
            <v>RAMIREZ CORREA LUIS ANGEL</v>
          </cell>
          <cell r="G919" t="str">
            <v>RAMIREZ CORREA LUIS ANGEL</v>
          </cell>
          <cell r="H919" t="str">
            <v>47429038</v>
          </cell>
          <cell r="I919" t="str">
            <v>INTERBANK</v>
          </cell>
          <cell r="J919" t="str">
            <v>630-3135960500</v>
          </cell>
          <cell r="K919" t="str">
            <v>DNI</v>
          </cell>
          <cell r="L919">
            <v>10474290382</v>
          </cell>
          <cell r="M919" t="str">
            <v>URBANO</v>
          </cell>
          <cell r="N919">
            <v>45027</v>
          </cell>
          <cell r="O919">
            <v>0</v>
          </cell>
          <cell r="P919" t="str">
            <v>LITE</v>
          </cell>
        </row>
        <row r="920">
          <cell r="A920">
            <v>2445</v>
          </cell>
          <cell r="B920">
            <v>2445</v>
          </cell>
          <cell r="C920" t="str">
            <v>CERO MATRICULA</v>
          </cell>
          <cell r="D920" t="str">
            <v>ACTIVO</v>
          </cell>
          <cell r="E920" t="str">
            <v>BZB182</v>
          </cell>
          <cell r="F920" t="str">
            <v>HUACCAC QUISPE CARLOS ENRIQUE</v>
          </cell>
          <cell r="G920" t="str">
            <v>HUACCAC QUISPE CARLOS ENRIQUE</v>
          </cell>
          <cell r="H920" t="str">
            <v>10170223</v>
          </cell>
          <cell r="I920" t="str">
            <v>INTERBANK</v>
          </cell>
          <cell r="J920" t="str">
            <v>898-3359548291</v>
          </cell>
          <cell r="K920" t="str">
            <v>DNI</v>
          </cell>
          <cell r="L920">
            <v>10101702231</v>
          </cell>
          <cell r="M920" t="str">
            <v>AEROLINEAS</v>
          </cell>
          <cell r="N920">
            <v>45032</v>
          </cell>
          <cell r="O920">
            <v>0</v>
          </cell>
          <cell r="P920" t="str">
            <v>COMFORT</v>
          </cell>
        </row>
        <row r="921">
          <cell r="A921">
            <v>2446</v>
          </cell>
          <cell r="B921">
            <v>2446</v>
          </cell>
          <cell r="C921" t="str">
            <v>CERO MATRICULA</v>
          </cell>
          <cell r="D921" t="str">
            <v>ACTIVO</v>
          </cell>
          <cell r="E921" t="str">
            <v>CDE514</v>
          </cell>
          <cell r="F921" t="str">
            <v>RODRIGUEZ MANRIQUE JOSE FELIX</v>
          </cell>
          <cell r="G921" t="str">
            <v>RODRIGUEZ MANRIQUE JOSE FELIX</v>
          </cell>
          <cell r="H921" t="str">
            <v>10730910</v>
          </cell>
          <cell r="I921" t="str">
            <v>INTERBANK</v>
          </cell>
          <cell r="J921" t="str">
            <v>2553087141920</v>
          </cell>
          <cell r="K921" t="str">
            <v>DNI</v>
          </cell>
          <cell r="L921">
            <v>10107309107</v>
          </cell>
          <cell r="M921" t="str">
            <v>URBANO</v>
          </cell>
          <cell r="N921">
            <v>45030</v>
          </cell>
          <cell r="O921">
            <v>0</v>
          </cell>
          <cell r="P921" t="str">
            <v>LITE</v>
          </cell>
        </row>
        <row r="922">
          <cell r="A922">
            <v>2447</v>
          </cell>
          <cell r="B922">
            <v>2447</v>
          </cell>
          <cell r="C922" t="str">
            <v>CERO MATRICULA</v>
          </cell>
          <cell r="D922" t="str">
            <v>ACTIVO</v>
          </cell>
          <cell r="E922" t="str">
            <v>CCD049</v>
          </cell>
          <cell r="F922" t="str">
            <v>GARCIA MAURIOLA JAFET DAVID</v>
          </cell>
          <cell r="G922" t="str">
            <v>GARCIA MAURIOLA JAFET DAVID</v>
          </cell>
          <cell r="H922" t="str">
            <v>70321841</v>
          </cell>
          <cell r="I922" t="str">
            <v>INTERBANK</v>
          </cell>
          <cell r="J922" t="str">
            <v>898-3312941904</v>
          </cell>
          <cell r="K922" t="str">
            <v>DNI</v>
          </cell>
          <cell r="L922">
            <v>10703218411</v>
          </cell>
          <cell r="M922" t="str">
            <v>URBANO</v>
          </cell>
          <cell r="N922">
            <v>45030</v>
          </cell>
          <cell r="O922">
            <v>0</v>
          </cell>
          <cell r="P922" t="str">
            <v>COMFORT XL</v>
          </cell>
        </row>
        <row r="923">
          <cell r="A923">
            <v>2448</v>
          </cell>
          <cell r="B923">
            <v>2448</v>
          </cell>
          <cell r="C923" t="str">
            <v>CERO MATRICULA</v>
          </cell>
          <cell r="D923" t="str">
            <v>ACTIVO</v>
          </cell>
          <cell r="E923" t="str">
            <v>D3Y271</v>
          </cell>
          <cell r="F923" t="str">
            <v>ALVAREZ OBLITAS VICTOR ANDRES</v>
          </cell>
          <cell r="G923" t="str">
            <v>CERNA TOLEDANO KATHERINA ROSMERY</v>
          </cell>
          <cell r="H923" t="str">
            <v>47266577</v>
          </cell>
          <cell r="I923" t="str">
            <v>BBVA</v>
          </cell>
          <cell r="J923" t="str">
            <v>0011-0174-02000807-437</v>
          </cell>
          <cell r="K923" t="str">
            <v>DNI</v>
          </cell>
          <cell r="L923">
            <v>10472665770</v>
          </cell>
          <cell r="M923" t="str">
            <v>URBANO</v>
          </cell>
          <cell r="N923">
            <v>45068</v>
          </cell>
          <cell r="O923">
            <v>0</v>
          </cell>
          <cell r="P923" t="str">
            <v>COMFORT</v>
          </cell>
        </row>
        <row r="924">
          <cell r="A924">
            <v>2449</v>
          </cell>
          <cell r="B924">
            <v>2449</v>
          </cell>
          <cell r="C924" t="str">
            <v>CERO MATRICULA</v>
          </cell>
          <cell r="D924" t="str">
            <v>ACTIVO</v>
          </cell>
          <cell r="E924" t="str">
            <v>ALZ548</v>
          </cell>
          <cell r="F924" t="str">
            <v>ARENAS  LARA JOSUE</v>
          </cell>
          <cell r="G924" t="str">
            <v>ARENAS  LARA JOSUE</v>
          </cell>
          <cell r="H924" t="str">
            <v>42300747</v>
          </cell>
          <cell r="I924" t="str">
            <v>BBVA</v>
          </cell>
          <cell r="J924" t="str">
            <v>0011-0814-0262357541</v>
          </cell>
          <cell r="K924" t="str">
            <v>DNI</v>
          </cell>
          <cell r="L924">
            <v>10423007473</v>
          </cell>
          <cell r="M924" t="str">
            <v>URBANO PARTNER</v>
          </cell>
          <cell r="N924">
            <v>45034</v>
          </cell>
          <cell r="O924">
            <v>0</v>
          </cell>
          <cell r="P924" t="str">
            <v>LITE</v>
          </cell>
        </row>
        <row r="925">
          <cell r="A925">
            <v>2450</v>
          </cell>
          <cell r="B925">
            <v>2450</v>
          </cell>
          <cell r="C925" t="str">
            <v>CERO MATRICULA</v>
          </cell>
          <cell r="D925" t="str">
            <v>ACTIVO</v>
          </cell>
          <cell r="E925" t="str">
            <v>CCO670</v>
          </cell>
          <cell r="F925" t="str">
            <v>IMAN  MAZA LEONEL</v>
          </cell>
          <cell r="G925" t="str">
            <v>IMAN  MAZA LEONEL</v>
          </cell>
          <cell r="H925" t="str">
            <v>41798168</v>
          </cell>
          <cell r="I925" t="str">
            <v>BCP</v>
          </cell>
          <cell r="J925" t="str">
            <v>191-38394884-0-09</v>
          </cell>
          <cell r="K925" t="str">
            <v>DNI</v>
          </cell>
          <cell r="L925">
            <v>10417981689</v>
          </cell>
          <cell r="M925" t="str">
            <v>URBANO</v>
          </cell>
          <cell r="N925">
            <v>45039</v>
          </cell>
          <cell r="O925">
            <v>0</v>
          </cell>
          <cell r="P925" t="str">
            <v>COMFORT XL</v>
          </cell>
        </row>
        <row r="926">
          <cell r="A926">
            <v>2453</v>
          </cell>
          <cell r="B926">
            <v>2453</v>
          </cell>
          <cell r="C926" t="str">
            <v>CERO MATRICULA</v>
          </cell>
          <cell r="D926" t="str">
            <v>ACTIVO</v>
          </cell>
          <cell r="E926" t="str">
            <v>CEH057</v>
          </cell>
          <cell r="F926" t="str">
            <v>OJEDA GUTIERREZ IVAN JESUS</v>
          </cell>
          <cell r="G926" t="str">
            <v>OJEDA GUTIERREZ IVAN JESUS</v>
          </cell>
          <cell r="H926" t="str">
            <v>001764828</v>
          </cell>
          <cell r="I926" t="str">
            <v>BCP</v>
          </cell>
          <cell r="J926" t="str">
            <v>194-93559546-0-89</v>
          </cell>
          <cell r="K926" t="str">
            <v>CE</v>
          </cell>
          <cell r="L926">
            <v>15602886279</v>
          </cell>
          <cell r="M926" t="str">
            <v>AEROLINEAS</v>
          </cell>
          <cell r="N926">
            <v>45035</v>
          </cell>
          <cell r="O926">
            <v>0</v>
          </cell>
          <cell r="P926" t="str">
            <v>XL</v>
          </cell>
        </row>
        <row r="927">
          <cell r="A927">
            <v>2454</v>
          </cell>
          <cell r="B927">
            <v>2454</v>
          </cell>
          <cell r="C927" t="str">
            <v>CERO MATRICULA</v>
          </cell>
          <cell r="D927" t="str">
            <v>ACTIVO</v>
          </cell>
          <cell r="E927" t="str">
            <v>BKD070</v>
          </cell>
          <cell r="F927" t="str">
            <v>DIAZ MOLINA CARLOS JAVIER</v>
          </cell>
          <cell r="G927" t="str">
            <v>DIAZ MOLINA CARLOS JAVIER</v>
          </cell>
          <cell r="H927" t="str">
            <v>002809591</v>
          </cell>
          <cell r="I927" t="str">
            <v>BCP</v>
          </cell>
          <cell r="J927" t="str">
            <v>191-90928243-0-07</v>
          </cell>
          <cell r="K927" t="str">
            <v>CE</v>
          </cell>
          <cell r="L927">
            <v>15603496938</v>
          </cell>
          <cell r="M927" t="str">
            <v>URBANO</v>
          </cell>
          <cell r="N927">
            <v>45035</v>
          </cell>
          <cell r="O927">
            <v>0</v>
          </cell>
          <cell r="P927" t="str">
            <v>LITE</v>
          </cell>
        </row>
        <row r="928">
          <cell r="A928">
            <v>2455</v>
          </cell>
          <cell r="B928">
            <v>2455</v>
          </cell>
          <cell r="C928" t="str">
            <v>CERO MATRICULA</v>
          </cell>
          <cell r="D928" t="str">
            <v>ACTIVO</v>
          </cell>
          <cell r="E928" t="str">
            <v>CEE028</v>
          </cell>
          <cell r="F928" t="str">
            <v>BELDEON VARELA RODOLFO CRISTIAN DAVID</v>
          </cell>
          <cell r="G928" t="str">
            <v>BELDEON VARELA RODOLFO CRISTIAN DAVID</v>
          </cell>
          <cell r="H928" t="str">
            <v>72328426</v>
          </cell>
          <cell r="I928" t="str">
            <v>SCOTIABANK</v>
          </cell>
          <cell r="J928" t="str">
            <v>821-7991929</v>
          </cell>
          <cell r="K928" t="str">
            <v>DNI</v>
          </cell>
          <cell r="L928">
            <v>10723284266</v>
          </cell>
          <cell r="M928" t="str">
            <v>URBANO</v>
          </cell>
          <cell r="N928">
            <v>45035</v>
          </cell>
          <cell r="O928">
            <v>0</v>
          </cell>
          <cell r="P928" t="str">
            <v>COMFORT XL</v>
          </cell>
        </row>
        <row r="929">
          <cell r="A929">
            <v>2456</v>
          </cell>
          <cell r="B929">
            <v>2456</v>
          </cell>
          <cell r="C929" t="str">
            <v>CERO MATRICULA</v>
          </cell>
          <cell r="D929" t="str">
            <v>ACTIVO</v>
          </cell>
          <cell r="E929" t="str">
            <v>CDU624</v>
          </cell>
          <cell r="F929" t="str">
            <v>FERNANDEZ AVILA EDWIN</v>
          </cell>
          <cell r="G929" t="str">
            <v>FERNANDEZ AVILA EDWIN</v>
          </cell>
          <cell r="H929" t="str">
            <v>43543883</v>
          </cell>
          <cell r="I929" t="str">
            <v>INTERBANK</v>
          </cell>
          <cell r="J929" t="str">
            <v>898-3233582664</v>
          </cell>
          <cell r="K929" t="str">
            <v>DNI</v>
          </cell>
          <cell r="L929">
            <v>10435438836</v>
          </cell>
          <cell r="M929" t="str">
            <v>URBANO</v>
          </cell>
          <cell r="N929">
            <v>45054</v>
          </cell>
          <cell r="O929">
            <v>0</v>
          </cell>
          <cell r="P929" t="str">
            <v>COMFORT</v>
          </cell>
        </row>
        <row r="930">
          <cell r="A930">
            <v>2457</v>
          </cell>
          <cell r="B930">
            <v>2457</v>
          </cell>
          <cell r="C930" t="str">
            <v>CERO MATRICULA</v>
          </cell>
          <cell r="D930" t="str">
            <v>ACTIVO</v>
          </cell>
          <cell r="E930" t="str">
            <v>CFA270</v>
          </cell>
          <cell r="F930" t="str">
            <v>SALCEDO FERRER FELIX ANTONIO</v>
          </cell>
          <cell r="G930" t="str">
            <v>SALCEDO FERRER FELIX ANTONIO</v>
          </cell>
          <cell r="H930" t="str">
            <v>09602166</v>
          </cell>
          <cell r="I930" t="str">
            <v>INTERBANK</v>
          </cell>
          <cell r="J930" t="str">
            <v>284-3122270977</v>
          </cell>
          <cell r="K930" t="str">
            <v>DNI</v>
          </cell>
          <cell r="L930">
            <v>10096021661</v>
          </cell>
          <cell r="M930" t="str">
            <v>URBANO</v>
          </cell>
          <cell r="N930">
            <v>45061</v>
          </cell>
          <cell r="O930">
            <v>0</v>
          </cell>
          <cell r="P930" t="str">
            <v>COMFORT XL</v>
          </cell>
        </row>
        <row r="931">
          <cell r="A931">
            <v>2458</v>
          </cell>
          <cell r="B931">
            <v>2458</v>
          </cell>
          <cell r="C931" t="str">
            <v>CERO MATRICULA</v>
          </cell>
          <cell r="D931" t="str">
            <v>ACTIVO</v>
          </cell>
          <cell r="E931" t="str">
            <v>AJS487</v>
          </cell>
          <cell r="F931" t="str">
            <v>TAME CUBA VALERIANO</v>
          </cell>
          <cell r="G931" t="str">
            <v>TAME CUBA VALERIANO</v>
          </cell>
          <cell r="H931" t="str">
            <v>40039664</v>
          </cell>
          <cell r="I931" t="str">
            <v>BCP</v>
          </cell>
          <cell r="J931" t="str">
            <v>191-98884592-0-23</v>
          </cell>
          <cell r="K931" t="str">
            <v>DNI</v>
          </cell>
          <cell r="L931">
            <v>10400396642</v>
          </cell>
          <cell r="M931" t="str">
            <v>URBANO</v>
          </cell>
          <cell r="N931">
            <v>45035</v>
          </cell>
          <cell r="O931">
            <v>0</v>
          </cell>
          <cell r="P931" t="str">
            <v>COMFORT XL</v>
          </cell>
        </row>
        <row r="932">
          <cell r="A932">
            <v>2459</v>
          </cell>
          <cell r="B932">
            <v>2459</v>
          </cell>
          <cell r="C932" t="str">
            <v>CERO MATRICULA</v>
          </cell>
          <cell r="D932" t="str">
            <v>ACTIVO</v>
          </cell>
          <cell r="E932" t="str">
            <v>BMX356</v>
          </cell>
          <cell r="F932" t="str">
            <v>HUARCAYA DIAZ DIEGO ARMANDO</v>
          </cell>
          <cell r="G932" t="str">
            <v>HUARCAYA DIAZ DIEGO ARMANDO</v>
          </cell>
          <cell r="H932" t="str">
            <v>72208028</v>
          </cell>
          <cell r="I932" t="str">
            <v>BCP</v>
          </cell>
          <cell r="J932" t="str">
            <v>194-93039290-0-78</v>
          </cell>
          <cell r="K932" t="str">
            <v>DNI</v>
          </cell>
          <cell r="L932">
            <v>10722080284</v>
          </cell>
          <cell r="M932" t="str">
            <v>URBANO</v>
          </cell>
          <cell r="N932">
            <v>45042</v>
          </cell>
          <cell r="O932">
            <v>0</v>
          </cell>
          <cell r="P932" t="str">
            <v>COMFORT XL</v>
          </cell>
        </row>
        <row r="933">
          <cell r="A933">
            <v>2460</v>
          </cell>
          <cell r="B933">
            <v>2460</v>
          </cell>
          <cell r="C933" t="str">
            <v>CERO MATRICULA</v>
          </cell>
          <cell r="D933" t="str">
            <v>ACTIVO</v>
          </cell>
          <cell r="E933" t="str">
            <v>BCE531</v>
          </cell>
          <cell r="F933" t="str">
            <v>VELEZ SEVILLANO CHRISTOPHER JULIO</v>
          </cell>
          <cell r="G933" t="str">
            <v>VELEZ SEVILLANO CHRISTOPHER JULIO</v>
          </cell>
          <cell r="H933" t="str">
            <v>73467166</v>
          </cell>
          <cell r="I933" t="str">
            <v>BCP</v>
          </cell>
          <cell r="J933" t="str">
            <v>191-34951224-0-65</v>
          </cell>
          <cell r="K933" t="str">
            <v>DNI</v>
          </cell>
          <cell r="L933">
            <v>10734671661</v>
          </cell>
          <cell r="M933" t="str">
            <v>URBANO</v>
          </cell>
          <cell r="N933">
            <v>45042</v>
          </cell>
          <cell r="O933">
            <v>0</v>
          </cell>
          <cell r="P933" t="str">
            <v>COMFORT</v>
          </cell>
        </row>
        <row r="934">
          <cell r="A934">
            <v>2462</v>
          </cell>
          <cell r="B934">
            <v>2462</v>
          </cell>
          <cell r="C934" t="str">
            <v>CERO MATRICULA</v>
          </cell>
          <cell r="D934" t="str">
            <v>ACTIVO</v>
          </cell>
          <cell r="E934" t="str">
            <v>BZH162</v>
          </cell>
          <cell r="F934" t="str">
            <v>FLORES BECERRA ALBERTO JOSE</v>
          </cell>
          <cell r="G934" t="str">
            <v>FLORES BECERRA ALBERTO JOSE</v>
          </cell>
          <cell r="H934" t="str">
            <v>44719720</v>
          </cell>
          <cell r="I934" t="str">
            <v>INTERBANK</v>
          </cell>
          <cell r="J934" t="str">
            <v>268-3121809943</v>
          </cell>
          <cell r="K934" t="str">
            <v>DNI</v>
          </cell>
          <cell r="L934">
            <v>10447197206</v>
          </cell>
          <cell r="M934" t="str">
            <v>URBANO</v>
          </cell>
          <cell r="N934">
            <v>45044</v>
          </cell>
          <cell r="O934">
            <v>0</v>
          </cell>
          <cell r="P934" t="str">
            <v>XL</v>
          </cell>
        </row>
        <row r="935">
          <cell r="A935">
            <v>2463</v>
          </cell>
          <cell r="B935">
            <v>2463</v>
          </cell>
          <cell r="C935" t="str">
            <v>CERO MATRICULA</v>
          </cell>
          <cell r="D935" t="str">
            <v>ACTIVO</v>
          </cell>
          <cell r="E935" t="str">
            <v>ATH 410</v>
          </cell>
          <cell r="F935" t="str">
            <v>PAZOS HERNANDEZ JORGE LUIS</v>
          </cell>
          <cell r="G935" t="str">
            <v>PAZOS HERNANDEZ JORGE LUIS</v>
          </cell>
          <cell r="H935" t="str">
            <v>42944238</v>
          </cell>
          <cell r="I935" t="str">
            <v>BCP</v>
          </cell>
          <cell r="J935" t="str">
            <v>193-12480808-0-76</v>
          </cell>
          <cell r="K935" t="str">
            <v>DNI</v>
          </cell>
          <cell r="L935">
            <v>15263198201</v>
          </cell>
          <cell r="M935" t="str">
            <v>URBANO</v>
          </cell>
          <cell r="N935">
            <v>45047</v>
          </cell>
          <cell r="O935">
            <v>0</v>
          </cell>
          <cell r="P935" t="str">
            <v>COMFORT</v>
          </cell>
        </row>
        <row r="936">
          <cell r="A936">
            <v>2464</v>
          </cell>
          <cell r="B936">
            <v>2464</v>
          </cell>
          <cell r="C936" t="str">
            <v>CERO MATRICULA</v>
          </cell>
          <cell r="D936" t="str">
            <v>ACTIVO</v>
          </cell>
          <cell r="E936" t="str">
            <v>CBX379</v>
          </cell>
          <cell r="F936" t="str">
            <v>EVANGELISTA BUSTAMANTE JUNIOR JESUS</v>
          </cell>
          <cell r="G936" t="str">
            <v>EVANGELISTA BUSTAMANTE JUNIOR JESUS</v>
          </cell>
          <cell r="H936" t="str">
            <v>48365350</v>
          </cell>
          <cell r="I936" t="str">
            <v>BCP</v>
          </cell>
          <cell r="J936" t="str">
            <v>191-02944161-0-98</v>
          </cell>
          <cell r="K936" t="str">
            <v>DNI</v>
          </cell>
          <cell r="L936">
            <v>10483653501</v>
          </cell>
          <cell r="M936" t="str">
            <v>URBANO</v>
          </cell>
          <cell r="N936">
            <v>45043</v>
          </cell>
          <cell r="O936">
            <v>0</v>
          </cell>
          <cell r="P936" t="str">
            <v>LITE</v>
          </cell>
        </row>
        <row r="937">
          <cell r="A937">
            <v>2465</v>
          </cell>
          <cell r="B937">
            <v>2465</v>
          </cell>
          <cell r="C937" t="str">
            <v>CERO MATRICULA</v>
          </cell>
          <cell r="D937" t="str">
            <v>ACTIVO</v>
          </cell>
          <cell r="E937" t="str">
            <v>AXX385</v>
          </cell>
          <cell r="F937" t="str">
            <v>PALOMINO MULATO ANTONIO</v>
          </cell>
          <cell r="G937" t="str">
            <v>AUTOAVANZAR S.A.C.</v>
          </cell>
          <cell r="H937" t="str">
            <v>20611343494</v>
          </cell>
          <cell r="I937" t="str">
            <v>BBVA</v>
          </cell>
          <cell r="J937" t="str">
            <v>0011-0161-0200362973</v>
          </cell>
          <cell r="K937" t="str">
            <v>RUC</v>
          </cell>
          <cell r="L937">
            <v>20611343494</v>
          </cell>
          <cell r="M937" t="str">
            <v>URBANO</v>
          </cell>
          <cell r="N937">
            <v>45051</v>
          </cell>
          <cell r="O937">
            <v>0</v>
          </cell>
          <cell r="P937" t="str">
            <v>COMFORT</v>
          </cell>
        </row>
        <row r="938">
          <cell r="A938">
            <v>2466</v>
          </cell>
          <cell r="B938">
            <v>2466</v>
          </cell>
          <cell r="C938" t="str">
            <v>CERO MATRICULA</v>
          </cell>
          <cell r="D938" t="str">
            <v>ACTIVO</v>
          </cell>
          <cell r="E938" t="str">
            <v>CCI 130</v>
          </cell>
          <cell r="F938" t="str">
            <v>VIVANCO QUILICHE JOSUE</v>
          </cell>
          <cell r="G938" t="str">
            <v>VIVANCO QUILICHE JOSUE</v>
          </cell>
          <cell r="H938" t="str">
            <v>81011608</v>
          </cell>
          <cell r="I938" t="str">
            <v>INTERBANK</v>
          </cell>
          <cell r="J938" t="str">
            <v>898-3316528246</v>
          </cell>
          <cell r="K938" t="str">
            <v>DNI</v>
          </cell>
          <cell r="L938">
            <v>10810116086</v>
          </cell>
          <cell r="M938" t="str">
            <v>URBANO</v>
          </cell>
          <cell r="N938">
            <v>45051</v>
          </cell>
          <cell r="O938">
            <v>0</v>
          </cell>
          <cell r="P938" t="str">
            <v>LITE</v>
          </cell>
        </row>
        <row r="939">
          <cell r="A939">
            <v>2467</v>
          </cell>
          <cell r="B939">
            <v>2467</v>
          </cell>
          <cell r="C939" t="str">
            <v>CERO MATRICULA</v>
          </cell>
          <cell r="D939" t="str">
            <v>ACTIVO</v>
          </cell>
          <cell r="E939" t="str">
            <v>BLL 611</v>
          </cell>
          <cell r="F939" t="str">
            <v>ESPINOZA VENTURA ARMANDO</v>
          </cell>
          <cell r="G939" t="str">
            <v>INVERSIONES ELANDAR E.I.R.L</v>
          </cell>
          <cell r="H939">
            <v>20608693433</v>
          </cell>
          <cell r="I939" t="str">
            <v>BBVA</v>
          </cell>
          <cell r="J939" t="str">
            <v>0011-0109-0100097934</v>
          </cell>
          <cell r="K939" t="str">
            <v>DNI</v>
          </cell>
          <cell r="L939">
            <v>20608693433</v>
          </cell>
          <cell r="M939" t="str">
            <v>URBANO</v>
          </cell>
          <cell r="N939">
            <v>45051</v>
          </cell>
          <cell r="O939">
            <v>0</v>
          </cell>
          <cell r="P939" t="str">
            <v>XL</v>
          </cell>
        </row>
        <row r="940">
          <cell r="A940">
            <v>2473</v>
          </cell>
          <cell r="B940">
            <v>2473</v>
          </cell>
          <cell r="C940" t="str">
            <v>CERO MATRICULA</v>
          </cell>
          <cell r="D940" t="str">
            <v>ACTIVO</v>
          </cell>
          <cell r="E940" t="str">
            <v>BTX673</v>
          </cell>
          <cell r="F940" t="str">
            <v>MONSALVE MENDEZ JOEL JESUS</v>
          </cell>
          <cell r="G940" t="str">
            <v>MONSALVE MENDEZ JOEL JESUS</v>
          </cell>
          <cell r="H940" t="str">
            <v>003816062</v>
          </cell>
          <cell r="I940" t="str">
            <v>BCP</v>
          </cell>
          <cell r="J940" t="str">
            <v>191-96405593-0-84</v>
          </cell>
          <cell r="K940" t="str">
            <v>CE</v>
          </cell>
          <cell r="L940">
            <v>15610439753</v>
          </cell>
          <cell r="M940" t="str">
            <v>URBANO</v>
          </cell>
          <cell r="N940">
            <v>45055</v>
          </cell>
          <cell r="O940">
            <v>0</v>
          </cell>
          <cell r="P940" t="str">
            <v>COMFORT XL</v>
          </cell>
        </row>
        <row r="941">
          <cell r="A941">
            <v>2474</v>
          </cell>
          <cell r="B941">
            <v>2474</v>
          </cell>
          <cell r="C941" t="str">
            <v>CERO MATRICULA</v>
          </cell>
          <cell r="D941" t="str">
            <v>ACTIVO</v>
          </cell>
          <cell r="E941" t="str">
            <v>CCX493</v>
          </cell>
          <cell r="F941" t="str">
            <v>VELASQUEZ GRANADOS CARLOS EMANUEL</v>
          </cell>
          <cell r="G941" t="str">
            <v>VELASQUEZ GRANADOS CARLOS EMANUEL</v>
          </cell>
          <cell r="H941" t="str">
            <v>46791084</v>
          </cell>
          <cell r="I941" t="str">
            <v>BCP</v>
          </cell>
          <cell r="J941" t="str">
            <v>192-90755320-0-38</v>
          </cell>
          <cell r="K941" t="str">
            <v>DNI</v>
          </cell>
          <cell r="L941">
            <v>10467910847</v>
          </cell>
          <cell r="M941" t="str">
            <v>URBANO</v>
          </cell>
          <cell r="N941">
            <v>45075</v>
          </cell>
          <cell r="O941">
            <v>0</v>
          </cell>
          <cell r="P941" t="str">
            <v>COMFORT XL</v>
          </cell>
        </row>
        <row r="942">
          <cell r="A942">
            <v>2477</v>
          </cell>
          <cell r="B942">
            <v>2477</v>
          </cell>
          <cell r="C942" t="str">
            <v>CERO MATRICULA</v>
          </cell>
          <cell r="D942" t="str">
            <v>ACTIVO</v>
          </cell>
          <cell r="E942" t="str">
            <v>BRO326</v>
          </cell>
          <cell r="F942" t="str">
            <v>ROMERO PACHECO RICARDO ARNALDO</v>
          </cell>
          <cell r="G942" t="str">
            <v>ROMERO PACHECO RICARDO ARNALDO</v>
          </cell>
          <cell r="H942" t="str">
            <v>45700715</v>
          </cell>
          <cell r="I942" t="str">
            <v>BCP</v>
          </cell>
          <cell r="J942" t="str">
            <v>191-35340505-0-79</v>
          </cell>
          <cell r="K942" t="str">
            <v>DNI</v>
          </cell>
          <cell r="L942">
            <v>10457007154</v>
          </cell>
          <cell r="M942" t="str">
            <v>URBANO</v>
          </cell>
          <cell r="N942">
            <v>45058</v>
          </cell>
          <cell r="O942">
            <v>0</v>
          </cell>
          <cell r="P942" t="str">
            <v>COMFORT XL</v>
          </cell>
        </row>
        <row r="943">
          <cell r="A943">
            <v>2478</v>
          </cell>
          <cell r="B943">
            <v>2478</v>
          </cell>
          <cell r="C943" t="str">
            <v>CERO MATRICULA</v>
          </cell>
          <cell r="D943" t="str">
            <v>ACTIVO</v>
          </cell>
          <cell r="E943" t="str">
            <v>AYM310</v>
          </cell>
          <cell r="F943" t="str">
            <v>GUTIERREZ BUSTAMANTE MARIO</v>
          </cell>
          <cell r="G943" t="str">
            <v>GUTIERREZ BUSTAMANTE MARIO</v>
          </cell>
          <cell r="H943" t="str">
            <v>42770458</v>
          </cell>
          <cell r="I943" t="str">
            <v>INTERBANK</v>
          </cell>
          <cell r="J943" t="str">
            <v>1293-062159585</v>
          </cell>
          <cell r="K943" t="str">
            <v>DNI</v>
          </cell>
          <cell r="L943">
            <v>10427704586</v>
          </cell>
          <cell r="M943" t="str">
            <v>URBANO</v>
          </cell>
          <cell r="N943">
            <v>45056</v>
          </cell>
          <cell r="O943">
            <v>0</v>
          </cell>
          <cell r="P943" t="str">
            <v>COMFORT</v>
          </cell>
        </row>
        <row r="944">
          <cell r="A944">
            <v>2479</v>
          </cell>
          <cell r="B944">
            <v>2479</v>
          </cell>
          <cell r="C944" t="str">
            <v>CERO MATRICULA</v>
          </cell>
          <cell r="D944" t="str">
            <v>ACTIVO</v>
          </cell>
          <cell r="E944" t="str">
            <v>CDX 076</v>
          </cell>
          <cell r="F944" t="str">
            <v xml:space="preserve">CASAS ALZAMORA RICARDO  </v>
          </cell>
          <cell r="G944" t="str">
            <v>CASAS ALZAMORA ANGEL ISAAC</v>
          </cell>
          <cell r="H944" t="str">
            <v>09956248</v>
          </cell>
          <cell r="I944" t="str">
            <v>BCP</v>
          </cell>
          <cell r="J944" t="str">
            <v>19133523448067</v>
          </cell>
          <cell r="K944" t="str">
            <v>DNI</v>
          </cell>
          <cell r="L944">
            <v>10099562485</v>
          </cell>
          <cell r="M944" t="str">
            <v>URBANO</v>
          </cell>
          <cell r="N944">
            <v>45062</v>
          </cell>
          <cell r="O944">
            <v>0</v>
          </cell>
          <cell r="P944" t="str">
            <v>XL</v>
          </cell>
        </row>
        <row r="945">
          <cell r="A945">
            <v>2480</v>
          </cell>
          <cell r="B945">
            <v>2480</v>
          </cell>
          <cell r="C945" t="str">
            <v>CERO MATRICULA</v>
          </cell>
          <cell r="D945" t="str">
            <v>ACTIVO</v>
          </cell>
          <cell r="E945" t="str">
            <v>BNR 090</v>
          </cell>
          <cell r="F945" t="str">
            <v>ORTIZ HU JORGE LUIS</v>
          </cell>
          <cell r="G945" t="str">
            <v>ORTIZ HU JORGE LUIS</v>
          </cell>
          <cell r="H945" t="str">
            <v>41756885</v>
          </cell>
          <cell r="I945" t="str">
            <v>BBVA</v>
          </cell>
          <cell r="J945" t="str">
            <v>0011-0333-0200787995</v>
          </cell>
          <cell r="K945" t="str">
            <v>DNI</v>
          </cell>
          <cell r="L945">
            <v>10417568854</v>
          </cell>
          <cell r="M945" t="str">
            <v>URBANO</v>
          </cell>
          <cell r="N945">
            <v>45062</v>
          </cell>
          <cell r="O945">
            <v>0</v>
          </cell>
          <cell r="P945" t="str">
            <v>COMFORT</v>
          </cell>
        </row>
        <row r="946">
          <cell r="A946">
            <v>2481</v>
          </cell>
          <cell r="B946">
            <v>2481</v>
          </cell>
          <cell r="C946" t="str">
            <v>CERO MATRICULA</v>
          </cell>
          <cell r="D946" t="str">
            <v>ACTIVO</v>
          </cell>
          <cell r="E946" t="str">
            <v>CDE 237</v>
          </cell>
          <cell r="F946" t="str">
            <v>INOÑAN UREÑA JANZ JHONATTAN</v>
          </cell>
          <cell r="G946" t="str">
            <v>INOÑAN UREÑA JANZ JHONATTAN</v>
          </cell>
          <cell r="H946" t="str">
            <v>46238540</v>
          </cell>
          <cell r="I946" t="str">
            <v>SCOTIABANK</v>
          </cell>
          <cell r="J946" t="str">
            <v>372-0247158</v>
          </cell>
          <cell r="K946" t="str">
            <v>DNI</v>
          </cell>
          <cell r="L946">
            <v>10462385400</v>
          </cell>
          <cell r="M946" t="str">
            <v>URBANO</v>
          </cell>
          <cell r="N946">
            <v>45063</v>
          </cell>
          <cell r="O946">
            <v>0</v>
          </cell>
          <cell r="P946" t="str">
            <v>XL</v>
          </cell>
        </row>
        <row r="947">
          <cell r="A947">
            <v>2482</v>
          </cell>
          <cell r="B947">
            <v>2482</v>
          </cell>
          <cell r="C947" t="str">
            <v>CERO MATRICULA</v>
          </cell>
          <cell r="D947" t="str">
            <v>ACTIVO</v>
          </cell>
          <cell r="E947" t="str">
            <v>CEY222</v>
          </cell>
          <cell r="F947" t="str">
            <v>VALERA ARABIA ROMER JAVIER</v>
          </cell>
          <cell r="G947" t="str">
            <v>VALERA ARABIA ROMER JAVIER</v>
          </cell>
          <cell r="H947" t="str">
            <v>002180687</v>
          </cell>
          <cell r="I947" t="str">
            <v>BCP</v>
          </cell>
          <cell r="J947" t="str">
            <v>194-38066362-0-69</v>
          </cell>
          <cell r="K947" t="str">
            <v>CE</v>
          </cell>
          <cell r="L947">
            <v>15602863805</v>
          </cell>
          <cell r="M947" t="str">
            <v>URBANO</v>
          </cell>
          <cell r="N947">
            <v>45063</v>
          </cell>
          <cell r="O947">
            <v>0</v>
          </cell>
          <cell r="P947" t="str">
            <v>LITE</v>
          </cell>
        </row>
        <row r="948">
          <cell r="A948">
            <v>2483</v>
          </cell>
          <cell r="B948">
            <v>2483</v>
          </cell>
          <cell r="C948" t="str">
            <v>CERO MATRICULA</v>
          </cell>
          <cell r="D948" t="str">
            <v>ACTIVO</v>
          </cell>
          <cell r="E948" t="str">
            <v>C4U 578</v>
          </cell>
          <cell r="F948" t="str">
            <v>LEAL DELGADO NELKINSON ANTONIO</v>
          </cell>
          <cell r="G948" t="str">
            <v>LEAL DELGADO NELKINSON ANTONIO</v>
          </cell>
          <cell r="H948" t="str">
            <v>003312920</v>
          </cell>
          <cell r="I948" t="str">
            <v>BCP</v>
          </cell>
          <cell r="J948" t="str">
            <v>194-90012396-0-10</v>
          </cell>
          <cell r="K948" t="str">
            <v>CE</v>
          </cell>
          <cell r="L948">
            <v>15603127291</v>
          </cell>
          <cell r="M948" t="str">
            <v>URBANO</v>
          </cell>
          <cell r="N948">
            <v>45063</v>
          </cell>
          <cell r="O948">
            <v>0</v>
          </cell>
          <cell r="P948" t="str">
            <v>LITE</v>
          </cell>
        </row>
        <row r="949">
          <cell r="A949">
            <v>2485</v>
          </cell>
          <cell r="B949">
            <v>2485</v>
          </cell>
          <cell r="C949" t="str">
            <v>CERO MATRICULA</v>
          </cell>
          <cell r="D949" t="str">
            <v>ACTIVO</v>
          </cell>
          <cell r="E949" t="str">
            <v>Z6Z 633</v>
          </cell>
          <cell r="F949" t="str">
            <v>OROSCO  YUPANQUI EULOGIO</v>
          </cell>
          <cell r="G949" t="str">
            <v>OROSCO  YUPANQUI EULOGIO</v>
          </cell>
          <cell r="H949" t="str">
            <v>41893940</v>
          </cell>
          <cell r="I949" t="str">
            <v>BCP</v>
          </cell>
          <cell r="J949" t="str">
            <v>191-00294963-0-41</v>
          </cell>
          <cell r="K949" t="str">
            <v>DNI</v>
          </cell>
          <cell r="L949">
            <v>10418939406</v>
          </cell>
          <cell r="M949" t="str">
            <v>URBANO</v>
          </cell>
          <cell r="N949">
            <v>45064</v>
          </cell>
          <cell r="O949">
            <v>0</v>
          </cell>
          <cell r="P949" t="str">
            <v>COMFORT XL</v>
          </cell>
        </row>
        <row r="950">
          <cell r="A950">
            <v>2486</v>
          </cell>
          <cell r="B950">
            <v>2486</v>
          </cell>
          <cell r="C950" t="str">
            <v>CERO MATRICULA</v>
          </cell>
          <cell r="D950" t="str">
            <v>ACTIVO</v>
          </cell>
          <cell r="E950" t="str">
            <v>Z6M 632</v>
          </cell>
          <cell r="F950" t="str">
            <v>HIPOLO HURTADO LIDER</v>
          </cell>
          <cell r="G950" t="str">
            <v>HIPOLO HURTADO LIDER</v>
          </cell>
          <cell r="H950" t="str">
            <v>47147406</v>
          </cell>
          <cell r="I950" t="str">
            <v>BBVA</v>
          </cell>
          <cell r="J950" t="str">
            <v>0011-0057-0289674560</v>
          </cell>
          <cell r="K950" t="str">
            <v>DNI</v>
          </cell>
          <cell r="L950">
            <v>10471474067</v>
          </cell>
          <cell r="M950" t="str">
            <v>URBANO</v>
          </cell>
          <cell r="N950">
            <v>45064</v>
          </cell>
          <cell r="O950">
            <v>0</v>
          </cell>
          <cell r="P950" t="str">
            <v>COMFORT</v>
          </cell>
        </row>
        <row r="951">
          <cell r="A951">
            <v>2487</v>
          </cell>
          <cell r="B951">
            <v>2487</v>
          </cell>
          <cell r="C951" t="str">
            <v>CERO MATRICULA</v>
          </cell>
          <cell r="D951" t="str">
            <v>ACTIVO</v>
          </cell>
          <cell r="E951" t="str">
            <v>CEZ010</v>
          </cell>
          <cell r="F951" t="str">
            <v>DEPAZ PANEZ ROGER JUAN</v>
          </cell>
          <cell r="G951" t="str">
            <v>DEPAZ PANEZ ROGER JUAN</v>
          </cell>
          <cell r="H951" t="str">
            <v>45838293</v>
          </cell>
          <cell r="I951" t="str">
            <v>BBVA</v>
          </cell>
          <cell r="J951" t="str">
            <v>0011-0344-0200038828</v>
          </cell>
          <cell r="K951" t="str">
            <v>DNI</v>
          </cell>
          <cell r="L951">
            <v>10458382935</v>
          </cell>
          <cell r="M951" t="str">
            <v>URBANO</v>
          </cell>
          <cell r="N951">
            <v>45069</v>
          </cell>
          <cell r="O951">
            <v>0</v>
          </cell>
          <cell r="P951" t="str">
            <v>COMFORT</v>
          </cell>
        </row>
        <row r="952">
          <cell r="A952">
            <v>2488</v>
          </cell>
          <cell r="B952">
            <v>2488</v>
          </cell>
          <cell r="C952" t="str">
            <v>CERO MATRICULA</v>
          </cell>
          <cell r="D952" t="str">
            <v>ACTIVO</v>
          </cell>
          <cell r="E952" t="str">
            <v>CEZ660</v>
          </cell>
          <cell r="F952" t="str">
            <v>BELANDRIA MOLINA DANIEL ALIRIO</v>
          </cell>
          <cell r="G952" t="str">
            <v>BELANDRIA MOLINA DANIEL ALIRIO</v>
          </cell>
          <cell r="H952" t="str">
            <v>002206695</v>
          </cell>
          <cell r="I952" t="str">
            <v>BCP</v>
          </cell>
          <cell r="J952" t="str">
            <v>193-97641493-0-68</v>
          </cell>
          <cell r="K952" t="str">
            <v>CE</v>
          </cell>
          <cell r="L952">
            <v>15605047219</v>
          </cell>
          <cell r="M952" t="str">
            <v>AEROLINEAS</v>
          </cell>
          <cell r="N952">
            <v>45069</v>
          </cell>
          <cell r="O952">
            <v>0</v>
          </cell>
          <cell r="P952" t="str">
            <v>LITE</v>
          </cell>
        </row>
        <row r="953">
          <cell r="A953">
            <v>2489</v>
          </cell>
          <cell r="B953">
            <v>2489</v>
          </cell>
          <cell r="C953" t="str">
            <v>CERO MATRICULA</v>
          </cell>
          <cell r="D953" t="str">
            <v>ACTIVO</v>
          </cell>
          <cell r="E953" t="str">
            <v>BRN369</v>
          </cell>
          <cell r="F953" t="str">
            <v>SANCHEZ FALLA MIGUEL ANGEL</v>
          </cell>
          <cell r="G953" t="str">
            <v>SANCHEZ FALLA MIGUEL ANGEL</v>
          </cell>
          <cell r="H953" t="str">
            <v>44637568</v>
          </cell>
          <cell r="I953" t="str">
            <v>BCP</v>
          </cell>
          <cell r="J953" t="str">
            <v>191-96925836-0-82</v>
          </cell>
          <cell r="K953" t="str">
            <v>DNI</v>
          </cell>
          <cell r="L953">
            <v>10446375682</v>
          </cell>
          <cell r="M953" t="str">
            <v>URBANO</v>
          </cell>
          <cell r="N953">
            <v>45069</v>
          </cell>
          <cell r="O953">
            <v>0</v>
          </cell>
          <cell r="P953" t="str">
            <v>LITE</v>
          </cell>
        </row>
        <row r="954">
          <cell r="A954">
            <v>2490</v>
          </cell>
          <cell r="B954">
            <v>2490</v>
          </cell>
          <cell r="C954" t="str">
            <v>CERO MATRICULA</v>
          </cell>
          <cell r="D954" t="str">
            <v>ACTIVO</v>
          </cell>
          <cell r="E954" t="str">
            <v>BPO673</v>
          </cell>
          <cell r="F954" t="str">
            <v>MARQUEZ CHACON EDWARD ENRIQUE</v>
          </cell>
          <cell r="G954" t="str">
            <v>MARQUEZ CHACON EDWARD ENRIQUE</v>
          </cell>
          <cell r="H954" t="str">
            <v>004396248</v>
          </cell>
          <cell r="I954" t="str">
            <v>INTERBANK</v>
          </cell>
          <cell r="J954" t="str">
            <v>378-3317008375</v>
          </cell>
          <cell r="K954" t="str">
            <v>CE</v>
          </cell>
          <cell r="L954">
            <v>15606470654</v>
          </cell>
          <cell r="M954" t="str">
            <v>URBANO</v>
          </cell>
          <cell r="N954">
            <v>45069</v>
          </cell>
          <cell r="O954">
            <v>0</v>
          </cell>
          <cell r="P954" t="str">
            <v>COMFORT XL</v>
          </cell>
        </row>
        <row r="955">
          <cell r="A955">
            <v>2491</v>
          </cell>
          <cell r="B955">
            <v>2491</v>
          </cell>
          <cell r="C955" t="str">
            <v>CERO MATRICULA</v>
          </cell>
          <cell r="D955" t="str">
            <v>ACTIVO</v>
          </cell>
          <cell r="E955" t="str">
            <v>Z7D054</v>
          </cell>
          <cell r="F955" t="str">
            <v>FLORES DIAZ GIANMARCO JHAIR</v>
          </cell>
          <cell r="G955" t="str">
            <v>FLORES DIAZ GIANMARCO JHAIR</v>
          </cell>
          <cell r="H955" t="str">
            <v>48509356</v>
          </cell>
          <cell r="I955" t="str">
            <v>BCP</v>
          </cell>
          <cell r="J955" t="str">
            <v>191-95659647-0-03</v>
          </cell>
          <cell r="K955" t="str">
            <v>DNI</v>
          </cell>
          <cell r="L955">
            <v>10485093562</v>
          </cell>
          <cell r="M955" t="str">
            <v>URBANO</v>
          </cell>
          <cell r="N955">
            <v>45069</v>
          </cell>
          <cell r="O955">
            <v>0</v>
          </cell>
          <cell r="P955" t="str">
            <v>LITE</v>
          </cell>
        </row>
        <row r="956">
          <cell r="A956">
            <v>2492</v>
          </cell>
          <cell r="B956">
            <v>2492</v>
          </cell>
          <cell r="C956" t="str">
            <v>CERO MATRICULA</v>
          </cell>
          <cell r="D956" t="str">
            <v>ACTIVO</v>
          </cell>
          <cell r="E956" t="str">
            <v>BUN451</v>
          </cell>
          <cell r="F956" t="str">
            <v>FERNANDEZ HIDALGO CARLOS ALBERTO</v>
          </cell>
          <cell r="G956" t="str">
            <v>FERNANDEZ HIDALGO CARLOS ALBERTO</v>
          </cell>
          <cell r="H956" t="str">
            <v>41544914</v>
          </cell>
          <cell r="I956" t="str">
            <v>BBVA</v>
          </cell>
          <cell r="J956" t="str">
            <v>0011-0814-0231887992</v>
          </cell>
          <cell r="K956" t="str">
            <v>DNI</v>
          </cell>
          <cell r="L956">
            <v>10415449149</v>
          </cell>
          <cell r="M956" t="str">
            <v>AEROLINEAS</v>
          </cell>
          <cell r="N956">
            <v>45069</v>
          </cell>
          <cell r="O956">
            <v>0</v>
          </cell>
          <cell r="P956" t="str">
            <v>LITE</v>
          </cell>
        </row>
        <row r="957">
          <cell r="A957">
            <v>2493</v>
          </cell>
          <cell r="B957">
            <v>2493</v>
          </cell>
          <cell r="C957" t="str">
            <v>CERO MATRICULA</v>
          </cell>
          <cell r="D957" t="str">
            <v>ACTIVO</v>
          </cell>
          <cell r="E957" t="str">
            <v>CCG653</v>
          </cell>
          <cell r="F957" t="str">
            <v>GONZALEZ   WILLIAM JOSE</v>
          </cell>
          <cell r="G957" t="str">
            <v>GONZALEZ   WILLIAM JOSE</v>
          </cell>
          <cell r="H957" t="str">
            <v>*001759760</v>
          </cell>
          <cell r="I957" t="str">
            <v>BBVA</v>
          </cell>
          <cell r="J957" t="str">
            <v>0011-0732-0200142330</v>
          </cell>
          <cell r="K957" t="str">
            <v>CE</v>
          </cell>
          <cell r="L957">
            <v>15602364311</v>
          </cell>
          <cell r="M957" t="str">
            <v>URBANO</v>
          </cell>
          <cell r="N957">
            <v>45069</v>
          </cell>
          <cell r="O957">
            <v>0</v>
          </cell>
          <cell r="P957" t="str">
            <v>COMFORT</v>
          </cell>
        </row>
        <row r="958">
          <cell r="A958">
            <v>2494</v>
          </cell>
          <cell r="B958">
            <v>2494</v>
          </cell>
          <cell r="C958" t="str">
            <v>CERO MATRICULA</v>
          </cell>
          <cell r="D958" t="str">
            <v>ACTIVO</v>
          </cell>
          <cell r="E958" t="str">
            <v>BXQ041</v>
          </cell>
          <cell r="F958" t="str">
            <v>FERNANDEZ MAYHUA JORGE LUIS</v>
          </cell>
          <cell r="G958" t="str">
            <v>FERNANDEZ MAYHUA JORGE LUIS</v>
          </cell>
          <cell r="H958" t="str">
            <v>07761087</v>
          </cell>
          <cell r="I958" t="str">
            <v>BBVA</v>
          </cell>
          <cell r="J958" t="str">
            <v>0011-0733-0200157597</v>
          </cell>
          <cell r="K958" t="str">
            <v>DNI</v>
          </cell>
          <cell r="L958">
            <v>10077610877</v>
          </cell>
          <cell r="M958" t="str">
            <v>URBANO</v>
          </cell>
          <cell r="N958">
            <v>45076</v>
          </cell>
          <cell r="O958">
            <v>0</v>
          </cell>
          <cell r="P958" t="str">
            <v>LITE</v>
          </cell>
        </row>
        <row r="959">
          <cell r="A959">
            <v>2495</v>
          </cell>
          <cell r="B959">
            <v>2495</v>
          </cell>
          <cell r="C959" t="str">
            <v>CERO MATRICULA</v>
          </cell>
          <cell r="D959" t="str">
            <v>ACTIVO</v>
          </cell>
          <cell r="E959" t="str">
            <v>CEC456</v>
          </cell>
          <cell r="F959" t="str">
            <v>PUERTAS HUAYAPA JOSE PEDRO</v>
          </cell>
          <cell r="G959" t="str">
            <v>PUERTAS HUAYAPA JOSE PEDRO</v>
          </cell>
          <cell r="H959" t="str">
            <v>08849786</v>
          </cell>
          <cell r="I959" t="str">
            <v>BCP</v>
          </cell>
          <cell r="J959" t="str">
            <v>194-71350991-0-06</v>
          </cell>
          <cell r="K959" t="str">
            <v>DNI</v>
          </cell>
          <cell r="L959">
            <v>10088497860</v>
          </cell>
          <cell r="M959" t="str">
            <v>URBANO</v>
          </cell>
          <cell r="N959">
            <v>45076</v>
          </cell>
          <cell r="O959">
            <v>0</v>
          </cell>
          <cell r="P959" t="str">
            <v>LITE</v>
          </cell>
        </row>
        <row r="960">
          <cell r="A960">
            <v>2496</v>
          </cell>
          <cell r="B960">
            <v>2496</v>
          </cell>
          <cell r="C960" t="str">
            <v>CERO MATRICULA</v>
          </cell>
          <cell r="D960" t="str">
            <v>ACTIVO</v>
          </cell>
          <cell r="E960" t="str">
            <v>BWP508</v>
          </cell>
          <cell r="F960" t="str">
            <v>NAVARRO VALERO JEFFERSON JOSEPH</v>
          </cell>
          <cell r="G960" t="str">
            <v>NAVARRO VALERO JEFFERSON JOSEPH</v>
          </cell>
          <cell r="H960" t="str">
            <v>003472252</v>
          </cell>
          <cell r="I960" t="str">
            <v>BCP</v>
          </cell>
          <cell r="J960" t="str">
            <v>191-99366183-0-79</v>
          </cell>
          <cell r="K960" t="str">
            <v>CE</v>
          </cell>
          <cell r="L960">
            <v>15607950331</v>
          </cell>
          <cell r="M960" t="str">
            <v>URBANO</v>
          </cell>
          <cell r="N960">
            <v>45076</v>
          </cell>
          <cell r="O960">
            <v>0</v>
          </cell>
          <cell r="P960" t="str">
            <v>LITE</v>
          </cell>
        </row>
        <row r="961">
          <cell r="A961">
            <v>2497</v>
          </cell>
          <cell r="B961">
            <v>2497</v>
          </cell>
          <cell r="C961" t="str">
            <v>CERO MATRICULA</v>
          </cell>
          <cell r="D961" t="str">
            <v>ACTIVO</v>
          </cell>
          <cell r="E961" t="str">
            <v>BTI681</v>
          </cell>
          <cell r="F961" t="str">
            <v>RODRIGUEZ AMUNDARAY ELIOBEL RAFAEL</v>
          </cell>
          <cell r="G961" t="str">
            <v>RODRIGUEZ AMUNDARAY ELIOBEL RAFAEL</v>
          </cell>
          <cell r="H961" t="str">
            <v>003038204</v>
          </cell>
          <cell r="I961" t="str">
            <v>BCP</v>
          </cell>
          <cell r="J961" t="str">
            <v>191-93920351-0-39</v>
          </cell>
          <cell r="K961" t="str">
            <v>CE</v>
          </cell>
          <cell r="L961">
            <v>15607043806</v>
          </cell>
          <cell r="M961" t="str">
            <v>URBANO</v>
          </cell>
          <cell r="N961">
            <v>45076</v>
          </cell>
          <cell r="O961">
            <v>0</v>
          </cell>
          <cell r="P961" t="str">
            <v>LITE</v>
          </cell>
        </row>
        <row r="962">
          <cell r="A962">
            <v>2498</v>
          </cell>
          <cell r="B962">
            <v>2498</v>
          </cell>
          <cell r="C962" t="str">
            <v>CERO MATRICULA</v>
          </cell>
          <cell r="D962" t="str">
            <v>ACTIVO</v>
          </cell>
          <cell r="E962" t="str">
            <v>CEF337</v>
          </cell>
          <cell r="F962" t="str">
            <v>Flores Muñoz Gerson Javier</v>
          </cell>
          <cell r="G962" t="str">
            <v>FLORES MUÑOZ GERSON JAVIER</v>
          </cell>
          <cell r="H962" t="str">
            <v>10457165</v>
          </cell>
          <cell r="I962" t="str">
            <v>BCP</v>
          </cell>
          <cell r="J962" t="str">
            <v>19192357603006</v>
          </cell>
          <cell r="K962" t="str">
            <v>DNI</v>
          </cell>
          <cell r="L962">
            <v>10104571650</v>
          </cell>
          <cell r="M962" t="str">
            <v>URBANO</v>
          </cell>
          <cell r="N962">
            <v>45454</v>
          </cell>
          <cell r="O962">
            <v>0</v>
          </cell>
          <cell r="P962" t="str">
            <v>LITE</v>
          </cell>
        </row>
        <row r="963">
          <cell r="A963">
            <v>2499</v>
          </cell>
          <cell r="B963">
            <v>2499</v>
          </cell>
          <cell r="C963" t="str">
            <v>CERO MATRICULA</v>
          </cell>
          <cell r="D963" t="str">
            <v>ACTIVO</v>
          </cell>
          <cell r="E963" t="str">
            <v>BHN592</v>
          </cell>
          <cell r="F963" t="str">
            <v>ESPINOZA OROPEZA DANIEL ENRIQUE</v>
          </cell>
          <cell r="G963" t="str">
            <v>ESPINOZA OROPEZA DANIEL ENRIQUE</v>
          </cell>
          <cell r="H963" t="str">
            <v>001849314</v>
          </cell>
          <cell r="I963" t="str">
            <v>BCP</v>
          </cell>
          <cell r="J963" t="str">
            <v>191-35449443-0-16</v>
          </cell>
          <cell r="K963" t="str">
            <v>CE</v>
          </cell>
          <cell r="L963">
            <v>15601744977</v>
          </cell>
          <cell r="M963" t="str">
            <v>AEROLINEAS</v>
          </cell>
          <cell r="N963">
            <v>45076</v>
          </cell>
          <cell r="O963">
            <v>0</v>
          </cell>
          <cell r="P963" t="str">
            <v>LITE</v>
          </cell>
        </row>
        <row r="964">
          <cell r="A964">
            <v>2500</v>
          </cell>
          <cell r="B964">
            <v>2500</v>
          </cell>
          <cell r="C964" t="str">
            <v>CERO MATRICULA</v>
          </cell>
          <cell r="D964" t="str">
            <v>ACTIVO</v>
          </cell>
          <cell r="E964" t="str">
            <v>BXI197</v>
          </cell>
          <cell r="F964" t="str">
            <v>CAMPOS OLAVARRIA JULIO</v>
          </cell>
          <cell r="G964" t="str">
            <v>CAMPOS OLAVARRIA JULIO</v>
          </cell>
          <cell r="H964" t="str">
            <v>40817651</v>
          </cell>
          <cell r="I964" t="str">
            <v>BCP</v>
          </cell>
          <cell r="J964" t="str">
            <v>192-19611039-0-29</v>
          </cell>
          <cell r="K964" t="str">
            <v>DNI</v>
          </cell>
          <cell r="L964">
            <v>10408176510</v>
          </cell>
          <cell r="M964" t="str">
            <v>URBANO</v>
          </cell>
          <cell r="N964">
            <v>45083</v>
          </cell>
          <cell r="O964">
            <v>0</v>
          </cell>
          <cell r="P964" t="str">
            <v>COMFORT XL</v>
          </cell>
        </row>
        <row r="965">
          <cell r="A965">
            <v>2501</v>
          </cell>
          <cell r="B965">
            <v>2501</v>
          </cell>
          <cell r="C965" t="str">
            <v>CERO MATRICULA</v>
          </cell>
          <cell r="D965" t="str">
            <v>ACTIVO</v>
          </cell>
          <cell r="E965" t="str">
            <v>BLW390</v>
          </cell>
          <cell r="F965" t="str">
            <v>RAMOS JAIMES NEIL ERIK</v>
          </cell>
          <cell r="G965" t="str">
            <v>RAMOS JAIMES NEIL ERIK</v>
          </cell>
          <cell r="H965" t="str">
            <v>70027357</v>
          </cell>
          <cell r="I965" t="str">
            <v>SCOTIABANK</v>
          </cell>
          <cell r="J965">
            <v>488097635</v>
          </cell>
          <cell r="K965" t="str">
            <v>DNI</v>
          </cell>
          <cell r="L965">
            <v>10700273577</v>
          </cell>
          <cell r="M965" t="str">
            <v>URBANO</v>
          </cell>
          <cell r="N965">
            <v>45090</v>
          </cell>
          <cell r="O965">
            <v>0</v>
          </cell>
          <cell r="P965" t="str">
            <v>LITE</v>
          </cell>
        </row>
        <row r="966">
          <cell r="A966">
            <v>2503</v>
          </cell>
          <cell r="B966">
            <v>2503</v>
          </cell>
          <cell r="C966" t="str">
            <v>CERO MATRICULA</v>
          </cell>
          <cell r="D966" t="str">
            <v>ACTIVO</v>
          </cell>
          <cell r="E966" t="str">
            <v>CBP161</v>
          </cell>
          <cell r="F966" t="str">
            <v>SOLANO ORTIZ FERNANDO</v>
          </cell>
          <cell r="G966" t="str">
            <v>SOLANO ORTIZ FERNANDO</v>
          </cell>
          <cell r="H966" t="str">
            <v>42035304</v>
          </cell>
          <cell r="I966" t="str">
            <v>INTERBANK</v>
          </cell>
          <cell r="J966" t="str">
            <v>0243233784208</v>
          </cell>
          <cell r="K966" t="str">
            <v>DNI</v>
          </cell>
          <cell r="L966">
            <v>10420353044</v>
          </cell>
          <cell r="M966" t="str">
            <v>URBANO</v>
          </cell>
          <cell r="N966">
            <v>45083</v>
          </cell>
          <cell r="O966">
            <v>0</v>
          </cell>
          <cell r="P966" t="str">
            <v>COMFORT</v>
          </cell>
        </row>
        <row r="967">
          <cell r="A967">
            <v>2504</v>
          </cell>
          <cell r="B967">
            <v>2504</v>
          </cell>
          <cell r="C967" t="str">
            <v>CERO MATRICULA</v>
          </cell>
          <cell r="D967" t="str">
            <v>ACTIVO</v>
          </cell>
          <cell r="E967" t="str">
            <v>CKI396</v>
          </cell>
          <cell r="F967" t="str">
            <v>Tolosa Sanchez Keith Keller</v>
          </cell>
          <cell r="G967" t="str">
            <v>TOLOSA SANCHEZ KEITH KELLER</v>
          </cell>
          <cell r="H967" t="str">
            <v>006620508</v>
          </cell>
          <cell r="I967" t="str">
            <v>BCP</v>
          </cell>
          <cell r="J967" t="str">
            <v>19405793528047</v>
          </cell>
          <cell r="K967" t="str">
            <v>CE</v>
          </cell>
          <cell r="L967">
            <v>15608754706</v>
          </cell>
          <cell r="M967" t="str">
            <v>URBANO</v>
          </cell>
          <cell r="N967">
            <v>45446</v>
          </cell>
          <cell r="O967">
            <v>0</v>
          </cell>
          <cell r="P967" t="str">
            <v>LITE</v>
          </cell>
        </row>
        <row r="968">
          <cell r="A968">
            <v>2505</v>
          </cell>
          <cell r="B968">
            <v>2505</v>
          </cell>
          <cell r="C968" t="str">
            <v>CERO MATRICULA</v>
          </cell>
          <cell r="D968" t="str">
            <v>ACTIVO</v>
          </cell>
          <cell r="E968" t="str">
            <v>CCU295</v>
          </cell>
          <cell r="F968" t="str">
            <v>ISEAS SALAZAR RICHARD EDUARDO</v>
          </cell>
          <cell r="G968" t="str">
            <v>ISEAS SALAZAR RICHARD EDUARDO</v>
          </cell>
          <cell r="H968" t="str">
            <v>003237883</v>
          </cell>
          <cell r="I968" t="str">
            <v>BCP</v>
          </cell>
          <cell r="J968" t="str">
            <v>191-94704587-0-96</v>
          </cell>
          <cell r="K968" t="str">
            <v>CE</v>
          </cell>
          <cell r="L968">
            <v>15604126671</v>
          </cell>
          <cell r="M968" t="str">
            <v>URBANO</v>
          </cell>
          <cell r="N968">
            <v>45083</v>
          </cell>
          <cell r="O968">
            <v>0</v>
          </cell>
          <cell r="P968" t="str">
            <v>XL</v>
          </cell>
        </row>
        <row r="969">
          <cell r="A969">
            <v>2506</v>
          </cell>
          <cell r="B969">
            <v>2506</v>
          </cell>
          <cell r="C969" t="str">
            <v>CERO MATRICULA</v>
          </cell>
          <cell r="D969" t="str">
            <v>ACTIVO</v>
          </cell>
          <cell r="E969" t="str">
            <v>CDN234</v>
          </cell>
          <cell r="F969" t="str">
            <v>OLANO GRADOS JACK BRYAN</v>
          </cell>
          <cell r="G969" t="str">
            <v>DIAZ DIAZ ALEX JOEL</v>
          </cell>
          <cell r="H969" t="str">
            <v>48745182</v>
          </cell>
          <cell r="I969" t="str">
            <v>BBVA</v>
          </cell>
          <cell r="J969" t="str">
            <v>0011 0234 0200195429</v>
          </cell>
          <cell r="K969" t="str">
            <v>DNI</v>
          </cell>
          <cell r="L969">
            <v>10487451822</v>
          </cell>
          <cell r="M969" t="str">
            <v>URBANO</v>
          </cell>
          <cell r="N969">
            <v>45083</v>
          </cell>
          <cell r="O969">
            <v>0</v>
          </cell>
          <cell r="P969" t="str">
            <v>XL</v>
          </cell>
        </row>
        <row r="970">
          <cell r="A970">
            <v>2507</v>
          </cell>
          <cell r="B970">
            <v>2507</v>
          </cell>
          <cell r="C970" t="str">
            <v>CERO MATRICULA</v>
          </cell>
          <cell r="D970" t="str">
            <v>ACTIVO</v>
          </cell>
          <cell r="E970" t="str">
            <v>M5L062</v>
          </cell>
          <cell r="F970" t="str">
            <v>DUQUE OSUNA FRANKLIN GEOVANNY</v>
          </cell>
          <cell r="G970" t="str">
            <v>DUQUE OSUNA FRANKLIN GEOVANNY</v>
          </cell>
          <cell r="H970" t="str">
            <v>004903890</v>
          </cell>
          <cell r="I970" t="str">
            <v>BCP</v>
          </cell>
          <cell r="J970" t="str">
            <v>194-78196130-0-88</v>
          </cell>
          <cell r="K970" t="str">
            <v>CE</v>
          </cell>
          <cell r="L970">
            <v>15603693563</v>
          </cell>
          <cell r="M970" t="str">
            <v>URBANO</v>
          </cell>
          <cell r="N970">
            <v>45083</v>
          </cell>
          <cell r="O970">
            <v>0</v>
          </cell>
          <cell r="P970" t="str">
            <v>LITE</v>
          </cell>
        </row>
        <row r="971">
          <cell r="A971">
            <v>2509</v>
          </cell>
          <cell r="B971">
            <v>2509</v>
          </cell>
          <cell r="C971" t="str">
            <v>CERO MATRICULA</v>
          </cell>
          <cell r="D971" t="str">
            <v>ACTIVO</v>
          </cell>
          <cell r="E971" t="str">
            <v>BJM218</v>
          </cell>
          <cell r="F971" t="str">
            <v>YAMUNAQUE UBILLUS PAUL ARMANDO</v>
          </cell>
          <cell r="G971" t="str">
            <v>YAMUNAQUE UBILLUS PAUL ARMANDO</v>
          </cell>
          <cell r="H971" t="str">
            <v>08711918</v>
          </cell>
          <cell r="I971" t="str">
            <v>BCP</v>
          </cell>
          <cell r="J971" t="str">
            <v>192-37706278-0-47</v>
          </cell>
          <cell r="K971" t="str">
            <v>DNI</v>
          </cell>
          <cell r="L971">
            <v>10087119187</v>
          </cell>
          <cell r="M971" t="str">
            <v>URBANO</v>
          </cell>
          <cell r="N971">
            <v>45083</v>
          </cell>
          <cell r="O971">
            <v>0</v>
          </cell>
          <cell r="P971" t="str">
            <v>LITE</v>
          </cell>
        </row>
        <row r="972">
          <cell r="A972">
            <v>2510</v>
          </cell>
          <cell r="B972">
            <v>2510</v>
          </cell>
          <cell r="C972" t="str">
            <v>CERO MATRICULA</v>
          </cell>
          <cell r="D972" t="str">
            <v>ACTIVO</v>
          </cell>
          <cell r="E972" t="str">
            <v>CEG346</v>
          </cell>
          <cell r="F972" t="str">
            <v>RAMIREZ BAZAN BRINER DIEGO</v>
          </cell>
          <cell r="G972" t="str">
            <v>GARCIA QUIROZ PAOLA ABIGAIL</v>
          </cell>
          <cell r="H972" t="str">
            <v>45979766</v>
          </cell>
          <cell r="I972" t="str">
            <v>BCP</v>
          </cell>
          <cell r="J972" t="str">
            <v>191-90284835001</v>
          </cell>
          <cell r="K972" t="str">
            <v>DNI</v>
          </cell>
          <cell r="L972">
            <v>10459797667</v>
          </cell>
          <cell r="M972" t="str">
            <v>AEROPUERTO</v>
          </cell>
          <cell r="N972">
            <v>45083</v>
          </cell>
          <cell r="O972">
            <v>265</v>
          </cell>
          <cell r="P972" t="str">
            <v>LITE</v>
          </cell>
        </row>
        <row r="973">
          <cell r="A973">
            <v>2511</v>
          </cell>
          <cell r="B973">
            <v>2511</v>
          </cell>
          <cell r="C973" t="str">
            <v>CERO MATRICULA</v>
          </cell>
          <cell r="D973" t="str">
            <v>ACTIVO</v>
          </cell>
          <cell r="E973"/>
          <cell r="F973" t="str">
            <v>GALVEZ GALVEZ CARLOS</v>
          </cell>
          <cell r="G973" t="str">
            <v>GALVEZ GALVEZ CARLOS</v>
          </cell>
          <cell r="H973" t="str">
            <v>08137076</v>
          </cell>
          <cell r="I973" t="str">
            <v>BBVA</v>
          </cell>
          <cell r="J973" t="str">
            <v>001101310200424339</v>
          </cell>
          <cell r="K973" t="str">
            <v>DNI</v>
          </cell>
          <cell r="L973">
            <v>10081370767</v>
          </cell>
          <cell r="M973" t="str">
            <v>URBANO</v>
          </cell>
          <cell r="N973">
            <v>45089</v>
          </cell>
          <cell r="O973">
            <v>0</v>
          </cell>
          <cell r="P973" t="str">
            <v>COMFORT</v>
          </cell>
        </row>
        <row r="974">
          <cell r="A974">
            <v>2512</v>
          </cell>
          <cell r="B974">
            <v>2512</v>
          </cell>
          <cell r="C974" t="str">
            <v>CERO MATRICULA</v>
          </cell>
          <cell r="D974" t="str">
            <v>ACTIVO</v>
          </cell>
          <cell r="E974"/>
          <cell r="F974" t="str">
            <v>MARAVI AGUILAR PEDRO EMILIO</v>
          </cell>
          <cell r="G974" t="str">
            <v>MARAVI AGUILAR PEDRO EMILIO</v>
          </cell>
          <cell r="H974" t="str">
            <v>40835562</v>
          </cell>
          <cell r="I974" t="str">
            <v>BCP</v>
          </cell>
          <cell r="J974" t="str">
            <v>19323877948037</v>
          </cell>
          <cell r="K974" t="str">
            <v>DNI</v>
          </cell>
          <cell r="L974">
            <v>10408355627</v>
          </cell>
          <cell r="M974" t="str">
            <v>URBANO</v>
          </cell>
          <cell r="N974">
            <v>45082</v>
          </cell>
          <cell r="O974">
            <v>0</v>
          </cell>
          <cell r="P974" t="str">
            <v>COMFORT</v>
          </cell>
        </row>
        <row r="975">
          <cell r="A975">
            <v>2516</v>
          </cell>
          <cell r="B975">
            <v>2516</v>
          </cell>
          <cell r="C975" t="str">
            <v>CERO MATRICULA</v>
          </cell>
          <cell r="D975" t="str">
            <v>ACTIVO</v>
          </cell>
          <cell r="E975"/>
          <cell r="F975" t="str">
            <v>CAYOTOPA RAMIREZ BRIAN</v>
          </cell>
          <cell r="G975" t="str">
            <v xml:space="preserve"> brian Adrian cayotopa Ramírez</v>
          </cell>
          <cell r="H975" t="str">
            <v>70021872</v>
          </cell>
          <cell r="I975" t="str">
            <v>BCP</v>
          </cell>
          <cell r="J975" t="str">
            <v>19415894381028</v>
          </cell>
          <cell r="K975" t="str">
            <v>DNI</v>
          </cell>
          <cell r="L975">
            <v>10700218720</v>
          </cell>
          <cell r="M975" t="str">
            <v>URBANO PARTNER</v>
          </cell>
          <cell r="N975">
            <v>45089</v>
          </cell>
          <cell r="O975">
            <v>0</v>
          </cell>
          <cell r="P975" t="str">
            <v>COMFORT XL</v>
          </cell>
        </row>
        <row r="976">
          <cell r="A976">
            <v>2517</v>
          </cell>
          <cell r="B976">
            <v>2517</v>
          </cell>
          <cell r="C976" t="str">
            <v>CERO MATRICULA</v>
          </cell>
          <cell r="D976" t="str">
            <v>ACTIVO</v>
          </cell>
          <cell r="E976" t="str">
            <v>AVF355</v>
          </cell>
          <cell r="F976" t="str">
            <v>FERNANDEZ VIZCARRA EDUARDO LUIS</v>
          </cell>
          <cell r="G976" t="str">
            <v>FERNANDEZ VIZCARRA EDUARDO LUIS</v>
          </cell>
          <cell r="H976" t="str">
            <v>45288591</v>
          </cell>
          <cell r="I976" t="str">
            <v>BCP</v>
          </cell>
          <cell r="J976" t="str">
            <v>191-00928663-0-41</v>
          </cell>
          <cell r="K976" t="str">
            <v>DNI</v>
          </cell>
          <cell r="L976">
            <v>10452885919</v>
          </cell>
          <cell r="M976" t="str">
            <v>URBANO PARTNER</v>
          </cell>
          <cell r="N976">
            <v>45110</v>
          </cell>
          <cell r="O976">
            <v>0</v>
          </cell>
          <cell r="P976" t="str">
            <v>LITE</v>
          </cell>
        </row>
        <row r="977">
          <cell r="A977">
            <v>2518</v>
          </cell>
          <cell r="B977">
            <v>2518</v>
          </cell>
          <cell r="C977" t="str">
            <v>CERO MATRICULA</v>
          </cell>
          <cell r="D977" t="str">
            <v>ACTIVO</v>
          </cell>
          <cell r="E977" t="str">
            <v>BZQ213</v>
          </cell>
          <cell r="F977" t="str">
            <v xml:space="preserve">RIOJA DELGADO FELIX  </v>
          </cell>
          <cell r="G977" t="str">
            <v xml:space="preserve">RIOJA DELGADO FELIX  </v>
          </cell>
          <cell r="H977" t="str">
            <v>73271029</v>
          </cell>
          <cell r="I977" t="str">
            <v>BBVA</v>
          </cell>
          <cell r="J977" t="str">
            <v>0011-0814-0242685313</v>
          </cell>
          <cell r="K977" t="str">
            <v>DNI</v>
          </cell>
          <cell r="L977">
            <v>10732710294</v>
          </cell>
          <cell r="M977" t="str">
            <v>URBANO</v>
          </cell>
          <cell r="N977">
            <v>45090</v>
          </cell>
          <cell r="O977">
            <v>0</v>
          </cell>
          <cell r="P977" t="str">
            <v>COMFORT</v>
          </cell>
        </row>
        <row r="978">
          <cell r="A978">
            <v>2519</v>
          </cell>
          <cell r="B978">
            <v>2519</v>
          </cell>
          <cell r="C978" t="str">
            <v>CERO MATRICULA</v>
          </cell>
          <cell r="D978" t="str">
            <v>ACTIVO</v>
          </cell>
          <cell r="E978" t="str">
            <v>BPT669</v>
          </cell>
          <cell r="F978" t="str">
            <v>PALACIO RAMIREZ GONZALO ANTONIO</v>
          </cell>
          <cell r="G978" t="str">
            <v>PALACIO RAMIREZ GONZALO ANTONIO</v>
          </cell>
          <cell r="H978" t="str">
            <v>10218957</v>
          </cell>
          <cell r="I978" t="str">
            <v>BANCO PICHINCHA</v>
          </cell>
          <cell r="J978" t="str">
            <v>035-00000154520398992</v>
          </cell>
          <cell r="K978" t="str">
            <v>DNI</v>
          </cell>
          <cell r="L978">
            <v>10102189570</v>
          </cell>
          <cell r="M978" t="str">
            <v>URBANO</v>
          </cell>
          <cell r="N978">
            <v>45104</v>
          </cell>
          <cell r="O978">
            <v>0</v>
          </cell>
          <cell r="P978" t="str">
            <v>LITE</v>
          </cell>
        </row>
        <row r="979">
          <cell r="A979">
            <v>2520</v>
          </cell>
          <cell r="B979">
            <v>2520</v>
          </cell>
          <cell r="C979" t="str">
            <v>CERO MATRICULA</v>
          </cell>
          <cell r="D979" t="str">
            <v>ACTIVO</v>
          </cell>
          <cell r="E979" t="str">
            <v>BLP599</v>
          </cell>
          <cell r="F979" t="str">
            <v>CABRERA GUEVARA JOSEPH FERNANDO</v>
          </cell>
          <cell r="G979" t="str">
            <v>CABRERA GUEVARA JOSEPH FERNANDO</v>
          </cell>
          <cell r="H979" t="str">
            <v>70283009</v>
          </cell>
          <cell r="I979" t="str">
            <v xml:space="preserve">BCP </v>
          </cell>
          <cell r="J979" t="str">
            <v>19177413851007</v>
          </cell>
          <cell r="K979" t="str">
            <v>DNI</v>
          </cell>
          <cell r="L979">
            <v>10702830091</v>
          </cell>
          <cell r="M979" t="str">
            <v>MEMBRESÍA URBANO</v>
          </cell>
          <cell r="N979">
            <v>45090</v>
          </cell>
          <cell r="O979">
            <v>280</v>
          </cell>
          <cell r="P979" t="str">
            <v>LITE</v>
          </cell>
        </row>
        <row r="980">
          <cell r="A980">
            <v>2521</v>
          </cell>
          <cell r="B980">
            <v>2521</v>
          </cell>
          <cell r="C980" t="str">
            <v>CERO MATRICULA</v>
          </cell>
          <cell r="D980" t="str">
            <v>ACTIVO</v>
          </cell>
          <cell r="E980" t="str">
            <v>CEO140</v>
          </cell>
          <cell r="F980" t="str">
            <v>RUIZ MANUYAMA JULIO MIGUEL</v>
          </cell>
          <cell r="G980" t="str">
            <v>RUIZ MANUYAMA JULIO MIGUEL</v>
          </cell>
          <cell r="H980" t="str">
            <v>42644440</v>
          </cell>
          <cell r="I980" t="str">
            <v>BCP</v>
          </cell>
          <cell r="J980" t="str">
            <v>19476406763046</v>
          </cell>
          <cell r="K980" t="str">
            <v>DNI</v>
          </cell>
          <cell r="L980">
            <v>10426444408</v>
          </cell>
          <cell r="M980" t="str">
            <v>URBANO</v>
          </cell>
          <cell r="N980">
            <v>45090</v>
          </cell>
          <cell r="O980">
            <v>0</v>
          </cell>
          <cell r="P980" t="str">
            <v>COMFORT XL</v>
          </cell>
        </row>
        <row r="981">
          <cell r="A981">
            <v>2522</v>
          </cell>
          <cell r="B981">
            <v>2522</v>
          </cell>
          <cell r="C981" t="str">
            <v>CERO MATRICULA</v>
          </cell>
          <cell r="D981" t="str">
            <v>ACTIVO</v>
          </cell>
          <cell r="E981" t="str">
            <v>CCO501</v>
          </cell>
          <cell r="F981" t="str">
            <v>PERNIA ORTEGA RAMON ANTONIO</v>
          </cell>
          <cell r="G981" t="str">
            <v>PERNIA ORTEGA RAMON ANTONIO</v>
          </cell>
          <cell r="H981" t="str">
            <v>003791870</v>
          </cell>
          <cell r="I981" t="str">
            <v>BCP</v>
          </cell>
          <cell r="J981" t="str">
            <v>191-04663708-0-15</v>
          </cell>
          <cell r="K981" t="str">
            <v>CE</v>
          </cell>
          <cell r="L981">
            <v>15611121498</v>
          </cell>
          <cell r="M981" t="str">
            <v>URBANO</v>
          </cell>
          <cell r="N981">
            <v>45090</v>
          </cell>
          <cell r="O981">
            <v>0</v>
          </cell>
          <cell r="P981" t="str">
            <v>LITE</v>
          </cell>
        </row>
        <row r="982">
          <cell r="A982">
            <v>2523</v>
          </cell>
          <cell r="B982">
            <v>2523</v>
          </cell>
          <cell r="C982" t="str">
            <v>CERO MATRICULA</v>
          </cell>
          <cell r="D982" t="str">
            <v>ACTIVO</v>
          </cell>
          <cell r="E982" t="str">
            <v>BWJ192</v>
          </cell>
          <cell r="F982" t="str">
            <v>HURTADO BUSTAMANTE ROBERTO ALONSO</v>
          </cell>
          <cell r="G982" t="str">
            <v>HURTADO BUSTAMANTE ROBERTO ALONSO</v>
          </cell>
          <cell r="H982" t="str">
            <v>43460607</v>
          </cell>
          <cell r="I982" t="str">
            <v>BCP</v>
          </cell>
          <cell r="J982" t="str">
            <v>193-92168861-0-57</v>
          </cell>
          <cell r="K982" t="str">
            <v>DNI</v>
          </cell>
          <cell r="L982">
            <v>10434606077</v>
          </cell>
          <cell r="M982" t="str">
            <v>URBANO</v>
          </cell>
          <cell r="N982">
            <v>45090</v>
          </cell>
          <cell r="O982">
            <v>0</v>
          </cell>
          <cell r="P982" t="str">
            <v>LITE</v>
          </cell>
        </row>
        <row r="983">
          <cell r="A983">
            <v>2525</v>
          </cell>
          <cell r="B983">
            <v>2525</v>
          </cell>
          <cell r="C983" t="str">
            <v>CERO MATRICULA</v>
          </cell>
          <cell r="D983" t="str">
            <v>ACTIVO</v>
          </cell>
          <cell r="E983" t="str">
            <v>CDG638</v>
          </cell>
          <cell r="F983" t="str">
            <v xml:space="preserve">HUAMANYALLI MAURICIO JORGE  </v>
          </cell>
          <cell r="G983" t="str">
            <v xml:space="preserve">HUAMANYALLI MAURICIO JORGE  </v>
          </cell>
          <cell r="H983" t="str">
            <v>48131599</v>
          </cell>
          <cell r="I983" t="str">
            <v>INTERBANK</v>
          </cell>
          <cell r="J983" t="str">
            <v>259-3365115957</v>
          </cell>
          <cell r="K983" t="str">
            <v>DNI</v>
          </cell>
          <cell r="L983">
            <v>10481315994</v>
          </cell>
          <cell r="M983" t="str">
            <v>URBANO</v>
          </cell>
          <cell r="N983">
            <v>45097</v>
          </cell>
          <cell r="O983">
            <v>0</v>
          </cell>
          <cell r="P983" t="str">
            <v>COMFORT XL</v>
          </cell>
        </row>
        <row r="984">
          <cell r="A984">
            <v>2526</v>
          </cell>
          <cell r="B984">
            <v>2526</v>
          </cell>
          <cell r="C984" t="str">
            <v>CERO MATRICULA</v>
          </cell>
          <cell r="D984" t="str">
            <v>ACTIVO</v>
          </cell>
          <cell r="E984" t="str">
            <v>BUJ461</v>
          </cell>
          <cell r="F984" t="str">
            <v>ANTONIOLI ABANTO GINO ANGELO</v>
          </cell>
          <cell r="G984" t="str">
            <v>ANTONIOLI ABANTO GINO ANGELO</v>
          </cell>
          <cell r="H984" t="str">
            <v>09606005</v>
          </cell>
          <cell r="I984" t="str">
            <v>BCP</v>
          </cell>
          <cell r="J984" t="str">
            <v>191-01707456-0-01</v>
          </cell>
          <cell r="K984" t="str">
            <v>DNI</v>
          </cell>
          <cell r="L984">
            <v>10096060055</v>
          </cell>
          <cell r="M984" t="str">
            <v>URBANO</v>
          </cell>
          <cell r="N984">
            <v>45090</v>
          </cell>
          <cell r="O984">
            <v>0</v>
          </cell>
          <cell r="P984" t="str">
            <v>XL</v>
          </cell>
        </row>
        <row r="985">
          <cell r="A985">
            <v>2527</v>
          </cell>
          <cell r="B985">
            <v>2527</v>
          </cell>
          <cell r="C985" t="str">
            <v>CERO MATRICULA</v>
          </cell>
          <cell r="D985" t="str">
            <v>ACTIVO</v>
          </cell>
          <cell r="E985" t="str">
            <v>BHA604</v>
          </cell>
          <cell r="F985" t="str">
            <v>CASAS  RIVERO CESAR AUGUSTO</v>
          </cell>
          <cell r="G985" t="str">
            <v>CASAS  RIVERO CESAR AUGUSTO</v>
          </cell>
          <cell r="H985" t="str">
            <v>43161337</v>
          </cell>
          <cell r="I985" t="str">
            <v>BCP</v>
          </cell>
          <cell r="J985" t="str">
            <v>193-79900102-0-72</v>
          </cell>
          <cell r="K985" t="str">
            <v>DNI</v>
          </cell>
          <cell r="L985">
            <v>10431613374</v>
          </cell>
          <cell r="M985" t="str">
            <v>URBANO</v>
          </cell>
          <cell r="N985">
            <v>45090</v>
          </cell>
          <cell r="O985">
            <v>0</v>
          </cell>
          <cell r="P985" t="str">
            <v>COMFORT</v>
          </cell>
        </row>
        <row r="986">
          <cell r="A986">
            <v>2528</v>
          </cell>
          <cell r="B986">
            <v>2528</v>
          </cell>
          <cell r="C986" t="str">
            <v>CERO MATRICULA</v>
          </cell>
          <cell r="D986" t="str">
            <v>ACTIVO</v>
          </cell>
          <cell r="E986" t="str">
            <v>AJM191</v>
          </cell>
          <cell r="F986" t="str">
            <v>LARREA CAVERO EDUARDO AUGUSTO</v>
          </cell>
          <cell r="G986" t="str">
            <v>LARREA CAVERO EDUARDO AUGUSTO</v>
          </cell>
          <cell r="H986" t="str">
            <v>06681026</v>
          </cell>
          <cell r="I986" t="str">
            <v>BCP</v>
          </cell>
          <cell r="J986" t="str">
            <v>193-38307157-0-96</v>
          </cell>
          <cell r="K986" t="str">
            <v>DNI</v>
          </cell>
          <cell r="L986">
            <v>10066810262</v>
          </cell>
          <cell r="M986" t="str">
            <v>URBANO</v>
          </cell>
          <cell r="N986">
            <v>45090</v>
          </cell>
          <cell r="O986">
            <v>0</v>
          </cell>
          <cell r="P986" t="str">
            <v>COMFORT XL</v>
          </cell>
        </row>
        <row r="987">
          <cell r="A987">
            <v>2529</v>
          </cell>
          <cell r="B987">
            <v>2529</v>
          </cell>
          <cell r="C987" t="str">
            <v>CERO MATRICULA</v>
          </cell>
          <cell r="D987" t="str">
            <v>ACTIVO</v>
          </cell>
          <cell r="E987" t="str">
            <v>BVJ 110</v>
          </cell>
          <cell r="F987" t="str">
            <v>BRIONES SANCHEZ MIGUEL ANGEL</v>
          </cell>
          <cell r="G987" t="str">
            <v>BRIONES SANCHEZ MIGUEL ANGEL</v>
          </cell>
          <cell r="H987" t="str">
            <v>09890666</v>
          </cell>
          <cell r="I987" t="str">
            <v>BCP</v>
          </cell>
          <cell r="J987" t="str">
            <v>191-02664692-0-06</v>
          </cell>
          <cell r="K987" t="str">
            <v>DNI</v>
          </cell>
          <cell r="L987">
            <v>10098906661</v>
          </cell>
          <cell r="M987" t="str">
            <v>URBANO</v>
          </cell>
          <cell r="N987">
            <v>45097</v>
          </cell>
          <cell r="O987">
            <v>0</v>
          </cell>
          <cell r="P987" t="str">
            <v>LITE</v>
          </cell>
        </row>
        <row r="988">
          <cell r="A988">
            <v>2530</v>
          </cell>
          <cell r="B988">
            <v>2530</v>
          </cell>
          <cell r="C988" t="str">
            <v>CERO MATRICULA</v>
          </cell>
          <cell r="D988" t="str">
            <v>ACTIVO</v>
          </cell>
          <cell r="E988" t="str">
            <v>CEY 681</v>
          </cell>
          <cell r="F988" t="str">
            <v>VALLE MORALES JUAN ROBERTO</v>
          </cell>
          <cell r="G988" t="str">
            <v>VALLE MORALES JUAN ROBERTO</v>
          </cell>
          <cell r="H988" t="str">
            <v>42467281</v>
          </cell>
          <cell r="I988" t="str">
            <v>INTERBANK</v>
          </cell>
          <cell r="J988" t="str">
            <v>436-3225002793</v>
          </cell>
          <cell r="K988" t="str">
            <v>DNI</v>
          </cell>
          <cell r="L988">
            <v>10424672811</v>
          </cell>
          <cell r="M988" t="str">
            <v>URBANO</v>
          </cell>
          <cell r="N988">
            <v>45097</v>
          </cell>
          <cell r="O988">
            <v>0</v>
          </cell>
          <cell r="P988" t="str">
            <v>LITE</v>
          </cell>
        </row>
        <row r="989">
          <cell r="A989">
            <v>2532</v>
          </cell>
          <cell r="B989">
            <v>2532</v>
          </cell>
          <cell r="C989" t="str">
            <v>CERO MATRICULA</v>
          </cell>
          <cell r="D989" t="str">
            <v>ACTIVO</v>
          </cell>
          <cell r="E989" t="str">
            <v>CEX 210</v>
          </cell>
          <cell r="F989" t="str">
            <v>CAJAHUAMAN VILCHEZ LENNIN OSCAR</v>
          </cell>
          <cell r="G989" t="str">
            <v>CAJAHUAMAN VILCHEZ LENNIN OSCAR</v>
          </cell>
          <cell r="H989" t="str">
            <v>72512694</v>
          </cell>
          <cell r="I989" t="str">
            <v>INTERBANK</v>
          </cell>
          <cell r="J989" t="str">
            <v>898-3365582051</v>
          </cell>
          <cell r="K989" t="str">
            <v>DNI</v>
          </cell>
          <cell r="L989">
            <v>10725126943</v>
          </cell>
          <cell r="M989" t="str">
            <v>URBANO</v>
          </cell>
          <cell r="N989">
            <v>45097</v>
          </cell>
          <cell r="O989">
            <v>0</v>
          </cell>
          <cell r="P989" t="str">
            <v>COMFORT XL</v>
          </cell>
        </row>
        <row r="990">
          <cell r="A990">
            <v>2533</v>
          </cell>
          <cell r="B990">
            <v>2533</v>
          </cell>
          <cell r="C990" t="str">
            <v>CERO MATRICULA</v>
          </cell>
          <cell r="D990" t="str">
            <v>ACTIVO</v>
          </cell>
          <cell r="E990" t="str">
            <v>BZV 079</v>
          </cell>
          <cell r="F990" t="str">
            <v>TARAZONA VALERA ENMANUEL JOSE</v>
          </cell>
          <cell r="G990" t="str">
            <v>TARAZONA VALERA ENMANUEL JOSE</v>
          </cell>
          <cell r="H990" t="str">
            <v>004243253</v>
          </cell>
          <cell r="I990" t="str">
            <v>BCP</v>
          </cell>
          <cell r="J990" t="str">
            <v>194-93760107-0-77</v>
          </cell>
          <cell r="K990" t="str">
            <v>CE</v>
          </cell>
          <cell r="L990">
            <v>15605870136</v>
          </cell>
          <cell r="M990" t="str">
            <v>URBANO</v>
          </cell>
          <cell r="N990">
            <v>45097</v>
          </cell>
          <cell r="O990">
            <v>0</v>
          </cell>
          <cell r="P990" t="str">
            <v>LITE</v>
          </cell>
        </row>
        <row r="991">
          <cell r="A991">
            <v>2534</v>
          </cell>
          <cell r="B991">
            <v>2534</v>
          </cell>
          <cell r="C991" t="str">
            <v>CERO MATRICULA</v>
          </cell>
          <cell r="D991" t="str">
            <v>ACTIVO</v>
          </cell>
          <cell r="E991" t="str">
            <v>BZX502</v>
          </cell>
          <cell r="F991" t="str">
            <v>REYES  ZAPATA LUIS ALBERTO</v>
          </cell>
          <cell r="G991" t="str">
            <v>LLONTOP TESEN YOVANY</v>
          </cell>
          <cell r="H991" t="str">
            <v>42934630</v>
          </cell>
          <cell r="I991" t="str">
            <v>BCP</v>
          </cell>
          <cell r="J991" t="str">
            <v>194-26167232-0-46</v>
          </cell>
          <cell r="K991" t="str">
            <v>DNI</v>
          </cell>
          <cell r="L991">
            <v>10429346300</v>
          </cell>
          <cell r="M991" t="str">
            <v>URBANO</v>
          </cell>
          <cell r="N991">
            <v>45111</v>
          </cell>
          <cell r="O991">
            <v>0</v>
          </cell>
          <cell r="P991" t="str">
            <v>XL</v>
          </cell>
        </row>
        <row r="992">
          <cell r="A992">
            <v>2535</v>
          </cell>
          <cell r="B992">
            <v>2535</v>
          </cell>
          <cell r="C992" t="str">
            <v>CERO MATRICULA</v>
          </cell>
          <cell r="D992" t="str">
            <v>ACTIVO</v>
          </cell>
          <cell r="E992" t="str">
            <v>BLV617</v>
          </cell>
          <cell r="F992" t="str">
            <v>YOPLAC MORI RICHARD WILSON</v>
          </cell>
          <cell r="G992" t="str">
            <v>YOPLAC MORI RICHARD WILSON</v>
          </cell>
          <cell r="H992" t="str">
            <v>25401712</v>
          </cell>
          <cell r="I992" t="str">
            <v>BCP</v>
          </cell>
          <cell r="J992" t="str">
            <v>193-71091288080</v>
          </cell>
          <cell r="K992" t="str">
            <v>DNI</v>
          </cell>
          <cell r="L992">
            <v>15466217511</v>
          </cell>
          <cell r="M992" t="str">
            <v>URBANO</v>
          </cell>
          <cell r="N992">
            <v>45104</v>
          </cell>
          <cell r="O992">
            <v>0</v>
          </cell>
          <cell r="P992" t="str">
            <v>LITE</v>
          </cell>
        </row>
        <row r="993">
          <cell r="A993">
            <v>2537</v>
          </cell>
          <cell r="B993">
            <v>2537</v>
          </cell>
          <cell r="C993" t="str">
            <v>CERO MATRICULA</v>
          </cell>
          <cell r="D993" t="str">
            <v>ACTIVO</v>
          </cell>
          <cell r="E993" t="str">
            <v>AHL153</v>
          </cell>
          <cell r="F993" t="str">
            <v>STACCHIOTTI GONZALEZ DANIEL ENRIQUE</v>
          </cell>
          <cell r="G993" t="str">
            <v>STACCHIOTTI GONZALEZ DANIEL ENRIQUE</v>
          </cell>
          <cell r="H993" t="str">
            <v>003237916</v>
          </cell>
          <cell r="I993" t="str">
            <v>BCP</v>
          </cell>
          <cell r="J993" t="str">
            <v>191-99969744036</v>
          </cell>
          <cell r="K993" t="str">
            <v>CE</v>
          </cell>
          <cell r="L993">
            <v>15605070415</v>
          </cell>
          <cell r="M993" t="str">
            <v>URBANO</v>
          </cell>
          <cell r="N993">
            <v>45104</v>
          </cell>
          <cell r="O993">
            <v>0</v>
          </cell>
          <cell r="P993" t="str">
            <v>LITE</v>
          </cell>
        </row>
        <row r="994">
          <cell r="A994">
            <v>2538</v>
          </cell>
          <cell r="B994">
            <v>2538</v>
          </cell>
          <cell r="C994" t="str">
            <v>CERO MATRICULA</v>
          </cell>
          <cell r="D994" t="str">
            <v>ACTIVO</v>
          </cell>
          <cell r="E994" t="str">
            <v>BFB077</v>
          </cell>
          <cell r="F994" t="str">
            <v>FERRARA ZAMBRANO MARIO</v>
          </cell>
          <cell r="G994" t="str">
            <v>FERRARA ZAMBRANO MARIO</v>
          </cell>
          <cell r="H994" t="str">
            <v>002571571</v>
          </cell>
          <cell r="I994" t="str">
            <v>BCP</v>
          </cell>
          <cell r="J994" t="str">
            <v>191-91239826038</v>
          </cell>
          <cell r="K994" t="str">
            <v>CE</v>
          </cell>
          <cell r="L994">
            <v>15604715897</v>
          </cell>
          <cell r="M994" t="str">
            <v>URBANO</v>
          </cell>
          <cell r="N994">
            <v>45104</v>
          </cell>
          <cell r="O994">
            <v>0</v>
          </cell>
          <cell r="P994" t="str">
            <v>COMFORT XL</v>
          </cell>
        </row>
        <row r="995">
          <cell r="A995">
            <v>2539</v>
          </cell>
          <cell r="B995">
            <v>2539</v>
          </cell>
          <cell r="C995" t="str">
            <v>CERO MATRICULA</v>
          </cell>
          <cell r="D995" t="str">
            <v>ACTIVO</v>
          </cell>
          <cell r="E995" t="str">
            <v>CBX086</v>
          </cell>
          <cell r="F995" t="str">
            <v>ARANGUREN  HERNANDEZ WILLIAN FERNANDO</v>
          </cell>
          <cell r="G995" t="str">
            <v>ARANGUREN  HERNANDEZ WILLIAN FERNANDO</v>
          </cell>
          <cell r="H995" t="str">
            <v>003192534</v>
          </cell>
          <cell r="I995" t="str">
            <v>BCP</v>
          </cell>
          <cell r="J995" t="str">
            <v>194-40305652078</v>
          </cell>
          <cell r="K995" t="str">
            <v>CE</v>
          </cell>
          <cell r="L995"/>
          <cell r="M995" t="str">
            <v>URBANO</v>
          </cell>
          <cell r="N995">
            <v>45104</v>
          </cell>
          <cell r="O995">
            <v>0</v>
          </cell>
          <cell r="P995" t="str">
            <v>LITE</v>
          </cell>
        </row>
        <row r="996">
          <cell r="A996">
            <v>2540</v>
          </cell>
          <cell r="B996">
            <v>2540</v>
          </cell>
          <cell r="C996" t="str">
            <v>CERO MATRICULA</v>
          </cell>
          <cell r="D996" t="str">
            <v>ACTIVO</v>
          </cell>
          <cell r="E996" t="str">
            <v>BPF135</v>
          </cell>
          <cell r="F996" t="str">
            <v>DUARTE OJEDA ALEXANDER JOSE</v>
          </cell>
          <cell r="G996" t="str">
            <v>DUARTE OJEDA ALEXANDER JOSE</v>
          </cell>
          <cell r="H996" t="str">
            <v>001937820</v>
          </cell>
          <cell r="I996" t="str">
            <v>BCP</v>
          </cell>
          <cell r="J996" t="str">
            <v>191-70973996002</v>
          </cell>
          <cell r="K996" t="str">
            <v>CE</v>
          </cell>
          <cell r="L996">
            <v>15602920701</v>
          </cell>
          <cell r="M996" t="str">
            <v>URBANO</v>
          </cell>
          <cell r="N996">
            <v>45104</v>
          </cell>
          <cell r="O996">
            <v>0</v>
          </cell>
          <cell r="P996" t="str">
            <v>LITE</v>
          </cell>
        </row>
        <row r="997">
          <cell r="A997">
            <v>2541</v>
          </cell>
          <cell r="B997">
            <v>2541</v>
          </cell>
          <cell r="C997" t="str">
            <v>CERO MATRICULA</v>
          </cell>
          <cell r="D997" t="str">
            <v>ACTIVO</v>
          </cell>
          <cell r="E997" t="str">
            <v>CFF233</v>
          </cell>
          <cell r="F997" t="str">
            <v>RAMIREZ BAZAN ITALO JAIRO MIGUEL</v>
          </cell>
          <cell r="G997" t="str">
            <v>RAMIREZ BAZAN ITALO JAIRO MIGUEL</v>
          </cell>
          <cell r="H997" t="str">
            <v>71261336</v>
          </cell>
          <cell r="I997" t="str">
            <v>INTERBANK</v>
          </cell>
          <cell r="J997" t="str">
            <v>200-3096866874</v>
          </cell>
          <cell r="K997" t="str">
            <v>DNI</v>
          </cell>
          <cell r="L997">
            <v>10712613365</v>
          </cell>
          <cell r="M997" t="str">
            <v>AEROLINEAS</v>
          </cell>
          <cell r="N997">
            <v>45104</v>
          </cell>
          <cell r="O997">
            <v>0</v>
          </cell>
          <cell r="P997" t="str">
            <v>LITE</v>
          </cell>
        </row>
        <row r="998">
          <cell r="A998">
            <v>2542</v>
          </cell>
          <cell r="B998">
            <v>2542</v>
          </cell>
          <cell r="C998" t="str">
            <v>CERO MATRICULA</v>
          </cell>
          <cell r="D998" t="str">
            <v>ACTIVO</v>
          </cell>
          <cell r="E998" t="str">
            <v>F8F636</v>
          </cell>
          <cell r="F998" t="str">
            <v>GALVEZ QUISPE TEOFILO</v>
          </cell>
          <cell r="G998" t="str">
            <v>GALVEZ QUISPE TEOFILO</v>
          </cell>
          <cell r="H998" t="str">
            <v>41736996</v>
          </cell>
          <cell r="I998" t="str">
            <v>BCP</v>
          </cell>
          <cell r="J998" t="str">
            <v>191-94088202-0-86</v>
          </cell>
          <cell r="K998" t="str">
            <v>DNI</v>
          </cell>
          <cell r="L998">
            <v>10417369967</v>
          </cell>
          <cell r="M998" t="str">
            <v>URBANO</v>
          </cell>
          <cell r="N998">
            <v>45111</v>
          </cell>
          <cell r="O998">
            <v>0</v>
          </cell>
          <cell r="P998" t="str">
            <v>COMFORT</v>
          </cell>
        </row>
        <row r="999">
          <cell r="A999">
            <v>2543</v>
          </cell>
          <cell r="B999">
            <v>2543</v>
          </cell>
          <cell r="C999" t="str">
            <v>CERO MATRICULA</v>
          </cell>
          <cell r="D999" t="str">
            <v>ACTIVO</v>
          </cell>
          <cell r="E999" t="str">
            <v>CCT122</v>
          </cell>
          <cell r="F999" t="str">
            <v>ORTEGA  ALTUVE ERNESTO ALEXANDER</v>
          </cell>
          <cell r="G999" t="str">
            <v>ORTEGA  ALTUVE ERNESTO ALEXANDER</v>
          </cell>
          <cell r="H999" t="str">
            <v>003903892</v>
          </cell>
          <cell r="I999" t="str">
            <v>BCP</v>
          </cell>
          <cell r="J999" t="str">
            <v>191-92364046-0-14</v>
          </cell>
          <cell r="K999" t="str">
            <v>CE</v>
          </cell>
          <cell r="L999">
            <v>15607707461</v>
          </cell>
          <cell r="M999" t="str">
            <v>URBANO</v>
          </cell>
          <cell r="N999">
            <v>45111</v>
          </cell>
          <cell r="O999">
            <v>0</v>
          </cell>
          <cell r="P999" t="str">
            <v>LITE</v>
          </cell>
        </row>
        <row r="1000">
          <cell r="A1000">
            <v>2544</v>
          </cell>
          <cell r="B1000">
            <v>2544</v>
          </cell>
          <cell r="C1000" t="str">
            <v>CERO MATRICULA</v>
          </cell>
          <cell r="D1000" t="str">
            <v>ACTIVO</v>
          </cell>
          <cell r="E1000" t="str">
            <v>BDP267</v>
          </cell>
          <cell r="F1000" t="str">
            <v>ZARATE CJUMO EDY MAICOL</v>
          </cell>
          <cell r="G1000" t="str">
            <v>ZARATE CJUMO EDY MAICOL</v>
          </cell>
          <cell r="H1000" t="str">
            <v>72881649</v>
          </cell>
          <cell r="I1000" t="str">
            <v>BCP</v>
          </cell>
          <cell r="J1000" t="str">
            <v>191-07301474-0-25</v>
          </cell>
          <cell r="K1000" t="str">
            <v>DNI</v>
          </cell>
          <cell r="L1000">
            <v>10728816495</v>
          </cell>
          <cell r="M1000" t="str">
            <v>URBANO</v>
          </cell>
          <cell r="N1000">
            <v>45111</v>
          </cell>
          <cell r="O1000">
            <v>0</v>
          </cell>
          <cell r="P1000" t="str">
            <v>LITE</v>
          </cell>
        </row>
        <row r="1001">
          <cell r="A1001">
            <v>2546</v>
          </cell>
          <cell r="B1001">
            <v>2546</v>
          </cell>
          <cell r="C1001" t="str">
            <v>CERO MATRICULA</v>
          </cell>
          <cell r="D1001" t="str">
            <v>ACTIVO</v>
          </cell>
          <cell r="E1001" t="str">
            <v>CFC521</v>
          </cell>
          <cell r="F1001" t="str">
            <v>CALDERON ZAVALA RAUL</v>
          </cell>
          <cell r="G1001" t="str">
            <v>CALDERON ZAVALA RAUL BENJAMIN</v>
          </cell>
          <cell r="H1001" t="str">
            <v>10152559</v>
          </cell>
          <cell r="I1001" t="str">
            <v>BBVA</v>
          </cell>
          <cell r="J1001" t="str">
            <v>0011-0814-0231490383</v>
          </cell>
          <cell r="K1001" t="str">
            <v>DNI</v>
          </cell>
          <cell r="L1001">
            <v>10101525592</v>
          </cell>
          <cell r="M1001" t="str">
            <v>URBANO</v>
          </cell>
          <cell r="N1001">
            <v>45118</v>
          </cell>
          <cell r="O1001">
            <v>0</v>
          </cell>
          <cell r="P1001" t="str">
            <v>COMFORT</v>
          </cell>
        </row>
        <row r="1002">
          <cell r="A1002">
            <v>2547</v>
          </cell>
          <cell r="B1002">
            <v>2547</v>
          </cell>
          <cell r="C1002" t="str">
            <v>CERO MATRICULA</v>
          </cell>
          <cell r="D1002" t="str">
            <v>ACTIVO</v>
          </cell>
          <cell r="E1002" t="str">
            <v>BDY036</v>
          </cell>
          <cell r="F1002" t="str">
            <v>VALDEZ ZAVALA SEGUNDO</v>
          </cell>
          <cell r="G1002" t="str">
            <v>VALDEZ ZAVALA SEGUNDO</v>
          </cell>
          <cell r="H1002" t="str">
            <v>41319661</v>
          </cell>
          <cell r="I1002" t="str">
            <v>BCP</v>
          </cell>
          <cell r="J1002" t="str">
            <v>194-25049090-0-09</v>
          </cell>
          <cell r="K1002" t="str">
            <v>DNI</v>
          </cell>
          <cell r="L1002">
            <v>10413196618</v>
          </cell>
          <cell r="M1002" t="str">
            <v>URBANO</v>
          </cell>
          <cell r="N1002">
            <v>45118</v>
          </cell>
          <cell r="O1002">
            <v>0</v>
          </cell>
          <cell r="P1002" t="str">
            <v>LITE</v>
          </cell>
        </row>
        <row r="1003">
          <cell r="A1003">
            <v>2548</v>
          </cell>
          <cell r="B1003">
            <v>2548</v>
          </cell>
          <cell r="C1003" t="str">
            <v>CERO MATRICULA</v>
          </cell>
          <cell r="D1003" t="str">
            <v>ACTIVO</v>
          </cell>
          <cell r="E1003" t="str">
            <v>BXH023</v>
          </cell>
          <cell r="F1003" t="str">
            <v>MENDOZA AGAMA YENSEN JOSEPH</v>
          </cell>
          <cell r="G1003" t="str">
            <v>MENDOZA AGAMA YENSEN JOSEPH</v>
          </cell>
          <cell r="H1003" t="str">
            <v>44005032</v>
          </cell>
          <cell r="I1003" t="str">
            <v>BCP</v>
          </cell>
          <cell r="J1003" t="str">
            <v>191-38456024-0-67</v>
          </cell>
          <cell r="K1003" t="str">
            <v>DNI</v>
          </cell>
          <cell r="L1003">
            <v>10440050323</v>
          </cell>
          <cell r="M1003" t="str">
            <v>URBANO</v>
          </cell>
          <cell r="N1003">
            <v>45118</v>
          </cell>
          <cell r="O1003">
            <v>0</v>
          </cell>
          <cell r="P1003" t="str">
            <v>LITE</v>
          </cell>
        </row>
        <row r="1004">
          <cell r="A1004">
            <v>2549</v>
          </cell>
          <cell r="B1004">
            <v>2549</v>
          </cell>
          <cell r="C1004" t="str">
            <v>CERO MATRICULA</v>
          </cell>
          <cell r="D1004" t="str">
            <v>ACTIVO</v>
          </cell>
          <cell r="E1004" t="str">
            <v>BFN 247</v>
          </cell>
          <cell r="F1004" t="str">
            <v>HUAMAN ORILLO ROBER HUGO</v>
          </cell>
          <cell r="G1004" t="str">
            <v>HUAMAN ORILLO ROBER HUGO</v>
          </cell>
          <cell r="H1004" t="str">
            <v>72457724</v>
          </cell>
          <cell r="I1004" t="str">
            <v>BCP</v>
          </cell>
          <cell r="J1004" t="str">
            <v>194-40345674-0-04</v>
          </cell>
          <cell r="K1004" t="str">
            <v>DNI</v>
          </cell>
          <cell r="L1004">
            <v>10724577241</v>
          </cell>
          <cell r="M1004" t="str">
            <v>AEROPUERTO</v>
          </cell>
          <cell r="N1004">
            <v>45118</v>
          </cell>
          <cell r="O1004">
            <v>235</v>
          </cell>
          <cell r="P1004" t="str">
            <v>COMFORT XL</v>
          </cell>
        </row>
        <row r="1005">
          <cell r="A1005">
            <v>2550</v>
          </cell>
          <cell r="B1005">
            <v>2550</v>
          </cell>
          <cell r="C1005" t="str">
            <v>CERO MATRICULA</v>
          </cell>
          <cell r="D1005" t="str">
            <v>ACTIVO</v>
          </cell>
          <cell r="E1005" t="str">
            <v>CFP296</v>
          </cell>
          <cell r="F1005" t="str">
            <v>PAZOS GARCIA GIANPIERRE</v>
          </cell>
          <cell r="G1005" t="str">
            <v>PAZOS GARCIA GIANPIERRE</v>
          </cell>
          <cell r="H1005" t="str">
            <v>72415422</v>
          </cell>
          <cell r="I1005" t="str">
            <v>INTERBANK</v>
          </cell>
          <cell r="J1005" t="str">
            <v>8983-171300004</v>
          </cell>
          <cell r="K1005" t="str">
            <v>DNI</v>
          </cell>
          <cell r="L1005">
            <v>10724154226</v>
          </cell>
          <cell r="M1005" t="str">
            <v>URBANO</v>
          </cell>
          <cell r="N1005">
            <v>45118</v>
          </cell>
          <cell r="O1005">
            <v>0</v>
          </cell>
          <cell r="P1005" t="str">
            <v>COMFORT XL</v>
          </cell>
        </row>
        <row r="1006">
          <cell r="A1006">
            <v>2551</v>
          </cell>
          <cell r="B1006">
            <v>2551</v>
          </cell>
          <cell r="C1006" t="str">
            <v>CERO MATRICULA</v>
          </cell>
          <cell r="D1006" t="str">
            <v>ACTIVO</v>
          </cell>
          <cell r="E1006" t="str">
            <v>BYW269</v>
          </cell>
          <cell r="F1006" t="str">
            <v>NORIEGA HERNANDEZ JOSE CRISTOBAL</v>
          </cell>
          <cell r="G1006" t="str">
            <v>NORIEGA HERNANDEZ JOSE CRISTOBAL</v>
          </cell>
          <cell r="H1006" t="str">
            <v>40939943</v>
          </cell>
          <cell r="I1006" t="str">
            <v>BCP</v>
          </cell>
          <cell r="J1006" t="str">
            <v>193-03254682-0-56</v>
          </cell>
          <cell r="K1006" t="str">
            <v>DNI</v>
          </cell>
          <cell r="L1006">
            <v>10409399431</v>
          </cell>
          <cell r="M1006" t="str">
            <v>URBANO</v>
          </cell>
          <cell r="N1006">
            <v>45118</v>
          </cell>
          <cell r="O1006">
            <v>0</v>
          </cell>
          <cell r="P1006" t="str">
            <v>COMFORT</v>
          </cell>
        </row>
        <row r="1007">
          <cell r="A1007">
            <v>2552</v>
          </cell>
          <cell r="B1007">
            <v>2552</v>
          </cell>
          <cell r="C1007" t="str">
            <v>CERO MATRICULA</v>
          </cell>
          <cell r="D1007" t="str">
            <v>ACTIVO</v>
          </cell>
          <cell r="E1007" t="str">
            <v>CCT390</v>
          </cell>
          <cell r="F1007" t="str">
            <v>ORTEGA DIAZ DANIEL ALEXANDRI</v>
          </cell>
          <cell r="G1007" t="str">
            <v>ORTEGA  DIAZ DANIEL ALEXANDRI</v>
          </cell>
          <cell r="H1007" t="str">
            <v>002891987</v>
          </cell>
          <cell r="I1007" t="str">
            <v>BCP</v>
          </cell>
          <cell r="J1007" t="str">
            <v>192-96809842-0-16</v>
          </cell>
          <cell r="K1007" t="str">
            <v>CE</v>
          </cell>
          <cell r="L1007">
            <v>15607345501</v>
          </cell>
          <cell r="M1007" t="str">
            <v>URBANO</v>
          </cell>
          <cell r="N1007">
            <v>45118</v>
          </cell>
          <cell r="O1007">
            <v>0</v>
          </cell>
          <cell r="P1007" t="str">
            <v>LITE</v>
          </cell>
        </row>
        <row r="1008">
          <cell r="A1008">
            <v>2553</v>
          </cell>
          <cell r="B1008">
            <v>2553</v>
          </cell>
          <cell r="C1008" t="str">
            <v>CERO MATRICULA</v>
          </cell>
          <cell r="D1008" t="str">
            <v>ACTIVO</v>
          </cell>
          <cell r="E1008" t="str">
            <v>BNI175</v>
          </cell>
          <cell r="F1008" t="str">
            <v>GUERRERO QUEVEDO LUIS OSCAR</v>
          </cell>
          <cell r="G1008" t="str">
            <v>GUERRERO QUEVEDO LUIS OSCAR</v>
          </cell>
          <cell r="H1008" t="str">
            <v>41196559</v>
          </cell>
          <cell r="I1008" t="str">
            <v>BCP</v>
          </cell>
          <cell r="J1008" t="str">
            <v>194-94524626-0-18</v>
          </cell>
          <cell r="K1008" t="str">
            <v>DNI</v>
          </cell>
          <cell r="L1008">
            <v>10411965592</v>
          </cell>
          <cell r="M1008" t="str">
            <v>URBANO</v>
          </cell>
          <cell r="N1008">
            <v>45118</v>
          </cell>
          <cell r="O1008">
            <v>0</v>
          </cell>
          <cell r="P1008" t="str">
            <v>COMFORT XL</v>
          </cell>
        </row>
        <row r="1009">
          <cell r="A1009">
            <v>2555</v>
          </cell>
          <cell r="B1009">
            <v>2555</v>
          </cell>
          <cell r="C1009" t="str">
            <v>CERO MATRICULA</v>
          </cell>
          <cell r="D1009" t="str">
            <v>ACTIVO</v>
          </cell>
          <cell r="E1009" t="str">
            <v>CEV607</v>
          </cell>
          <cell r="F1009" t="str">
            <v>MENDOZA PARCO RAUL HUGO</v>
          </cell>
          <cell r="G1009" t="str">
            <v>MENDOZA PARCO RAUL HUGO</v>
          </cell>
          <cell r="H1009" t="str">
            <v>10514835</v>
          </cell>
          <cell r="I1009" t="str">
            <v>BCP</v>
          </cell>
          <cell r="J1009" t="str">
            <v>191-37171667-0-37</v>
          </cell>
          <cell r="K1009" t="str">
            <v>DNI</v>
          </cell>
          <cell r="L1009">
            <v>10105148351</v>
          </cell>
          <cell r="M1009" t="str">
            <v>URBANO</v>
          </cell>
          <cell r="N1009">
            <v>45118</v>
          </cell>
          <cell r="O1009">
            <v>0</v>
          </cell>
          <cell r="P1009" t="str">
            <v>COMFORT</v>
          </cell>
        </row>
        <row r="1010">
          <cell r="A1010">
            <v>2557</v>
          </cell>
          <cell r="B1010">
            <v>2557</v>
          </cell>
          <cell r="C1010" t="str">
            <v>CERO MATRICULA</v>
          </cell>
          <cell r="D1010" t="str">
            <v>ACTIVO</v>
          </cell>
          <cell r="E1010" t="str">
            <v>BUG288</v>
          </cell>
          <cell r="F1010" t="str">
            <v>GUEVARA QUICHCA PEDRO</v>
          </cell>
          <cell r="G1010" t="str">
            <v>GUEVARA QUICHCA PEDRO</v>
          </cell>
          <cell r="H1010" t="str">
            <v>40459558</v>
          </cell>
          <cell r="I1010" t="str">
            <v>BCP</v>
          </cell>
          <cell r="J1010" t="str">
            <v>191-21493161-0-62</v>
          </cell>
          <cell r="K1010" t="str">
            <v>DNI</v>
          </cell>
          <cell r="L1010">
            <v>10404595585</v>
          </cell>
          <cell r="M1010" t="str">
            <v>AEROPUERTO</v>
          </cell>
          <cell r="N1010">
            <v>45126</v>
          </cell>
          <cell r="O1010">
            <v>235</v>
          </cell>
          <cell r="P1010" t="str">
            <v>COMFORT XL</v>
          </cell>
        </row>
        <row r="1011">
          <cell r="A1011">
            <v>2559</v>
          </cell>
          <cell r="B1011">
            <v>2559</v>
          </cell>
          <cell r="C1011" t="str">
            <v>CERO MATRICULA</v>
          </cell>
          <cell r="D1011" t="str">
            <v>ACTIVO</v>
          </cell>
          <cell r="E1011" t="str">
            <v>CFT563</v>
          </cell>
          <cell r="F1011" t="str">
            <v>SERNAQUE MARTINEZ MARTIN</v>
          </cell>
          <cell r="G1011" t="str">
            <v>SERNAQUE MARTINEZ MARTIN</v>
          </cell>
          <cell r="H1011" t="str">
            <v>76683221</v>
          </cell>
          <cell r="I1011" t="str">
            <v>BBVA</v>
          </cell>
          <cell r="J1011" t="str">
            <v>0011-0814-02458083-27</v>
          </cell>
          <cell r="K1011" t="str">
            <v>DNI</v>
          </cell>
          <cell r="L1011">
            <v>10766832216</v>
          </cell>
          <cell r="M1011" t="str">
            <v>AEROPUERTO</v>
          </cell>
          <cell r="N1011">
            <v>45124</v>
          </cell>
          <cell r="O1011">
            <v>235</v>
          </cell>
          <cell r="P1011" t="str">
            <v>COMFORT XL</v>
          </cell>
        </row>
        <row r="1012">
          <cell r="A1012">
            <v>2560</v>
          </cell>
          <cell r="B1012">
            <v>2560</v>
          </cell>
          <cell r="C1012" t="str">
            <v>CERO MATRICULA</v>
          </cell>
          <cell r="D1012" t="str">
            <v>ACTIVO</v>
          </cell>
          <cell r="E1012" t="str">
            <v>BZG014</v>
          </cell>
          <cell r="F1012" t="str">
            <v>FLOREZ CHAVEZ JONATHAN</v>
          </cell>
          <cell r="G1012" t="str">
            <v>FLOREZ CHAVEZ JONATHAN</v>
          </cell>
          <cell r="H1012" t="str">
            <v>005314034</v>
          </cell>
          <cell r="I1012" t="str">
            <v>SCOTIABANK</v>
          </cell>
          <cell r="J1012" t="str">
            <v>467522504</v>
          </cell>
          <cell r="K1012" t="str">
            <v>CE</v>
          </cell>
          <cell r="L1012">
            <v>15611387161</v>
          </cell>
          <cell r="M1012" t="str">
            <v>URBANO</v>
          </cell>
          <cell r="N1012">
            <v>45124</v>
          </cell>
          <cell r="O1012">
            <v>0</v>
          </cell>
          <cell r="P1012" t="str">
            <v>LITE</v>
          </cell>
        </row>
        <row r="1013">
          <cell r="A1013">
            <v>2561</v>
          </cell>
          <cell r="B1013">
            <v>2561</v>
          </cell>
          <cell r="C1013" t="str">
            <v>CERO MATRICULA</v>
          </cell>
          <cell r="D1013" t="str">
            <v>ACTIVO</v>
          </cell>
          <cell r="E1013" t="str">
            <v>CAP536</v>
          </cell>
          <cell r="F1013" t="str">
            <v>PRECIADO PURIZAGA FREDI</v>
          </cell>
          <cell r="G1013" t="str">
            <v>PRECIADO PURIZAGA FREDI</v>
          </cell>
          <cell r="H1013" t="str">
            <v>25763754</v>
          </cell>
          <cell r="I1013" t="str">
            <v>BCP</v>
          </cell>
          <cell r="J1013" t="str">
            <v>193-94887292-0-46</v>
          </cell>
          <cell r="K1013" t="str">
            <v>DNI</v>
          </cell>
          <cell r="L1013">
            <v>10257637544</v>
          </cell>
          <cell r="M1013" t="str">
            <v>AEROPUERTO</v>
          </cell>
          <cell r="N1013">
            <v>45124</v>
          </cell>
          <cell r="O1013">
            <v>235</v>
          </cell>
          <cell r="P1013" t="str">
            <v>COMFORT XL</v>
          </cell>
        </row>
        <row r="1014">
          <cell r="A1014">
            <v>4286</v>
          </cell>
          <cell r="B1014">
            <v>4286</v>
          </cell>
          <cell r="C1014" t="str">
            <v>CERO MATRICULA</v>
          </cell>
          <cell r="D1014" t="str">
            <v>ACTIVO</v>
          </cell>
          <cell r="E1014" t="str">
            <v>BLN321</v>
          </cell>
          <cell r="F1014" t="str">
            <v>BARTOLO OLLERO MILO RAUL</v>
          </cell>
          <cell r="G1014" t="str">
            <v>BARTOLO OLLERO MILO RAUL</v>
          </cell>
          <cell r="H1014" t="str">
            <v>07302864</v>
          </cell>
          <cell r="I1014" t="str">
            <v>BCP</v>
          </cell>
          <cell r="J1014" t="str">
            <v>19300750344022</v>
          </cell>
          <cell r="K1014" t="str">
            <v>DNI</v>
          </cell>
          <cell r="L1014">
            <v>10073028642</v>
          </cell>
          <cell r="M1014" t="str">
            <v>AEROPUERTO</v>
          </cell>
          <cell r="N1014" t="str">
            <v>PENDIENTE</v>
          </cell>
          <cell r="O1014">
            <v>240</v>
          </cell>
          <cell r="P1014" t="str">
            <v>XL</v>
          </cell>
        </row>
        <row r="1015">
          <cell r="A1015">
            <v>2566</v>
          </cell>
          <cell r="B1015">
            <v>2566</v>
          </cell>
          <cell r="C1015" t="str">
            <v>CERO MATRICULA</v>
          </cell>
          <cell r="D1015" t="str">
            <v>ACTIVO</v>
          </cell>
          <cell r="E1015" t="str">
            <v>BNH223</v>
          </cell>
          <cell r="F1015" t="str">
            <v>MANRIQUE HERENCIA EDWARD</v>
          </cell>
          <cell r="G1015" t="str">
            <v>BOADO POMA CARMEN</v>
          </cell>
          <cell r="H1015" t="str">
            <v>06154199</v>
          </cell>
          <cell r="I1015" t="str">
            <v>INTERBANK</v>
          </cell>
          <cell r="J1015" t="str">
            <v>8983378039659</v>
          </cell>
          <cell r="K1015" t="str">
            <v>DNI</v>
          </cell>
          <cell r="L1015">
            <v>10061541999</v>
          </cell>
          <cell r="M1015" t="str">
            <v>AEROPUERTO</v>
          </cell>
          <cell r="N1015">
            <v>45131</v>
          </cell>
          <cell r="O1015">
            <v>235</v>
          </cell>
          <cell r="P1015" t="str">
            <v>COMFORT XL</v>
          </cell>
        </row>
        <row r="1016">
          <cell r="A1016">
            <v>2567</v>
          </cell>
          <cell r="B1016">
            <v>2567</v>
          </cell>
          <cell r="C1016" t="str">
            <v>CERO MATRICULA</v>
          </cell>
          <cell r="D1016" t="str">
            <v>ACTIVO</v>
          </cell>
          <cell r="E1016" t="str">
            <v>CFB495</v>
          </cell>
          <cell r="F1016" t="str">
            <v>RAYMUNDO VARGAS DANTE</v>
          </cell>
          <cell r="G1016" t="str">
            <v>LA KANTUTA SERVICIOS GENERALES E INVERSIONES EMPRESA INDIVIDUAL DE RESPONSABILIDAD LIMITADA</v>
          </cell>
          <cell r="H1016" t="str">
            <v>20611200596</v>
          </cell>
          <cell r="I1016" t="str">
            <v>SCOTIABANK</v>
          </cell>
          <cell r="J1016" t="str">
            <v>2120317843</v>
          </cell>
          <cell r="K1016" t="str">
            <v>RUC</v>
          </cell>
          <cell r="L1016">
            <v>20611200596</v>
          </cell>
          <cell r="M1016" t="str">
            <v>AEROPUERTO</v>
          </cell>
          <cell r="N1016">
            <v>45134</v>
          </cell>
          <cell r="O1016">
            <v>240</v>
          </cell>
          <cell r="P1016" t="str">
            <v>XL</v>
          </cell>
        </row>
        <row r="1017">
          <cell r="A1017">
            <v>2568</v>
          </cell>
          <cell r="B1017">
            <v>2568</v>
          </cell>
          <cell r="C1017" t="str">
            <v>CERO MATRICULA</v>
          </cell>
          <cell r="D1017" t="str">
            <v>ACTIVO</v>
          </cell>
          <cell r="E1017" t="str">
            <v>P3Y320</v>
          </cell>
          <cell r="F1017" t="str">
            <v>VASQUEZ VELASQUEZ OSCAR</v>
          </cell>
          <cell r="G1017" t="str">
            <v>VASQUEZ VELASQUEZ OSCAR</v>
          </cell>
          <cell r="H1017" t="str">
            <v>45017392</v>
          </cell>
          <cell r="I1017" t="str">
            <v>INTERBANK</v>
          </cell>
          <cell r="J1017">
            <v>8983394621350</v>
          </cell>
          <cell r="K1017" t="str">
            <v>DNI</v>
          </cell>
          <cell r="L1017">
            <v>10450173920</v>
          </cell>
          <cell r="M1017" t="str">
            <v>AEROPUERTO</v>
          </cell>
          <cell r="N1017">
            <v>45135</v>
          </cell>
          <cell r="O1017">
            <v>240</v>
          </cell>
          <cell r="P1017" t="str">
            <v>XL</v>
          </cell>
        </row>
        <row r="1018">
          <cell r="A1018">
            <v>2570</v>
          </cell>
          <cell r="B1018">
            <v>2570</v>
          </cell>
          <cell r="C1018" t="str">
            <v>CERO MATRICULA</v>
          </cell>
          <cell r="D1018" t="str">
            <v>ACTIVO</v>
          </cell>
          <cell r="E1018" t="str">
            <v>CDP087</v>
          </cell>
          <cell r="F1018" t="str">
            <v>ROBLES SIVIRA WILLI</v>
          </cell>
          <cell r="G1018" t="str">
            <v>VARGAS SUCASAIRE HERNAN</v>
          </cell>
          <cell r="H1018" t="str">
            <v>06773816</v>
          </cell>
          <cell r="I1018" t="str">
            <v>BCP</v>
          </cell>
          <cell r="J1018">
            <v>19106629347008</v>
          </cell>
          <cell r="K1018" t="str">
            <v>CE</v>
          </cell>
          <cell r="L1018">
            <v>10067738166</v>
          </cell>
          <cell r="M1018" t="str">
            <v>AEROPUERTO</v>
          </cell>
          <cell r="N1018">
            <v>45146</v>
          </cell>
          <cell r="O1018">
            <v>235</v>
          </cell>
          <cell r="P1018" t="str">
            <v>COMFORT XL</v>
          </cell>
        </row>
        <row r="1019">
          <cell r="A1019">
            <v>2573</v>
          </cell>
          <cell r="B1019">
            <v>2573</v>
          </cell>
          <cell r="C1019" t="str">
            <v>CERO MATRICULA</v>
          </cell>
          <cell r="D1019" t="str">
            <v>ACTIVO</v>
          </cell>
          <cell r="E1019" t="str">
            <v>CCA573</v>
          </cell>
          <cell r="F1019" t="str">
            <v>GALLARDO BRAVO MIGUEL</v>
          </cell>
          <cell r="G1019" t="str">
            <v>GALLARDO BRAVO MIGUEL</v>
          </cell>
          <cell r="H1019" t="str">
            <v>07430081</v>
          </cell>
          <cell r="I1019" t="str">
            <v>BCP</v>
          </cell>
          <cell r="J1019">
            <v>19230152144010</v>
          </cell>
          <cell r="K1019" t="str">
            <v>DNI</v>
          </cell>
          <cell r="L1019">
            <v>10074300818</v>
          </cell>
          <cell r="M1019" t="str">
            <v>AEROPUERTO</v>
          </cell>
          <cell r="N1019">
            <v>45147</v>
          </cell>
          <cell r="O1019">
            <v>235</v>
          </cell>
          <cell r="P1019" t="str">
            <v>COMFORT XL</v>
          </cell>
        </row>
        <row r="1020">
          <cell r="A1020">
            <v>2575</v>
          </cell>
          <cell r="B1020">
            <v>2575</v>
          </cell>
          <cell r="C1020" t="str">
            <v>CERO MATRICULA</v>
          </cell>
          <cell r="D1020" t="str">
            <v>ACTIVO</v>
          </cell>
          <cell r="E1020" t="str">
            <v>BBO561</v>
          </cell>
          <cell r="F1020" t="str">
            <v>PIÑA  HERNANDEZ BEYKER ALFREDO</v>
          </cell>
          <cell r="G1020" t="str">
            <v>PIÑA  HERNANDEZ BEYKER ALFREDO</v>
          </cell>
          <cell r="H1020" t="str">
            <v>002964716</v>
          </cell>
          <cell r="I1020" t="str">
            <v>SCOTIABANK</v>
          </cell>
          <cell r="J1020" t="str">
            <v xml:space="preserve">055-7424181 </v>
          </cell>
          <cell r="K1020" t="str">
            <v>CPP</v>
          </cell>
          <cell r="L1020">
            <v>15611254510</v>
          </cell>
          <cell r="M1020" t="str">
            <v>URBANO</v>
          </cell>
          <cell r="N1020">
            <v>45146</v>
          </cell>
          <cell r="O1020">
            <v>0</v>
          </cell>
          <cell r="P1020" t="str">
            <v>LITE</v>
          </cell>
        </row>
        <row r="1021">
          <cell r="A1021">
            <v>2576</v>
          </cell>
          <cell r="B1021">
            <v>2576</v>
          </cell>
          <cell r="C1021" t="str">
            <v>CERO MATRICULA</v>
          </cell>
          <cell r="D1021" t="str">
            <v>ACTIVO</v>
          </cell>
          <cell r="E1021" t="str">
            <v>CFM 694</v>
          </cell>
          <cell r="F1021" t="str">
            <v>YFANTE QUINTERO ABRAHAM DAVID</v>
          </cell>
          <cell r="G1021" t="str">
            <v>YFANTE QUINTERO ABRAHAM DAVID</v>
          </cell>
          <cell r="H1021" t="str">
            <v>003051215</v>
          </cell>
          <cell r="I1021" t="str">
            <v>INTERBANK</v>
          </cell>
          <cell r="J1021" t="str">
            <v>639-3300946617</v>
          </cell>
          <cell r="K1021" t="str">
            <v>CE</v>
          </cell>
          <cell r="L1021">
            <v>15604330308</v>
          </cell>
          <cell r="M1021" t="str">
            <v>URBANO</v>
          </cell>
          <cell r="N1021">
            <v>45146</v>
          </cell>
          <cell r="O1021">
            <v>0</v>
          </cell>
          <cell r="P1021" t="str">
            <v>COMFORT XL</v>
          </cell>
        </row>
        <row r="1022">
          <cell r="A1022">
            <v>2577</v>
          </cell>
          <cell r="B1022">
            <v>2577</v>
          </cell>
          <cell r="C1022" t="str">
            <v>CERO MATRICULA</v>
          </cell>
          <cell r="D1022" t="str">
            <v>ACTIVO</v>
          </cell>
          <cell r="E1022" t="str">
            <v>CFA 135</v>
          </cell>
          <cell r="F1022" t="str">
            <v>MENDEZ HERRERA ALFONSO ALEJANDRO</v>
          </cell>
          <cell r="G1022" t="str">
            <v>MENDEZ HERRERA ALFONSO ALEJANDRO</v>
          </cell>
          <cell r="H1022" t="str">
            <v>005969114</v>
          </cell>
          <cell r="I1022" t="str">
            <v>BCP</v>
          </cell>
          <cell r="J1022" t="str">
            <v>193-93650520083</v>
          </cell>
          <cell r="K1022" t="str">
            <v>CE</v>
          </cell>
          <cell r="L1022">
            <v>15611279075</v>
          </cell>
          <cell r="M1022" t="str">
            <v>AEROPUERTO</v>
          </cell>
          <cell r="N1022">
            <v>45146</v>
          </cell>
          <cell r="O1022">
            <v>265</v>
          </cell>
          <cell r="P1022" t="str">
            <v>LITE</v>
          </cell>
        </row>
        <row r="1023">
          <cell r="A1023">
            <v>2578</v>
          </cell>
          <cell r="B1023">
            <v>2578</v>
          </cell>
          <cell r="C1023" t="str">
            <v>CERO MATRICULA</v>
          </cell>
          <cell r="D1023" t="str">
            <v>ACTIVO</v>
          </cell>
          <cell r="E1023" t="str">
            <v>BED 550</v>
          </cell>
          <cell r="F1023" t="str">
            <v>HERNANDEZ HERNANDEZ RICHARD JULIO</v>
          </cell>
          <cell r="G1023" t="str">
            <v>SALAS FINOL MARIE ANGELICA</v>
          </cell>
          <cell r="H1023" t="str">
            <v>002848110</v>
          </cell>
          <cell r="I1023" t="str">
            <v>BCP</v>
          </cell>
          <cell r="J1023">
            <v>19390029956047</v>
          </cell>
          <cell r="K1023" t="str">
            <v>CE</v>
          </cell>
          <cell r="L1023">
            <v>15606920871</v>
          </cell>
          <cell r="M1023" t="str">
            <v>AEROPUERTO</v>
          </cell>
          <cell r="N1023">
            <v>45146</v>
          </cell>
          <cell r="O1023">
            <v>265</v>
          </cell>
          <cell r="P1023" t="str">
            <v>LITE</v>
          </cell>
        </row>
        <row r="1024">
          <cell r="A1024">
            <v>2579</v>
          </cell>
          <cell r="B1024">
            <v>2579</v>
          </cell>
          <cell r="C1024" t="str">
            <v>CERO MATRICULA</v>
          </cell>
          <cell r="D1024" t="str">
            <v>ACTIVO</v>
          </cell>
          <cell r="E1024" t="str">
            <v>CFX 077</v>
          </cell>
          <cell r="F1024" t="str">
            <v>ARAPA CHUCHON JORGE ANTONIO</v>
          </cell>
          <cell r="G1024" t="str">
            <v>ARAPA CHUCHON JORGE ANTONIO</v>
          </cell>
          <cell r="H1024" t="str">
            <v>45028211</v>
          </cell>
          <cell r="I1024" t="str">
            <v>BBVA</v>
          </cell>
          <cell r="J1024" t="str">
            <v>0011-0814-0228133189</v>
          </cell>
          <cell r="K1024" t="str">
            <v>DNI</v>
          </cell>
          <cell r="L1024">
            <v>10450282117</v>
          </cell>
          <cell r="M1024" t="str">
            <v>URBANO</v>
          </cell>
          <cell r="N1024">
            <v>45146</v>
          </cell>
          <cell r="O1024">
            <v>0</v>
          </cell>
          <cell r="P1024" t="str">
            <v>COMFORT</v>
          </cell>
        </row>
        <row r="1025">
          <cell r="A1025">
            <v>2580</v>
          </cell>
          <cell r="B1025">
            <v>2580</v>
          </cell>
          <cell r="C1025" t="str">
            <v>CERO MATRICULA</v>
          </cell>
          <cell r="D1025" t="str">
            <v>ACTIVO</v>
          </cell>
          <cell r="E1025" t="str">
            <v>BXS 103</v>
          </cell>
          <cell r="F1025" t="str">
            <v>MORAN GUTIERREZ LUIS ROBERTO</v>
          </cell>
          <cell r="G1025" t="str">
            <v>MORAN GUTIERREZ LUIS ROBERTO</v>
          </cell>
          <cell r="H1025" t="str">
            <v>003028758</v>
          </cell>
          <cell r="I1025" t="str">
            <v>INTERBANK</v>
          </cell>
          <cell r="J1025" t="str">
            <v>042-3316191720</v>
          </cell>
          <cell r="K1025" t="str">
            <v>CE</v>
          </cell>
          <cell r="L1025">
            <v>15607170743</v>
          </cell>
          <cell r="M1025" t="str">
            <v>URBANO</v>
          </cell>
          <cell r="N1025">
            <v>45146</v>
          </cell>
          <cell r="O1025">
            <v>0</v>
          </cell>
          <cell r="P1025" t="str">
            <v>LITE</v>
          </cell>
        </row>
        <row r="1026">
          <cell r="A1026">
            <v>2581</v>
          </cell>
          <cell r="B1026">
            <v>2581</v>
          </cell>
          <cell r="C1026" t="str">
            <v>CERO MATRICULA</v>
          </cell>
          <cell r="D1026" t="str">
            <v>ACTIVO</v>
          </cell>
          <cell r="E1026" t="str">
            <v>BKD 120</v>
          </cell>
          <cell r="F1026" t="str">
            <v>AYBAR MEZA CESAR IVAN</v>
          </cell>
          <cell r="G1026" t="str">
            <v>AYBAR MEZA CESAR IVAN</v>
          </cell>
          <cell r="H1026" t="str">
            <v>07859264</v>
          </cell>
          <cell r="I1026" t="str">
            <v>BCP</v>
          </cell>
          <cell r="J1026" t="str">
            <v>191-90571992058</v>
          </cell>
          <cell r="K1026" t="str">
            <v>DNI</v>
          </cell>
          <cell r="L1026">
            <v>10078592643</v>
          </cell>
          <cell r="M1026" t="str">
            <v>URBANO</v>
          </cell>
          <cell r="N1026">
            <v>45146</v>
          </cell>
          <cell r="O1026">
            <v>0</v>
          </cell>
          <cell r="P1026" t="str">
            <v>COMFORT</v>
          </cell>
        </row>
        <row r="1027">
          <cell r="A1027">
            <v>2582</v>
          </cell>
          <cell r="B1027">
            <v>2582</v>
          </cell>
          <cell r="C1027" t="str">
            <v>CERO MATRICULA</v>
          </cell>
          <cell r="D1027" t="str">
            <v>ACTIVO</v>
          </cell>
          <cell r="E1027" t="str">
            <v>BZS117</v>
          </cell>
          <cell r="F1027" t="str">
            <v>ROA GARCIA JOSE</v>
          </cell>
          <cell r="G1027" t="str">
            <v>ROA GARCIA JOSE</v>
          </cell>
          <cell r="H1027" t="str">
            <v>005126055</v>
          </cell>
          <cell r="I1027" t="str">
            <v>BCP</v>
          </cell>
          <cell r="J1027" t="str">
            <v>194-98769371038</v>
          </cell>
          <cell r="K1027" t="str">
            <v>CE</v>
          </cell>
          <cell r="L1027">
            <v>15609834991</v>
          </cell>
          <cell r="M1027" t="str">
            <v>URBANO</v>
          </cell>
          <cell r="N1027">
            <v>45146</v>
          </cell>
          <cell r="O1027">
            <v>0</v>
          </cell>
          <cell r="P1027" t="str">
            <v>LITE</v>
          </cell>
        </row>
        <row r="1028">
          <cell r="A1028">
            <v>2583</v>
          </cell>
          <cell r="B1028">
            <v>2583</v>
          </cell>
          <cell r="C1028" t="str">
            <v>CERO MATRICULA</v>
          </cell>
          <cell r="D1028" t="str">
            <v>ACTIVO</v>
          </cell>
          <cell r="E1028" t="str">
            <v>BZB364</v>
          </cell>
          <cell r="F1028" t="str">
            <v>ARIAS QUIQUIA DEIVIS</v>
          </cell>
          <cell r="G1028" t="str">
            <v>ARIAS QUIQUIA DEIVIS</v>
          </cell>
          <cell r="H1028" t="str">
            <v>42061703</v>
          </cell>
          <cell r="I1028" t="str">
            <v>BCP</v>
          </cell>
          <cell r="J1028">
            <v>19497831937036</v>
          </cell>
          <cell r="K1028" t="str">
            <v>DNI</v>
          </cell>
          <cell r="L1028">
            <v>10420617033</v>
          </cell>
          <cell r="M1028" t="str">
            <v>AEROPUERTO</v>
          </cell>
          <cell r="N1028">
            <v>45149</v>
          </cell>
          <cell r="O1028">
            <v>235</v>
          </cell>
          <cell r="P1028" t="str">
            <v>COMFORT XL</v>
          </cell>
        </row>
        <row r="1029">
          <cell r="A1029">
            <v>2585</v>
          </cell>
          <cell r="B1029">
            <v>2585</v>
          </cell>
          <cell r="C1029" t="str">
            <v>CERO MATRICULA</v>
          </cell>
          <cell r="D1029" t="str">
            <v>ACTIVO</v>
          </cell>
          <cell r="E1029" t="str">
            <v>BKJ140</v>
          </cell>
          <cell r="F1029" t="str">
            <v>SILVA MEJIA NOEL</v>
          </cell>
          <cell r="G1029" t="str">
            <v>BIAGGI ASMAT ROSSANA</v>
          </cell>
          <cell r="H1029" t="str">
            <v>47786039</v>
          </cell>
          <cell r="I1029" t="str">
            <v>BCP</v>
          </cell>
          <cell r="J1029" t="str">
            <v>193-90045862014</v>
          </cell>
          <cell r="K1029" t="str">
            <v>DNI</v>
          </cell>
          <cell r="L1029">
            <v>10477860392</v>
          </cell>
          <cell r="M1029" t="str">
            <v>AEROPUERTO</v>
          </cell>
          <cell r="N1029">
            <v>45183</v>
          </cell>
          <cell r="O1029">
            <v>240</v>
          </cell>
          <cell r="P1029" t="str">
            <v>XL</v>
          </cell>
        </row>
        <row r="1030">
          <cell r="A1030">
            <v>2586</v>
          </cell>
          <cell r="B1030">
            <v>2586</v>
          </cell>
          <cell r="C1030" t="str">
            <v>CERO MATRICULA</v>
          </cell>
          <cell r="D1030" t="str">
            <v>ACTIVO</v>
          </cell>
          <cell r="E1030" t="str">
            <v>C7B287</v>
          </cell>
          <cell r="F1030" t="str">
            <v>ARONTICO PALOMINO SANDY</v>
          </cell>
          <cell r="G1030" t="str">
            <v xml:space="preserve">ARONTICO PALOMINO Sandy </v>
          </cell>
          <cell r="H1030" t="str">
            <v>40836100</v>
          </cell>
          <cell r="I1030" t="str">
            <v>BCP</v>
          </cell>
          <cell r="J1030" t="str">
            <v>194-23612318-0-25</v>
          </cell>
          <cell r="K1030" t="str">
            <v>DNI</v>
          </cell>
          <cell r="L1030">
            <v>10408361007</v>
          </cell>
          <cell r="M1030" t="str">
            <v>URBANO</v>
          </cell>
          <cell r="N1030">
            <v>45153</v>
          </cell>
          <cell r="O1030">
            <v>0</v>
          </cell>
          <cell r="P1030" t="str">
            <v>COMFORT XL</v>
          </cell>
        </row>
        <row r="1031">
          <cell r="A1031">
            <v>2588</v>
          </cell>
          <cell r="B1031">
            <v>2588</v>
          </cell>
          <cell r="C1031" t="str">
            <v>CERO MATRICULA</v>
          </cell>
          <cell r="D1031" t="str">
            <v>ACTIVO</v>
          </cell>
          <cell r="E1031" t="str">
            <v>BAD559</v>
          </cell>
          <cell r="F1031" t="str">
            <v>RUIZ AUCALLANCHI HENRRY</v>
          </cell>
          <cell r="G1031" t="str">
            <v>RUIZ AUCALLANCHI HENRRY</v>
          </cell>
          <cell r="H1031" t="str">
            <v>43716629</v>
          </cell>
          <cell r="I1031" t="str">
            <v>BCP</v>
          </cell>
          <cell r="J1031" t="str">
            <v>191-95085943-0-05</v>
          </cell>
          <cell r="K1031" t="str">
            <v>DNI</v>
          </cell>
          <cell r="L1031">
            <v>10437166299</v>
          </cell>
          <cell r="M1031" t="str">
            <v>URBANO</v>
          </cell>
          <cell r="N1031">
            <v>45153</v>
          </cell>
          <cell r="O1031">
            <v>0</v>
          </cell>
          <cell r="P1031" t="str">
            <v>COMFORT</v>
          </cell>
        </row>
        <row r="1032">
          <cell r="A1032">
            <v>2590</v>
          </cell>
          <cell r="B1032">
            <v>2590</v>
          </cell>
          <cell r="C1032" t="str">
            <v>CERO MATRICULA</v>
          </cell>
          <cell r="D1032" t="str">
            <v>ACTIVO</v>
          </cell>
          <cell r="E1032" t="str">
            <v>CFS684</v>
          </cell>
          <cell r="F1032" t="str">
            <v>OSCORIMA CHANCOS CARLOS</v>
          </cell>
          <cell r="G1032" t="str">
            <v>OSCORIMA CHANCOS CARLOS</v>
          </cell>
          <cell r="H1032" t="str">
            <v>29081660</v>
          </cell>
          <cell r="I1032" t="str">
            <v>BCP</v>
          </cell>
          <cell r="J1032" t="str">
            <v>193-91547399-0-17</v>
          </cell>
          <cell r="K1032" t="str">
            <v>DNI</v>
          </cell>
          <cell r="L1032">
            <v>10290816608</v>
          </cell>
          <cell r="M1032" t="str">
            <v>URBANO</v>
          </cell>
          <cell r="N1032">
            <v>45153</v>
          </cell>
          <cell r="O1032">
            <v>0</v>
          </cell>
          <cell r="P1032" t="str">
            <v>XL</v>
          </cell>
        </row>
        <row r="1033">
          <cell r="A1033">
            <v>2591</v>
          </cell>
          <cell r="B1033">
            <v>2591</v>
          </cell>
          <cell r="C1033" t="str">
            <v>CERO MATRICULA</v>
          </cell>
          <cell r="D1033" t="str">
            <v>ACTIVO</v>
          </cell>
          <cell r="E1033" t="str">
            <v>ANA504</v>
          </cell>
          <cell r="F1033" t="str">
            <v>BENAVIDES GAMBOA JUAN DE DIOS</v>
          </cell>
          <cell r="G1033" t="str">
            <v>BENAVIDES GAMBOA JUAN DE DIOS</v>
          </cell>
          <cell r="H1033" t="str">
            <v>45657211</v>
          </cell>
          <cell r="I1033" t="str">
            <v>BCP</v>
          </cell>
          <cell r="J1033" t="str">
            <v>191-02526369-0-86</v>
          </cell>
          <cell r="K1033" t="str">
            <v>DNI</v>
          </cell>
          <cell r="L1033">
            <v>10456572117</v>
          </cell>
          <cell r="M1033" t="str">
            <v>URBANO</v>
          </cell>
          <cell r="N1033">
            <v>45153</v>
          </cell>
          <cell r="O1033">
            <v>0</v>
          </cell>
          <cell r="P1033" t="str">
            <v>LITE</v>
          </cell>
        </row>
        <row r="1034">
          <cell r="A1034">
            <v>2592</v>
          </cell>
          <cell r="B1034">
            <v>2592</v>
          </cell>
          <cell r="C1034" t="str">
            <v>CERO MATRICULA</v>
          </cell>
          <cell r="D1034" t="str">
            <v>ACTIVO</v>
          </cell>
          <cell r="E1034" t="str">
            <v>BVA272</v>
          </cell>
          <cell r="F1034" t="str">
            <v>SANCHEZ ARROYO OSCAR</v>
          </cell>
          <cell r="G1034" t="str">
            <v>SANCHEZ ARROYO OSCAR</v>
          </cell>
          <cell r="H1034" t="str">
            <v>10611538</v>
          </cell>
          <cell r="I1034" t="str">
            <v>SCOTIABANK</v>
          </cell>
          <cell r="J1034" t="str">
            <v>182-0514048</v>
          </cell>
          <cell r="K1034" t="str">
            <v>DNI</v>
          </cell>
          <cell r="L1034">
            <v>10106115384</v>
          </cell>
          <cell r="M1034" t="str">
            <v>URBANO</v>
          </cell>
          <cell r="N1034">
            <v>45153</v>
          </cell>
          <cell r="O1034">
            <v>0</v>
          </cell>
          <cell r="P1034" t="str">
            <v>COMFORT</v>
          </cell>
        </row>
        <row r="1035">
          <cell r="A1035">
            <v>2593</v>
          </cell>
          <cell r="B1035">
            <v>2593</v>
          </cell>
          <cell r="C1035" t="str">
            <v>CERO MATRICULA</v>
          </cell>
          <cell r="D1035" t="str">
            <v>ACTIVO</v>
          </cell>
          <cell r="E1035" t="str">
            <v>AYT634</v>
          </cell>
          <cell r="F1035" t="str">
            <v>SILVA PACHECO NESTOR</v>
          </cell>
          <cell r="G1035" t="str">
            <v>MORALES GUIZADO JOHN ROBERT</v>
          </cell>
          <cell r="H1035" t="str">
            <v>43097405</v>
          </cell>
          <cell r="I1035" t="str">
            <v>BBVA</v>
          </cell>
          <cell r="J1035" t="str">
            <v>0011-01840200531450</v>
          </cell>
          <cell r="K1035" t="str">
            <v>DNI</v>
          </cell>
          <cell r="L1035">
            <v>10430974055</v>
          </cell>
          <cell r="M1035" t="str">
            <v>AEROPUERTO VAN</v>
          </cell>
          <cell r="N1035">
            <v>45166</v>
          </cell>
          <cell r="O1035">
            <v>240</v>
          </cell>
          <cell r="P1035" t="str">
            <v>VAN</v>
          </cell>
        </row>
        <row r="1036">
          <cell r="A1036">
            <v>2594</v>
          </cell>
          <cell r="B1036">
            <v>2594</v>
          </cell>
          <cell r="C1036" t="str">
            <v>CERO MATRICULA</v>
          </cell>
          <cell r="D1036" t="str">
            <v>ACTIVO</v>
          </cell>
          <cell r="E1036" t="str">
            <v>F6H 356</v>
          </cell>
          <cell r="F1036" t="str">
            <v>DE LA CRUZ GOMEZ SIMON</v>
          </cell>
          <cell r="G1036" t="str">
            <v>DE LA CRUZ GOMEZ SIMON</v>
          </cell>
          <cell r="H1036" t="str">
            <v>48078636</v>
          </cell>
          <cell r="I1036" t="str">
            <v>BCP</v>
          </cell>
          <cell r="J1036" t="str">
            <v>19105115154021</v>
          </cell>
          <cell r="K1036" t="str">
            <v>DNI</v>
          </cell>
          <cell r="L1036">
            <v>10480786365</v>
          </cell>
          <cell r="M1036" t="str">
            <v>URBANO PARTNER</v>
          </cell>
          <cell r="N1036">
            <v>45260</v>
          </cell>
          <cell r="O1036">
            <v>0</v>
          </cell>
          <cell r="P1036" t="str">
            <v>COMFORT XL</v>
          </cell>
        </row>
        <row r="1037">
          <cell r="A1037">
            <v>2596</v>
          </cell>
          <cell r="B1037">
            <v>2596</v>
          </cell>
          <cell r="C1037" t="str">
            <v>CERO MATRICULA</v>
          </cell>
          <cell r="D1037" t="str">
            <v>ACTIVO</v>
          </cell>
          <cell r="E1037" t="str">
            <v>Z7G417</v>
          </cell>
          <cell r="F1037" t="str">
            <v>GARCIA ALTAMIRANO JOSE</v>
          </cell>
          <cell r="G1037" t="str">
            <v>GARCIA ALTAMIRANO JOSE</v>
          </cell>
          <cell r="H1037" t="str">
            <v>77207705</v>
          </cell>
          <cell r="I1037" t="str">
            <v>BCP</v>
          </cell>
          <cell r="J1037" t="str">
            <v>191-93370400-0-34</v>
          </cell>
          <cell r="K1037" t="str">
            <v>DNI</v>
          </cell>
          <cell r="L1037">
            <v>10772077055</v>
          </cell>
          <cell r="M1037" t="str">
            <v>URBANO</v>
          </cell>
          <cell r="N1037">
            <v>45160</v>
          </cell>
          <cell r="O1037">
            <v>0</v>
          </cell>
          <cell r="P1037" t="str">
            <v>COMFORT</v>
          </cell>
        </row>
        <row r="1038">
          <cell r="A1038">
            <v>2597</v>
          </cell>
          <cell r="B1038">
            <v>2597</v>
          </cell>
          <cell r="C1038" t="str">
            <v>CERO MATRICULA</v>
          </cell>
          <cell r="D1038" t="str">
            <v>ACTIVO</v>
          </cell>
          <cell r="E1038" t="str">
            <v>BJJ-554</v>
          </cell>
          <cell r="F1038" t="str">
            <v>ROJAS RIVAS LUIS ELIAS</v>
          </cell>
          <cell r="G1038" t="str">
            <v>ROJAS RIVAS LUIS ELIAS</v>
          </cell>
          <cell r="H1038" t="str">
            <v>004583998</v>
          </cell>
          <cell r="I1038" t="str">
            <v>BCP</v>
          </cell>
          <cell r="J1038">
            <v>19195474071053</v>
          </cell>
          <cell r="K1038" t="str">
            <v>CE</v>
          </cell>
          <cell r="L1038">
            <v>15604976780</v>
          </cell>
          <cell r="M1038" t="str">
            <v>AEROLINEAS</v>
          </cell>
          <cell r="N1038">
            <v>45167</v>
          </cell>
          <cell r="O1038">
            <v>0</v>
          </cell>
          <cell r="P1038" t="str">
            <v>COMFORT XL</v>
          </cell>
        </row>
        <row r="1039">
          <cell r="A1039">
            <v>2598</v>
          </cell>
          <cell r="B1039">
            <v>2598</v>
          </cell>
          <cell r="C1039" t="str">
            <v>CERO MATRICULA</v>
          </cell>
          <cell r="D1039" t="str">
            <v>ACTIVO</v>
          </cell>
          <cell r="E1039" t="str">
            <v>C7I350</v>
          </cell>
          <cell r="F1039" t="str">
            <v>MORALES  DENIS DANNYS</v>
          </cell>
          <cell r="G1039" t="str">
            <v>DENIS CAMPOS AMERICA</v>
          </cell>
          <cell r="H1039" t="str">
            <v>003993955</v>
          </cell>
          <cell r="I1039" t="str">
            <v>BCP</v>
          </cell>
          <cell r="J1039" t="str">
            <v>192-95523337-0-17</v>
          </cell>
          <cell r="K1039" t="str">
            <v>CE</v>
          </cell>
          <cell r="L1039">
            <v>15605904421</v>
          </cell>
          <cell r="M1039" t="str">
            <v>URBANO</v>
          </cell>
          <cell r="N1039">
            <v>45160</v>
          </cell>
          <cell r="O1039">
            <v>0</v>
          </cell>
          <cell r="P1039" t="str">
            <v>COMFORT</v>
          </cell>
        </row>
        <row r="1040">
          <cell r="A1040">
            <v>2599</v>
          </cell>
          <cell r="B1040">
            <v>2599</v>
          </cell>
          <cell r="C1040" t="str">
            <v>CERO MATRICULA</v>
          </cell>
          <cell r="D1040" t="str">
            <v>ACTIVO</v>
          </cell>
          <cell r="E1040" t="str">
            <v>BWZ046</v>
          </cell>
          <cell r="F1040" t="str">
            <v>QUIROZ OROPEZA DAVID</v>
          </cell>
          <cell r="G1040" t="str">
            <v>QUIROZ OROPEZA DAVID</v>
          </cell>
          <cell r="H1040" t="str">
            <v>70898108</v>
          </cell>
          <cell r="I1040" t="str">
            <v>BCP</v>
          </cell>
          <cell r="J1040" t="str">
            <v>194-901252440-98</v>
          </cell>
          <cell r="K1040" t="str">
            <v>DNI</v>
          </cell>
          <cell r="L1040">
            <v>10708981082</v>
          </cell>
          <cell r="M1040" t="str">
            <v>URBANO</v>
          </cell>
          <cell r="N1040">
            <v>45160</v>
          </cell>
          <cell r="O1040">
            <v>0</v>
          </cell>
          <cell r="P1040" t="str">
            <v>LITE</v>
          </cell>
        </row>
        <row r="1041">
          <cell r="A1041">
            <v>2601</v>
          </cell>
          <cell r="B1041">
            <v>2601</v>
          </cell>
          <cell r="C1041" t="str">
            <v>CERO MATRICULA</v>
          </cell>
          <cell r="D1041" t="str">
            <v>ACTIVO</v>
          </cell>
          <cell r="E1041" t="str">
            <v>ANB368</v>
          </cell>
          <cell r="F1041" t="str">
            <v>QUISPE PACORI MATEO</v>
          </cell>
          <cell r="G1041" t="str">
            <v>QUISPE PACORI MATEO</v>
          </cell>
          <cell r="H1041" t="str">
            <v>01557439</v>
          </cell>
          <cell r="I1041" t="str">
            <v>BCP</v>
          </cell>
          <cell r="J1041" t="str">
            <v>193-99194188-0-47</v>
          </cell>
          <cell r="K1041" t="str">
            <v>DNI</v>
          </cell>
          <cell r="L1041">
            <v>10015574394</v>
          </cell>
          <cell r="M1041" t="str">
            <v>URBANO</v>
          </cell>
          <cell r="N1041">
            <v>45161</v>
          </cell>
          <cell r="O1041">
            <v>0</v>
          </cell>
          <cell r="P1041" t="str">
            <v>COMFORT</v>
          </cell>
        </row>
        <row r="1042">
          <cell r="A1042">
            <v>2602</v>
          </cell>
          <cell r="B1042">
            <v>2602</v>
          </cell>
          <cell r="C1042" t="str">
            <v>CERO MATRICULA</v>
          </cell>
          <cell r="D1042" t="str">
            <v>ACTIVO</v>
          </cell>
          <cell r="E1042" t="str">
            <v xml:space="preserve">BXY136 </v>
          </cell>
          <cell r="F1042" t="str">
            <v>ALTENHOF RODRIGUEZ DENISSON</v>
          </cell>
          <cell r="G1042" t="str">
            <v>ALTENHOF RODRIGUEZ DENISSON</v>
          </cell>
          <cell r="H1042" t="str">
            <v>003529844</v>
          </cell>
          <cell r="I1042" t="str">
            <v>BCP</v>
          </cell>
          <cell r="J1042" t="str">
            <v>192-94231446-0-77</v>
          </cell>
          <cell r="K1042" t="str">
            <v>CE</v>
          </cell>
          <cell r="L1042">
            <v>15604356650</v>
          </cell>
          <cell r="M1042" t="str">
            <v>URBANO</v>
          </cell>
          <cell r="N1042">
            <v>45160</v>
          </cell>
          <cell r="O1042">
            <v>0</v>
          </cell>
          <cell r="P1042" t="str">
            <v>LITE</v>
          </cell>
        </row>
        <row r="1043">
          <cell r="A1043">
            <v>2603</v>
          </cell>
          <cell r="B1043">
            <v>2603</v>
          </cell>
          <cell r="C1043" t="str">
            <v>CERO MATRICULA</v>
          </cell>
          <cell r="D1043" t="str">
            <v>ACTIVO</v>
          </cell>
          <cell r="E1043" t="str">
            <v>BNP461</v>
          </cell>
          <cell r="F1043" t="str">
            <v>HOSTIA GUTIERREZ LUIS CARLOS</v>
          </cell>
          <cell r="G1043" t="str">
            <v>HOSTIA GUTIERREZ LUIS CARLOS</v>
          </cell>
          <cell r="H1043" t="str">
            <v>40281828</v>
          </cell>
          <cell r="I1043" t="str">
            <v>BCP</v>
          </cell>
          <cell r="J1043" t="str">
            <v>194-90364559-0-30</v>
          </cell>
          <cell r="K1043" t="str">
            <v>DNI</v>
          </cell>
          <cell r="L1043">
            <v>10402818285</v>
          </cell>
          <cell r="M1043" t="str">
            <v>URBANO</v>
          </cell>
          <cell r="N1043">
            <v>45160</v>
          </cell>
          <cell r="O1043">
            <v>0</v>
          </cell>
          <cell r="P1043" t="str">
            <v>COMFORT XL</v>
          </cell>
        </row>
        <row r="1044">
          <cell r="A1044">
            <v>2604</v>
          </cell>
          <cell r="B1044">
            <v>2604</v>
          </cell>
          <cell r="C1044" t="str">
            <v>CERO MATRICULA</v>
          </cell>
          <cell r="D1044" t="str">
            <v>ACTIVO</v>
          </cell>
          <cell r="E1044" t="str">
            <v>BPL506</v>
          </cell>
          <cell r="F1044" t="str">
            <v>CARDENAS VERA RUBEN</v>
          </cell>
          <cell r="G1044" t="str">
            <v>CARDENAS VERA RUBEN</v>
          </cell>
          <cell r="H1044" t="str">
            <v>41759316</v>
          </cell>
          <cell r="I1044" t="str">
            <v>BCP</v>
          </cell>
          <cell r="J1044" t="str">
            <v>19499-6929-78075</v>
          </cell>
          <cell r="K1044" t="str">
            <v>DNI</v>
          </cell>
          <cell r="L1044">
            <v>10417593166</v>
          </cell>
          <cell r="M1044" t="str">
            <v>URBANO</v>
          </cell>
          <cell r="N1044">
            <v>45166</v>
          </cell>
          <cell r="O1044">
            <v>0</v>
          </cell>
          <cell r="P1044" t="str">
            <v>XL</v>
          </cell>
        </row>
        <row r="1045">
          <cell r="A1045">
            <v>2605</v>
          </cell>
          <cell r="B1045">
            <v>2605</v>
          </cell>
          <cell r="C1045" t="str">
            <v>CERO MATRICULA</v>
          </cell>
          <cell r="D1045" t="str">
            <v>ACTIVO</v>
          </cell>
          <cell r="E1045" t="str">
            <v>CDP 265</v>
          </cell>
          <cell r="F1045" t="str">
            <v>HERNANDEZ HERRERA CRISTOBAL RAFAEL</v>
          </cell>
          <cell r="G1045" t="str">
            <v>HERNANDEZ HERRERA CRISTOBAL RAFAEL</v>
          </cell>
          <cell r="H1045" t="str">
            <v>003078294</v>
          </cell>
          <cell r="I1045" t="str">
            <v>BCP</v>
          </cell>
          <cell r="J1045" t="str">
            <v>19490904816044</v>
          </cell>
          <cell r="K1045" t="str">
            <v>CE</v>
          </cell>
          <cell r="L1045">
            <v>15607174358</v>
          </cell>
          <cell r="M1045" t="str">
            <v>URBANO</v>
          </cell>
          <cell r="N1045">
            <v>45166</v>
          </cell>
          <cell r="O1045">
            <v>0</v>
          </cell>
          <cell r="P1045" t="str">
            <v>LITE</v>
          </cell>
        </row>
        <row r="1046">
          <cell r="A1046">
            <v>2606</v>
          </cell>
          <cell r="B1046">
            <v>2606</v>
          </cell>
          <cell r="C1046" t="str">
            <v>CERO MATRICULA</v>
          </cell>
          <cell r="D1046" t="str">
            <v>ACTIVO</v>
          </cell>
          <cell r="E1046" t="str">
            <v>CEG 528</v>
          </cell>
          <cell r="F1046" t="str">
            <v>QUIÑONES BERMUDEZ LUIS JOSUE</v>
          </cell>
          <cell r="G1046" t="str">
            <v>QUIÑONES BERMUDEZ LUIS JOSUE</v>
          </cell>
          <cell r="H1046" t="str">
            <v>002356658</v>
          </cell>
          <cell r="I1046" t="str">
            <v>BCP</v>
          </cell>
          <cell r="J1046" t="str">
            <v>19496518042069</v>
          </cell>
          <cell r="K1046" t="str">
            <v>CE</v>
          </cell>
          <cell r="L1046">
            <v>15605365385</v>
          </cell>
          <cell r="M1046" t="str">
            <v>URBANO</v>
          </cell>
          <cell r="N1046">
            <v>45166</v>
          </cell>
          <cell r="O1046">
            <v>0</v>
          </cell>
          <cell r="P1046" t="str">
            <v>LITE</v>
          </cell>
        </row>
        <row r="1047">
          <cell r="A1047">
            <v>2607</v>
          </cell>
          <cell r="B1047">
            <v>2607</v>
          </cell>
          <cell r="C1047" t="str">
            <v>CERO MATRICULA</v>
          </cell>
          <cell r="D1047" t="str">
            <v>ACTIVO</v>
          </cell>
          <cell r="E1047" t="str">
            <v>CEC297</v>
          </cell>
          <cell r="F1047" t="str">
            <v>NG CHUNG DAVID</v>
          </cell>
          <cell r="G1047" t="str">
            <v>NG CHUNG DAVID</v>
          </cell>
          <cell r="H1047" t="str">
            <v>002555498</v>
          </cell>
          <cell r="I1047" t="str">
            <v>BCP</v>
          </cell>
          <cell r="J1047" t="str">
            <v>19340103910099</v>
          </cell>
          <cell r="K1047" t="str">
            <v>CE</v>
          </cell>
          <cell r="L1047">
            <v>15603504710</v>
          </cell>
          <cell r="M1047" t="str">
            <v>URBANO</v>
          </cell>
          <cell r="N1047">
            <v>45166</v>
          </cell>
          <cell r="O1047">
            <v>0</v>
          </cell>
          <cell r="P1047" t="str">
            <v>COMFORT XL</v>
          </cell>
        </row>
        <row r="1048">
          <cell r="A1048">
            <v>2608</v>
          </cell>
          <cell r="B1048">
            <v>2608</v>
          </cell>
          <cell r="C1048" t="str">
            <v>CERO MATRICULA</v>
          </cell>
          <cell r="D1048" t="str">
            <v>ACTIVO</v>
          </cell>
          <cell r="E1048" t="str">
            <v>BXE 453</v>
          </cell>
          <cell r="F1048" t="str">
            <v>LUNA HUIÑAC MIGUEL</v>
          </cell>
          <cell r="G1048" t="str">
            <v>LUNA HUIÑAC MIGUEL</v>
          </cell>
          <cell r="H1048" t="str">
            <v>40676185</v>
          </cell>
          <cell r="I1048" t="str">
            <v>BCP</v>
          </cell>
          <cell r="J1048" t="str">
            <v>19333739200098</v>
          </cell>
          <cell r="K1048" t="str">
            <v>DNI</v>
          </cell>
          <cell r="L1048">
            <v>10406761857</v>
          </cell>
          <cell r="M1048" t="str">
            <v>URBANO</v>
          </cell>
          <cell r="N1048">
            <v>45167</v>
          </cell>
          <cell r="O1048">
            <v>0</v>
          </cell>
          <cell r="P1048" t="str">
            <v>COMFORT XL</v>
          </cell>
        </row>
        <row r="1049">
          <cell r="A1049">
            <v>2609</v>
          </cell>
          <cell r="B1049">
            <v>2609</v>
          </cell>
          <cell r="C1049" t="str">
            <v>CERO MATRICULA</v>
          </cell>
          <cell r="D1049" t="str">
            <v>ACTIVO</v>
          </cell>
          <cell r="E1049" t="str">
            <v>blm636</v>
          </cell>
          <cell r="F1049" t="str">
            <v>FERRER COLMENAREZ JOSE</v>
          </cell>
          <cell r="G1049" t="str">
            <v>FERRER COLMENAREZ JOSE</v>
          </cell>
          <cell r="H1049" t="str">
            <v>002377394</v>
          </cell>
          <cell r="I1049" t="str">
            <v>BCP</v>
          </cell>
          <cell r="J1049" t="str">
            <v>19191805658085</v>
          </cell>
          <cell r="K1049" t="str">
            <v>CE</v>
          </cell>
          <cell r="L1049">
            <v>15603403531</v>
          </cell>
          <cell r="M1049" t="str">
            <v>AEROLINEAS</v>
          </cell>
          <cell r="N1049">
            <v>45167</v>
          </cell>
          <cell r="O1049">
            <v>0</v>
          </cell>
          <cell r="P1049" t="str">
            <v>COMFORT XL</v>
          </cell>
        </row>
        <row r="1050">
          <cell r="A1050">
            <v>2610</v>
          </cell>
          <cell r="B1050">
            <v>2610</v>
          </cell>
          <cell r="C1050" t="str">
            <v>CERO MATRICULA</v>
          </cell>
          <cell r="D1050" t="str">
            <v>ACTIVO</v>
          </cell>
          <cell r="E1050" t="str">
            <v>CFL-247</v>
          </cell>
          <cell r="F1050" t="str">
            <v>CHAMPA RODRIGUEZ GIANCARLO</v>
          </cell>
          <cell r="G1050" t="str">
            <v>CHAMPA RODRIGUEZ GIANCARLO</v>
          </cell>
          <cell r="H1050" t="str">
            <v>74350214</v>
          </cell>
          <cell r="I1050" t="str">
            <v>BCP</v>
          </cell>
          <cell r="J1050" t="str">
            <v>19193355505088</v>
          </cell>
          <cell r="K1050" t="str">
            <v>DNI</v>
          </cell>
          <cell r="L1050">
            <v>10743502146</v>
          </cell>
          <cell r="M1050" t="str">
            <v>URBANO</v>
          </cell>
          <cell r="N1050">
            <v>45167</v>
          </cell>
          <cell r="O1050">
            <v>0</v>
          </cell>
          <cell r="P1050" t="str">
            <v>COMFORT</v>
          </cell>
        </row>
        <row r="1051">
          <cell r="A1051">
            <v>2611</v>
          </cell>
          <cell r="B1051">
            <v>2611</v>
          </cell>
          <cell r="C1051" t="str">
            <v>CERO MATRICULA</v>
          </cell>
          <cell r="D1051" t="str">
            <v>ACTIVO</v>
          </cell>
          <cell r="E1051" t="str">
            <v>BDX261</v>
          </cell>
          <cell r="F1051" t="str">
            <v>Purizaca Anton Luis alberto</v>
          </cell>
          <cell r="G1051" t="str">
            <v>PURIZACA ANTON LUIS ALBERTO</v>
          </cell>
          <cell r="H1051" t="str">
            <v>09904811</v>
          </cell>
          <cell r="I1051" t="str">
            <v>BCP</v>
          </cell>
          <cell r="J1051" t="str">
            <v>19175950053023</v>
          </cell>
          <cell r="K1051" t="str">
            <v>DNI</v>
          </cell>
          <cell r="L1051">
            <v>10099048111</v>
          </cell>
          <cell r="M1051" t="str">
            <v>URBANO PARTNER</v>
          </cell>
          <cell r="N1051">
            <v>45532</v>
          </cell>
          <cell r="O1051">
            <v>0</v>
          </cell>
          <cell r="P1051" t="str">
            <v>COMFORT XL</v>
          </cell>
        </row>
        <row r="1052">
          <cell r="A1052">
            <v>2612</v>
          </cell>
          <cell r="B1052">
            <v>2612</v>
          </cell>
          <cell r="C1052" t="str">
            <v>CERO MATRICULA</v>
          </cell>
          <cell r="D1052" t="str">
            <v>ACTIVO</v>
          </cell>
          <cell r="E1052" t="str">
            <v>BVI608</v>
          </cell>
          <cell r="F1052" t="str">
            <v>VASQUEZ ROMERO JEYSEN</v>
          </cell>
          <cell r="G1052" t="str">
            <v>YAURIMUCHA ARONI ELSI</v>
          </cell>
          <cell r="H1052" t="str">
            <v>74411056</v>
          </cell>
          <cell r="I1052" t="str">
            <v>BCP</v>
          </cell>
          <cell r="J1052" t="str">
            <v>1919-6327328029</v>
          </cell>
          <cell r="K1052" t="str">
            <v>DNI</v>
          </cell>
          <cell r="L1052">
            <v>10744110560</v>
          </cell>
          <cell r="M1052" t="str">
            <v>URBANO</v>
          </cell>
          <cell r="N1052">
            <v>45169</v>
          </cell>
          <cell r="O1052">
            <v>0</v>
          </cell>
          <cell r="P1052" t="str">
            <v>XL</v>
          </cell>
        </row>
        <row r="1053">
          <cell r="A1053">
            <v>2614</v>
          </cell>
          <cell r="B1053">
            <v>2614</v>
          </cell>
          <cell r="C1053" t="str">
            <v>CERO MATRICULA</v>
          </cell>
          <cell r="D1053" t="str">
            <v>ACTIVO</v>
          </cell>
          <cell r="E1053" t="str">
            <v>BZI508</v>
          </cell>
          <cell r="F1053" t="str">
            <v>MEZA MONTOYA JORGE</v>
          </cell>
          <cell r="G1053" t="str">
            <v>MEZA MONTOYA JORGE</v>
          </cell>
          <cell r="H1053" t="str">
            <v>10174689</v>
          </cell>
          <cell r="I1053" t="str">
            <v>BCP</v>
          </cell>
          <cell r="J1053" t="str">
            <v>1932773836-3046</v>
          </cell>
          <cell r="K1053" t="str">
            <v>DNI</v>
          </cell>
          <cell r="L1053">
            <v>10101746891</v>
          </cell>
          <cell r="M1053" t="str">
            <v>URBANO</v>
          </cell>
          <cell r="N1053">
            <v>45169</v>
          </cell>
          <cell r="O1053">
            <v>0</v>
          </cell>
          <cell r="P1053" t="str">
            <v>COMFORT XL</v>
          </cell>
        </row>
        <row r="1054">
          <cell r="A1054">
            <v>2617</v>
          </cell>
          <cell r="B1054">
            <v>2617</v>
          </cell>
          <cell r="C1054" t="str">
            <v>CERO MATRICULA</v>
          </cell>
          <cell r="D1054" t="str">
            <v>ACTIVO</v>
          </cell>
          <cell r="E1054" t="str">
            <v>BAP235</v>
          </cell>
          <cell r="F1054" t="str">
            <v>ACOSTA ALFARO DANIEL</v>
          </cell>
          <cell r="G1054" t="str">
            <v>ACOSTA ALFARO DANIEL</v>
          </cell>
          <cell r="H1054" t="str">
            <v>42230029</v>
          </cell>
          <cell r="I1054" t="str">
            <v>BCP</v>
          </cell>
          <cell r="J1054" t="str">
            <v>193-94410481020</v>
          </cell>
          <cell r="K1054" t="str">
            <v>DNI</v>
          </cell>
          <cell r="L1054">
            <v>10422300291</v>
          </cell>
          <cell r="M1054" t="str">
            <v>URBANO</v>
          </cell>
          <cell r="N1054">
            <v>45170</v>
          </cell>
          <cell r="O1054">
            <v>0</v>
          </cell>
          <cell r="P1054" t="str">
            <v>COMFORT XL</v>
          </cell>
        </row>
        <row r="1055">
          <cell r="A1055">
            <v>2618</v>
          </cell>
          <cell r="B1055">
            <v>2618</v>
          </cell>
          <cell r="C1055" t="str">
            <v>CERO MATRICULA</v>
          </cell>
          <cell r="D1055" t="str">
            <v>ACTIVO</v>
          </cell>
          <cell r="E1055" t="str">
            <v>BSJ407</v>
          </cell>
          <cell r="F1055" t="str">
            <v xml:space="preserve">BENITES LOAYSA DARWIN </v>
          </cell>
          <cell r="G1055" t="str">
            <v xml:space="preserve">BENITES LOAYSA DARWIN </v>
          </cell>
          <cell r="H1055" t="str">
            <v>40280347</v>
          </cell>
          <cell r="I1055" t="str">
            <v>BCP</v>
          </cell>
          <cell r="J1055" t="str">
            <v>193-34438301061</v>
          </cell>
          <cell r="K1055" t="str">
            <v>DNI</v>
          </cell>
          <cell r="L1055">
            <v>10402803474</v>
          </cell>
          <cell r="M1055" t="str">
            <v>URBANO</v>
          </cell>
          <cell r="N1055">
            <v>45170</v>
          </cell>
          <cell r="O1055">
            <v>0</v>
          </cell>
          <cell r="P1055" t="str">
            <v>LITE</v>
          </cell>
        </row>
        <row r="1056">
          <cell r="A1056">
            <v>2619</v>
          </cell>
          <cell r="B1056">
            <v>2619</v>
          </cell>
          <cell r="C1056" t="str">
            <v>CERO MATRICULA</v>
          </cell>
          <cell r="D1056" t="str">
            <v>ACTIVO</v>
          </cell>
          <cell r="E1056" t="str">
            <v xml:space="preserve">CFD138 </v>
          </cell>
          <cell r="F1056" t="str">
            <v>ROSAS RONDAN RICHARD</v>
          </cell>
          <cell r="G1056" t="str">
            <v>ROSAS RONDAN RICHARD</v>
          </cell>
          <cell r="H1056" t="str">
            <v>76287312</v>
          </cell>
          <cell r="I1056" t="str">
            <v>BCP</v>
          </cell>
          <cell r="J1056" t="str">
            <v>192-95141331-0-53</v>
          </cell>
          <cell r="K1056" t="str">
            <v>DNI</v>
          </cell>
          <cell r="L1056">
            <v>10762873121</v>
          </cell>
          <cell r="M1056" t="str">
            <v>URBANO</v>
          </cell>
          <cell r="N1056">
            <v>45170</v>
          </cell>
          <cell r="O1056">
            <v>0</v>
          </cell>
          <cell r="P1056" t="str">
            <v>LITE</v>
          </cell>
        </row>
        <row r="1057">
          <cell r="A1057">
            <v>2620</v>
          </cell>
          <cell r="B1057">
            <v>2620</v>
          </cell>
          <cell r="C1057" t="str">
            <v>CERO MATRICULA</v>
          </cell>
          <cell r="D1057" t="str">
            <v>ACTIVO</v>
          </cell>
          <cell r="E1057" t="str">
            <v xml:space="preserve">CFI043 </v>
          </cell>
          <cell r="F1057" t="str">
            <v>VARGAS ROJAS DAVID</v>
          </cell>
          <cell r="G1057" t="str">
            <v>VARGAS ROJAS DAVID</v>
          </cell>
          <cell r="H1057" t="str">
            <v>46145314</v>
          </cell>
          <cell r="I1057" t="str">
            <v>INTERBANK</v>
          </cell>
          <cell r="J1057" t="str">
            <v>8983-227352886</v>
          </cell>
          <cell r="K1057" t="str">
            <v>DNI</v>
          </cell>
          <cell r="L1057">
            <v>10461453142</v>
          </cell>
          <cell r="M1057" t="str">
            <v>URBANO</v>
          </cell>
          <cell r="N1057">
            <v>45170</v>
          </cell>
          <cell r="O1057">
            <v>0</v>
          </cell>
          <cell r="P1057" t="str">
            <v>COMFORT</v>
          </cell>
        </row>
        <row r="1058">
          <cell r="A1058">
            <v>2621</v>
          </cell>
          <cell r="B1058">
            <v>2621</v>
          </cell>
          <cell r="C1058" t="str">
            <v>CERO MATRICULA</v>
          </cell>
          <cell r="D1058" t="str">
            <v>ACTIVO</v>
          </cell>
          <cell r="E1058" t="str">
            <v>BVL-156</v>
          </cell>
          <cell r="F1058" t="str">
            <v xml:space="preserve">PEREZ ROA JEFFERSON </v>
          </cell>
          <cell r="G1058" t="str">
            <v xml:space="preserve">PEREZ ROA JEFFERSON </v>
          </cell>
          <cell r="H1058" t="str">
            <v>004978918</v>
          </cell>
          <cell r="I1058" t="str">
            <v>BBVA</v>
          </cell>
          <cell r="J1058" t="str">
            <v>0011-0317-0200768772</v>
          </cell>
          <cell r="K1058" t="str">
            <v>CE</v>
          </cell>
          <cell r="L1058">
            <v>15610300836</v>
          </cell>
          <cell r="M1058" t="str">
            <v>URBANO</v>
          </cell>
          <cell r="N1058">
            <v>45174</v>
          </cell>
          <cell r="O1058">
            <v>0</v>
          </cell>
          <cell r="P1058" t="str">
            <v>XL</v>
          </cell>
        </row>
        <row r="1059">
          <cell r="A1059">
            <v>2622</v>
          </cell>
          <cell r="B1059">
            <v>2622</v>
          </cell>
          <cell r="C1059" t="str">
            <v>CERO MATRICULA</v>
          </cell>
          <cell r="D1059" t="str">
            <v>ACTIVO</v>
          </cell>
          <cell r="E1059" t="str">
            <v>BPI-652</v>
          </cell>
          <cell r="F1059" t="str">
            <v>NUÑEZ GONZALES KENDRY</v>
          </cell>
          <cell r="G1059" t="str">
            <v>NUÑEZ GONZALES KENDRY</v>
          </cell>
          <cell r="H1059" t="str">
            <v>002262151</v>
          </cell>
          <cell r="I1059" t="str">
            <v>BCP</v>
          </cell>
          <cell r="J1059" t="str">
            <v>191402406-82052</v>
          </cell>
          <cell r="K1059" t="str">
            <v>CE</v>
          </cell>
          <cell r="L1059">
            <v>15603317057</v>
          </cell>
          <cell r="M1059" t="str">
            <v>URBANO</v>
          </cell>
          <cell r="N1059">
            <v>45174</v>
          </cell>
          <cell r="O1059">
            <v>0</v>
          </cell>
          <cell r="P1059" t="str">
            <v>LITE</v>
          </cell>
        </row>
        <row r="1060">
          <cell r="A1060">
            <v>2623</v>
          </cell>
          <cell r="B1060">
            <v>2623</v>
          </cell>
          <cell r="C1060" t="str">
            <v>CERO MATRICULA</v>
          </cell>
          <cell r="D1060" t="str">
            <v>ACTIVO</v>
          </cell>
          <cell r="E1060" t="str">
            <v>BYR-309</v>
          </cell>
          <cell r="F1060" t="str">
            <v>CALLE CACHAY MAX</v>
          </cell>
          <cell r="G1060" t="str">
            <v>CALLE CACHAY MAX</v>
          </cell>
          <cell r="H1060" t="str">
            <v>44796137</v>
          </cell>
          <cell r="I1060" t="str">
            <v>BCP</v>
          </cell>
          <cell r="J1060" t="str">
            <v>19198475955059</v>
          </cell>
          <cell r="K1060" t="str">
            <v>DNI</v>
          </cell>
          <cell r="L1060">
            <v>10447961372</v>
          </cell>
          <cell r="M1060" t="str">
            <v>URBANO</v>
          </cell>
          <cell r="N1060">
            <v>45174</v>
          </cell>
          <cell r="O1060">
            <v>0</v>
          </cell>
          <cell r="P1060" t="str">
            <v>COMFORT XL</v>
          </cell>
        </row>
        <row r="1061">
          <cell r="A1061">
            <v>2624</v>
          </cell>
          <cell r="B1061">
            <v>2624</v>
          </cell>
          <cell r="C1061" t="str">
            <v>CERO MATRICULA</v>
          </cell>
          <cell r="D1061" t="str">
            <v>ACTIVO</v>
          </cell>
          <cell r="E1061" t="str">
            <v>AVE397</v>
          </cell>
          <cell r="F1061" t="str">
            <v>ESCUDERO ALIAGA MIGUEL</v>
          </cell>
          <cell r="G1061" t="str">
            <v>ESCUDERO ALIAGA MIGUEL</v>
          </cell>
          <cell r="H1061" t="str">
            <v>10300853</v>
          </cell>
          <cell r="I1061" t="str">
            <v>BCP</v>
          </cell>
          <cell r="J1061" t="str">
            <v>19492307775074</v>
          </cell>
          <cell r="K1061" t="str">
            <v>DNI</v>
          </cell>
          <cell r="L1061">
            <v>10103008536</v>
          </cell>
          <cell r="M1061" t="str">
            <v>URBANO</v>
          </cell>
          <cell r="N1061">
            <v>45174</v>
          </cell>
          <cell r="O1061">
            <v>0</v>
          </cell>
          <cell r="P1061" t="str">
            <v>LITE</v>
          </cell>
        </row>
        <row r="1062">
          <cell r="A1062">
            <v>2626</v>
          </cell>
          <cell r="B1062">
            <v>2626</v>
          </cell>
          <cell r="C1062" t="str">
            <v>CERO MATRICULA</v>
          </cell>
          <cell r="D1062" t="str">
            <v>ACTIVO</v>
          </cell>
          <cell r="E1062" t="str">
            <v>CHG-340</v>
          </cell>
          <cell r="F1062" t="str">
            <v>LINARES MENDOZA WILMAN</v>
          </cell>
          <cell r="G1062" t="str">
            <v>LINARES MENDOZA WILMAN</v>
          </cell>
          <cell r="H1062" t="str">
            <v>42921397</v>
          </cell>
          <cell r="I1062" t="str">
            <v>BCP</v>
          </cell>
          <cell r="J1062" t="str">
            <v>19138974951035</v>
          </cell>
          <cell r="K1062" t="str">
            <v>DNI</v>
          </cell>
          <cell r="L1062">
            <v>10429213971</v>
          </cell>
          <cell r="M1062" t="str">
            <v>URBANO PARTNER</v>
          </cell>
          <cell r="N1062">
            <v>45174</v>
          </cell>
          <cell r="O1062">
            <v>0</v>
          </cell>
          <cell r="P1062" t="str">
            <v>COMFORT XL</v>
          </cell>
        </row>
        <row r="1063">
          <cell r="A1063">
            <v>2627</v>
          </cell>
          <cell r="B1063">
            <v>2627</v>
          </cell>
          <cell r="C1063" t="str">
            <v>CERO MATRICULA</v>
          </cell>
          <cell r="D1063" t="str">
            <v>ACTIVO</v>
          </cell>
          <cell r="E1063" t="str">
            <v>CCK-592</v>
          </cell>
          <cell r="F1063" t="str">
            <v>NIZAMA ZEÑA JOSE</v>
          </cell>
          <cell r="G1063" t="str">
            <v>NIZAMA ZEÑA JOSE</v>
          </cell>
          <cell r="H1063" t="str">
            <v>43457762</v>
          </cell>
          <cell r="I1063" t="str">
            <v>BBVA</v>
          </cell>
          <cell r="J1063" t="str">
            <v>0011-08140220550627</v>
          </cell>
          <cell r="K1063" t="str">
            <v>DNI</v>
          </cell>
          <cell r="L1063">
            <v>10434577620</v>
          </cell>
          <cell r="M1063" t="str">
            <v>URBANO</v>
          </cell>
          <cell r="N1063">
            <v>45174</v>
          </cell>
          <cell r="O1063">
            <v>0</v>
          </cell>
          <cell r="P1063" t="str">
            <v>LITE</v>
          </cell>
        </row>
        <row r="1064">
          <cell r="A1064">
            <v>2628</v>
          </cell>
          <cell r="B1064">
            <v>2628</v>
          </cell>
          <cell r="C1064" t="str">
            <v>CERO MATRICULA</v>
          </cell>
          <cell r="D1064" t="str">
            <v>ACTIVO</v>
          </cell>
          <cell r="E1064" t="str">
            <v>Z6F288</v>
          </cell>
          <cell r="F1064" t="str">
            <v>UZCATEGUI ZAMBRANO RAFAEL</v>
          </cell>
          <cell r="G1064" t="str">
            <v>UZCATEGUI ZAMBRANO RAFAEL</v>
          </cell>
          <cell r="H1064" t="str">
            <v>003762483</v>
          </cell>
          <cell r="I1064" t="str">
            <v>BCP</v>
          </cell>
          <cell r="J1064" t="str">
            <v>19193508276001</v>
          </cell>
          <cell r="K1064" t="str">
            <v>CE</v>
          </cell>
          <cell r="L1064">
            <v>15604276184</v>
          </cell>
          <cell r="M1064" t="str">
            <v>URBANO</v>
          </cell>
          <cell r="N1064">
            <v>45175</v>
          </cell>
          <cell r="O1064">
            <v>0</v>
          </cell>
          <cell r="P1064" t="str">
            <v>LITE</v>
          </cell>
        </row>
        <row r="1065">
          <cell r="A1065">
            <v>2630</v>
          </cell>
          <cell r="B1065">
            <v>2630</v>
          </cell>
          <cell r="C1065" t="str">
            <v>CERO MATRICULA</v>
          </cell>
          <cell r="D1065" t="str">
            <v>ACTIVO</v>
          </cell>
          <cell r="E1065" t="str">
            <v>AYA  610</v>
          </cell>
          <cell r="F1065" t="str">
            <v>BILBAO CURI CRISTHIAN</v>
          </cell>
          <cell r="G1065" t="str">
            <v>BILBAO CURI CRISTHIAN</v>
          </cell>
          <cell r="H1065" t="str">
            <v>43227364</v>
          </cell>
          <cell r="I1065" t="str">
            <v>BCP</v>
          </cell>
          <cell r="J1065" t="str">
            <v>19493217377064</v>
          </cell>
          <cell r="K1065" t="str">
            <v>DNI</v>
          </cell>
          <cell r="L1065">
            <v>10432273640</v>
          </cell>
          <cell r="M1065" t="str">
            <v>URBANO</v>
          </cell>
          <cell r="N1065">
            <v>45175</v>
          </cell>
          <cell r="O1065">
            <v>0</v>
          </cell>
          <cell r="P1065" t="str">
            <v>COMFORT</v>
          </cell>
        </row>
        <row r="1066">
          <cell r="A1066">
            <v>2631</v>
          </cell>
          <cell r="B1066">
            <v>2631</v>
          </cell>
          <cell r="C1066" t="str">
            <v>CERO MATRICULA</v>
          </cell>
          <cell r="D1066" t="str">
            <v>ACTIVO</v>
          </cell>
          <cell r="E1066" t="str">
            <v xml:space="preserve">CFW098 </v>
          </cell>
          <cell r="F1066" t="str">
            <v>CASTAÑEDA SANCHEZ LUIS</v>
          </cell>
          <cell r="G1066" t="str">
            <v>CASTAÑEDA SANCHEZ LUIS</v>
          </cell>
          <cell r="H1066" t="str">
            <v>06026469</v>
          </cell>
          <cell r="I1066" t="str">
            <v>BCP</v>
          </cell>
          <cell r="J1066" t="str">
            <v>19435590552051</v>
          </cell>
          <cell r="K1066" t="str">
            <v>DNI</v>
          </cell>
          <cell r="L1066">
            <v>10060264690</v>
          </cell>
          <cell r="M1066" t="str">
            <v>URBANO</v>
          </cell>
          <cell r="N1066">
            <v>45175</v>
          </cell>
          <cell r="O1066">
            <v>0</v>
          </cell>
          <cell r="P1066" t="str">
            <v>COMFORT XL</v>
          </cell>
        </row>
        <row r="1067">
          <cell r="A1067">
            <v>2632</v>
          </cell>
          <cell r="B1067">
            <v>2632</v>
          </cell>
          <cell r="C1067" t="str">
            <v>CERO MATRICULA</v>
          </cell>
          <cell r="D1067" t="str">
            <v>ACTIVO</v>
          </cell>
          <cell r="E1067" t="str">
            <v>T6W 236</v>
          </cell>
          <cell r="F1067" t="str">
            <v>ALCAZAR QUINTEROS RODOLFO</v>
          </cell>
          <cell r="G1067" t="str">
            <v>ALCAZAR QUINTEROS RODOLFO</v>
          </cell>
          <cell r="H1067" t="str">
            <v>25827909</v>
          </cell>
          <cell r="I1067" t="str">
            <v>BBVA</v>
          </cell>
          <cell r="J1067" t="str">
            <v>00110814-0244976714</v>
          </cell>
          <cell r="K1067" t="str">
            <v>DNI</v>
          </cell>
          <cell r="L1067">
            <v>10258279099</v>
          </cell>
          <cell r="M1067" t="str">
            <v>URBANO</v>
          </cell>
          <cell r="N1067">
            <v>45176</v>
          </cell>
          <cell r="O1067">
            <v>0</v>
          </cell>
          <cell r="P1067" t="str">
            <v>LITE</v>
          </cell>
        </row>
        <row r="1068">
          <cell r="A1068">
            <v>2633</v>
          </cell>
          <cell r="B1068">
            <v>2633</v>
          </cell>
          <cell r="C1068" t="str">
            <v>CERO MATRICULA</v>
          </cell>
          <cell r="D1068" t="str">
            <v>ACTIVO</v>
          </cell>
          <cell r="E1068" t="str">
            <v xml:space="preserve">BLE267 </v>
          </cell>
          <cell r="F1068" t="str">
            <v>PUENTE HUATUCO WILLIAM</v>
          </cell>
          <cell r="G1068" t="str">
            <v>PUENTE HUATUCO WILLIAM</v>
          </cell>
          <cell r="H1068" t="str">
            <v>40243079</v>
          </cell>
          <cell r="I1068" t="str">
            <v>BCP</v>
          </cell>
          <cell r="J1068" t="str">
            <v>1933-5555256098</v>
          </cell>
          <cell r="K1068" t="str">
            <v>DNI</v>
          </cell>
          <cell r="L1068">
            <v>10402430791</v>
          </cell>
          <cell r="M1068" t="str">
            <v>URBANO</v>
          </cell>
          <cell r="N1068">
            <v>45176</v>
          </cell>
          <cell r="O1068">
            <v>0</v>
          </cell>
          <cell r="P1068" t="str">
            <v>COMFORT XL</v>
          </cell>
        </row>
        <row r="1069">
          <cell r="A1069">
            <v>2634</v>
          </cell>
          <cell r="B1069">
            <v>2634</v>
          </cell>
          <cell r="C1069" t="str">
            <v>CERO MATRICULA</v>
          </cell>
          <cell r="D1069" t="str">
            <v>ACTIVO</v>
          </cell>
          <cell r="E1069" t="str">
            <v>BYR-142</v>
          </cell>
          <cell r="F1069" t="str">
            <v>BARRETO  CASTILLO WENDY</v>
          </cell>
          <cell r="G1069" t="str">
            <v>BARRETO  CASTILLO WENDY</v>
          </cell>
          <cell r="H1069" t="str">
            <v>000432660</v>
          </cell>
          <cell r="I1069" t="str">
            <v>BCP</v>
          </cell>
          <cell r="J1069" t="str">
            <v>19406583908011</v>
          </cell>
          <cell r="K1069" t="str">
            <v>CE</v>
          </cell>
          <cell r="L1069">
            <v>15610457182</v>
          </cell>
          <cell r="M1069" t="str">
            <v>URBANO</v>
          </cell>
          <cell r="N1069">
            <v>45176</v>
          </cell>
          <cell r="O1069">
            <v>0</v>
          </cell>
          <cell r="P1069" t="str">
            <v>LITE</v>
          </cell>
        </row>
        <row r="1070">
          <cell r="A1070">
            <v>2636</v>
          </cell>
          <cell r="B1070">
            <v>2636</v>
          </cell>
          <cell r="C1070" t="str">
            <v>CERO MATRICULA</v>
          </cell>
          <cell r="D1070" t="str">
            <v>ACTIVO</v>
          </cell>
          <cell r="E1070" t="str">
            <v xml:space="preserve">BSO220 </v>
          </cell>
          <cell r="F1070" t="str">
            <v>CHUNGA CHAPA JORGE</v>
          </cell>
          <cell r="G1070" t="str">
            <v>CHUNGA CHAPA JORGE</v>
          </cell>
          <cell r="H1070" t="str">
            <v>71412334</v>
          </cell>
          <cell r="I1070" t="str">
            <v>BBVA</v>
          </cell>
          <cell r="J1070" t="str">
            <v>0011-0814-0247873355</v>
          </cell>
          <cell r="K1070" t="str">
            <v>DNI</v>
          </cell>
          <cell r="L1070">
            <v>10714123349</v>
          </cell>
          <cell r="M1070" t="str">
            <v>URBANO</v>
          </cell>
          <cell r="N1070">
            <v>45177</v>
          </cell>
          <cell r="O1070">
            <v>0</v>
          </cell>
          <cell r="P1070" t="str">
            <v>LITE</v>
          </cell>
        </row>
        <row r="1071">
          <cell r="A1071">
            <v>2637</v>
          </cell>
          <cell r="B1071">
            <v>2637</v>
          </cell>
          <cell r="C1071" t="str">
            <v>CERO MATRICULA</v>
          </cell>
          <cell r="D1071" t="str">
            <v>ACTIVO</v>
          </cell>
          <cell r="E1071" t="str">
            <v>bpi137</v>
          </cell>
          <cell r="F1071" t="str">
            <v>TORRES ESPINOZA NEQUER</v>
          </cell>
          <cell r="G1071" t="str">
            <v>TORRES ESPINOZA NEQUER</v>
          </cell>
          <cell r="H1071" t="str">
            <v>09631909</v>
          </cell>
          <cell r="I1071" t="str">
            <v>BCP</v>
          </cell>
          <cell r="J1071" t="str">
            <v>19101620319085</v>
          </cell>
          <cell r="K1071" t="str">
            <v>DNI</v>
          </cell>
          <cell r="L1071">
            <v>10096319091</v>
          </cell>
          <cell r="M1071" t="str">
            <v>URBANO</v>
          </cell>
          <cell r="N1071">
            <v>45176</v>
          </cell>
          <cell r="O1071">
            <v>0</v>
          </cell>
          <cell r="P1071" t="str">
            <v>LITE</v>
          </cell>
        </row>
        <row r="1072">
          <cell r="A1072">
            <v>2638</v>
          </cell>
          <cell r="B1072">
            <v>2638</v>
          </cell>
          <cell r="C1072" t="str">
            <v>CERO MATRICULA</v>
          </cell>
          <cell r="D1072" t="str">
            <v>ACTIVO</v>
          </cell>
          <cell r="E1072" t="str">
            <v>CFY036</v>
          </cell>
          <cell r="F1072" t="str">
            <v>CHAVEZ SIERRA JORGE</v>
          </cell>
          <cell r="G1072" t="str">
            <v>CHAVEZ SIERRA JORGE</v>
          </cell>
          <cell r="H1072" t="str">
            <v>79107269</v>
          </cell>
          <cell r="I1072" t="str">
            <v>BCP</v>
          </cell>
          <cell r="J1072" t="str">
            <v>19105169950070</v>
          </cell>
          <cell r="K1072" t="str">
            <v>DNI</v>
          </cell>
          <cell r="L1072">
            <v>10791072692</v>
          </cell>
          <cell r="M1072" t="str">
            <v>URBANO</v>
          </cell>
          <cell r="N1072">
            <v>45177</v>
          </cell>
          <cell r="O1072">
            <v>0</v>
          </cell>
          <cell r="P1072" t="str">
            <v>LITE</v>
          </cell>
        </row>
        <row r="1073">
          <cell r="A1073">
            <v>2639</v>
          </cell>
          <cell r="B1073">
            <v>2639</v>
          </cell>
          <cell r="C1073" t="str">
            <v>CERO MATRICULA</v>
          </cell>
          <cell r="D1073" t="str">
            <v>ACTIVO</v>
          </cell>
          <cell r="E1073" t="str">
            <v>BPH300</v>
          </cell>
          <cell r="F1073" t="str">
            <v>RAMIREZ RIVAS LUIS</v>
          </cell>
          <cell r="G1073" t="str">
            <v>RAMIREZ RIVAS LUIS</v>
          </cell>
          <cell r="H1073" t="str">
            <v>005047225</v>
          </cell>
          <cell r="I1073" t="str">
            <v>BCP</v>
          </cell>
          <cell r="J1073" t="str">
            <v>19104914585025</v>
          </cell>
          <cell r="K1073" t="str">
            <v>CE</v>
          </cell>
          <cell r="L1073">
            <v>15608564656</v>
          </cell>
          <cell r="M1073" t="str">
            <v>URBANO</v>
          </cell>
          <cell r="N1073">
            <v>45177</v>
          </cell>
          <cell r="O1073">
            <v>0</v>
          </cell>
          <cell r="P1073" t="str">
            <v>LITE</v>
          </cell>
        </row>
        <row r="1074">
          <cell r="A1074">
            <v>2640</v>
          </cell>
          <cell r="B1074">
            <v>2640</v>
          </cell>
          <cell r="C1074" t="str">
            <v>CERO MATRICULA</v>
          </cell>
          <cell r="D1074" t="str">
            <v>ACTIVO</v>
          </cell>
          <cell r="E1074" t="str">
            <v>Cas-044</v>
          </cell>
          <cell r="F1074" t="str">
            <v>FERNANDEZ RODRIGUEZ EDUARDO</v>
          </cell>
          <cell r="G1074" t="str">
            <v>FERNANDEZ RODRIGUEZ EDUARDO</v>
          </cell>
          <cell r="H1074" t="str">
            <v>003987650</v>
          </cell>
          <cell r="I1074" t="str">
            <v>BCP</v>
          </cell>
          <cell r="J1074" t="str">
            <v>19103843227046</v>
          </cell>
          <cell r="K1074" t="str">
            <v>CE</v>
          </cell>
          <cell r="L1074">
            <v>15609773674</v>
          </cell>
          <cell r="M1074" t="str">
            <v>URBANO</v>
          </cell>
          <cell r="N1074">
            <v>45177</v>
          </cell>
          <cell r="O1074">
            <v>0</v>
          </cell>
          <cell r="P1074" t="str">
            <v>LITE</v>
          </cell>
        </row>
        <row r="1075">
          <cell r="A1075">
            <v>2641</v>
          </cell>
          <cell r="B1075">
            <v>2641</v>
          </cell>
          <cell r="C1075" t="str">
            <v>CERO MATRICULA</v>
          </cell>
          <cell r="D1075" t="str">
            <v>ACTIVO</v>
          </cell>
          <cell r="E1075" t="str">
            <v>BCU-609</v>
          </cell>
          <cell r="F1075" t="str">
            <v>LAURENTE GUERRERO JUNIOR</v>
          </cell>
          <cell r="G1075" t="str">
            <v>LAURENTE GUERRERO JUNIOR</v>
          </cell>
          <cell r="H1075" t="str">
            <v>75534325</v>
          </cell>
          <cell r="I1075" t="str">
            <v>BCP</v>
          </cell>
          <cell r="J1075" t="str">
            <v>19193768240091</v>
          </cell>
          <cell r="K1075" t="str">
            <v>DNI</v>
          </cell>
          <cell r="L1075">
            <v>10755343256</v>
          </cell>
          <cell r="M1075" t="str">
            <v>URBANO</v>
          </cell>
          <cell r="N1075">
            <v>45177</v>
          </cell>
          <cell r="O1075">
            <v>0</v>
          </cell>
          <cell r="P1075" t="str">
            <v>COMFORT</v>
          </cell>
        </row>
        <row r="1076">
          <cell r="A1076">
            <v>2642</v>
          </cell>
          <cell r="B1076">
            <v>2642</v>
          </cell>
          <cell r="C1076" t="str">
            <v>CERO MATRICULA</v>
          </cell>
          <cell r="D1076" t="str">
            <v>ACTIVO</v>
          </cell>
          <cell r="E1076" t="str">
            <v>V8K421</v>
          </cell>
          <cell r="F1076" t="str">
            <v>MARCANO MANZANO CARLOS ALBERTO</v>
          </cell>
          <cell r="G1076" t="str">
            <v>MARCANO MANZANO CARLOS ALBERTO</v>
          </cell>
          <cell r="H1076" t="str">
            <v>002172708</v>
          </cell>
          <cell r="I1076" t="str">
            <v>BCP</v>
          </cell>
          <cell r="J1076" t="str">
            <v>194-91551641003</v>
          </cell>
          <cell r="K1076" t="str">
            <v>CE</v>
          </cell>
          <cell r="L1076">
            <v>15603527361</v>
          </cell>
          <cell r="M1076" t="str">
            <v>URBANO</v>
          </cell>
          <cell r="N1076">
            <v>45180</v>
          </cell>
          <cell r="O1076">
            <v>0</v>
          </cell>
          <cell r="P1076" t="str">
            <v>LITE</v>
          </cell>
        </row>
        <row r="1077">
          <cell r="A1077">
            <v>2643</v>
          </cell>
          <cell r="B1077">
            <v>2643</v>
          </cell>
          <cell r="C1077" t="str">
            <v>CERO MATRICULA</v>
          </cell>
          <cell r="D1077" t="str">
            <v>ACTIVO</v>
          </cell>
          <cell r="E1077" t="str">
            <v xml:space="preserve">BXB177 </v>
          </cell>
          <cell r="F1077" t="str">
            <v>CORREA  PEREZ JOSUE</v>
          </cell>
          <cell r="G1077" t="str">
            <v>CORREA  PEREZ JOSUE</v>
          </cell>
          <cell r="H1077" t="str">
            <v>003813146</v>
          </cell>
          <cell r="I1077" t="str">
            <v>INTERBANK</v>
          </cell>
          <cell r="J1077" t="str">
            <v>6303-277092203</v>
          </cell>
          <cell r="K1077" t="str">
            <v>CE</v>
          </cell>
          <cell r="L1077">
            <v>15608219851</v>
          </cell>
          <cell r="M1077" t="str">
            <v>URBANO</v>
          </cell>
          <cell r="N1077">
            <v>45180</v>
          </cell>
          <cell r="O1077">
            <v>0</v>
          </cell>
          <cell r="P1077" t="str">
            <v>LITE</v>
          </cell>
        </row>
        <row r="1078">
          <cell r="A1078">
            <v>2644</v>
          </cell>
          <cell r="B1078">
            <v>2644</v>
          </cell>
          <cell r="C1078" t="str">
            <v>CERO MATRICULA</v>
          </cell>
          <cell r="D1078" t="str">
            <v>ACTIVO</v>
          </cell>
          <cell r="E1078" t="str">
            <v>BKJ-258</v>
          </cell>
          <cell r="F1078" t="str">
            <v>MONTOYA MANZO JAIRO</v>
          </cell>
          <cell r="G1078" t="str">
            <v>MONTOYA MANZO JAIRO</v>
          </cell>
          <cell r="H1078" t="str">
            <v>46588949</v>
          </cell>
          <cell r="I1078" t="str">
            <v>SCOTIABANK</v>
          </cell>
          <cell r="J1078" t="str">
            <v xml:space="preserve">410-0271065 </v>
          </cell>
          <cell r="K1078" t="str">
            <v>DNI</v>
          </cell>
          <cell r="L1078">
            <v>10465889492</v>
          </cell>
          <cell r="M1078" t="str">
            <v>URBANO</v>
          </cell>
          <cell r="N1078">
            <v>45180</v>
          </cell>
          <cell r="O1078">
            <v>0</v>
          </cell>
          <cell r="P1078" t="str">
            <v>COMFORT XL</v>
          </cell>
        </row>
        <row r="1079">
          <cell r="A1079">
            <v>2649</v>
          </cell>
          <cell r="B1079">
            <v>2649</v>
          </cell>
          <cell r="C1079" t="str">
            <v>CERO MATRICULA</v>
          </cell>
          <cell r="D1079" t="str">
            <v>ACTIVO</v>
          </cell>
          <cell r="E1079" t="str">
            <v>CFY267</v>
          </cell>
          <cell r="F1079" t="str">
            <v>ALVAREZ TORAL JOSE</v>
          </cell>
          <cell r="G1079" t="str">
            <v>ALVAREZ TORAL JOSE</v>
          </cell>
          <cell r="H1079" t="str">
            <v>71009800</v>
          </cell>
          <cell r="I1079" t="str">
            <v>INTERBANK</v>
          </cell>
          <cell r="J1079" t="str">
            <v>2523-115124483</v>
          </cell>
          <cell r="K1079" t="str">
            <v>DNI</v>
          </cell>
          <cell r="L1079">
            <v>10710098005</v>
          </cell>
          <cell r="M1079" t="str">
            <v>URBANO</v>
          </cell>
          <cell r="N1079">
            <v>45182</v>
          </cell>
          <cell r="O1079">
            <v>0</v>
          </cell>
          <cell r="P1079" t="str">
            <v>COMFORT</v>
          </cell>
        </row>
        <row r="1080">
          <cell r="A1080">
            <v>2650</v>
          </cell>
          <cell r="B1080">
            <v>2650</v>
          </cell>
          <cell r="C1080" t="str">
            <v>CERO MATRICULA</v>
          </cell>
          <cell r="D1080" t="str">
            <v>ACTIVO</v>
          </cell>
          <cell r="E1080" t="str">
            <v>AJZ-262</v>
          </cell>
          <cell r="F1080" t="str">
            <v>VILLA POZO BRYAN JESUS</v>
          </cell>
          <cell r="G1080" t="str">
            <v>VILLA POZO BRYAN JESUS</v>
          </cell>
          <cell r="H1080" t="str">
            <v>77920404</v>
          </cell>
          <cell r="I1080" t="str">
            <v>BCP</v>
          </cell>
          <cell r="J1080" t="str">
            <v>194-00689243003</v>
          </cell>
          <cell r="K1080" t="str">
            <v>DNI</v>
          </cell>
          <cell r="L1080">
            <v>10779204044</v>
          </cell>
          <cell r="M1080" t="str">
            <v>URBANO</v>
          </cell>
          <cell r="N1080">
            <v>45182</v>
          </cell>
          <cell r="O1080">
            <v>0</v>
          </cell>
          <cell r="P1080" t="str">
            <v>COMFORT</v>
          </cell>
        </row>
        <row r="1081">
          <cell r="A1081">
            <v>2651</v>
          </cell>
          <cell r="B1081">
            <v>2651</v>
          </cell>
          <cell r="C1081" t="str">
            <v>CERO MATRICULA</v>
          </cell>
          <cell r="D1081" t="str">
            <v>ACTIVO</v>
          </cell>
          <cell r="E1081" t="str">
            <v>AUQ-047</v>
          </cell>
          <cell r="F1081" t="str">
            <v>QUIÑONEZ RAYMUNDO LUIS ALFREDO</v>
          </cell>
          <cell r="G1081" t="str">
            <v>QUIÑONEZ RAYMUNDO LUIS ALFREDO</v>
          </cell>
          <cell r="H1081" t="str">
            <v>43756687</v>
          </cell>
          <cell r="I1081" t="str">
            <v>BANCO FALABELLA</v>
          </cell>
          <cell r="J1081" t="str">
            <v>822080609219</v>
          </cell>
          <cell r="K1081" t="str">
            <v>DNI</v>
          </cell>
          <cell r="L1081">
            <v>10437566874</v>
          </cell>
          <cell r="M1081" t="str">
            <v>URBANO</v>
          </cell>
          <cell r="N1081">
            <v>45182</v>
          </cell>
          <cell r="O1081">
            <v>0</v>
          </cell>
          <cell r="P1081" t="str">
            <v>XL</v>
          </cell>
        </row>
        <row r="1082">
          <cell r="A1082">
            <v>2653</v>
          </cell>
          <cell r="B1082">
            <v>2653</v>
          </cell>
          <cell r="C1082" t="str">
            <v>CERO MATRICULA</v>
          </cell>
          <cell r="D1082" t="str">
            <v>ACTIVO</v>
          </cell>
          <cell r="E1082" t="str">
            <v>F8Z232</v>
          </cell>
          <cell r="F1082" t="str">
            <v>COMECA VALERIN WILDER</v>
          </cell>
          <cell r="G1082" t="str">
            <v>Sinfuriana Pizarro Chapa</v>
          </cell>
          <cell r="H1082" t="str">
            <v>80512810</v>
          </cell>
          <cell r="I1082" t="str">
            <v>INTERBANK</v>
          </cell>
          <cell r="J1082">
            <v>2463382173988</v>
          </cell>
          <cell r="K1082" t="str">
            <v>DNI</v>
          </cell>
          <cell r="L1082">
            <v>10805128106</v>
          </cell>
          <cell r="M1082" t="str">
            <v>AEROPUERTO</v>
          </cell>
          <cell r="N1082">
            <v>45184</v>
          </cell>
          <cell r="O1082">
            <v>235</v>
          </cell>
          <cell r="P1082" t="str">
            <v>COMFORT XL</v>
          </cell>
        </row>
        <row r="1083">
          <cell r="A1083">
            <v>2655</v>
          </cell>
          <cell r="B1083">
            <v>2655</v>
          </cell>
          <cell r="C1083" t="str">
            <v>CERO MATRICULA</v>
          </cell>
          <cell r="D1083" t="str">
            <v>ACTIVO</v>
          </cell>
          <cell r="E1083" t="str">
            <v>AUC372</v>
          </cell>
          <cell r="F1083" t="str">
            <v>SALAZAR TOLEDO ALBERTO</v>
          </cell>
          <cell r="G1083" t="str">
            <v>SALAZAR TOLEDO ALBERTO</v>
          </cell>
          <cell r="H1083" t="str">
            <v xml:space="preserve">44656468 </v>
          </cell>
          <cell r="I1083" t="str">
            <v>BBVA</v>
          </cell>
          <cell r="J1083" t="str">
            <v>0011-01630200152384</v>
          </cell>
          <cell r="K1083" t="str">
            <v>DNI</v>
          </cell>
          <cell r="L1083">
            <v>10446564680</v>
          </cell>
          <cell r="M1083" t="str">
            <v>URBANO</v>
          </cell>
          <cell r="N1083">
            <v>45184</v>
          </cell>
          <cell r="O1083">
            <v>0</v>
          </cell>
          <cell r="P1083" t="str">
            <v>LITE</v>
          </cell>
        </row>
        <row r="1084">
          <cell r="A1084">
            <v>2656</v>
          </cell>
          <cell r="B1084">
            <v>2656</v>
          </cell>
          <cell r="C1084" t="str">
            <v>CERO MATRICULA</v>
          </cell>
          <cell r="D1084" t="str">
            <v>ACTIVO</v>
          </cell>
          <cell r="E1084" t="str">
            <v>AFT098</v>
          </cell>
          <cell r="F1084" t="str">
            <v>RIVAS MORENO MAXWELL RICARDO</v>
          </cell>
          <cell r="G1084" t="str">
            <v>RIVAS MORENO MAXWELL RICARDO</v>
          </cell>
          <cell r="H1084" t="str">
            <v>002461342</v>
          </cell>
          <cell r="I1084" t="str">
            <v>SCOTIABANK</v>
          </cell>
          <cell r="J1084" t="str">
            <v>693-0517120</v>
          </cell>
          <cell r="K1084" t="str">
            <v>CPP</v>
          </cell>
          <cell r="L1084">
            <v>15611554637</v>
          </cell>
          <cell r="M1084" t="str">
            <v>URBANO</v>
          </cell>
          <cell r="N1084">
            <v>45184</v>
          </cell>
          <cell r="O1084">
            <v>0</v>
          </cell>
          <cell r="P1084" t="str">
            <v>LITE</v>
          </cell>
        </row>
        <row r="1085">
          <cell r="A1085">
            <v>2657</v>
          </cell>
          <cell r="B1085">
            <v>2657</v>
          </cell>
          <cell r="C1085" t="str">
            <v>CERO MATRICULA</v>
          </cell>
          <cell r="D1085" t="str">
            <v>ACTIVO</v>
          </cell>
          <cell r="E1085" t="str">
            <v xml:space="preserve">D9I044 </v>
          </cell>
          <cell r="F1085" t="str">
            <v>CASTRO MEZA SERGIO</v>
          </cell>
          <cell r="G1085" t="str">
            <v>CASTRO MEZA SERGIO</v>
          </cell>
          <cell r="H1085" t="str">
            <v>76579333</v>
          </cell>
          <cell r="I1085" t="str">
            <v>INTERBANK</v>
          </cell>
          <cell r="J1085" t="str">
            <v>6423-112133563</v>
          </cell>
          <cell r="K1085" t="str">
            <v>DNI</v>
          </cell>
          <cell r="L1085">
            <v>10765793331</v>
          </cell>
          <cell r="M1085" t="str">
            <v>URBANO</v>
          </cell>
          <cell r="N1085">
            <v>45188</v>
          </cell>
          <cell r="O1085">
            <v>0</v>
          </cell>
          <cell r="P1085" t="str">
            <v>COMFORT</v>
          </cell>
        </row>
        <row r="1086">
          <cell r="A1086">
            <v>2658</v>
          </cell>
          <cell r="B1086">
            <v>2658</v>
          </cell>
          <cell r="C1086" t="str">
            <v>CERO MATRICULA</v>
          </cell>
          <cell r="D1086" t="str">
            <v>ACTIVO</v>
          </cell>
          <cell r="E1086" t="str">
            <v>AZQ423</v>
          </cell>
          <cell r="F1086" t="str">
            <v>SPENCER CARRASCO LUZMILA</v>
          </cell>
          <cell r="G1086" t="str">
            <v>SPENCER CARRASCO LUZMILA</v>
          </cell>
          <cell r="H1086" t="str">
            <v>76670622</v>
          </cell>
          <cell r="I1086" t="str">
            <v>BBVA</v>
          </cell>
          <cell r="J1086" t="str">
            <v>0011-0282-0200196480</v>
          </cell>
          <cell r="K1086" t="str">
            <v>DNI</v>
          </cell>
          <cell r="L1086">
            <v>10766706229</v>
          </cell>
          <cell r="M1086" t="str">
            <v>URBANO</v>
          </cell>
          <cell r="N1086">
            <v>45188</v>
          </cell>
          <cell r="O1086">
            <v>0</v>
          </cell>
          <cell r="P1086" t="str">
            <v>COMFORT XL</v>
          </cell>
        </row>
        <row r="1087">
          <cell r="A1087">
            <v>2661</v>
          </cell>
          <cell r="B1087">
            <v>2661</v>
          </cell>
          <cell r="C1087" t="str">
            <v>CERO MATRICULA</v>
          </cell>
          <cell r="D1087" t="str">
            <v>ACTIVO</v>
          </cell>
          <cell r="E1087" t="str">
            <v>V7V123</v>
          </cell>
          <cell r="F1087" t="str">
            <v>ROSALES SABOYA LUIS</v>
          </cell>
          <cell r="G1087" t="str">
            <v>ROSALES SABOYA LUIS</v>
          </cell>
          <cell r="H1087" t="str">
            <v>45497672</v>
          </cell>
          <cell r="I1087" t="str">
            <v>BCP</v>
          </cell>
          <cell r="J1087" t="str">
            <v>193-38935011092</v>
          </cell>
          <cell r="K1087" t="str">
            <v>DNI</v>
          </cell>
          <cell r="L1087">
            <v>10454976725</v>
          </cell>
          <cell r="M1087" t="str">
            <v>URBANO</v>
          </cell>
          <cell r="N1087">
            <v>45189</v>
          </cell>
          <cell r="O1087">
            <v>0</v>
          </cell>
          <cell r="P1087" t="str">
            <v>COMFORT</v>
          </cell>
        </row>
        <row r="1088">
          <cell r="A1088">
            <v>2663</v>
          </cell>
          <cell r="B1088">
            <v>2663</v>
          </cell>
          <cell r="C1088" t="str">
            <v>CERO MATRICULA</v>
          </cell>
          <cell r="D1088" t="str">
            <v>ACTIVO</v>
          </cell>
          <cell r="E1088" t="str">
            <v>CER291</v>
          </cell>
          <cell r="F1088" t="str">
            <v>CRISPIN BUJIACO WILIAN</v>
          </cell>
          <cell r="G1088" t="str">
            <v>CRISPIN BUJIACO WILIAN</v>
          </cell>
          <cell r="H1088" t="str">
            <v>45011208</v>
          </cell>
          <cell r="I1088" t="str">
            <v>INTERBANK</v>
          </cell>
          <cell r="J1088" t="str">
            <v>2833-084003176</v>
          </cell>
          <cell r="K1088" t="str">
            <v>DNI</v>
          </cell>
          <cell r="L1088">
            <v>10450112084</v>
          </cell>
          <cell r="M1088" t="str">
            <v>URBANO</v>
          </cell>
          <cell r="N1088">
            <v>45189</v>
          </cell>
          <cell r="O1088">
            <v>0</v>
          </cell>
          <cell r="P1088" t="str">
            <v>XL</v>
          </cell>
        </row>
        <row r="1089">
          <cell r="A1089">
            <v>2664</v>
          </cell>
          <cell r="B1089">
            <v>2664</v>
          </cell>
          <cell r="C1089" t="str">
            <v>CERO MATRICULA</v>
          </cell>
          <cell r="D1089" t="str">
            <v>ACTIVO</v>
          </cell>
          <cell r="E1089" t="str">
            <v>BMZ493</v>
          </cell>
          <cell r="F1089" t="str">
            <v>POLO GARCIA LUIS ARTURO</v>
          </cell>
          <cell r="G1089" t="str">
            <v>POLO GARCIA LUIS ARTURO</v>
          </cell>
          <cell r="H1089" t="str">
            <v>44788759</v>
          </cell>
          <cell r="I1089" t="str">
            <v>INTERBANK</v>
          </cell>
          <cell r="J1089" t="str">
            <v>2853-075987918</v>
          </cell>
          <cell r="K1089" t="str">
            <v>DNI</v>
          </cell>
          <cell r="L1089">
            <v>10447887598</v>
          </cell>
          <cell r="M1089" t="str">
            <v>URBANO</v>
          </cell>
          <cell r="N1089">
            <v>45189</v>
          </cell>
          <cell r="O1089">
            <v>0</v>
          </cell>
          <cell r="P1089" t="str">
            <v>LITE</v>
          </cell>
        </row>
        <row r="1090">
          <cell r="A1090">
            <v>2665</v>
          </cell>
          <cell r="B1090">
            <v>2665</v>
          </cell>
          <cell r="C1090" t="str">
            <v>CERO MATRICULA</v>
          </cell>
          <cell r="D1090" t="str">
            <v>ACTIVO</v>
          </cell>
          <cell r="E1090" t="str">
            <v xml:space="preserve">BHZ027  </v>
          </cell>
          <cell r="F1090" t="str">
            <v>LLONTOP CAMPOS IVAN</v>
          </cell>
          <cell r="G1090" t="str">
            <v>LLONTOP CAMPOS IVAN</v>
          </cell>
          <cell r="H1090" t="str">
            <v>18064028</v>
          </cell>
          <cell r="I1090" t="str">
            <v>BCP</v>
          </cell>
          <cell r="J1090" t="str">
            <v>193-71574228098</v>
          </cell>
          <cell r="K1090" t="str">
            <v>DNI</v>
          </cell>
          <cell r="L1090">
            <v>15422268828</v>
          </cell>
          <cell r="M1090" t="str">
            <v>URBANO</v>
          </cell>
          <cell r="N1090">
            <v>45191</v>
          </cell>
          <cell r="O1090">
            <v>0</v>
          </cell>
          <cell r="P1090" t="str">
            <v>COMFORT</v>
          </cell>
        </row>
        <row r="1091">
          <cell r="A1091">
            <v>2666</v>
          </cell>
          <cell r="B1091">
            <v>2666</v>
          </cell>
          <cell r="C1091" t="str">
            <v>CERO MATRICULA</v>
          </cell>
          <cell r="D1091" t="str">
            <v>ACTIVO</v>
          </cell>
          <cell r="E1091" t="str">
            <v>BBS698</v>
          </cell>
          <cell r="F1091" t="str">
            <v>TEULLET ALVAREZ DIEGO ALEJANDRO</v>
          </cell>
          <cell r="G1091" t="str">
            <v>TEULLET ALVAREZ DIEGO ALEJANDRO</v>
          </cell>
          <cell r="H1091" t="str">
            <v>72927350</v>
          </cell>
          <cell r="I1091" t="str">
            <v>INTERBANK</v>
          </cell>
          <cell r="J1091" t="str">
            <v>8983-385199246</v>
          </cell>
          <cell r="K1091" t="str">
            <v>DNI</v>
          </cell>
          <cell r="L1091">
            <v>10729273509</v>
          </cell>
          <cell r="M1091" t="str">
            <v>URBANO</v>
          </cell>
          <cell r="N1091">
            <v>45195</v>
          </cell>
          <cell r="O1091">
            <v>0</v>
          </cell>
          <cell r="P1091" t="str">
            <v>LITE</v>
          </cell>
        </row>
        <row r="1092">
          <cell r="A1092">
            <v>2667</v>
          </cell>
          <cell r="B1092">
            <v>2667</v>
          </cell>
          <cell r="C1092" t="str">
            <v>CERO MATRICULA</v>
          </cell>
          <cell r="D1092" t="str">
            <v>ACTIVO</v>
          </cell>
          <cell r="E1092" t="str">
            <v>BEO328</v>
          </cell>
          <cell r="F1092" t="str">
            <v>FLORES  GUTIERREZ GIANCARLOS</v>
          </cell>
          <cell r="G1092" t="str">
            <v>POLO GARCIA LUIS ARTURO</v>
          </cell>
          <cell r="H1092" t="str">
            <v>44788759</v>
          </cell>
          <cell r="I1092" t="str">
            <v>INTERBANK</v>
          </cell>
          <cell r="J1092" t="str">
            <v>2853-075987918</v>
          </cell>
          <cell r="K1092" t="str">
            <v>DNI</v>
          </cell>
          <cell r="L1092">
            <v>10447887598</v>
          </cell>
          <cell r="M1092" t="str">
            <v>URBANO</v>
          </cell>
          <cell r="N1092">
            <v>45191</v>
          </cell>
          <cell r="O1092">
            <v>0</v>
          </cell>
          <cell r="P1092" t="str">
            <v>LITE</v>
          </cell>
        </row>
        <row r="1093">
          <cell r="A1093">
            <v>2668</v>
          </cell>
          <cell r="B1093">
            <v>2668</v>
          </cell>
          <cell r="C1093" t="str">
            <v>CERO MATRICULA</v>
          </cell>
          <cell r="D1093" t="str">
            <v>ACTIVO</v>
          </cell>
          <cell r="E1093" t="str">
            <v>CDW115</v>
          </cell>
          <cell r="F1093" t="str">
            <v>GODINEZ ZEGARRA FRANCISCO ALBERTO</v>
          </cell>
          <cell r="G1093" t="str">
            <v>GODINEZ ZEGARRA FRANCISCO ALBERTO</v>
          </cell>
          <cell r="H1093" t="str">
            <v>07792965</v>
          </cell>
          <cell r="I1093" t="str">
            <v>BCP</v>
          </cell>
          <cell r="J1093" t="str">
            <v>19405185372048</v>
          </cell>
          <cell r="K1093" t="str">
            <v>DNI</v>
          </cell>
          <cell r="L1093">
            <v>10077929652</v>
          </cell>
          <cell r="M1093" t="str">
            <v>URBANO</v>
          </cell>
          <cell r="N1093">
            <v>45195</v>
          </cell>
          <cell r="O1093">
            <v>0</v>
          </cell>
          <cell r="P1093" t="str">
            <v>COMFORT</v>
          </cell>
        </row>
        <row r="1094">
          <cell r="A1094">
            <v>2669</v>
          </cell>
          <cell r="B1094">
            <v>2669</v>
          </cell>
          <cell r="C1094" t="str">
            <v>CERO MATRICULA</v>
          </cell>
          <cell r="D1094" t="str">
            <v>ACTIVO</v>
          </cell>
          <cell r="E1094" t="str">
            <v>BNZ512</v>
          </cell>
          <cell r="F1094" t="str">
            <v>GONZALEZ ARREAZA VIC JOEL</v>
          </cell>
          <cell r="G1094" t="str">
            <v>GONZALEZ ARREAZA VIC JOEL</v>
          </cell>
          <cell r="H1094" t="str">
            <v>002889561</v>
          </cell>
          <cell r="I1094" t="str">
            <v>SCOTIABANK</v>
          </cell>
          <cell r="J1094" t="str">
            <v>1170-377152</v>
          </cell>
          <cell r="K1094" t="str">
            <v>CPP</v>
          </cell>
          <cell r="L1094">
            <v>15611604553</v>
          </cell>
          <cell r="M1094" t="str">
            <v>URBANO</v>
          </cell>
          <cell r="N1094">
            <v>45195</v>
          </cell>
          <cell r="O1094">
            <v>0</v>
          </cell>
          <cell r="P1094" t="str">
            <v>LITE</v>
          </cell>
        </row>
        <row r="1095">
          <cell r="A1095">
            <v>2670</v>
          </cell>
          <cell r="B1095">
            <v>2670</v>
          </cell>
          <cell r="C1095" t="str">
            <v>CERO MATRICULA</v>
          </cell>
          <cell r="D1095" t="str">
            <v>ACTIVO</v>
          </cell>
          <cell r="E1095" t="str">
            <v>BWC388</v>
          </cell>
          <cell r="F1095" t="str">
            <v>ORTIZ  GUERRERO WILSON SMITH</v>
          </cell>
          <cell r="G1095" t="str">
            <v>ORTIZ  GUERRERO WILSON SMITH</v>
          </cell>
          <cell r="H1095" t="str">
            <v>74434398</v>
          </cell>
          <cell r="I1095" t="str">
            <v>BCP</v>
          </cell>
          <cell r="J1095" t="str">
            <v>19191817063005</v>
          </cell>
          <cell r="K1095" t="str">
            <v>DNI</v>
          </cell>
          <cell r="L1095">
            <v>10744343980</v>
          </cell>
          <cell r="M1095" t="str">
            <v>URBANO</v>
          </cell>
          <cell r="N1095">
            <v>45195</v>
          </cell>
          <cell r="O1095">
            <v>0</v>
          </cell>
          <cell r="P1095" t="str">
            <v>XL</v>
          </cell>
        </row>
        <row r="1096">
          <cell r="A1096">
            <v>2671</v>
          </cell>
          <cell r="B1096">
            <v>2671</v>
          </cell>
          <cell r="C1096" t="str">
            <v>CERO MATRICULA</v>
          </cell>
          <cell r="D1096" t="str">
            <v>ACTIVO</v>
          </cell>
          <cell r="E1096" t="str">
            <v>CCD667</v>
          </cell>
          <cell r="F1096" t="str">
            <v>ZAMBRANO MAMANI JEAN PIERRE</v>
          </cell>
          <cell r="G1096" t="str">
            <v>ZAMBRANO MAMANI JEAN PIERRE</v>
          </cell>
          <cell r="H1096" t="str">
            <v>48007887</v>
          </cell>
          <cell r="I1096" t="str">
            <v>BCP</v>
          </cell>
          <cell r="J1096" t="str">
            <v>19304406034038</v>
          </cell>
          <cell r="K1096" t="str">
            <v>DNI</v>
          </cell>
          <cell r="L1096">
            <v>10480078875</v>
          </cell>
          <cell r="M1096" t="str">
            <v>URBANO</v>
          </cell>
          <cell r="N1096">
            <v>45195</v>
          </cell>
          <cell r="O1096">
            <v>0</v>
          </cell>
          <cell r="P1096" t="str">
            <v>COMFORT XL</v>
          </cell>
        </row>
        <row r="1097">
          <cell r="A1097">
            <v>2672</v>
          </cell>
          <cell r="B1097">
            <v>2672</v>
          </cell>
          <cell r="C1097" t="str">
            <v>CERO MATRICULA</v>
          </cell>
          <cell r="D1097" t="str">
            <v>ACTIVO</v>
          </cell>
          <cell r="E1097" t="str">
            <v>ASQ169</v>
          </cell>
          <cell r="F1097" t="str">
            <v>CHILENO NAVARRO CARLOS ALBERTO</v>
          </cell>
          <cell r="G1097" t="str">
            <v>CHILENO NAVARRO CARLOS ALBERTO</v>
          </cell>
          <cell r="H1097">
            <v>10223063</v>
          </cell>
          <cell r="I1097" t="str">
            <v>BCP</v>
          </cell>
          <cell r="J1097" t="str">
            <v>19437621342054</v>
          </cell>
          <cell r="K1097" t="str">
            <v>DNI</v>
          </cell>
          <cell r="L1097">
            <v>10102230634</v>
          </cell>
          <cell r="M1097" t="str">
            <v>URBANO</v>
          </cell>
          <cell r="N1097">
            <v>45196</v>
          </cell>
          <cell r="O1097">
            <v>0</v>
          </cell>
          <cell r="P1097" t="str">
            <v>LITE</v>
          </cell>
        </row>
        <row r="1098">
          <cell r="A1098">
            <v>2673</v>
          </cell>
          <cell r="B1098">
            <v>2673</v>
          </cell>
          <cell r="C1098" t="str">
            <v>CERO MATRICULA</v>
          </cell>
          <cell r="D1098" t="str">
            <v>ACTIVO</v>
          </cell>
          <cell r="E1098" t="str">
            <v>BJK436</v>
          </cell>
          <cell r="F1098" t="str">
            <v>OSTOS BAYONA RODOLFO ISAIAS</v>
          </cell>
          <cell r="G1098" t="str">
            <v>OSTOS BAYONA RODOLFO ISAIAS</v>
          </cell>
          <cell r="H1098" t="str">
            <v>002382076</v>
          </cell>
          <cell r="I1098" t="str">
            <v>BCP</v>
          </cell>
          <cell r="J1098" t="str">
            <v>19298062265091</v>
          </cell>
          <cell r="K1098" t="str">
            <v>CE</v>
          </cell>
          <cell r="L1098">
            <v>15604039191</v>
          </cell>
          <cell r="M1098" t="str">
            <v>URBANO</v>
          </cell>
          <cell r="N1098">
            <v>45197</v>
          </cell>
          <cell r="O1098">
            <v>0</v>
          </cell>
          <cell r="P1098" t="str">
            <v>XL</v>
          </cell>
        </row>
        <row r="1099">
          <cell r="A1099">
            <v>2674</v>
          </cell>
          <cell r="B1099">
            <v>2674</v>
          </cell>
          <cell r="C1099" t="str">
            <v>CERO MATRICULA</v>
          </cell>
          <cell r="D1099" t="str">
            <v>ACTIVO</v>
          </cell>
          <cell r="E1099" t="str">
            <v>Z7J196</v>
          </cell>
          <cell r="F1099" t="str">
            <v>RUBIN  GUTIERREZ LUIS ANGEL</v>
          </cell>
          <cell r="G1099" t="str">
            <v>RUBIN  GUTIERREZ LUIS ANGEL</v>
          </cell>
          <cell r="H1099" t="str">
            <v>73074432</v>
          </cell>
          <cell r="I1099" t="str">
            <v>INTERBANK</v>
          </cell>
          <cell r="J1099">
            <v>3783350494617</v>
          </cell>
          <cell r="K1099" t="str">
            <v>DNI</v>
          </cell>
          <cell r="L1099">
            <v>10730744329</v>
          </cell>
          <cell r="M1099" t="str">
            <v>AEROLINEAS</v>
          </cell>
          <cell r="N1099">
            <v>45202</v>
          </cell>
          <cell r="O1099">
            <v>0</v>
          </cell>
          <cell r="P1099" t="str">
            <v>COMFORT</v>
          </cell>
        </row>
        <row r="1100">
          <cell r="A1100">
            <v>2675</v>
          </cell>
          <cell r="B1100">
            <v>2675</v>
          </cell>
          <cell r="C1100" t="str">
            <v>CERO MATRICULA</v>
          </cell>
          <cell r="D1100" t="str">
            <v>ACTIVO</v>
          </cell>
          <cell r="E1100" t="str">
            <v>AZU456</v>
          </cell>
          <cell r="F1100" t="str">
            <v>ARANDA MEDRANO JUAN ALBERTO</v>
          </cell>
          <cell r="G1100" t="str">
            <v>ARANDA MEDRANO JUAN ALBERTO</v>
          </cell>
          <cell r="H1100" t="str">
            <v>06186603</v>
          </cell>
          <cell r="I1100" t="str">
            <v>SCOTIABANK</v>
          </cell>
          <cell r="J1100" t="str">
            <v>1047-996911</v>
          </cell>
          <cell r="K1100" t="str">
            <v>DN</v>
          </cell>
          <cell r="L1100">
            <v>10061866031</v>
          </cell>
          <cell r="M1100" t="str">
            <v>URBANO</v>
          </cell>
          <cell r="N1100">
            <v>45202</v>
          </cell>
          <cell r="O1100">
            <v>0</v>
          </cell>
          <cell r="P1100" t="str">
            <v>COMFORT XL</v>
          </cell>
        </row>
        <row r="1101">
          <cell r="A1101">
            <v>2676</v>
          </cell>
          <cell r="B1101">
            <v>2676</v>
          </cell>
          <cell r="C1101" t="str">
            <v>CERO MATRICULA</v>
          </cell>
          <cell r="D1101" t="str">
            <v>ACTIVO</v>
          </cell>
          <cell r="E1101" t="str">
            <v>CDX270</v>
          </cell>
          <cell r="F1101" t="str">
            <v>CARDOZA PACHERRE RICARDO</v>
          </cell>
          <cell r="G1101" t="str">
            <v>CARDOZA LLANCO JAHIR CRISTOPHER</v>
          </cell>
          <cell r="H1101" t="str">
            <v>75947727</v>
          </cell>
          <cell r="I1101" t="str">
            <v>BBVA</v>
          </cell>
          <cell r="J1101" t="str">
            <v>0011-0323-0200919218</v>
          </cell>
          <cell r="K1101" t="str">
            <v>DNI</v>
          </cell>
          <cell r="L1101">
            <v>10759477273</v>
          </cell>
          <cell r="M1101" t="str">
            <v>URBANO</v>
          </cell>
          <cell r="N1101">
            <v>45197</v>
          </cell>
          <cell r="O1101">
            <v>0</v>
          </cell>
          <cell r="P1101" t="str">
            <v>COMFORT XL</v>
          </cell>
        </row>
        <row r="1102">
          <cell r="A1102">
            <v>2677</v>
          </cell>
          <cell r="B1102">
            <v>2677</v>
          </cell>
          <cell r="C1102" t="str">
            <v>CERO MATRICULA</v>
          </cell>
          <cell r="D1102" t="str">
            <v>ACTIVO</v>
          </cell>
          <cell r="E1102" t="str">
            <v>CHE046</v>
          </cell>
          <cell r="F1102" t="str">
            <v>GARCIA SILVA MARTIN</v>
          </cell>
          <cell r="G1102" t="str">
            <v>GARCIA SILVA MARTIN</v>
          </cell>
          <cell r="H1102" t="str">
            <v>03376343</v>
          </cell>
          <cell r="I1102" t="str">
            <v>BCP</v>
          </cell>
          <cell r="J1102" t="str">
            <v>19399713484088</v>
          </cell>
          <cell r="K1102" t="str">
            <v>DNI</v>
          </cell>
          <cell r="L1102">
            <v>10033763439</v>
          </cell>
          <cell r="M1102" t="str">
            <v>URBANO</v>
          </cell>
          <cell r="N1102">
            <v>45197</v>
          </cell>
          <cell r="O1102">
            <v>0</v>
          </cell>
          <cell r="P1102" t="str">
            <v>COMFORT XL</v>
          </cell>
        </row>
        <row r="1103">
          <cell r="A1103">
            <v>2680</v>
          </cell>
          <cell r="B1103">
            <v>2680</v>
          </cell>
          <cell r="C1103" t="str">
            <v>CERO MATRICULA</v>
          </cell>
          <cell r="D1103" t="str">
            <v>ACTIVO</v>
          </cell>
          <cell r="E1103" t="str">
            <v>AYQ257</v>
          </cell>
          <cell r="F1103" t="str">
            <v>MENDOZA ANICETO ALEXANDER JOSE</v>
          </cell>
          <cell r="G1103" t="str">
            <v>ANICIETO MENDOZA ALEXANDER JOSE</v>
          </cell>
          <cell r="H1103" t="str">
            <v>42570682</v>
          </cell>
          <cell r="I1103" t="str">
            <v>INTERBANK</v>
          </cell>
          <cell r="J1103" t="str">
            <v>6163-114467795</v>
          </cell>
          <cell r="K1103" t="str">
            <v>DNI</v>
          </cell>
          <cell r="L1103">
            <v>10425706824</v>
          </cell>
          <cell r="M1103" t="str">
            <v>AEROLINEAS</v>
          </cell>
          <cell r="N1103">
            <v>45204</v>
          </cell>
          <cell r="O1103">
            <v>0</v>
          </cell>
          <cell r="P1103" t="str">
            <v>COMFORT</v>
          </cell>
        </row>
        <row r="1104">
          <cell r="A1104">
            <v>2682</v>
          </cell>
          <cell r="B1104">
            <v>2682</v>
          </cell>
          <cell r="C1104" t="str">
            <v>CERO MATRICULA</v>
          </cell>
          <cell r="D1104" t="str">
            <v>ACTIVO</v>
          </cell>
          <cell r="E1104" t="str">
            <v>BPJ032</v>
          </cell>
          <cell r="F1104" t="str">
            <v>VILLALOBOS NUCETTE ANDERSON GERARADO</v>
          </cell>
          <cell r="G1104" t="str">
            <v>VILLALOBOS NUCETTE ANDERSON GERARADO</v>
          </cell>
          <cell r="H1104" t="str">
            <v>005186893</v>
          </cell>
          <cell r="I1104" t="str">
            <v>BCP</v>
          </cell>
          <cell r="J1104" t="str">
            <v>194-98949266-0-50</v>
          </cell>
          <cell r="K1104" t="str">
            <v>CE</v>
          </cell>
          <cell r="L1104">
            <v>15606308440</v>
          </cell>
          <cell r="M1104" t="str">
            <v>AEROLINEAS</v>
          </cell>
          <cell r="N1104">
            <v>45204</v>
          </cell>
          <cell r="O1104">
            <v>0</v>
          </cell>
          <cell r="P1104" t="str">
            <v>COMFORT</v>
          </cell>
        </row>
        <row r="1105">
          <cell r="A1105">
            <v>2683</v>
          </cell>
          <cell r="B1105">
            <v>2683</v>
          </cell>
          <cell r="C1105" t="str">
            <v>CERO MATRICULA</v>
          </cell>
          <cell r="D1105" t="str">
            <v>ACTIVO</v>
          </cell>
          <cell r="E1105" t="str">
            <v>BWT249</v>
          </cell>
          <cell r="F1105" t="str">
            <v>CABALLERO BUENO ELIAS SAMUEL</v>
          </cell>
          <cell r="G1105" t="str">
            <v>CABALLERO BUENO ELIAS SAMUEL</v>
          </cell>
          <cell r="H1105" t="str">
            <v>43770225</v>
          </cell>
          <cell r="I1105" t="str">
            <v>BCP</v>
          </cell>
          <cell r="J1105" t="str">
            <v>192-34587500-0-67</v>
          </cell>
          <cell r="K1105" t="str">
            <v>DNI</v>
          </cell>
          <cell r="L1105">
            <v>10437702255</v>
          </cell>
          <cell r="M1105" t="str">
            <v>URBANO</v>
          </cell>
          <cell r="N1105">
            <v>45204</v>
          </cell>
          <cell r="O1105">
            <v>0</v>
          </cell>
          <cell r="P1105" t="str">
            <v>COMFORT XL</v>
          </cell>
        </row>
        <row r="1106">
          <cell r="A1106">
            <v>2684</v>
          </cell>
          <cell r="B1106">
            <v>2684</v>
          </cell>
          <cell r="C1106" t="str">
            <v>CERO MATRICULA</v>
          </cell>
          <cell r="D1106" t="str">
            <v>ACTIVO</v>
          </cell>
          <cell r="E1106" t="str">
            <v>CHR122</v>
          </cell>
          <cell r="F1106" t="str">
            <v>CHAVEZ HERRERA AARO YONATTA</v>
          </cell>
          <cell r="G1106" t="str">
            <v>CHAVEZ HERRERA AARO YONATTA</v>
          </cell>
          <cell r="H1106" t="str">
            <v>001589458</v>
          </cell>
          <cell r="I1106" t="str">
            <v>BCP</v>
          </cell>
          <cell r="J1106" t="str">
            <v>191-40344675-0-95</v>
          </cell>
          <cell r="K1106" t="str">
            <v>CE</v>
          </cell>
          <cell r="L1106">
            <v>15602338077</v>
          </cell>
          <cell r="M1106" t="str">
            <v>URBANO</v>
          </cell>
          <cell r="N1106">
            <v>45204</v>
          </cell>
          <cell r="O1106">
            <v>0</v>
          </cell>
          <cell r="P1106" t="str">
            <v>LITE</v>
          </cell>
        </row>
        <row r="1107">
          <cell r="A1107">
            <v>2685</v>
          </cell>
          <cell r="B1107">
            <v>2685</v>
          </cell>
          <cell r="C1107" t="str">
            <v>CERO MATRICULA</v>
          </cell>
          <cell r="D1107" t="str">
            <v>ACTIVO</v>
          </cell>
          <cell r="E1107" t="str">
            <v>BJY146</v>
          </cell>
          <cell r="F1107" t="str">
            <v>NOGUERA MORENO JUAN JOSE</v>
          </cell>
          <cell r="G1107" t="str">
            <v>NOGUERA MORENO JUAN JOSE</v>
          </cell>
          <cell r="H1107" t="str">
            <v>003235222</v>
          </cell>
          <cell r="I1107" t="str">
            <v>INTERBANK</v>
          </cell>
          <cell r="J1107">
            <v>3653411060861</v>
          </cell>
          <cell r="K1107" t="str">
            <v>CE</v>
          </cell>
          <cell r="L1107">
            <v>15604034695</v>
          </cell>
          <cell r="M1107" t="str">
            <v>URBANO</v>
          </cell>
          <cell r="N1107">
            <v>45204</v>
          </cell>
          <cell r="O1107">
            <v>0</v>
          </cell>
          <cell r="P1107" t="str">
            <v>LITE</v>
          </cell>
        </row>
        <row r="1108">
          <cell r="A1108">
            <v>2686</v>
          </cell>
          <cell r="B1108">
            <v>2686</v>
          </cell>
          <cell r="C1108" t="str">
            <v>CERO MATRICULA</v>
          </cell>
          <cell r="D1108" t="str">
            <v>ACTIVO</v>
          </cell>
          <cell r="E1108" t="str">
            <v>CEI364</v>
          </cell>
          <cell r="F1108" t="str">
            <v>BIZARRO CORNEJO LUIS ALBERTO</v>
          </cell>
          <cell r="G1108" t="str">
            <v>BIZARRO CORNEJO LUIS ALBERTO</v>
          </cell>
          <cell r="H1108" t="str">
            <v>45090005</v>
          </cell>
          <cell r="I1108" t="str">
            <v>INTERBANK</v>
          </cell>
          <cell r="J1108" t="str">
            <v>8983-384451600</v>
          </cell>
          <cell r="K1108" t="str">
            <v>DNI</v>
          </cell>
          <cell r="L1108">
            <v>10450900058</v>
          </cell>
          <cell r="M1108" t="str">
            <v>URBANO</v>
          </cell>
          <cell r="N1108">
            <v>45204</v>
          </cell>
          <cell r="O1108">
            <v>0</v>
          </cell>
          <cell r="P1108" t="str">
            <v>COMFORT XL</v>
          </cell>
        </row>
        <row r="1109">
          <cell r="A1109">
            <v>2688</v>
          </cell>
          <cell r="B1109">
            <v>2688</v>
          </cell>
          <cell r="C1109" t="str">
            <v>CERO MATRICULA</v>
          </cell>
          <cell r="D1109" t="str">
            <v>ACTIVO</v>
          </cell>
          <cell r="E1109" t="str">
            <v>CFS135</v>
          </cell>
          <cell r="F1109" t="str">
            <v>YACTAYO BARRETO MIGUEL EDWIN</v>
          </cell>
          <cell r="G1109" t="str">
            <v>YACTAYO BARRETO MIGUEL EDWIN</v>
          </cell>
          <cell r="H1109" t="str">
            <v>15398561</v>
          </cell>
          <cell r="I1109" t="str">
            <v>BCP</v>
          </cell>
          <cell r="J1109" t="str">
            <v>191-95115748-0-11</v>
          </cell>
          <cell r="K1109" t="str">
            <v>DNI</v>
          </cell>
          <cell r="L1109">
            <v>10153985613</v>
          </cell>
          <cell r="M1109" t="str">
            <v>URBANO</v>
          </cell>
          <cell r="N1109">
            <v>45204</v>
          </cell>
          <cell r="O1109">
            <v>0</v>
          </cell>
          <cell r="P1109" t="str">
            <v>XL</v>
          </cell>
        </row>
        <row r="1110">
          <cell r="A1110">
            <v>2689</v>
          </cell>
          <cell r="B1110">
            <v>2689</v>
          </cell>
          <cell r="C1110" t="str">
            <v>CERO MATRICULA</v>
          </cell>
          <cell r="D1110" t="str">
            <v>ACTIVO</v>
          </cell>
          <cell r="E1110" t="str">
            <v>BCQ027</v>
          </cell>
          <cell r="F1110" t="str">
            <v>CACERES LINARES YOVANNY ANTONIO</v>
          </cell>
          <cell r="G1110" t="str">
            <v>CACERES LINARES YOVANNY ANTONIO</v>
          </cell>
          <cell r="H1110" t="str">
            <v>003783580</v>
          </cell>
          <cell r="I1110" t="str">
            <v>BCP</v>
          </cell>
          <cell r="J1110" t="str">
            <v>193-93193520-0-67</v>
          </cell>
          <cell r="K1110" t="str">
            <v>CE</v>
          </cell>
          <cell r="L1110">
            <v>15604117311</v>
          </cell>
          <cell r="M1110" t="str">
            <v>URBANO</v>
          </cell>
          <cell r="N1110">
            <v>45204</v>
          </cell>
          <cell r="O1110">
            <v>0</v>
          </cell>
          <cell r="P1110" t="str">
            <v>COMFORT</v>
          </cell>
        </row>
        <row r="1111">
          <cell r="A1111">
            <v>2691</v>
          </cell>
          <cell r="B1111">
            <v>2691</v>
          </cell>
          <cell r="C1111" t="str">
            <v>CERO MATRICULA</v>
          </cell>
          <cell r="D1111" t="str">
            <v>ACTIVO</v>
          </cell>
          <cell r="E1111" t="str">
            <v>BME365</v>
          </cell>
          <cell r="F1111" t="str">
            <v>SANCHEZ REDUCINDO LUIS ALBERTO</v>
          </cell>
          <cell r="G1111" t="str">
            <v>SANCHEZ REDUCINDO LUIS ALBERTO</v>
          </cell>
          <cell r="H1111" t="str">
            <v>10339855</v>
          </cell>
          <cell r="I1111" t="str">
            <v>BCP</v>
          </cell>
          <cell r="J1111" t="str">
            <v>194-39279715-0-78</v>
          </cell>
          <cell r="K1111" t="str">
            <v>DNI</v>
          </cell>
          <cell r="L1111">
            <v>10103398555</v>
          </cell>
          <cell r="M1111" t="str">
            <v>AEROLINEAS</v>
          </cell>
          <cell r="N1111">
            <v>45207</v>
          </cell>
          <cell r="O1111">
            <v>0</v>
          </cell>
          <cell r="P1111" t="str">
            <v>LITE</v>
          </cell>
        </row>
        <row r="1112">
          <cell r="A1112">
            <v>2692</v>
          </cell>
          <cell r="B1112">
            <v>2692</v>
          </cell>
          <cell r="C1112" t="str">
            <v>CERO MATRICULA</v>
          </cell>
          <cell r="D1112" t="str">
            <v>ACTIVO</v>
          </cell>
          <cell r="E1112" t="str">
            <v>CHY232</v>
          </cell>
          <cell r="F1112" t="str">
            <v>BAUTISTA CHAVEZ SEGUNDO WILFREDO</v>
          </cell>
          <cell r="G1112" t="str">
            <v>BAUTISTA CHAVEZ SEGUNDO WILFREDO</v>
          </cell>
          <cell r="H1112" t="str">
            <v>40901812</v>
          </cell>
          <cell r="I1112" t="str">
            <v>BCP</v>
          </cell>
          <cell r="J1112">
            <v>19497723654059</v>
          </cell>
          <cell r="K1112" t="str">
            <v>DNI</v>
          </cell>
          <cell r="L1112">
            <v>10409018128</v>
          </cell>
          <cell r="M1112" t="str">
            <v>URBANO</v>
          </cell>
          <cell r="N1112">
            <v>45209</v>
          </cell>
          <cell r="O1112">
            <v>0</v>
          </cell>
          <cell r="P1112" t="str">
            <v>XL</v>
          </cell>
        </row>
        <row r="1113">
          <cell r="A1113">
            <v>2693</v>
          </cell>
          <cell r="B1113">
            <v>2693</v>
          </cell>
          <cell r="C1113" t="str">
            <v>CERO MATRICULA</v>
          </cell>
          <cell r="D1113" t="str">
            <v>ACTIVO</v>
          </cell>
          <cell r="E1113" t="str">
            <v>CES441</v>
          </cell>
          <cell r="F1113" t="str">
            <v>RODRIGUEZ  SANGINEZ  JOSE LUIS</v>
          </cell>
          <cell r="G1113" t="str">
            <v>RODRIGUEZ  SANGINEZ  JOSE LUIS</v>
          </cell>
          <cell r="H1113" t="str">
            <v>42777684</v>
          </cell>
          <cell r="I1113" t="str">
            <v>INTERBANK</v>
          </cell>
          <cell r="J1113" t="str">
            <v>1703253498655</v>
          </cell>
          <cell r="K1113" t="str">
            <v>DNI</v>
          </cell>
          <cell r="L1113">
            <v>10427776846</v>
          </cell>
          <cell r="M1113" t="str">
            <v>URBANO</v>
          </cell>
          <cell r="N1113">
            <v>45209</v>
          </cell>
          <cell r="O1113">
            <v>0</v>
          </cell>
          <cell r="P1113" t="str">
            <v>LITE</v>
          </cell>
        </row>
        <row r="1114">
          <cell r="A1114">
            <v>2694</v>
          </cell>
          <cell r="B1114">
            <v>2694</v>
          </cell>
          <cell r="C1114" t="str">
            <v>CERO MATRICULA</v>
          </cell>
          <cell r="D1114" t="str">
            <v>ACTIVO</v>
          </cell>
          <cell r="E1114" t="str">
            <v>BPZ177</v>
          </cell>
          <cell r="F1114" t="str">
            <v>ZEVALLOS VEGA VICTOR DANIEL</v>
          </cell>
          <cell r="G1114" t="str">
            <v>ZEVALLOS VEGA VICTOR DANIEL</v>
          </cell>
          <cell r="H1114" t="str">
            <v>70046022</v>
          </cell>
          <cell r="I1114" t="str">
            <v>BBVA</v>
          </cell>
          <cell r="J1114" t="str">
            <v>001108140264171550</v>
          </cell>
          <cell r="K1114" t="str">
            <v>DNI</v>
          </cell>
          <cell r="L1114">
            <v>10700460229</v>
          </cell>
          <cell r="M1114" t="str">
            <v>URBANO PARTNER</v>
          </cell>
          <cell r="N1114">
            <v>45209</v>
          </cell>
          <cell r="O1114">
            <v>0</v>
          </cell>
          <cell r="P1114" t="str">
            <v>COMFORT XL</v>
          </cell>
        </row>
        <row r="1115">
          <cell r="A1115">
            <v>2696</v>
          </cell>
          <cell r="B1115">
            <v>2696</v>
          </cell>
          <cell r="C1115" t="str">
            <v>CERO MATRICULA</v>
          </cell>
          <cell r="D1115" t="str">
            <v>ACTIVO</v>
          </cell>
          <cell r="E1115" t="str">
            <v>FLOTA PROPIA</v>
          </cell>
          <cell r="F1115" t="str">
            <v>FLOTA PROPIA</v>
          </cell>
          <cell r="G1115" t="str">
            <v>FLOTA PROPIA</v>
          </cell>
          <cell r="H1115" t="str">
            <v>FLOTA PROPIA</v>
          </cell>
          <cell r="I1115" t="str">
            <v>FLOTA PROPIA</v>
          </cell>
          <cell r="J1115" t="str">
            <v>FLOTA PROPIA</v>
          </cell>
          <cell r="K1115" t="str">
            <v>FLOTA PROPIA</v>
          </cell>
          <cell r="L1115" t="str">
            <v>FLOTA PROPIA</v>
          </cell>
          <cell r="M1115" t="str">
            <v>FLOTA PROPIA</v>
          </cell>
          <cell r="N1115">
            <v>45211</v>
          </cell>
          <cell r="O1115">
            <v>0</v>
          </cell>
          <cell r="P1115" t="str">
            <v>LITE</v>
          </cell>
        </row>
        <row r="1116">
          <cell r="A1116">
            <v>2697</v>
          </cell>
          <cell r="B1116">
            <v>2697</v>
          </cell>
          <cell r="C1116" t="str">
            <v>CERO MATRICULA</v>
          </cell>
          <cell r="D1116" t="str">
            <v>ACTIVO</v>
          </cell>
          <cell r="E1116" t="str">
            <v>ASO190</v>
          </cell>
          <cell r="F1116" t="str">
            <v>ZURITA GONZALEZ EDSON JOHAN</v>
          </cell>
          <cell r="G1116" t="str">
            <v>ZURITA GONZALEZ EDSON JOHAN</v>
          </cell>
          <cell r="H1116" t="str">
            <v>40651977</v>
          </cell>
          <cell r="I1116" t="str">
            <v>BCP</v>
          </cell>
          <cell r="J1116" t="str">
            <v>19118635134066</v>
          </cell>
          <cell r="K1116" t="str">
            <v>DNI</v>
          </cell>
          <cell r="L1116">
            <v>10406519771</v>
          </cell>
          <cell r="M1116" t="str">
            <v>URBANO</v>
          </cell>
          <cell r="N1116">
            <v>45211</v>
          </cell>
          <cell r="O1116">
            <v>0</v>
          </cell>
          <cell r="P1116" t="str">
            <v>COMFORT</v>
          </cell>
        </row>
        <row r="1117">
          <cell r="A1117">
            <v>2698</v>
          </cell>
          <cell r="B1117">
            <v>2698</v>
          </cell>
          <cell r="C1117" t="str">
            <v>CERO MATRICULA</v>
          </cell>
          <cell r="D1117" t="str">
            <v>ACTIVO</v>
          </cell>
          <cell r="E1117" t="str">
            <v>AYZ312</v>
          </cell>
          <cell r="F1117" t="str">
            <v>GALARRETA  HUAMAN  TEODORO</v>
          </cell>
          <cell r="G1117" t="str">
            <v>GALARRETA  HUAMAN  TEODORO</v>
          </cell>
          <cell r="H1117" t="str">
            <v>48436494</v>
          </cell>
          <cell r="I1117" t="str">
            <v>INTERBANK</v>
          </cell>
          <cell r="J1117" t="str">
            <v>8983388012414</v>
          </cell>
          <cell r="K1117" t="str">
            <v>DNI</v>
          </cell>
          <cell r="L1117">
            <v>10484364945</v>
          </cell>
          <cell r="M1117" t="str">
            <v>URBANO</v>
          </cell>
          <cell r="N1117">
            <v>45211</v>
          </cell>
          <cell r="O1117">
            <v>0</v>
          </cell>
          <cell r="P1117" t="str">
            <v>LITE</v>
          </cell>
        </row>
        <row r="1118">
          <cell r="A1118">
            <v>2699</v>
          </cell>
          <cell r="B1118">
            <v>2699</v>
          </cell>
          <cell r="C1118" t="str">
            <v>CERO MATRICULA</v>
          </cell>
          <cell r="D1118" t="str">
            <v>ACTIVO</v>
          </cell>
          <cell r="E1118" t="str">
            <v>CEU531</v>
          </cell>
          <cell r="F1118" t="str">
            <v>ESTRADA  PARDO  KREMLIN HENRRY</v>
          </cell>
          <cell r="G1118" t="str">
            <v>ESTRADA  PARDO  KREMLIN HENRRY</v>
          </cell>
          <cell r="H1118" t="str">
            <v>47492022</v>
          </cell>
          <cell r="I1118" t="str">
            <v>BCP</v>
          </cell>
          <cell r="J1118" t="str">
            <v>33533907162074</v>
          </cell>
          <cell r="K1118" t="str">
            <v>DNI</v>
          </cell>
          <cell r="L1118">
            <v>10474920220</v>
          </cell>
          <cell r="M1118" t="str">
            <v>URBANO</v>
          </cell>
          <cell r="N1118">
            <v>45211</v>
          </cell>
          <cell r="O1118">
            <v>0</v>
          </cell>
          <cell r="P1118" t="str">
            <v>XL</v>
          </cell>
        </row>
        <row r="1119">
          <cell r="A1119">
            <v>2700</v>
          </cell>
          <cell r="B1119">
            <v>2700</v>
          </cell>
          <cell r="C1119" t="str">
            <v>CERO MATRICULA</v>
          </cell>
          <cell r="D1119" t="str">
            <v>ACTIVO</v>
          </cell>
          <cell r="E1119" t="str">
            <v>CHF335</v>
          </cell>
          <cell r="F1119" t="str">
            <v>REQUENA DULANTO JUAN CARLOS</v>
          </cell>
          <cell r="G1119" t="str">
            <v>REQUENA DULANTO JUAN CARLOS</v>
          </cell>
          <cell r="H1119" t="str">
            <v>03871178</v>
          </cell>
          <cell r="I1119" t="str">
            <v>BBVA</v>
          </cell>
          <cell r="J1119" t="str">
            <v>0011-02520200199597</v>
          </cell>
          <cell r="K1119" t="str">
            <v>DNI</v>
          </cell>
          <cell r="L1119">
            <v>10038711780</v>
          </cell>
          <cell r="M1119" t="str">
            <v>AEROPUERTO</v>
          </cell>
          <cell r="N1119">
            <v>45195</v>
          </cell>
          <cell r="O1119">
            <v>235</v>
          </cell>
          <cell r="P1119" t="str">
            <v>COMFORT XL</v>
          </cell>
        </row>
        <row r="1120">
          <cell r="A1120">
            <v>2701</v>
          </cell>
          <cell r="B1120">
            <v>2701</v>
          </cell>
          <cell r="C1120" t="str">
            <v>CERO MATRICULA</v>
          </cell>
          <cell r="D1120" t="str">
            <v>ACTIVO</v>
          </cell>
          <cell r="E1120" t="str">
            <v>CFU637</v>
          </cell>
          <cell r="F1120" t="str">
            <v>CASTELLO NIETO POLO ANGELO EDUARDO</v>
          </cell>
          <cell r="G1120" t="str">
            <v>CASTELLO NIETO POLO ANGELO EDUARDO</v>
          </cell>
          <cell r="H1120" t="str">
            <v>09636703</v>
          </cell>
          <cell r="I1120" t="str">
            <v>BCP</v>
          </cell>
          <cell r="J1120" t="str">
            <v>191-78831654031</v>
          </cell>
          <cell r="K1120" t="str">
            <v>DNI</v>
          </cell>
          <cell r="L1120">
            <v>10096367037</v>
          </cell>
          <cell r="M1120" t="str">
            <v>URBANO</v>
          </cell>
          <cell r="N1120">
            <v>45188</v>
          </cell>
          <cell r="O1120">
            <v>0</v>
          </cell>
          <cell r="P1120" t="str">
            <v>COMFORT XL</v>
          </cell>
        </row>
        <row r="1121">
          <cell r="A1121">
            <v>2702</v>
          </cell>
          <cell r="B1121">
            <v>2702</v>
          </cell>
          <cell r="C1121" t="str">
            <v>CERO MATRICULA</v>
          </cell>
          <cell r="D1121" t="str">
            <v>ACTIVO</v>
          </cell>
          <cell r="E1121" t="str">
            <v>BXJ477</v>
          </cell>
          <cell r="F1121" t="str">
            <v>CORREA RODRIGUEZ JUAN CARLOS</v>
          </cell>
          <cell r="G1121" t="str">
            <v>CORREA RODRIGUEZ JUAN CARLOS</v>
          </cell>
          <cell r="H1121" t="str">
            <v>49006890</v>
          </cell>
          <cell r="I1121" t="str">
            <v>BBVA</v>
          </cell>
          <cell r="J1121" t="str">
            <v>0011-0169-0200370848</v>
          </cell>
          <cell r="K1121" t="str">
            <v>DNI</v>
          </cell>
          <cell r="L1121">
            <v>10490068908</v>
          </cell>
          <cell r="M1121" t="str">
            <v>URBANO</v>
          </cell>
          <cell r="N1121">
            <v>45181</v>
          </cell>
          <cell r="O1121">
            <v>0</v>
          </cell>
          <cell r="P1121" t="str">
            <v>COMFORT XL</v>
          </cell>
        </row>
        <row r="1122">
          <cell r="A1122">
            <v>2703</v>
          </cell>
          <cell r="B1122">
            <v>2703</v>
          </cell>
          <cell r="C1122" t="str">
            <v>CERO MATRICULA</v>
          </cell>
          <cell r="D1122" t="str">
            <v>ACTIVO</v>
          </cell>
          <cell r="E1122" t="str">
            <v>BUU050</v>
          </cell>
          <cell r="F1122" t="str">
            <v>CUYA LOPEZ SEBASTIAN</v>
          </cell>
          <cell r="G1122" t="str">
            <v>CUYA LOPEZ SEBASTIAN</v>
          </cell>
          <cell r="H1122" t="str">
            <v>08665473</v>
          </cell>
          <cell r="I1122" t="str">
            <v>BBVA</v>
          </cell>
          <cell r="J1122" t="str">
            <v>0011-0057-0238636133</v>
          </cell>
          <cell r="K1122" t="str">
            <v>DNI</v>
          </cell>
          <cell r="L1122">
            <v>10086654739</v>
          </cell>
          <cell r="M1122" t="str">
            <v>AEROPUERTO VAN</v>
          </cell>
          <cell r="N1122">
            <v>45189</v>
          </cell>
          <cell r="O1122">
            <v>240</v>
          </cell>
          <cell r="P1122" t="str">
            <v>VAN</v>
          </cell>
        </row>
        <row r="1123">
          <cell r="A1123">
            <v>2704</v>
          </cell>
          <cell r="B1123">
            <v>2704</v>
          </cell>
          <cell r="C1123" t="str">
            <v>CERO MATRICULA</v>
          </cell>
          <cell r="D1123" t="str">
            <v>ACTIVO</v>
          </cell>
          <cell r="E1123" t="str">
            <v>CFT508</v>
          </cell>
          <cell r="F1123" t="str">
            <v>MACAVILCA CORNEJO FAVIO ERNESTO</v>
          </cell>
          <cell r="G1123" t="str">
            <v>MACAVILCA CORNEJO FAVIO ERNESTO</v>
          </cell>
          <cell r="H1123" t="str">
            <v>25534174</v>
          </cell>
          <cell r="I1123" t="str">
            <v>BCP</v>
          </cell>
          <cell r="J1123" t="str">
            <v>192-99818591056</v>
          </cell>
          <cell r="K1123" t="str">
            <v>DNI</v>
          </cell>
          <cell r="L1123">
            <v>10255341745</v>
          </cell>
          <cell r="M1123" t="str">
            <v>AEROPUERTO</v>
          </cell>
          <cell r="N1123">
            <v>45188</v>
          </cell>
          <cell r="O1123">
            <v>240</v>
          </cell>
          <cell r="P1123" t="str">
            <v>COMFORT</v>
          </cell>
        </row>
        <row r="1124">
          <cell r="A1124">
            <v>2731</v>
          </cell>
          <cell r="B1124">
            <v>2731</v>
          </cell>
          <cell r="C1124" t="str">
            <v>CERO MATRICULA</v>
          </cell>
          <cell r="D1124" t="str">
            <v>ACTIVO</v>
          </cell>
          <cell r="E1124" t="str">
            <v>CAC440</v>
          </cell>
          <cell r="F1124" t="str">
            <v>LEY LUNA   MARTIN ALEXIS</v>
          </cell>
          <cell r="G1124" t="str">
            <v>LEY LUNA   MARTIN ALEXIS</v>
          </cell>
          <cell r="H1124" t="str">
            <v>78005049</v>
          </cell>
          <cell r="I1124" t="str">
            <v>BBVA</v>
          </cell>
          <cell r="J1124" t="str">
            <v>0011-08140236913436</v>
          </cell>
          <cell r="K1124" t="str">
            <v>DNI</v>
          </cell>
          <cell r="L1124">
            <v>10780050492</v>
          </cell>
          <cell r="M1124" t="str">
            <v>URBANO</v>
          </cell>
          <cell r="N1124">
            <v>45211</v>
          </cell>
          <cell r="O1124">
            <v>0</v>
          </cell>
          <cell r="P1124" t="str">
            <v>COMFORT XL</v>
          </cell>
        </row>
        <row r="1125">
          <cell r="A1125">
            <v>2732</v>
          </cell>
          <cell r="B1125">
            <v>2732</v>
          </cell>
          <cell r="C1125" t="str">
            <v>CERO MATRICULA</v>
          </cell>
          <cell r="D1125" t="str">
            <v>ACTIVO</v>
          </cell>
          <cell r="E1125" t="str">
            <v>ADP396</v>
          </cell>
          <cell r="F1125" t="str">
            <v>ARANGO LOPEZ JULIO CESAR</v>
          </cell>
          <cell r="G1125" t="str">
            <v>ARANGO LOPEZ JULIO CESAR</v>
          </cell>
          <cell r="H1125" t="str">
            <v>46494720</v>
          </cell>
          <cell r="I1125" t="str">
            <v>INTERBANK</v>
          </cell>
          <cell r="J1125" t="str">
            <v>3783347945306</v>
          </cell>
          <cell r="K1125" t="str">
            <v>DNI</v>
          </cell>
          <cell r="L1125">
            <v>10464947201</v>
          </cell>
          <cell r="M1125" t="str">
            <v>URBANO</v>
          </cell>
          <cell r="N1125">
            <v>45211</v>
          </cell>
          <cell r="O1125">
            <v>0</v>
          </cell>
          <cell r="P1125" t="str">
            <v>COMFORT XL</v>
          </cell>
        </row>
        <row r="1126">
          <cell r="A1126">
            <v>2733</v>
          </cell>
          <cell r="B1126">
            <v>2733</v>
          </cell>
          <cell r="C1126" t="str">
            <v>CERO MATRICULA</v>
          </cell>
          <cell r="D1126" t="str">
            <v>ACTIVO</v>
          </cell>
          <cell r="E1126" t="str">
            <v>AJI244</v>
          </cell>
          <cell r="F1126" t="str">
            <v>RAMIREZ  QUISPE  JUAN CARLOS</v>
          </cell>
          <cell r="G1126" t="str">
            <v>RAMIREZ  QUISPE  JUAN CARLOS</v>
          </cell>
          <cell r="H1126" t="str">
            <v>10632266</v>
          </cell>
          <cell r="I1126" t="str">
            <v>BCP</v>
          </cell>
          <cell r="J1126" t="str">
            <v>194-01372812078</v>
          </cell>
          <cell r="K1126" t="str">
            <v>DNI</v>
          </cell>
          <cell r="L1126">
            <v>10106322665</v>
          </cell>
          <cell r="M1126" t="str">
            <v>URBANO</v>
          </cell>
          <cell r="N1126">
            <v>45216</v>
          </cell>
          <cell r="O1126">
            <v>0</v>
          </cell>
          <cell r="P1126" t="str">
            <v>LITE</v>
          </cell>
        </row>
        <row r="1127">
          <cell r="A1127">
            <v>2734</v>
          </cell>
          <cell r="B1127">
            <v>2734</v>
          </cell>
          <cell r="C1127" t="str">
            <v>CERO MATRICULA</v>
          </cell>
          <cell r="D1127" t="str">
            <v>ACTIVO</v>
          </cell>
          <cell r="E1127" t="str">
            <v>CJB176</v>
          </cell>
          <cell r="F1127" t="str">
            <v>ZUÑIGA  CAMAYO EDER NICOLAS EDER NICOLAS</v>
          </cell>
          <cell r="G1127" t="str">
            <v>ZUÑIGA  CAMAYO EDER NICOLAS EDER NICOLAS</v>
          </cell>
          <cell r="H1127" t="str">
            <v>42327361</v>
          </cell>
          <cell r="I1127" t="str">
            <v>BBVA</v>
          </cell>
          <cell r="J1127" t="str">
            <v>0011-01270200688857</v>
          </cell>
          <cell r="K1127" t="str">
            <v>DNI</v>
          </cell>
          <cell r="L1127">
            <v>10423273611</v>
          </cell>
          <cell r="M1127" t="str">
            <v>URBANO</v>
          </cell>
          <cell r="N1127">
            <v>45216</v>
          </cell>
          <cell r="O1127">
            <v>0</v>
          </cell>
          <cell r="P1127" t="str">
            <v>LITE</v>
          </cell>
        </row>
        <row r="1128">
          <cell r="A1128">
            <v>2735</v>
          </cell>
          <cell r="B1128">
            <v>2735</v>
          </cell>
          <cell r="C1128" t="str">
            <v>CERO MATRICULA</v>
          </cell>
          <cell r="D1128" t="str">
            <v>ACTIVO</v>
          </cell>
          <cell r="E1128" t="str">
            <v>CAZ458</v>
          </cell>
          <cell r="F1128" t="str">
            <v>FUENTES  CUSTODIO  GODFREY WILLIANS JUNIOR</v>
          </cell>
          <cell r="G1128" t="str">
            <v>FUENTES  CUSTODIO  GODFREY WILLIANS JUNIOR</v>
          </cell>
          <cell r="H1128" t="str">
            <v>45949056</v>
          </cell>
          <cell r="I1128" t="str">
            <v>BCP</v>
          </cell>
          <cell r="J1128" t="str">
            <v>19222410088051</v>
          </cell>
          <cell r="K1128" t="str">
            <v>DNI</v>
          </cell>
          <cell r="L1128">
            <v>10459490561</v>
          </cell>
          <cell r="M1128" t="str">
            <v>URBANO</v>
          </cell>
          <cell r="N1128">
            <v>45216</v>
          </cell>
          <cell r="O1128">
            <v>0</v>
          </cell>
          <cell r="P1128" t="str">
            <v>LITE</v>
          </cell>
        </row>
        <row r="1129">
          <cell r="A1129">
            <v>2737</v>
          </cell>
          <cell r="B1129">
            <v>2737</v>
          </cell>
          <cell r="C1129" t="str">
            <v>CERO MATRICULA</v>
          </cell>
          <cell r="D1129" t="str">
            <v>ACTIVO</v>
          </cell>
          <cell r="E1129" t="str">
            <v>CFQ603</v>
          </cell>
          <cell r="F1129" t="str">
            <v xml:space="preserve">BENDEZU CUCHO PAUL ANIBAL </v>
          </cell>
          <cell r="G1129" t="str">
            <v xml:space="preserve">BENDEZU CUCHO PAUL ANIBAL </v>
          </cell>
          <cell r="H1129" t="str">
            <v>42803007</v>
          </cell>
          <cell r="I1129" t="str">
            <v>INTERBANK</v>
          </cell>
          <cell r="J1129" t="str">
            <v>8983391619583</v>
          </cell>
          <cell r="K1129" t="str">
            <v>DNI</v>
          </cell>
          <cell r="L1129">
            <v>10428030074</v>
          </cell>
          <cell r="M1129" t="str">
            <v>URBANO</v>
          </cell>
          <cell r="N1129">
            <v>45218</v>
          </cell>
          <cell r="O1129">
            <v>0</v>
          </cell>
          <cell r="P1129" t="str">
            <v>LITE</v>
          </cell>
        </row>
        <row r="1130">
          <cell r="A1130">
            <v>2738</v>
          </cell>
          <cell r="B1130">
            <v>2738</v>
          </cell>
          <cell r="C1130" t="str">
            <v>CERO MATRICULA</v>
          </cell>
          <cell r="D1130" t="str">
            <v>ACTIVO</v>
          </cell>
          <cell r="E1130" t="str">
            <v>F6D128</v>
          </cell>
          <cell r="F1130" t="str">
            <v>GOMERO  GUERRA HUGO ANDRES</v>
          </cell>
          <cell r="G1130" t="str">
            <v>GOMERO  GUERRA HUGO ANDRES</v>
          </cell>
          <cell r="H1130">
            <v>43551228</v>
          </cell>
          <cell r="I1130" t="str">
            <v>INTERBANK</v>
          </cell>
          <cell r="J1130" t="str">
            <v>0413113601563</v>
          </cell>
          <cell r="K1130" t="str">
            <v>DNI</v>
          </cell>
          <cell r="L1130">
            <v>10435512289</v>
          </cell>
          <cell r="M1130" t="str">
            <v>URBANO</v>
          </cell>
          <cell r="N1130">
            <v>45225</v>
          </cell>
          <cell r="O1130">
            <v>0</v>
          </cell>
          <cell r="P1130" t="str">
            <v>COMFORT</v>
          </cell>
        </row>
        <row r="1131">
          <cell r="A1131">
            <v>2739</v>
          </cell>
          <cell r="B1131">
            <v>2739</v>
          </cell>
          <cell r="C1131" t="str">
            <v>CERO MATRICULA</v>
          </cell>
          <cell r="D1131" t="str">
            <v>ACTIVO</v>
          </cell>
          <cell r="E1131" t="str">
            <v>BPD149</v>
          </cell>
          <cell r="F1131" t="str">
            <v>HUACCHILLO  MOROCHO  LINDER</v>
          </cell>
          <cell r="G1131" t="str">
            <v>HUACCHILLO  MOROCHO  LINDER</v>
          </cell>
          <cell r="H1131" t="str">
            <v>47994353</v>
          </cell>
          <cell r="I1131" t="str">
            <v>INTERBANK</v>
          </cell>
          <cell r="J1131" t="str">
            <v>898-3154310454</v>
          </cell>
          <cell r="K1131" t="str">
            <v>DNI</v>
          </cell>
          <cell r="L1131">
            <v>10479943538</v>
          </cell>
          <cell r="M1131" t="str">
            <v>URBANO</v>
          </cell>
          <cell r="N1131">
            <v>45218</v>
          </cell>
          <cell r="O1131">
            <v>0</v>
          </cell>
          <cell r="P1131" t="str">
            <v>COMFORT</v>
          </cell>
        </row>
        <row r="1132">
          <cell r="A1132">
            <v>2740</v>
          </cell>
          <cell r="B1132">
            <v>2740</v>
          </cell>
          <cell r="C1132" t="str">
            <v>CERO MATRICULA</v>
          </cell>
          <cell r="D1132" t="str">
            <v>ACTIVO</v>
          </cell>
          <cell r="E1132" t="str">
            <v>BJO080</v>
          </cell>
          <cell r="F1132" t="str">
            <v>PATIÑO  NIEVES  LUIS GUSTAVO</v>
          </cell>
          <cell r="G1132" t="str">
            <v>PATIÑO  NIEVES  LUIS GUSTAVO</v>
          </cell>
          <cell r="H1132" t="str">
            <v>004083492</v>
          </cell>
          <cell r="I1132" t="str">
            <v>INTERBANK</v>
          </cell>
          <cell r="J1132" t="str">
            <v>0093278512642</v>
          </cell>
          <cell r="K1132" t="str">
            <v>CE</v>
          </cell>
          <cell r="L1132">
            <v>15604385722</v>
          </cell>
          <cell r="M1132" t="str">
            <v>URBANO</v>
          </cell>
          <cell r="N1132">
            <v>45218</v>
          </cell>
          <cell r="O1132">
            <v>0</v>
          </cell>
          <cell r="P1132" t="str">
            <v>LITE</v>
          </cell>
        </row>
        <row r="1133">
          <cell r="A1133">
            <v>2741</v>
          </cell>
          <cell r="B1133">
            <v>2741</v>
          </cell>
          <cell r="C1133" t="str">
            <v>CERO MATRICULA</v>
          </cell>
          <cell r="D1133" t="str">
            <v>ACTIVO</v>
          </cell>
          <cell r="E1133" t="str">
            <v>AFT098</v>
          </cell>
          <cell r="F1133" t="str">
            <v>CEDEÑO  CEDEÑO  KELVYN ADRIAN</v>
          </cell>
          <cell r="G1133" t="str">
            <v>VILLAROEL WADSKIER BRIGGIT ANDREINA</v>
          </cell>
          <cell r="H1133" t="str">
            <v>004637425</v>
          </cell>
          <cell r="I1133" t="str">
            <v>BCP</v>
          </cell>
          <cell r="J1133" t="str">
            <v>191-93165644009</v>
          </cell>
          <cell r="K1133" t="str">
            <v>CE</v>
          </cell>
          <cell r="L1133">
            <v>15611748172</v>
          </cell>
          <cell r="M1133" t="str">
            <v>URBANO</v>
          </cell>
          <cell r="N1133">
            <v>45218</v>
          </cell>
          <cell r="O1133">
            <v>0</v>
          </cell>
          <cell r="P1133" t="str">
            <v>LITE</v>
          </cell>
        </row>
        <row r="1134">
          <cell r="A1134">
            <v>2742</v>
          </cell>
          <cell r="B1134">
            <v>2742</v>
          </cell>
          <cell r="C1134" t="str">
            <v>CERO MATRICULA</v>
          </cell>
          <cell r="D1134" t="str">
            <v>ACTIVO</v>
          </cell>
          <cell r="E1134" t="str">
            <v>CAA550</v>
          </cell>
          <cell r="F1134" t="str">
            <v>LEANDRO CRUZ ROBERTO JORGE</v>
          </cell>
          <cell r="G1134" t="str">
            <v>LEANDRO CRUZ ROBERTO JORGE</v>
          </cell>
          <cell r="H1134" t="str">
            <v>001970128</v>
          </cell>
          <cell r="I1134" t="str">
            <v>BBVA</v>
          </cell>
          <cell r="J1134" t="str">
            <v>0011-01310200420910</v>
          </cell>
          <cell r="K1134" t="str">
            <v>CE</v>
          </cell>
          <cell r="L1134">
            <v>15602947057</v>
          </cell>
          <cell r="M1134" t="str">
            <v>URBANO</v>
          </cell>
          <cell r="N1134">
            <v>45218</v>
          </cell>
          <cell r="O1134">
            <v>0</v>
          </cell>
          <cell r="P1134" t="str">
            <v>COMFORT XL</v>
          </cell>
        </row>
        <row r="1135">
          <cell r="A1135">
            <v>2743</v>
          </cell>
          <cell r="B1135">
            <v>2743</v>
          </cell>
          <cell r="C1135" t="str">
            <v>CERO MATRICULA</v>
          </cell>
          <cell r="D1135" t="str">
            <v>ACTIVO</v>
          </cell>
          <cell r="E1135" t="str">
            <v>BSI242</v>
          </cell>
          <cell r="F1135" t="str">
            <v>QUINTERO  VASQUEZ IRIS DEL CARMEN</v>
          </cell>
          <cell r="G1135" t="str">
            <v>QUINTERO  VASQUEZ IRIS DEL CARMEN</v>
          </cell>
          <cell r="H1135" t="str">
            <v>001539111</v>
          </cell>
          <cell r="I1135" t="str">
            <v>BBVA</v>
          </cell>
          <cell r="J1135" t="str">
            <v>0011-01910200402227</v>
          </cell>
          <cell r="K1135" t="str">
            <v>CE</v>
          </cell>
          <cell r="L1135">
            <v>15603825117</v>
          </cell>
          <cell r="M1135" t="str">
            <v>URBANO</v>
          </cell>
          <cell r="N1135">
            <v>45219</v>
          </cell>
          <cell r="O1135">
            <v>0</v>
          </cell>
          <cell r="P1135" t="str">
            <v>COMFORT XL</v>
          </cell>
        </row>
        <row r="1136">
          <cell r="A1136">
            <v>2744</v>
          </cell>
          <cell r="B1136">
            <v>2744</v>
          </cell>
          <cell r="C1136" t="str">
            <v>CERO MATRICULA</v>
          </cell>
          <cell r="D1136" t="str">
            <v>ACTIVO</v>
          </cell>
          <cell r="E1136" t="str">
            <v>AMLQ406</v>
          </cell>
          <cell r="F1136" t="str">
            <v>ALCAZAR QUINTEROS SANDRA GOSSANINE</v>
          </cell>
          <cell r="G1136" t="str">
            <v>MONTOYA ALCAZAR ERIKA STEPHANY</v>
          </cell>
          <cell r="H1136" t="str">
            <v>47832493</v>
          </cell>
          <cell r="I1136" t="str">
            <v>INTERBANK</v>
          </cell>
          <cell r="J1136">
            <v>8983161860931</v>
          </cell>
          <cell r="K1136" t="str">
            <v>DNI</v>
          </cell>
          <cell r="L1136">
            <v>10478324931</v>
          </cell>
          <cell r="M1136" t="str">
            <v>AEROLINEAS</v>
          </cell>
          <cell r="N1136">
            <v>45219</v>
          </cell>
          <cell r="O1136">
            <v>0</v>
          </cell>
          <cell r="P1136" t="str">
            <v>COMFORT</v>
          </cell>
        </row>
        <row r="1137">
          <cell r="A1137">
            <v>2745</v>
          </cell>
          <cell r="B1137">
            <v>2745</v>
          </cell>
          <cell r="C1137" t="str">
            <v>CERO MATRICULA</v>
          </cell>
          <cell r="D1137" t="str">
            <v>ACTIVO</v>
          </cell>
          <cell r="E1137" t="str">
            <v>CHL669</v>
          </cell>
          <cell r="F1137" t="str">
            <v>GOMEZ  RODRIGUEZ  WINSTON EZEQUIEL</v>
          </cell>
          <cell r="G1137" t="str">
            <v>GOMEZ  RODRIGUEZ  WINSTON EZEQUIEL</v>
          </cell>
          <cell r="H1137" t="str">
            <v>002897662</v>
          </cell>
          <cell r="I1137" t="str">
            <v>BCP</v>
          </cell>
          <cell r="J1137" t="str">
            <v>19192167708093</v>
          </cell>
          <cell r="K1137" t="str">
            <v>CE</v>
          </cell>
          <cell r="L1137">
            <v>15605228132</v>
          </cell>
          <cell r="M1137" t="str">
            <v>URBANO</v>
          </cell>
          <cell r="N1137">
            <v>45219</v>
          </cell>
          <cell r="O1137">
            <v>0</v>
          </cell>
          <cell r="P1137" t="str">
            <v>LITE</v>
          </cell>
        </row>
        <row r="1138">
          <cell r="A1138">
            <v>2746</v>
          </cell>
          <cell r="B1138">
            <v>2746</v>
          </cell>
          <cell r="C1138" t="str">
            <v>CERO MATRICULA</v>
          </cell>
          <cell r="D1138" t="str">
            <v>ACTIVO</v>
          </cell>
          <cell r="E1138" t="str">
            <v>CCW 212</v>
          </cell>
          <cell r="F1138" t="str">
            <v>BERMUDEZ HURTADO MARCO ANTONIO</v>
          </cell>
          <cell r="G1138" t="str">
            <v>BERMUDEZ HURTADO MARCO ANTONIO</v>
          </cell>
          <cell r="H1138">
            <v>44276792</v>
          </cell>
          <cell r="I1138" t="str">
            <v xml:space="preserve">SCOTIABANK </v>
          </cell>
          <cell r="J1138">
            <v>3720433105</v>
          </cell>
          <cell r="K1138" t="str">
            <v>DNI</v>
          </cell>
          <cell r="L1138">
            <v>10442767926</v>
          </cell>
          <cell r="M1138" t="str">
            <v>MEMBRESÍA URBANO</v>
          </cell>
          <cell r="N1138">
            <v>45223</v>
          </cell>
          <cell r="O1138">
            <v>280</v>
          </cell>
          <cell r="P1138" t="str">
            <v>LITE</v>
          </cell>
        </row>
        <row r="1139">
          <cell r="A1139">
            <v>2747</v>
          </cell>
          <cell r="B1139">
            <v>2747</v>
          </cell>
          <cell r="C1139" t="str">
            <v>CERO MATRICULA</v>
          </cell>
          <cell r="D1139" t="str">
            <v>ACTIVO</v>
          </cell>
          <cell r="E1139" t="str">
            <v>V4Y016</v>
          </cell>
          <cell r="F1139" t="str">
            <v>SAAVEDRA  QUIROGA  FELIX VICTORIANO</v>
          </cell>
          <cell r="G1139" t="str">
            <v>SAAVEDRA  QUIROGA  FELIX VICTORIANO</v>
          </cell>
          <cell r="H1139" t="str">
            <v>08587293</v>
          </cell>
          <cell r="I1139" t="str">
            <v>BBVA</v>
          </cell>
          <cell r="J1139" t="str">
            <v>0011-0105-0200436882</v>
          </cell>
          <cell r="K1139" t="str">
            <v>DNI</v>
          </cell>
          <cell r="L1139">
            <v>10085872937</v>
          </cell>
          <cell r="M1139" t="str">
            <v>URBANO</v>
          </cell>
          <cell r="N1139">
            <v>45223</v>
          </cell>
          <cell r="O1139">
            <v>0</v>
          </cell>
          <cell r="P1139" t="str">
            <v>LITE</v>
          </cell>
        </row>
        <row r="1140">
          <cell r="A1140">
            <v>2748</v>
          </cell>
          <cell r="B1140">
            <v>2748</v>
          </cell>
          <cell r="C1140" t="str">
            <v>CERO MATRICULA</v>
          </cell>
          <cell r="D1140" t="str">
            <v>ACTIVO</v>
          </cell>
          <cell r="E1140" t="str">
            <v>BTR209</v>
          </cell>
          <cell r="F1140" t="str">
            <v>NUÑEZ  LLECLLISH GILBER MARINO</v>
          </cell>
          <cell r="G1140" t="str">
            <v>NUÑEZ  LLECLLISH GILBER MARINO</v>
          </cell>
          <cell r="H1140">
            <v>40781013</v>
          </cell>
          <cell r="I1140" t="str">
            <v>BCP</v>
          </cell>
          <cell r="J1140" t="str">
            <v>19298335164046</v>
          </cell>
          <cell r="K1140" t="str">
            <v>DNI</v>
          </cell>
          <cell r="L1140">
            <v>10407810134</v>
          </cell>
          <cell r="M1140" t="str">
            <v>URBANO</v>
          </cell>
          <cell r="N1140">
            <v>45223</v>
          </cell>
          <cell r="O1140">
            <v>0</v>
          </cell>
          <cell r="P1140" t="str">
            <v>XL</v>
          </cell>
        </row>
        <row r="1141">
          <cell r="A1141">
            <v>2749</v>
          </cell>
          <cell r="B1141">
            <v>2749</v>
          </cell>
          <cell r="C1141" t="str">
            <v>CERO MATRICULA</v>
          </cell>
          <cell r="D1141" t="str">
            <v>ACTIVO</v>
          </cell>
          <cell r="E1141" t="str">
            <v>BWR200</v>
          </cell>
          <cell r="F1141" t="str">
            <v>QUISPE  DIAZ  EDWIN LEE</v>
          </cell>
          <cell r="G1141" t="str">
            <v>QUISPE  DIAZ  EDWIN LEE</v>
          </cell>
          <cell r="H1141">
            <v>70354309</v>
          </cell>
          <cell r="I1141" t="str">
            <v>BCP</v>
          </cell>
          <cell r="J1141" t="str">
            <v>19132701519036</v>
          </cell>
          <cell r="K1141" t="str">
            <v>DNI</v>
          </cell>
          <cell r="L1141">
            <v>10703543095</v>
          </cell>
          <cell r="M1141" t="str">
            <v>URBANO PARTNER</v>
          </cell>
          <cell r="N1141">
            <v>45223</v>
          </cell>
          <cell r="O1141">
            <v>0</v>
          </cell>
          <cell r="P1141" t="str">
            <v>XL</v>
          </cell>
        </row>
        <row r="1142">
          <cell r="A1142">
            <v>2750</v>
          </cell>
          <cell r="B1142">
            <v>2750</v>
          </cell>
          <cell r="C1142" t="str">
            <v>CERO MATRICULA</v>
          </cell>
          <cell r="D1142" t="str">
            <v>ACTIVO</v>
          </cell>
          <cell r="E1142" t="str">
            <v>CFR659</v>
          </cell>
          <cell r="F1142" t="str">
            <v>CALLIRGOS  NIQUEN  JOHN MARLON</v>
          </cell>
          <cell r="G1142" t="str">
            <v>CALLIRGOS  NIQUEN  JOHN MARLON</v>
          </cell>
          <cell r="H1142">
            <v>25805544</v>
          </cell>
          <cell r="I1142" t="str">
            <v>BCP</v>
          </cell>
          <cell r="J1142" t="str">
            <v>1922966729057</v>
          </cell>
          <cell r="K1142" t="str">
            <v>DNI</v>
          </cell>
          <cell r="L1142">
            <v>10258055441</v>
          </cell>
          <cell r="M1142" t="str">
            <v>URBANO</v>
          </cell>
          <cell r="N1142">
            <v>45223</v>
          </cell>
          <cell r="O1142">
            <v>0</v>
          </cell>
          <cell r="P1142" t="str">
            <v>COMFORT</v>
          </cell>
        </row>
        <row r="1143">
          <cell r="A1143">
            <v>2751</v>
          </cell>
          <cell r="B1143">
            <v>2751</v>
          </cell>
          <cell r="C1143" t="str">
            <v>CERO MATRICULA</v>
          </cell>
          <cell r="D1143" t="str">
            <v>ACTIVO</v>
          </cell>
          <cell r="E1143" t="str">
            <v>CEK206</v>
          </cell>
          <cell r="F1143" t="str">
            <v>DE LA FUENTE  CHAVEZ ROMERO  EDISON ALTHAIR</v>
          </cell>
          <cell r="G1143" t="str">
            <v>DE LA FUENTE  CHAVEZ ROMERO  EDISON ALTHAIR</v>
          </cell>
          <cell r="H1143">
            <v>25816198</v>
          </cell>
          <cell r="I1143" t="str">
            <v>BCP</v>
          </cell>
          <cell r="J1143" t="str">
            <v>19299480649002</v>
          </cell>
          <cell r="K1143" t="str">
            <v>DNI</v>
          </cell>
          <cell r="L1143">
            <v>10258161985</v>
          </cell>
          <cell r="M1143" t="str">
            <v>URBANO</v>
          </cell>
          <cell r="N1143">
            <v>45223</v>
          </cell>
          <cell r="O1143">
            <v>0</v>
          </cell>
          <cell r="P1143" t="str">
            <v>LITE</v>
          </cell>
        </row>
        <row r="1144">
          <cell r="A1144">
            <v>2752</v>
          </cell>
          <cell r="B1144">
            <v>2752</v>
          </cell>
          <cell r="C1144" t="str">
            <v>CERO MATRICULA</v>
          </cell>
          <cell r="D1144" t="str">
            <v>ACTIVO</v>
          </cell>
          <cell r="E1144" t="str">
            <v>CCI455</v>
          </cell>
          <cell r="F1144" t="str">
            <v>SALAVERRIA VELAZQUEZ YONEL ENRIQUE</v>
          </cell>
          <cell r="G1144" t="str">
            <v>SALAVERRIA VELAZQUEZ YONEL ENRIQUE</v>
          </cell>
          <cell r="H1144" t="str">
            <v>002673783</v>
          </cell>
          <cell r="I1144" t="str">
            <v>BCP</v>
          </cell>
          <cell r="J1144" t="str">
            <v>19492480918067</v>
          </cell>
          <cell r="K1144" t="str">
            <v>CE</v>
          </cell>
          <cell r="L1144">
            <v>15604944781</v>
          </cell>
          <cell r="M1144" t="str">
            <v>URBANO</v>
          </cell>
          <cell r="N1144">
            <v>45225</v>
          </cell>
          <cell r="O1144">
            <v>0</v>
          </cell>
          <cell r="P1144" t="str">
            <v>LITE</v>
          </cell>
        </row>
        <row r="1145">
          <cell r="A1145">
            <v>2753</v>
          </cell>
          <cell r="B1145">
            <v>2753</v>
          </cell>
          <cell r="C1145" t="str">
            <v>CERO MATRICULA</v>
          </cell>
          <cell r="D1145" t="str">
            <v>ACTIVO</v>
          </cell>
          <cell r="E1145" t="str">
            <v>CHB027</v>
          </cell>
          <cell r="F1145" t="str">
            <v>RUIZ  LLAMO  ALEXANDER</v>
          </cell>
          <cell r="G1145" t="str">
            <v>RUIZ  LLAMO  ALEXANDER</v>
          </cell>
          <cell r="H1145" t="str">
            <v>71198263</v>
          </cell>
          <cell r="I1145" t="str">
            <v>BCP</v>
          </cell>
          <cell r="J1145" t="str">
            <v>19499725388012</v>
          </cell>
          <cell r="K1145" t="str">
            <v>DNI</v>
          </cell>
          <cell r="L1145">
            <v>10711982634</v>
          </cell>
          <cell r="M1145" t="str">
            <v>URBANO</v>
          </cell>
          <cell r="N1145">
            <v>45229</v>
          </cell>
          <cell r="O1145">
            <v>0</v>
          </cell>
          <cell r="P1145" t="str">
            <v>LITE</v>
          </cell>
        </row>
        <row r="1146">
          <cell r="A1146">
            <v>2754</v>
          </cell>
          <cell r="B1146">
            <v>2754</v>
          </cell>
          <cell r="C1146" t="str">
            <v>CERO MATRICULA</v>
          </cell>
          <cell r="D1146" t="str">
            <v>ACTIVO</v>
          </cell>
          <cell r="E1146" t="str">
            <v>CAH306</v>
          </cell>
          <cell r="F1146" t="str">
            <v>SALAS  HUAMBACHANO  NATTAN ALEXANDER</v>
          </cell>
          <cell r="G1146" t="str">
            <v>SALAS  HUAMBACHANO  NATTAN ALEXANDER</v>
          </cell>
          <cell r="H1146" t="str">
            <v>47991171</v>
          </cell>
          <cell r="I1146" t="str">
            <v>BCP</v>
          </cell>
          <cell r="J1146" t="str">
            <v>19137802664007</v>
          </cell>
          <cell r="K1146" t="str">
            <v>DNI</v>
          </cell>
          <cell r="L1146">
            <v>10479911717</v>
          </cell>
          <cell r="M1146" t="str">
            <v>URBANO</v>
          </cell>
          <cell r="N1146">
            <v>45229</v>
          </cell>
          <cell r="O1146">
            <v>0</v>
          </cell>
          <cell r="P1146" t="str">
            <v>LITE</v>
          </cell>
        </row>
        <row r="1147">
          <cell r="A1147">
            <v>2755</v>
          </cell>
          <cell r="B1147">
            <v>2755</v>
          </cell>
          <cell r="C1147" t="str">
            <v>CERO MATRICULA</v>
          </cell>
          <cell r="D1147" t="str">
            <v>ACTIVO</v>
          </cell>
          <cell r="E1147" t="str">
            <v>CEG066</v>
          </cell>
          <cell r="F1147" t="str">
            <v>RIERA ROMAN CARLOS DAVID</v>
          </cell>
          <cell r="G1147" t="str">
            <v>RIERA ROMAN CARLOS DAVID</v>
          </cell>
          <cell r="H1147" t="str">
            <v>007529458</v>
          </cell>
          <cell r="I1147" t="str">
            <v>INTERBANK</v>
          </cell>
          <cell r="J1147" t="str">
            <v>3783372390670</v>
          </cell>
          <cell r="K1147" t="str">
            <v>CE</v>
          </cell>
          <cell r="L1147">
            <v>15611744258</v>
          </cell>
          <cell r="M1147" t="str">
            <v>URBANO</v>
          </cell>
          <cell r="N1147">
            <v>45229</v>
          </cell>
          <cell r="O1147">
            <v>0</v>
          </cell>
          <cell r="P1147" t="str">
            <v>COMFORT</v>
          </cell>
        </row>
        <row r="1148">
          <cell r="A1148">
            <v>2756</v>
          </cell>
          <cell r="B1148">
            <v>2756</v>
          </cell>
          <cell r="C1148" t="str">
            <v>CERO MATRICULA</v>
          </cell>
          <cell r="D1148" t="str">
            <v>ACTIVO</v>
          </cell>
          <cell r="E1148" t="str">
            <v>CBE515</v>
          </cell>
          <cell r="F1148" t="str">
            <v>ARPASACA  ROSALES  LUIS ROLANDO</v>
          </cell>
          <cell r="G1148" t="str">
            <v>ARPASACA  ROSALES  LUIS ROLANDO</v>
          </cell>
          <cell r="H1148" t="str">
            <v>10092132</v>
          </cell>
          <cell r="I1148" t="str">
            <v>BCP</v>
          </cell>
          <cell r="J1148" t="str">
            <v>19199547406033</v>
          </cell>
          <cell r="K1148" t="str">
            <v>DNI</v>
          </cell>
          <cell r="L1148">
            <v>10100912321</v>
          </cell>
          <cell r="M1148" t="str">
            <v>URBANO</v>
          </cell>
          <cell r="N1148">
            <v>45229</v>
          </cell>
          <cell r="O1148">
            <v>0</v>
          </cell>
          <cell r="P1148" t="str">
            <v>COMFORT XL</v>
          </cell>
        </row>
        <row r="1149">
          <cell r="A1149">
            <v>2757</v>
          </cell>
          <cell r="B1149">
            <v>2757</v>
          </cell>
          <cell r="C1149" t="str">
            <v>CERO MATRICULA</v>
          </cell>
          <cell r="D1149" t="str">
            <v>ACTIVO</v>
          </cell>
          <cell r="E1149" t="str">
            <v>CJD135</v>
          </cell>
          <cell r="F1149" t="str">
            <v>PEREZ  MORA  JOSE MANUEL</v>
          </cell>
          <cell r="G1149" t="str">
            <v>PEREZ  MORA  JOSE MANUEL</v>
          </cell>
          <cell r="H1149" t="str">
            <v>004416136</v>
          </cell>
          <cell r="I1149" t="str">
            <v>BCP</v>
          </cell>
          <cell r="J1149" t="str">
            <v>19305079216020</v>
          </cell>
          <cell r="K1149" t="str">
            <v>CE</v>
          </cell>
          <cell r="L1149">
            <v>15611756124</v>
          </cell>
          <cell r="M1149" t="str">
            <v>URBANO</v>
          </cell>
          <cell r="N1149">
            <v>45237</v>
          </cell>
          <cell r="O1149">
            <v>0</v>
          </cell>
          <cell r="P1149" t="str">
            <v>LITE</v>
          </cell>
        </row>
        <row r="1150">
          <cell r="A1150">
            <v>2758</v>
          </cell>
          <cell r="B1150">
            <v>2758</v>
          </cell>
          <cell r="C1150" t="str">
            <v>CERO MATRICULA</v>
          </cell>
          <cell r="D1150" t="str">
            <v>ACTIVO</v>
          </cell>
          <cell r="E1150" t="str">
            <v>Z7J334</v>
          </cell>
          <cell r="F1150" t="str">
            <v>CAPCHA  AYALA  RONNY MELECIO</v>
          </cell>
          <cell r="G1150" t="str">
            <v>CAPCHA  AYALA  RONNY MELECIO</v>
          </cell>
          <cell r="H1150" t="str">
            <v>41553110</v>
          </cell>
          <cell r="I1150" t="str">
            <v>BCP</v>
          </cell>
          <cell r="J1150" t="str">
            <v>19132499523099</v>
          </cell>
          <cell r="K1150" t="str">
            <v>DNI</v>
          </cell>
          <cell r="L1150">
            <v>10415531104</v>
          </cell>
          <cell r="M1150" t="str">
            <v>URBANO</v>
          </cell>
          <cell r="N1150">
            <v>45232</v>
          </cell>
          <cell r="O1150">
            <v>0</v>
          </cell>
          <cell r="P1150" t="str">
            <v>COMFORT</v>
          </cell>
        </row>
        <row r="1151">
          <cell r="A1151">
            <v>2759</v>
          </cell>
          <cell r="B1151">
            <v>2759</v>
          </cell>
          <cell r="C1151" t="str">
            <v>CERO MATRICULA</v>
          </cell>
          <cell r="D1151" t="str">
            <v>ACTIVO</v>
          </cell>
          <cell r="E1151" t="str">
            <v>CHG379</v>
          </cell>
          <cell r="F1151" t="str">
            <v>HUAMAN  CASAS  JUAN JESUS</v>
          </cell>
          <cell r="G1151" t="str">
            <v>HUAMAN  CASAS  JUAN JESUS</v>
          </cell>
          <cell r="H1151" t="str">
            <v>09615843</v>
          </cell>
          <cell r="I1151" t="str">
            <v>BBVA</v>
          </cell>
          <cell r="J1151" t="str">
            <v>001107330200082929</v>
          </cell>
          <cell r="K1151" t="str">
            <v>DNI</v>
          </cell>
          <cell r="L1151">
            <v>10096158438</v>
          </cell>
          <cell r="M1151" t="str">
            <v>URBANO</v>
          </cell>
          <cell r="N1151">
            <v>45237</v>
          </cell>
          <cell r="O1151">
            <v>0</v>
          </cell>
          <cell r="P1151" t="str">
            <v>COMFORT XL</v>
          </cell>
        </row>
        <row r="1152">
          <cell r="A1152">
            <v>2760</v>
          </cell>
          <cell r="B1152">
            <v>2760</v>
          </cell>
          <cell r="C1152" t="str">
            <v>CERO MATRICULA</v>
          </cell>
          <cell r="D1152" t="str">
            <v>ACTIVO</v>
          </cell>
          <cell r="E1152" t="str">
            <v>BVU553</v>
          </cell>
          <cell r="F1152" t="str">
            <v>GONZALES  BARBOZA  CESAR ERNESTO</v>
          </cell>
          <cell r="G1152" t="str">
            <v>BOZA QUISPE MARIA LUISA</v>
          </cell>
          <cell r="H1152" t="str">
            <v>07631144</v>
          </cell>
          <cell r="I1152" t="str">
            <v>BCP</v>
          </cell>
          <cell r="J1152" t="str">
            <v>19338777426015</v>
          </cell>
          <cell r="K1152" t="str">
            <v>DNI</v>
          </cell>
          <cell r="L1152">
            <v>10076311442</v>
          </cell>
          <cell r="M1152" t="str">
            <v>URBANO</v>
          </cell>
          <cell r="N1152">
            <v>45237</v>
          </cell>
          <cell r="O1152">
            <v>0</v>
          </cell>
          <cell r="P1152" t="str">
            <v>COMFORT XL</v>
          </cell>
        </row>
        <row r="1153">
          <cell r="A1153">
            <v>2761</v>
          </cell>
          <cell r="B1153">
            <v>2761</v>
          </cell>
          <cell r="C1153" t="str">
            <v>CERO MATRICULA</v>
          </cell>
          <cell r="D1153" t="str">
            <v>ACTIVO</v>
          </cell>
          <cell r="E1153" t="str">
            <v>Z6R658</v>
          </cell>
          <cell r="F1153" t="str">
            <v>VALERIO  CUYUTUPAC  FELIX</v>
          </cell>
          <cell r="G1153" t="str">
            <v>VALERIO  CUYUTUPAC  FELIX</v>
          </cell>
          <cell r="H1153" t="str">
            <v>46272024</v>
          </cell>
          <cell r="I1153" t="str">
            <v>BCP</v>
          </cell>
          <cell r="J1153" t="str">
            <v>19318461584063</v>
          </cell>
          <cell r="K1153" t="str">
            <v>DNI</v>
          </cell>
          <cell r="L1153">
            <v>10462720241</v>
          </cell>
          <cell r="M1153" t="str">
            <v>URBANO</v>
          </cell>
          <cell r="N1153">
            <v>45240</v>
          </cell>
          <cell r="O1153">
            <v>0</v>
          </cell>
          <cell r="P1153" t="str">
            <v>LITE</v>
          </cell>
        </row>
        <row r="1154">
          <cell r="A1154">
            <v>2762</v>
          </cell>
          <cell r="B1154">
            <v>2762</v>
          </cell>
          <cell r="C1154" t="str">
            <v>CERO MATRICULA</v>
          </cell>
          <cell r="D1154" t="str">
            <v>ACTIVO</v>
          </cell>
          <cell r="E1154" t="str">
            <v>BRW386</v>
          </cell>
          <cell r="F1154" t="str">
            <v>PALOMINO  NOLASCO  CIRILO</v>
          </cell>
          <cell r="G1154" t="str">
            <v>PALOMINO  NOLASCO  CIRILO</v>
          </cell>
          <cell r="H1154" t="str">
            <v>31170118</v>
          </cell>
          <cell r="I1154" t="str">
            <v>BCP</v>
          </cell>
          <cell r="J1154" t="str">
            <v>19135755395058</v>
          </cell>
          <cell r="K1154" t="str">
            <v>DNI</v>
          </cell>
          <cell r="L1154">
            <v>10311701181</v>
          </cell>
          <cell r="M1154" t="str">
            <v>URBANO</v>
          </cell>
          <cell r="N1154">
            <v>45239</v>
          </cell>
          <cell r="O1154">
            <v>0</v>
          </cell>
          <cell r="P1154" t="str">
            <v>COMFORT XL</v>
          </cell>
        </row>
        <row r="1155">
          <cell r="A1155">
            <v>2764</v>
          </cell>
          <cell r="B1155">
            <v>2764</v>
          </cell>
          <cell r="C1155" t="str">
            <v>CERO MATRICULA</v>
          </cell>
          <cell r="D1155" t="str">
            <v>ACTIVO</v>
          </cell>
          <cell r="E1155" t="str">
            <v>CAU393</v>
          </cell>
          <cell r="F1155" t="str">
            <v>PORTILLO  REINA  EVER ALEXANDER</v>
          </cell>
          <cell r="G1155" t="str">
            <v>PORTILLO  REINA  EVER ALEXANDER</v>
          </cell>
          <cell r="H1155" t="str">
            <v>002874672</v>
          </cell>
          <cell r="I1155" t="str">
            <v>BCP</v>
          </cell>
          <cell r="J1155" t="str">
            <v>19192435438027</v>
          </cell>
          <cell r="K1155" t="str">
            <v>CE</v>
          </cell>
          <cell r="L1155">
            <v>15603832458</v>
          </cell>
          <cell r="M1155" t="str">
            <v>URBANO</v>
          </cell>
          <cell r="N1155">
            <v>45239</v>
          </cell>
          <cell r="O1155">
            <v>0</v>
          </cell>
          <cell r="P1155" t="str">
            <v>LITE</v>
          </cell>
        </row>
        <row r="1156">
          <cell r="A1156">
            <v>2765</v>
          </cell>
          <cell r="B1156">
            <v>2765</v>
          </cell>
          <cell r="C1156" t="str">
            <v>CERO MATRICULA</v>
          </cell>
          <cell r="D1156" t="str">
            <v>ACTIVO</v>
          </cell>
          <cell r="E1156" t="str">
            <v>CBA326</v>
          </cell>
          <cell r="F1156" t="str">
            <v>MONTES  PARODI  JESUS ENRRIQUE</v>
          </cell>
          <cell r="G1156" t="str">
            <v>MONTES PARODI JESUS ENRRIQUE</v>
          </cell>
          <cell r="H1156" t="str">
            <v>44746049</v>
          </cell>
          <cell r="I1156" t="str">
            <v>BCP</v>
          </cell>
          <cell r="J1156" t="str">
            <v>19172276963031</v>
          </cell>
          <cell r="K1156" t="str">
            <v>DNI</v>
          </cell>
          <cell r="L1156">
            <v>10447460497</v>
          </cell>
          <cell r="M1156" t="str">
            <v>URBANO</v>
          </cell>
          <cell r="N1156">
            <v>45240</v>
          </cell>
          <cell r="O1156">
            <v>0</v>
          </cell>
          <cell r="P1156" t="str">
            <v>LITE</v>
          </cell>
        </row>
        <row r="1157">
          <cell r="A1157">
            <v>2766</v>
          </cell>
          <cell r="B1157">
            <v>2766</v>
          </cell>
          <cell r="C1157" t="str">
            <v>CERO MATRICULA</v>
          </cell>
          <cell r="D1157" t="str">
            <v>ACTIVO</v>
          </cell>
          <cell r="E1157" t="str">
            <v>BAY070</v>
          </cell>
          <cell r="F1157" t="str">
            <v>HUERTA  TEODORO  ROBERT</v>
          </cell>
          <cell r="G1157" t="str">
            <v>HUERTA  TEODORO  ROBERT</v>
          </cell>
          <cell r="H1157" t="str">
            <v>72502135</v>
          </cell>
          <cell r="I1157" t="str">
            <v>BCP</v>
          </cell>
          <cell r="J1157" t="str">
            <v>19139740645064</v>
          </cell>
          <cell r="K1157" t="str">
            <v>DNI</v>
          </cell>
          <cell r="L1157">
            <v>10725021351</v>
          </cell>
          <cell r="M1157" t="str">
            <v>URBANO</v>
          </cell>
          <cell r="N1157">
            <v>45244</v>
          </cell>
          <cell r="O1157">
            <v>0</v>
          </cell>
          <cell r="P1157" t="str">
            <v>LITE</v>
          </cell>
        </row>
        <row r="1158">
          <cell r="A1158">
            <v>2770</v>
          </cell>
          <cell r="B1158">
            <v>2770</v>
          </cell>
          <cell r="C1158" t="str">
            <v>CERO MATRICULA</v>
          </cell>
          <cell r="D1158" t="str">
            <v>ACTIVO</v>
          </cell>
          <cell r="E1158" t="str">
            <v>CBL266</v>
          </cell>
          <cell r="F1158" t="str">
            <v>ZEGARRA REYNA URIEL</v>
          </cell>
          <cell r="G1158" t="str">
            <v>OTAEGUI MACEDO CINTHIA ELVIRA</v>
          </cell>
          <cell r="H1158" t="str">
            <v>42386334</v>
          </cell>
          <cell r="I1158" t="str">
            <v>BCP</v>
          </cell>
          <cell r="J1158" t="str">
            <v>19196306446036</v>
          </cell>
          <cell r="K1158" t="str">
            <v>DNI</v>
          </cell>
          <cell r="L1158">
            <v>10423863345</v>
          </cell>
          <cell r="M1158" t="str">
            <v>URBANO</v>
          </cell>
          <cell r="N1158">
            <v>45246</v>
          </cell>
          <cell r="O1158">
            <v>0</v>
          </cell>
          <cell r="P1158" t="str">
            <v>COMFORT XL</v>
          </cell>
        </row>
        <row r="1159">
          <cell r="A1159">
            <v>2771</v>
          </cell>
          <cell r="B1159">
            <v>2771</v>
          </cell>
          <cell r="C1159" t="str">
            <v>CERO MATRICULA</v>
          </cell>
          <cell r="D1159" t="str">
            <v>ACTIVO</v>
          </cell>
          <cell r="E1159" t="str">
            <v>BLT328</v>
          </cell>
          <cell r="F1159" t="str">
            <v>FAJARDO  SANDOVAL  LLOYD KELLY</v>
          </cell>
          <cell r="G1159" t="str">
            <v>FAJARDO  SANDOVAL  LLOYD KELLY</v>
          </cell>
          <cell r="H1159" t="str">
            <v>10182432</v>
          </cell>
          <cell r="I1159" t="str">
            <v>BCP</v>
          </cell>
          <cell r="J1159" t="str">
            <v>19130133728008</v>
          </cell>
          <cell r="K1159" t="str">
            <v>DNI</v>
          </cell>
          <cell r="L1159">
            <v>10101824328</v>
          </cell>
          <cell r="M1159" t="str">
            <v>URBANO</v>
          </cell>
          <cell r="N1159">
            <v>45253</v>
          </cell>
          <cell r="O1159">
            <v>0</v>
          </cell>
          <cell r="P1159" t="str">
            <v>COMFORT</v>
          </cell>
        </row>
        <row r="1160">
          <cell r="A1160">
            <v>2772</v>
          </cell>
          <cell r="B1160">
            <v>2772</v>
          </cell>
          <cell r="C1160" t="str">
            <v>CERO MATRICULA</v>
          </cell>
          <cell r="D1160" t="str">
            <v>ACTIVO</v>
          </cell>
          <cell r="E1160" t="str">
            <v>CHD384</v>
          </cell>
          <cell r="F1160" t="str">
            <v>ZULOETA  CASTILLO  CRISTIAN JAIR</v>
          </cell>
          <cell r="G1160" t="str">
            <v>ZULOETA  CASTILLO  CRISTIAN JAIR</v>
          </cell>
          <cell r="H1160" t="str">
            <v>48805292</v>
          </cell>
          <cell r="I1160" t="str">
            <v>BCP</v>
          </cell>
          <cell r="J1160" t="str">
            <v>19238317047086</v>
          </cell>
          <cell r="K1160" t="str">
            <v>DNI</v>
          </cell>
          <cell r="L1160">
            <v>10488052921</v>
          </cell>
          <cell r="M1160" t="str">
            <v>URBANO</v>
          </cell>
          <cell r="N1160">
            <v>45244</v>
          </cell>
          <cell r="O1160">
            <v>0</v>
          </cell>
          <cell r="P1160" t="str">
            <v>LITE</v>
          </cell>
        </row>
        <row r="1161">
          <cell r="A1161">
            <v>2773</v>
          </cell>
          <cell r="B1161">
            <v>2773</v>
          </cell>
          <cell r="C1161" t="str">
            <v>CERO MATRICULA</v>
          </cell>
          <cell r="D1161" t="str">
            <v>ACTIVO</v>
          </cell>
          <cell r="E1161" t="str">
            <v>AFX435</v>
          </cell>
          <cell r="F1161" t="str">
            <v>DIOSES ALIAN LUIS ALBERTO</v>
          </cell>
          <cell r="G1161" t="str">
            <v>PAREDES CARDENAS MELISSA VICTORIA</v>
          </cell>
          <cell r="H1161" t="str">
            <v>77029715</v>
          </cell>
          <cell r="I1161" t="str">
            <v>INTERBANK</v>
          </cell>
          <cell r="J1161" t="str">
            <v>8983156785182</v>
          </cell>
          <cell r="K1161" t="str">
            <v>DNI</v>
          </cell>
          <cell r="L1161">
            <v>10770297155</v>
          </cell>
          <cell r="M1161" t="str">
            <v>URBANO</v>
          </cell>
          <cell r="N1161">
            <v>45244</v>
          </cell>
          <cell r="O1161">
            <v>0</v>
          </cell>
          <cell r="P1161" t="str">
            <v>LITE</v>
          </cell>
        </row>
        <row r="1162">
          <cell r="A1162">
            <v>2774</v>
          </cell>
          <cell r="B1162">
            <v>2774</v>
          </cell>
          <cell r="C1162" t="str">
            <v>CERO MATRICULA</v>
          </cell>
          <cell r="D1162" t="str">
            <v>ACTIVO</v>
          </cell>
          <cell r="E1162" t="str">
            <v>CJH093</v>
          </cell>
          <cell r="F1162" t="str">
            <v>MECHAN  CAMPOS  LUIS ALBERTO</v>
          </cell>
          <cell r="G1162" t="str">
            <v>Diana Elizabeth Mechan Campos</v>
          </cell>
          <cell r="H1162" t="str">
            <v>42738740</v>
          </cell>
          <cell r="I1162" t="str">
            <v>INTERBANK</v>
          </cell>
          <cell r="J1162">
            <v>8983361709421</v>
          </cell>
          <cell r="K1162" t="str">
            <v>DNI</v>
          </cell>
          <cell r="L1162">
            <v>10427387408</v>
          </cell>
          <cell r="M1162" t="str">
            <v>URBANO</v>
          </cell>
          <cell r="N1162">
            <v>45246</v>
          </cell>
          <cell r="O1162">
            <v>0</v>
          </cell>
          <cell r="P1162" t="str">
            <v>LITE</v>
          </cell>
        </row>
        <row r="1163">
          <cell r="A1163">
            <v>2775</v>
          </cell>
          <cell r="B1163">
            <v>2775</v>
          </cell>
          <cell r="C1163" t="str">
            <v>CERO MATRICULA</v>
          </cell>
          <cell r="D1163" t="str">
            <v>ACTIVO</v>
          </cell>
          <cell r="E1163" t="str">
            <v>BZU447</v>
          </cell>
          <cell r="F1163" t="str">
            <v>DULANTO  BALANDRA  ROBERTO MARTIN</v>
          </cell>
          <cell r="G1163" t="str">
            <v>DULANTO BALANDRA  ROBERTO MARTIN</v>
          </cell>
          <cell r="H1163" t="str">
            <v>06767320</v>
          </cell>
          <cell r="I1163" t="str">
            <v>INTERBANK</v>
          </cell>
          <cell r="J1163" t="str">
            <v>8983110715120</v>
          </cell>
          <cell r="K1163" t="str">
            <v>DNI</v>
          </cell>
          <cell r="L1163">
            <v>10067673200</v>
          </cell>
          <cell r="M1163" t="str">
            <v>URBANO</v>
          </cell>
          <cell r="N1163">
            <v>45246</v>
          </cell>
          <cell r="O1163">
            <v>0</v>
          </cell>
          <cell r="P1163" t="str">
            <v>COMFORT XL</v>
          </cell>
        </row>
        <row r="1164">
          <cell r="A1164">
            <v>2776</v>
          </cell>
          <cell r="B1164">
            <v>2776</v>
          </cell>
          <cell r="C1164" t="str">
            <v>CERO MATRICULA</v>
          </cell>
          <cell r="D1164" t="str">
            <v>ACTIVO</v>
          </cell>
          <cell r="E1164" t="str">
            <v>CHM154</v>
          </cell>
          <cell r="F1164" t="str">
            <v>MORAN  0 JOSE JAVIER</v>
          </cell>
          <cell r="G1164" t="str">
            <v>MORAN  0 JOSE JAVIER</v>
          </cell>
          <cell r="H1164" t="str">
            <v>003181635</v>
          </cell>
          <cell r="I1164" t="str">
            <v>BCP</v>
          </cell>
          <cell r="J1164" t="str">
            <v>19193512814086</v>
          </cell>
          <cell r="K1164" t="str">
            <v>CE</v>
          </cell>
          <cell r="L1164">
            <v>15603998046</v>
          </cell>
          <cell r="M1164" t="str">
            <v>URBANO</v>
          </cell>
          <cell r="N1164">
            <v>45246</v>
          </cell>
          <cell r="O1164">
            <v>0</v>
          </cell>
          <cell r="P1164" t="str">
            <v>LITE</v>
          </cell>
        </row>
        <row r="1165">
          <cell r="A1165">
            <v>2779</v>
          </cell>
          <cell r="B1165">
            <v>2779</v>
          </cell>
          <cell r="C1165" t="str">
            <v>CERO MATRICULA</v>
          </cell>
          <cell r="D1165" t="str">
            <v>ACTIVO</v>
          </cell>
          <cell r="E1165" t="str">
            <v>CEK263</v>
          </cell>
          <cell r="F1165" t="str">
            <v>MEDINA  MUNIVE  ROY FRANZ</v>
          </cell>
          <cell r="G1165" t="str">
            <v>MEDINA  MUNIVE  ROY FRANZ</v>
          </cell>
          <cell r="H1165" t="str">
            <v>07218209</v>
          </cell>
          <cell r="I1165" t="str">
            <v>BCP</v>
          </cell>
          <cell r="J1165" t="str">
            <v>19379165553003</v>
          </cell>
          <cell r="K1165" t="str">
            <v>DNI</v>
          </cell>
          <cell r="L1165">
            <v>10072182095</v>
          </cell>
          <cell r="M1165" t="str">
            <v>URBANO</v>
          </cell>
          <cell r="N1165">
            <v>45247</v>
          </cell>
          <cell r="O1165">
            <v>0</v>
          </cell>
          <cell r="P1165" t="str">
            <v>XL</v>
          </cell>
        </row>
        <row r="1166">
          <cell r="A1166">
            <v>2780</v>
          </cell>
          <cell r="B1166">
            <v>2780</v>
          </cell>
          <cell r="C1166" t="str">
            <v>CERO MATRICULA</v>
          </cell>
          <cell r="D1166" t="str">
            <v>ACTIVO</v>
          </cell>
          <cell r="E1166" t="str">
            <v>CAT010</v>
          </cell>
          <cell r="F1166" t="str">
            <v>RODRIGUEZ GOMEZ RUDY JEAMPIERRE</v>
          </cell>
          <cell r="G1166" t="str">
            <v>RODRIGUEZ GOMEZ RUDY JEAMPIERRE</v>
          </cell>
          <cell r="H1166" t="str">
            <v>43765245</v>
          </cell>
          <cell r="I1166" t="str">
            <v>BCP</v>
          </cell>
          <cell r="J1166" t="str">
            <v>19177460916048</v>
          </cell>
          <cell r="K1166" t="str">
            <v>DNI</v>
          </cell>
          <cell r="L1166">
            <v>10437652452</v>
          </cell>
          <cell r="M1166" t="str">
            <v>URBANO</v>
          </cell>
          <cell r="N1166">
            <v>45247</v>
          </cell>
          <cell r="O1166">
            <v>0</v>
          </cell>
          <cell r="P1166" t="str">
            <v>XL</v>
          </cell>
        </row>
        <row r="1167">
          <cell r="A1167">
            <v>2781</v>
          </cell>
          <cell r="B1167">
            <v>2781</v>
          </cell>
          <cell r="C1167" t="str">
            <v>CERO MATRICULA</v>
          </cell>
          <cell r="D1167" t="str">
            <v>ACTIVO</v>
          </cell>
          <cell r="E1167" t="str">
            <v>BJR014</v>
          </cell>
          <cell r="F1167" t="str">
            <v>HUAMAN  CCAPA  DAVID</v>
          </cell>
          <cell r="G1167" t="str">
            <v>HUAMAN  CCAPA  DAVID</v>
          </cell>
          <cell r="H1167" t="str">
            <v>43693971</v>
          </cell>
          <cell r="I1167" t="str">
            <v>INTERBANK</v>
          </cell>
          <cell r="J1167" t="str">
            <v>2903105088190</v>
          </cell>
          <cell r="K1167" t="str">
            <v>DNI</v>
          </cell>
          <cell r="L1167">
            <v>10436939715</v>
          </cell>
          <cell r="M1167" t="str">
            <v>URBANO</v>
          </cell>
          <cell r="N1167">
            <v>45247</v>
          </cell>
          <cell r="O1167">
            <v>0</v>
          </cell>
          <cell r="P1167" t="str">
            <v>XL</v>
          </cell>
        </row>
        <row r="1168">
          <cell r="A1168">
            <v>2782</v>
          </cell>
          <cell r="B1168">
            <v>2782</v>
          </cell>
          <cell r="C1168" t="str">
            <v>CERO MATRICULA</v>
          </cell>
          <cell r="D1168" t="str">
            <v>ACTIVO</v>
          </cell>
          <cell r="E1168" t="str">
            <v>CHL692</v>
          </cell>
          <cell r="F1168" t="str">
            <v>DELGADO CLEMENTE JONATHAN CRISTOFHER</v>
          </cell>
          <cell r="G1168" t="str">
            <v>DELGADO CLEMENTE JONATHAN CRISTOFHER</v>
          </cell>
          <cell r="H1168" t="str">
            <v>49006934</v>
          </cell>
          <cell r="I1168" t="str">
            <v>BBVA</v>
          </cell>
          <cell r="J1168" t="str">
            <v>001108140248134602</v>
          </cell>
          <cell r="K1168" t="str">
            <v>DNI</v>
          </cell>
          <cell r="L1168">
            <v>15602757061</v>
          </cell>
          <cell r="M1168" t="str">
            <v>URBANO</v>
          </cell>
          <cell r="N1168">
            <v>45247</v>
          </cell>
          <cell r="O1168">
            <v>0</v>
          </cell>
          <cell r="P1168" t="str">
            <v>LITE</v>
          </cell>
        </row>
        <row r="1169">
          <cell r="A1169">
            <v>2783</v>
          </cell>
          <cell r="B1169">
            <v>2783</v>
          </cell>
          <cell r="C1169" t="str">
            <v>CERO MATRICULA</v>
          </cell>
          <cell r="D1169" t="str">
            <v>ACTIVO</v>
          </cell>
          <cell r="E1169" t="str">
            <v>CEU585</v>
          </cell>
          <cell r="F1169" t="str">
            <v>MALVACEDA CANALES ELMER DAVID</v>
          </cell>
          <cell r="G1169" t="str">
            <v>MALVACEDA CANALES ELMER DAVID</v>
          </cell>
          <cell r="H1169" t="str">
            <v>07879064</v>
          </cell>
          <cell r="I1169" t="str">
            <v>BCP</v>
          </cell>
          <cell r="J1169" t="str">
            <v>19178873249046</v>
          </cell>
          <cell r="K1169" t="str">
            <v>DNI</v>
          </cell>
          <cell r="L1169">
            <v>15303267686</v>
          </cell>
          <cell r="M1169" t="str">
            <v>URBANO</v>
          </cell>
          <cell r="N1169">
            <v>45274</v>
          </cell>
          <cell r="O1169">
            <v>0</v>
          </cell>
          <cell r="P1169" t="str">
            <v>LITE</v>
          </cell>
        </row>
        <row r="1170">
          <cell r="A1170">
            <v>2784</v>
          </cell>
          <cell r="B1170">
            <v>2784</v>
          </cell>
          <cell r="C1170" t="str">
            <v>CERO MATRICULA</v>
          </cell>
          <cell r="D1170" t="str">
            <v>ACTIVO</v>
          </cell>
          <cell r="E1170" t="str">
            <v>ARP492</v>
          </cell>
          <cell r="F1170" t="str">
            <v>RODRIGUEZ  SOVERO  ANDERSON OSCAR</v>
          </cell>
          <cell r="G1170" t="str">
            <v>RODRIGUEZ  SOVERO  ANDERSON OSCAR</v>
          </cell>
          <cell r="H1170" t="str">
            <v>48080000</v>
          </cell>
          <cell r="I1170" t="str">
            <v>INTERBANK</v>
          </cell>
          <cell r="J1170" t="str">
            <v>098 3058160273</v>
          </cell>
          <cell r="K1170" t="str">
            <v>DNI</v>
          </cell>
          <cell r="L1170">
            <v>10480800007</v>
          </cell>
          <cell r="M1170" t="str">
            <v>URBANO</v>
          </cell>
          <cell r="N1170">
            <v>45247</v>
          </cell>
          <cell r="O1170">
            <v>0</v>
          </cell>
          <cell r="P1170" t="str">
            <v>COMFORT</v>
          </cell>
        </row>
        <row r="1171">
          <cell r="A1171">
            <v>2785</v>
          </cell>
          <cell r="B1171">
            <v>2785</v>
          </cell>
          <cell r="C1171" t="str">
            <v>CERO MATRICULA</v>
          </cell>
          <cell r="D1171" t="str">
            <v>ACTIVO</v>
          </cell>
          <cell r="E1171" t="str">
            <v>BYU661</v>
          </cell>
          <cell r="F1171" t="str">
            <v>MORAN  RUIZ  RODOLFO TIMOTEO</v>
          </cell>
          <cell r="G1171" t="str">
            <v>MORAN  RUIZ  RODOLFO TIMOTEO</v>
          </cell>
          <cell r="H1171" t="str">
            <v>25565376</v>
          </cell>
          <cell r="I1171" t="str">
            <v>BCP</v>
          </cell>
          <cell r="J1171" t="str">
            <v>19201415629027</v>
          </cell>
          <cell r="K1171" t="str">
            <v>DNI</v>
          </cell>
          <cell r="L1171">
            <v>10255653763</v>
          </cell>
          <cell r="M1171" t="str">
            <v>URBANO</v>
          </cell>
          <cell r="N1171">
            <v>45253</v>
          </cell>
          <cell r="O1171">
            <v>0</v>
          </cell>
          <cell r="P1171" t="str">
            <v>LITE</v>
          </cell>
        </row>
        <row r="1172">
          <cell r="A1172">
            <v>2786</v>
          </cell>
          <cell r="B1172">
            <v>2786</v>
          </cell>
          <cell r="C1172" t="str">
            <v>CERO MATRICULA</v>
          </cell>
          <cell r="D1172" t="str">
            <v>ACTIVO</v>
          </cell>
          <cell r="E1172" t="str">
            <v>ABE236</v>
          </cell>
          <cell r="F1172" t="str">
            <v>MATTA GARCIA LUIS FILOMENO</v>
          </cell>
          <cell r="G1172" t="str">
            <v>MATTA GARCIA LUIS FILOMENO</v>
          </cell>
          <cell r="H1172" t="str">
            <v>43317846</v>
          </cell>
          <cell r="I1172" t="str">
            <v>BCP</v>
          </cell>
          <cell r="J1172" t="str">
            <v>19374995522050</v>
          </cell>
          <cell r="K1172" t="str">
            <v>DNI</v>
          </cell>
          <cell r="L1172">
            <v>15227356917</v>
          </cell>
          <cell r="M1172" t="str">
            <v>URBANO</v>
          </cell>
          <cell r="N1172">
            <v>45253</v>
          </cell>
          <cell r="O1172">
            <v>0</v>
          </cell>
          <cell r="P1172" t="str">
            <v>COMFORT XL</v>
          </cell>
        </row>
        <row r="1173">
          <cell r="A1173">
            <v>2787</v>
          </cell>
          <cell r="B1173">
            <v>2787</v>
          </cell>
          <cell r="C1173" t="str">
            <v>CERO MATRICULA</v>
          </cell>
          <cell r="D1173" t="str">
            <v>ACTIVO</v>
          </cell>
          <cell r="E1173" t="str">
            <v>BWD324</v>
          </cell>
          <cell r="F1173" t="str">
            <v>LAZO CHACALTANA FREDDY ERICSON</v>
          </cell>
          <cell r="G1173" t="str">
            <v>LAZO CHACALTANA FREDDY ERICSON</v>
          </cell>
          <cell r="H1173" t="str">
            <v>43014352</v>
          </cell>
          <cell r="I1173" t="str">
            <v>INTERBANK</v>
          </cell>
          <cell r="J1173" t="str">
            <v>8983377055308</v>
          </cell>
          <cell r="K1173" t="str">
            <v>DNI</v>
          </cell>
          <cell r="L1173">
            <v>10430143528</v>
          </cell>
          <cell r="M1173" t="str">
            <v>URBANO</v>
          </cell>
          <cell r="N1173">
            <v>45253</v>
          </cell>
          <cell r="O1173">
            <v>0</v>
          </cell>
          <cell r="P1173" t="str">
            <v>LITE</v>
          </cell>
        </row>
        <row r="1174">
          <cell r="A1174">
            <v>2788</v>
          </cell>
          <cell r="B1174">
            <v>2788</v>
          </cell>
          <cell r="C1174" t="str">
            <v>CERO MATRICULA</v>
          </cell>
          <cell r="D1174" t="str">
            <v>ACTIVO</v>
          </cell>
          <cell r="E1174" t="str">
            <v>BTH647</v>
          </cell>
          <cell r="F1174" t="str">
            <v>PRADA ALCALA JOSUE DAVID</v>
          </cell>
          <cell r="G1174" t="str">
            <v>PRADA ALCALA JOSUE DAVID</v>
          </cell>
          <cell r="H1174" t="str">
            <v>003258127</v>
          </cell>
          <cell r="I1174" t="str">
            <v>BCP</v>
          </cell>
          <cell r="J1174" t="str">
            <v>19490583803089</v>
          </cell>
          <cell r="K1174" t="str">
            <v>CE</v>
          </cell>
          <cell r="L1174">
            <v>15604258623</v>
          </cell>
          <cell r="M1174" t="str">
            <v>AEROLINEAS</v>
          </cell>
          <cell r="N1174">
            <v>45253</v>
          </cell>
          <cell r="O1174">
            <v>0</v>
          </cell>
          <cell r="P1174" t="str">
            <v>COMFORT XL</v>
          </cell>
        </row>
        <row r="1175">
          <cell r="A1175">
            <v>2789</v>
          </cell>
          <cell r="B1175">
            <v>2789</v>
          </cell>
          <cell r="C1175" t="str">
            <v>CERO MATRICULA</v>
          </cell>
          <cell r="D1175" t="str">
            <v>ACTIVO</v>
          </cell>
          <cell r="E1175" t="str">
            <v>CBW074</v>
          </cell>
          <cell r="F1175" t="str">
            <v>LOAYZA  MOREANO  DAVID</v>
          </cell>
          <cell r="G1175" t="str">
            <v>LOAYZA  MOREANO  DAVID</v>
          </cell>
          <cell r="H1175" t="str">
            <v>70034959</v>
          </cell>
          <cell r="I1175" t="str">
            <v>BCP</v>
          </cell>
          <cell r="J1175" t="str">
            <v>19293309895016</v>
          </cell>
          <cell r="K1175" t="str">
            <v>DNI</v>
          </cell>
          <cell r="L1175">
            <v>10700349590</v>
          </cell>
          <cell r="M1175" t="str">
            <v>URBANO</v>
          </cell>
          <cell r="N1175">
            <v>45267</v>
          </cell>
          <cell r="O1175">
            <v>0</v>
          </cell>
          <cell r="P1175" t="str">
            <v>LITE</v>
          </cell>
        </row>
        <row r="1176">
          <cell r="A1176">
            <v>2790</v>
          </cell>
          <cell r="B1176">
            <v>2790</v>
          </cell>
          <cell r="C1176" t="str">
            <v>CERO MATRICULA</v>
          </cell>
          <cell r="D1176" t="str">
            <v>ACTIVO</v>
          </cell>
          <cell r="E1176" t="str">
            <v>CHJ439</v>
          </cell>
          <cell r="F1176" t="str">
            <v>ZANABRIA VILCA JULIO CESAR</v>
          </cell>
          <cell r="G1176" t="str">
            <v>ZANABRIA VILCA JULIO CESAR</v>
          </cell>
          <cell r="H1176" t="str">
            <v>09797518</v>
          </cell>
          <cell r="I1176" t="str">
            <v>BCP</v>
          </cell>
          <cell r="J1176" t="str">
            <v>19174207461029</v>
          </cell>
          <cell r="K1176" t="str">
            <v>DNI</v>
          </cell>
          <cell r="L1176">
            <v>10097975189</v>
          </cell>
          <cell r="M1176" t="str">
            <v>URBANO</v>
          </cell>
          <cell r="N1176">
            <v>45253</v>
          </cell>
          <cell r="O1176">
            <v>0</v>
          </cell>
          <cell r="P1176" t="str">
            <v>COMFORT XL</v>
          </cell>
        </row>
        <row r="1177">
          <cell r="A1177">
            <v>2791</v>
          </cell>
          <cell r="B1177">
            <v>2791</v>
          </cell>
          <cell r="C1177" t="str">
            <v>CERO MATRICULA</v>
          </cell>
          <cell r="D1177" t="str">
            <v>ACTIVO</v>
          </cell>
          <cell r="E1177" t="str">
            <v>CHZ187</v>
          </cell>
          <cell r="F1177" t="str">
            <v>MARQUEZ DURAN ENDER JOHAN</v>
          </cell>
          <cell r="G1177" t="str">
            <v>Marquez Duran Ender Johan</v>
          </cell>
          <cell r="H1177" t="str">
            <v>003895787</v>
          </cell>
          <cell r="I1177" t="str">
            <v>BCP</v>
          </cell>
          <cell r="J1177" t="str">
            <v>19194220434054</v>
          </cell>
          <cell r="K1177" t="str">
            <v>CE</v>
          </cell>
          <cell r="L1177">
            <v>15605443742</v>
          </cell>
          <cell r="M1177" t="str">
            <v>URBANO</v>
          </cell>
          <cell r="N1177">
            <v>45253</v>
          </cell>
          <cell r="O1177">
            <v>0</v>
          </cell>
          <cell r="P1177" t="str">
            <v>LITE</v>
          </cell>
        </row>
        <row r="1178">
          <cell r="A1178">
            <v>2792</v>
          </cell>
          <cell r="B1178">
            <v>2792</v>
          </cell>
          <cell r="C1178" t="str">
            <v>CERO MATRICULA</v>
          </cell>
          <cell r="D1178" t="str">
            <v>ACTIVO</v>
          </cell>
          <cell r="E1178" t="str">
            <v>BPN618</v>
          </cell>
          <cell r="F1178" t="str">
            <v>LOZADA GONZALEZ JUAN BAUTISTA</v>
          </cell>
          <cell r="G1178" t="str">
            <v>LOZADA GONZALEZ JUAN BAUTISTA</v>
          </cell>
          <cell r="H1178" t="str">
            <v>004308363</v>
          </cell>
          <cell r="I1178" t="str">
            <v>BBVA</v>
          </cell>
          <cell r="J1178" t="str">
            <v>001109990200095866</v>
          </cell>
          <cell r="K1178" t="str">
            <v>CE</v>
          </cell>
          <cell r="L1178">
            <v>15607951150</v>
          </cell>
          <cell r="M1178" t="str">
            <v>URBANO</v>
          </cell>
          <cell r="N1178">
            <v>45258</v>
          </cell>
          <cell r="O1178">
            <v>0</v>
          </cell>
          <cell r="P1178" t="str">
            <v>LITE</v>
          </cell>
        </row>
        <row r="1179">
          <cell r="A1179">
            <v>2793</v>
          </cell>
          <cell r="B1179">
            <v>2793</v>
          </cell>
          <cell r="C1179" t="str">
            <v>CERO MATRICULA</v>
          </cell>
          <cell r="D1179" t="str">
            <v>ACTIVO</v>
          </cell>
          <cell r="E1179" t="str">
            <v>CFH183</v>
          </cell>
          <cell r="F1179" t="str">
            <v>MENDOZA ROMERO ELIEZER RAFAEL</v>
          </cell>
          <cell r="G1179" t="str">
            <v>MENDOZA ROMERO ELIEZER RAFAEL</v>
          </cell>
          <cell r="H1179" t="str">
            <v>003439228</v>
          </cell>
          <cell r="I1179" t="str">
            <v>BCP</v>
          </cell>
          <cell r="J1179" t="str">
            <v>19292680882050</v>
          </cell>
          <cell r="K1179" t="str">
            <v>CE</v>
          </cell>
          <cell r="L1179">
            <v>15605411573</v>
          </cell>
          <cell r="M1179" t="str">
            <v>URBANO</v>
          </cell>
          <cell r="N1179">
            <v>45258</v>
          </cell>
          <cell r="O1179">
            <v>0</v>
          </cell>
          <cell r="P1179" t="str">
            <v>LITE</v>
          </cell>
        </row>
        <row r="1180">
          <cell r="A1180">
            <v>2794</v>
          </cell>
          <cell r="B1180">
            <v>2794</v>
          </cell>
          <cell r="C1180" t="str">
            <v>CERO MATRICULA</v>
          </cell>
          <cell r="D1180" t="str">
            <v>ACTIVO</v>
          </cell>
          <cell r="E1180" t="str">
            <v>BRM168</v>
          </cell>
          <cell r="F1180" t="str">
            <v>VEGA VENEGAS BRANDO DEL PIERO</v>
          </cell>
          <cell r="G1180" t="str">
            <v>VEGA VENEGAS BRANDO DEL PIERO</v>
          </cell>
          <cell r="H1180" t="str">
            <v>74829159</v>
          </cell>
          <cell r="I1180" t="str">
            <v>BCP</v>
          </cell>
          <cell r="J1180" t="str">
            <v>19106830426019</v>
          </cell>
          <cell r="K1180" t="str">
            <v>DNI</v>
          </cell>
          <cell r="L1180">
            <v>10748291593</v>
          </cell>
          <cell r="M1180" t="str">
            <v>AEROLINEAS</v>
          </cell>
          <cell r="N1180">
            <v>45258</v>
          </cell>
          <cell r="O1180">
            <v>0</v>
          </cell>
          <cell r="P1180" t="str">
            <v>COMFORT XL</v>
          </cell>
        </row>
        <row r="1181">
          <cell r="A1181">
            <v>2795</v>
          </cell>
          <cell r="B1181">
            <v>2795</v>
          </cell>
          <cell r="C1181" t="str">
            <v>CERO MATRICULA</v>
          </cell>
          <cell r="D1181" t="str">
            <v>ACTIVO</v>
          </cell>
          <cell r="E1181" t="str">
            <v>CJL574</v>
          </cell>
          <cell r="F1181" t="str">
            <v>SALAZAR ORDOÑEZ ITALO PIER</v>
          </cell>
          <cell r="G1181" t="str">
            <v>SALAZAR ORDOÑEZ ITALO PIER</v>
          </cell>
          <cell r="H1181" t="str">
            <v>42419655</v>
          </cell>
          <cell r="I1181" t="str">
            <v>BCP</v>
          </cell>
          <cell r="J1181" t="str">
            <v>19394206940023</v>
          </cell>
          <cell r="K1181" t="str">
            <v>DNI</v>
          </cell>
          <cell r="L1181">
            <v>10424196555</v>
          </cell>
          <cell r="M1181" t="str">
            <v>URBANO</v>
          </cell>
          <cell r="N1181">
            <v>45258</v>
          </cell>
          <cell r="O1181">
            <v>0</v>
          </cell>
          <cell r="P1181" t="str">
            <v>LITE</v>
          </cell>
        </row>
        <row r="1182">
          <cell r="A1182">
            <v>2796</v>
          </cell>
          <cell r="B1182">
            <v>2796</v>
          </cell>
          <cell r="C1182" t="str">
            <v>CERO MATRICULA</v>
          </cell>
          <cell r="D1182" t="str">
            <v>ACTIVO</v>
          </cell>
          <cell r="E1182" t="str">
            <v>D2T485</v>
          </cell>
          <cell r="F1182" t="str">
            <v>SILVERA VARGAS ANDRES FELIPE</v>
          </cell>
          <cell r="G1182" t="str">
            <v>SILVERA GONZALEZ ANDRES FELIPE</v>
          </cell>
          <cell r="H1182" t="str">
            <v>46849948</v>
          </cell>
          <cell r="I1182" t="str">
            <v>BCP</v>
          </cell>
          <cell r="J1182" t="str">
            <v>19477492131078</v>
          </cell>
          <cell r="K1182" t="str">
            <v>DNI</v>
          </cell>
          <cell r="L1182">
            <v>10468499482</v>
          </cell>
          <cell r="M1182" t="str">
            <v>URBANO</v>
          </cell>
          <cell r="N1182">
            <v>45258</v>
          </cell>
          <cell r="O1182">
            <v>0</v>
          </cell>
          <cell r="P1182" t="str">
            <v>COMFORT</v>
          </cell>
        </row>
        <row r="1183">
          <cell r="A1183">
            <v>2797</v>
          </cell>
          <cell r="B1183">
            <v>2797</v>
          </cell>
          <cell r="C1183" t="str">
            <v>CERO MATRICULA</v>
          </cell>
          <cell r="D1183" t="str">
            <v>ACTIVO</v>
          </cell>
          <cell r="E1183" t="str">
            <v>CEF244</v>
          </cell>
          <cell r="F1183" t="str">
            <v>DIAZ MERINO WALDO</v>
          </cell>
          <cell r="G1183" t="str">
            <v>DIAZ MERINO WALDO</v>
          </cell>
          <cell r="H1183" t="str">
            <v>09644576</v>
          </cell>
          <cell r="I1183" t="str">
            <v>BCP</v>
          </cell>
          <cell r="J1183" t="str">
            <v>19277722343015</v>
          </cell>
          <cell r="K1183" t="str">
            <v>DNI</v>
          </cell>
          <cell r="L1183">
            <v>10096445763</v>
          </cell>
          <cell r="M1183" t="str">
            <v>URBANO</v>
          </cell>
          <cell r="N1183">
            <v>45267</v>
          </cell>
          <cell r="O1183">
            <v>0</v>
          </cell>
          <cell r="P1183" t="str">
            <v>LITE</v>
          </cell>
        </row>
        <row r="1184">
          <cell r="A1184">
            <v>2798</v>
          </cell>
          <cell r="B1184">
            <v>2798</v>
          </cell>
          <cell r="C1184" t="str">
            <v>CERO MATRICULA</v>
          </cell>
          <cell r="D1184" t="str">
            <v>ACTIVO</v>
          </cell>
          <cell r="E1184" t="str">
            <v>CJM365</v>
          </cell>
          <cell r="F1184" t="str">
            <v>CASTRO RAMIREZ</v>
          </cell>
          <cell r="G1184" t="str">
            <v>CASTRO RAMIREZ JORGE WISTON</v>
          </cell>
          <cell r="H1184" t="str">
            <v>005299285</v>
          </cell>
          <cell r="I1184" t="str">
            <v>BBVA</v>
          </cell>
          <cell r="J1184" t="str">
            <v>001101750200902451</v>
          </cell>
          <cell r="K1184" t="str">
            <v>CE</v>
          </cell>
          <cell r="L1184">
            <v>15602975786</v>
          </cell>
          <cell r="M1184" t="str">
            <v>URBANO</v>
          </cell>
          <cell r="N1184">
            <v>45267</v>
          </cell>
          <cell r="O1184">
            <v>0</v>
          </cell>
          <cell r="P1184" t="str">
            <v>LITE</v>
          </cell>
        </row>
        <row r="1185">
          <cell r="A1185">
            <v>2799</v>
          </cell>
          <cell r="B1185">
            <v>2799</v>
          </cell>
          <cell r="C1185" t="str">
            <v>CERO MATRICULA</v>
          </cell>
          <cell r="D1185" t="str">
            <v>ACTIVO</v>
          </cell>
          <cell r="E1185" t="str">
            <v>BJA229</v>
          </cell>
          <cell r="F1185" t="str">
            <v>Jacinto Livia Livia Max Ephio</v>
          </cell>
          <cell r="G1185" t="str">
            <v>Jacinto Livia Livia Max Ephio</v>
          </cell>
          <cell r="H1185" t="str">
            <v>40806272</v>
          </cell>
          <cell r="I1185" t="str">
            <v>BCP</v>
          </cell>
          <cell r="J1185">
            <v>19317133658024</v>
          </cell>
          <cell r="K1185" t="str">
            <v>DNI</v>
          </cell>
          <cell r="L1185">
            <v>10408062727</v>
          </cell>
          <cell r="M1185" t="str">
            <v>URBANO</v>
          </cell>
          <cell r="N1185">
            <v>45302</v>
          </cell>
          <cell r="O1185">
            <v>0</v>
          </cell>
          <cell r="P1185" t="str">
            <v>LITE</v>
          </cell>
        </row>
        <row r="1186">
          <cell r="A1186">
            <v>2800</v>
          </cell>
          <cell r="B1186">
            <v>2800</v>
          </cell>
          <cell r="C1186" t="str">
            <v>CERO MATRICULA</v>
          </cell>
          <cell r="D1186" t="str">
            <v>ACTIVO</v>
          </cell>
          <cell r="E1186" t="str">
            <v>BMM 399</v>
          </cell>
          <cell r="F1186" t="str">
            <v>Macazana Huaringa Oscar Orlando</v>
          </cell>
          <cell r="G1186" t="str">
            <v>Macazana Huaringa Oscar Orlando</v>
          </cell>
          <cell r="H1186" t="str">
            <v>10465274</v>
          </cell>
          <cell r="I1186" t="str">
            <v>INTERBANK</v>
          </cell>
          <cell r="J1186" t="str">
            <v>8983399560006</v>
          </cell>
          <cell r="K1186" t="str">
            <v>DNI</v>
          </cell>
          <cell r="L1186">
            <v>10104652749</v>
          </cell>
          <cell r="M1186" t="str">
            <v>URBANO</v>
          </cell>
          <cell r="N1186">
            <v>45281</v>
          </cell>
          <cell r="O1186">
            <v>0</v>
          </cell>
          <cell r="P1186" t="str">
            <v>LITE</v>
          </cell>
        </row>
        <row r="1187">
          <cell r="A1187">
            <v>2801</v>
          </cell>
          <cell r="B1187">
            <v>2801</v>
          </cell>
          <cell r="C1187" t="str">
            <v>CERO MATRICULA</v>
          </cell>
          <cell r="D1187" t="str">
            <v>ACTIVO</v>
          </cell>
          <cell r="E1187" t="str">
            <v>CCO154</v>
          </cell>
          <cell r="F1187" t="str">
            <v>ESPINOZA QUISPE JOSÉ ARMANDO</v>
          </cell>
          <cell r="G1187" t="str">
            <v>INVERSIONES ELANDAR E.I.R.L.</v>
          </cell>
          <cell r="H1187" t="str">
            <v>20608693433</v>
          </cell>
          <cell r="I1187" t="str">
            <v>BBVA</v>
          </cell>
          <cell r="J1187" t="str">
            <v>001101090100097934</v>
          </cell>
          <cell r="K1187" t="str">
            <v>DNI</v>
          </cell>
          <cell r="L1187">
            <v>20608693433</v>
          </cell>
          <cell r="M1187" t="str">
            <v>URBANO</v>
          </cell>
          <cell r="N1187">
            <v>45274</v>
          </cell>
          <cell r="O1187">
            <v>0</v>
          </cell>
          <cell r="P1187" t="str">
            <v>COMFORT XL</v>
          </cell>
        </row>
        <row r="1188">
          <cell r="A1188">
            <v>2802</v>
          </cell>
          <cell r="B1188">
            <v>2802</v>
          </cell>
          <cell r="C1188" t="str">
            <v>CERO MATRICULA</v>
          </cell>
          <cell r="D1188" t="str">
            <v>ACTIVO</v>
          </cell>
          <cell r="E1188" t="str">
            <v>F5R634</v>
          </cell>
          <cell r="F1188" t="str">
            <v>HUERTA PIMENTEL WILMER GUILLERMO</v>
          </cell>
          <cell r="G1188" t="str">
            <v>HUERTA PIMENTEL WILMER GUILLERMO</v>
          </cell>
          <cell r="H1188" t="str">
            <v>25849229</v>
          </cell>
          <cell r="I1188" t="str">
            <v>BCP</v>
          </cell>
          <cell r="J1188" t="str">
            <v>19130737147021</v>
          </cell>
          <cell r="K1188" t="str">
            <v>DNI</v>
          </cell>
          <cell r="L1188">
            <v>10258492299</v>
          </cell>
          <cell r="M1188" t="str">
            <v>URBANO</v>
          </cell>
          <cell r="N1188">
            <v>45274</v>
          </cell>
          <cell r="O1188">
            <v>0</v>
          </cell>
          <cell r="P1188" t="str">
            <v>COMFORT</v>
          </cell>
        </row>
        <row r="1189">
          <cell r="A1189">
            <v>2807</v>
          </cell>
          <cell r="B1189">
            <v>2807</v>
          </cell>
          <cell r="C1189" t="str">
            <v>CERO MATRICULA</v>
          </cell>
          <cell r="D1189" t="str">
            <v>ACTIVO</v>
          </cell>
          <cell r="E1189" t="str">
            <v>AXD 673</v>
          </cell>
          <cell r="F1189" t="str">
            <v>Pinto Becerra Wilmer Antonio</v>
          </cell>
          <cell r="G1189" t="str">
            <v>RODRIGUEZ ZABALA ELOISE MAGDALENA</v>
          </cell>
          <cell r="H1189" t="str">
            <v>003978611</v>
          </cell>
          <cell r="I1189" t="str">
            <v>BCP</v>
          </cell>
          <cell r="J1189">
            <v>19294005205051</v>
          </cell>
          <cell r="K1189" t="str">
            <v>CE</v>
          </cell>
          <cell r="L1189">
            <v>15609227700</v>
          </cell>
          <cell r="M1189" t="str">
            <v>URBANO</v>
          </cell>
          <cell r="N1189">
            <v>45281</v>
          </cell>
          <cell r="O1189">
            <v>0</v>
          </cell>
          <cell r="P1189" t="str">
            <v>XL</v>
          </cell>
        </row>
        <row r="1190">
          <cell r="A1190">
            <v>2808</v>
          </cell>
          <cell r="B1190">
            <v>2808</v>
          </cell>
          <cell r="C1190" t="str">
            <v>CERO MATRICULA</v>
          </cell>
          <cell r="D1190" t="str">
            <v>ACTIVO</v>
          </cell>
          <cell r="E1190" t="str">
            <v>CJV095</v>
          </cell>
          <cell r="F1190" t="str">
            <v>Vargas Dávila DAVID MICHAEL</v>
          </cell>
          <cell r="G1190" t="str">
            <v>Vargas Dávila DAVID MICHAEL</v>
          </cell>
          <cell r="H1190" t="str">
            <v>10527646</v>
          </cell>
          <cell r="I1190" t="str">
            <v>BCP</v>
          </cell>
          <cell r="J1190" t="str">
            <v>1914814059057</v>
          </cell>
          <cell r="K1190" t="str">
            <v>DNI</v>
          </cell>
          <cell r="L1190">
            <v>10105276465</v>
          </cell>
          <cell r="M1190" t="str">
            <v>URBANO</v>
          </cell>
          <cell r="N1190">
            <v>45281</v>
          </cell>
          <cell r="O1190">
            <v>0</v>
          </cell>
          <cell r="P1190" t="str">
            <v>COMFORT XL</v>
          </cell>
        </row>
        <row r="1191">
          <cell r="A1191">
            <v>2809</v>
          </cell>
          <cell r="B1191">
            <v>2809</v>
          </cell>
          <cell r="C1191" t="str">
            <v>CERO MATRICULA</v>
          </cell>
          <cell r="D1191" t="str">
            <v>ACTIVO</v>
          </cell>
          <cell r="E1191" t="str">
            <v>CBX298</v>
          </cell>
          <cell r="F1191" t="str">
            <v>Zurita Mamani Richard</v>
          </cell>
          <cell r="G1191" t="str">
            <v>Zurita Mamani Richard</v>
          </cell>
          <cell r="H1191" t="str">
            <v>41754852</v>
          </cell>
          <cell r="I1191" t="str">
            <v>BCP</v>
          </cell>
          <cell r="J1191" t="str">
            <v>19401416938049</v>
          </cell>
          <cell r="K1191" t="str">
            <v>DNI</v>
          </cell>
          <cell r="L1191">
            <v>10417548527</v>
          </cell>
          <cell r="M1191" t="str">
            <v>URBANO</v>
          </cell>
          <cell r="N1191">
            <v>45281</v>
          </cell>
          <cell r="O1191">
            <v>0</v>
          </cell>
          <cell r="P1191" t="str">
            <v>COMFORT XL</v>
          </cell>
        </row>
        <row r="1192">
          <cell r="A1192">
            <v>2810</v>
          </cell>
          <cell r="B1192">
            <v>2810</v>
          </cell>
          <cell r="C1192" t="str">
            <v>CERO MATRICULA</v>
          </cell>
          <cell r="D1192" t="str">
            <v>ACTIVO</v>
          </cell>
          <cell r="E1192" t="str">
            <v>CJU 681</v>
          </cell>
          <cell r="F1192" t="str">
            <v xml:space="preserve">RAMOS OJEDA JULIO </v>
          </cell>
          <cell r="G1192" t="str">
            <v xml:space="preserve">RAMOS OJEDA JULIO </v>
          </cell>
          <cell r="H1192" t="str">
            <v>19882832</v>
          </cell>
          <cell r="I1192" t="str">
            <v>BCP</v>
          </cell>
          <cell r="J1192" t="str">
            <v>19307128014013</v>
          </cell>
          <cell r="K1192" t="str">
            <v>DNI</v>
          </cell>
          <cell r="L1192">
            <v>10198828322</v>
          </cell>
          <cell r="M1192" t="str">
            <v>AEROPUERTO</v>
          </cell>
          <cell r="N1192">
            <v>45281</v>
          </cell>
          <cell r="O1192">
            <v>240</v>
          </cell>
          <cell r="P1192" t="str">
            <v>XL</v>
          </cell>
        </row>
        <row r="1193">
          <cell r="A1193">
            <v>2811</v>
          </cell>
          <cell r="B1193">
            <v>2811</v>
          </cell>
          <cell r="C1193" t="str">
            <v>CERO MATRICULA</v>
          </cell>
          <cell r="D1193" t="str">
            <v>ACTIVO</v>
          </cell>
          <cell r="E1193" t="str">
            <v>CDF201</v>
          </cell>
          <cell r="F1193" t="str">
            <v>CORPUS FLORES JEBER ESTEBAN</v>
          </cell>
          <cell r="G1193" t="str">
            <v>CORPUS FLORES JEBER ESTEBAN</v>
          </cell>
          <cell r="H1193" t="str">
            <v>09926697</v>
          </cell>
          <cell r="I1193" t="str">
            <v>BCP</v>
          </cell>
          <cell r="J1193" t="str">
            <v>19192415573061</v>
          </cell>
          <cell r="K1193" t="str">
            <v>DNI</v>
          </cell>
          <cell r="L1193">
            <v>10099266975</v>
          </cell>
          <cell r="M1193" t="str">
            <v>URBANO</v>
          </cell>
          <cell r="N1193">
            <v>45288</v>
          </cell>
          <cell r="O1193">
            <v>0</v>
          </cell>
          <cell r="P1193" t="str">
            <v>COMFORT XL</v>
          </cell>
        </row>
        <row r="1194">
          <cell r="A1194">
            <v>2812</v>
          </cell>
          <cell r="B1194">
            <v>2812</v>
          </cell>
          <cell r="C1194" t="str">
            <v>CERO MATRICULA</v>
          </cell>
          <cell r="D1194" t="str">
            <v>ACTIVO</v>
          </cell>
          <cell r="E1194" t="str">
            <v>BSG198</v>
          </cell>
          <cell r="F1194" t="str">
            <v>Mendoza Gago Edgar Luis</v>
          </cell>
          <cell r="G1194" t="str">
            <v>MENDOZA MALDONADO LILIANA NARCISA</v>
          </cell>
          <cell r="H1194" t="str">
            <v>10184169</v>
          </cell>
          <cell r="I1194" t="str">
            <v>BCP</v>
          </cell>
          <cell r="J1194" t="str">
            <v>19376780219075</v>
          </cell>
          <cell r="K1194" t="str">
            <v>DNI</v>
          </cell>
          <cell r="L1194">
            <v>10101841699</v>
          </cell>
          <cell r="M1194" t="str">
            <v>URBANO</v>
          </cell>
          <cell r="N1194">
            <v>45288</v>
          </cell>
          <cell r="O1194">
            <v>0</v>
          </cell>
          <cell r="P1194" t="str">
            <v>COMFORT XL</v>
          </cell>
        </row>
        <row r="1195">
          <cell r="A1195">
            <v>2813</v>
          </cell>
          <cell r="B1195">
            <v>2813</v>
          </cell>
          <cell r="C1195" t="str">
            <v>CERO MATRICULA</v>
          </cell>
          <cell r="D1195" t="str">
            <v>ACTIVO</v>
          </cell>
          <cell r="E1195" t="str">
            <v>BCE544</v>
          </cell>
          <cell r="F1195" t="str">
            <v>SARDON ESPINOZA GABRIEL CHRISTIAN</v>
          </cell>
          <cell r="G1195" t="str">
            <v>SARDON ESPINOZA GABRIEL CHRISTIAN</v>
          </cell>
          <cell r="H1195" t="str">
            <v>46594670</v>
          </cell>
          <cell r="I1195" t="str">
            <v>INTERBANK</v>
          </cell>
          <cell r="J1195" t="str">
            <v>3303109017857</v>
          </cell>
          <cell r="K1195" t="str">
            <v>DNI</v>
          </cell>
          <cell r="L1195">
            <v>10465946704</v>
          </cell>
          <cell r="M1195" t="str">
            <v>URBANO</v>
          </cell>
          <cell r="N1195">
            <v>45288</v>
          </cell>
          <cell r="O1195">
            <v>0</v>
          </cell>
          <cell r="P1195" t="str">
            <v>COMFORT</v>
          </cell>
        </row>
        <row r="1196">
          <cell r="A1196">
            <v>2814</v>
          </cell>
          <cell r="B1196">
            <v>2814</v>
          </cell>
          <cell r="C1196" t="str">
            <v>CERO MATRICULA</v>
          </cell>
          <cell r="D1196" t="str">
            <v>ACTIVO</v>
          </cell>
          <cell r="E1196" t="str">
            <v>BRN047</v>
          </cell>
          <cell r="F1196" t="str">
            <v>Estupiñan Quispe Eduardo santiago</v>
          </cell>
          <cell r="G1196" t="str">
            <v>Estupiñan Quispe Eduardo santiago</v>
          </cell>
          <cell r="H1196" t="str">
            <v>42413764</v>
          </cell>
          <cell r="I1196" t="str">
            <v>BCP</v>
          </cell>
          <cell r="J1196" t="str">
            <v>19435170738097</v>
          </cell>
          <cell r="K1196" t="str">
            <v>DNI</v>
          </cell>
          <cell r="L1196">
            <v>10424137648</v>
          </cell>
          <cell r="M1196" t="str">
            <v>URBANO</v>
          </cell>
          <cell r="N1196">
            <v>45300</v>
          </cell>
          <cell r="O1196">
            <v>0</v>
          </cell>
          <cell r="P1196" t="str">
            <v>LITE</v>
          </cell>
        </row>
        <row r="1197">
          <cell r="A1197">
            <v>2815</v>
          </cell>
          <cell r="B1197">
            <v>2815</v>
          </cell>
          <cell r="C1197" t="str">
            <v>CERO MATRICULA</v>
          </cell>
          <cell r="D1197" t="str">
            <v>ACTIVO</v>
          </cell>
          <cell r="E1197" t="str">
            <v>Aza 463</v>
          </cell>
          <cell r="F1197" t="str">
            <v>Abimael Sebastian Campos</v>
          </cell>
          <cell r="G1197" t="str">
            <v>Abimael Sebastian Campos</v>
          </cell>
          <cell r="H1197" t="str">
            <v>46244175</v>
          </cell>
          <cell r="I1197" t="str">
            <v>BBVA</v>
          </cell>
          <cell r="J1197" t="str">
            <v>001100570234449738</v>
          </cell>
          <cell r="K1197" t="str">
            <v>DNI</v>
          </cell>
          <cell r="L1197">
            <v>10462441750</v>
          </cell>
          <cell r="M1197" t="str">
            <v>URBANO</v>
          </cell>
          <cell r="N1197">
            <v>45307</v>
          </cell>
          <cell r="O1197">
            <v>0</v>
          </cell>
          <cell r="P1197" t="str">
            <v>LITE</v>
          </cell>
        </row>
        <row r="1198">
          <cell r="A1198">
            <v>2816</v>
          </cell>
          <cell r="B1198">
            <v>2816</v>
          </cell>
          <cell r="C1198" t="str">
            <v>CERO MATRICULA</v>
          </cell>
          <cell r="D1198" t="str">
            <v>ACTIVO</v>
          </cell>
          <cell r="E1198" t="str">
            <v>BPS388</v>
          </cell>
          <cell r="F1198" t="str">
            <v xml:space="preserve">Torres Saldarriaga Pedro Edgardo </v>
          </cell>
          <cell r="G1198" t="str">
            <v xml:space="preserve">Torres Saldarriaga Pedro Edgardo </v>
          </cell>
          <cell r="H1198" t="str">
            <v>07239562</v>
          </cell>
          <cell r="I1198" t="str">
            <v>BBVA</v>
          </cell>
          <cell r="J1198" t="str">
            <v>001101400200576065</v>
          </cell>
          <cell r="K1198" t="str">
            <v>DNI</v>
          </cell>
          <cell r="L1198">
            <v>10072395625</v>
          </cell>
          <cell r="M1198" t="str">
            <v>URBANO</v>
          </cell>
          <cell r="N1198">
            <v>45300</v>
          </cell>
          <cell r="O1198">
            <v>0</v>
          </cell>
          <cell r="P1198" t="str">
            <v>COMFORT</v>
          </cell>
        </row>
        <row r="1199">
          <cell r="A1199">
            <v>2818</v>
          </cell>
          <cell r="B1199">
            <v>2818</v>
          </cell>
          <cell r="C1199" t="str">
            <v>CERO MATRICULA</v>
          </cell>
          <cell r="D1199" t="str">
            <v>ACTIVO</v>
          </cell>
          <cell r="E1199" t="str">
            <v>BEB080</v>
          </cell>
          <cell r="F1199" t="str">
            <v>Guia Vargas Percy Yhony</v>
          </cell>
          <cell r="G1199" t="str">
            <v>Guia Vargas Percy Yhony</v>
          </cell>
          <cell r="H1199" t="str">
            <v>25771884</v>
          </cell>
          <cell r="I1199" t="str">
            <v>BCP</v>
          </cell>
          <cell r="J1199" t="str">
            <v>1917882144014</v>
          </cell>
          <cell r="K1199" t="str">
            <v>DNI</v>
          </cell>
          <cell r="L1199">
            <v>10257718846</v>
          </cell>
          <cell r="M1199" t="str">
            <v>URBANO</v>
          </cell>
          <cell r="N1199">
            <v>45300</v>
          </cell>
          <cell r="O1199">
            <v>0</v>
          </cell>
          <cell r="P1199" t="str">
            <v>COMFORT XL</v>
          </cell>
        </row>
        <row r="1200">
          <cell r="A1200">
            <v>2819</v>
          </cell>
          <cell r="B1200">
            <v>2819</v>
          </cell>
          <cell r="C1200" t="str">
            <v>CERO MATRICULA</v>
          </cell>
          <cell r="D1200" t="str">
            <v>ACTIVO</v>
          </cell>
          <cell r="E1200" t="str">
            <v>D6X001</v>
          </cell>
          <cell r="F1200" t="str">
            <v>Fuentes Ramírez Jorge Luis</v>
          </cell>
          <cell r="G1200" t="str">
            <v>Fuentes Ramírez Jorge Luis</v>
          </cell>
          <cell r="H1200" t="str">
            <v>41268883</v>
          </cell>
          <cell r="I1200" t="str">
            <v>INTERBANK</v>
          </cell>
          <cell r="J1200" t="str">
            <v>0423130074597</v>
          </cell>
          <cell r="K1200" t="str">
            <v>DNI</v>
          </cell>
          <cell r="L1200">
            <v>10412688835</v>
          </cell>
          <cell r="M1200" t="str">
            <v>URBANO</v>
          </cell>
          <cell r="N1200">
            <v>45300</v>
          </cell>
          <cell r="O1200">
            <v>0</v>
          </cell>
          <cell r="P1200" t="str">
            <v>LITE</v>
          </cell>
        </row>
        <row r="1201">
          <cell r="A1201">
            <v>2820</v>
          </cell>
          <cell r="B1201">
            <v>2820</v>
          </cell>
          <cell r="C1201" t="str">
            <v>CERO MATRICULA</v>
          </cell>
          <cell r="D1201" t="str">
            <v>ACTIVO</v>
          </cell>
          <cell r="E1201" t="str">
            <v>CHU417</v>
          </cell>
          <cell r="F1201" t="str">
            <v>Napan Medina Percy victor</v>
          </cell>
          <cell r="G1201" t="str">
            <v>Napan Medina Percy victor</v>
          </cell>
          <cell r="H1201" t="str">
            <v>09686126</v>
          </cell>
          <cell r="I1201" t="str">
            <v>BCP</v>
          </cell>
          <cell r="J1201" t="str">
            <v>19498004170009</v>
          </cell>
          <cell r="K1201" t="str">
            <v>DNI</v>
          </cell>
          <cell r="L1201">
            <v>10096861261</v>
          </cell>
          <cell r="M1201" t="str">
            <v>URBANO</v>
          </cell>
          <cell r="N1201">
            <v>45300</v>
          </cell>
          <cell r="O1201">
            <v>0</v>
          </cell>
          <cell r="P1201" t="str">
            <v>COMFORT XL</v>
          </cell>
        </row>
        <row r="1202">
          <cell r="A1202">
            <v>2823</v>
          </cell>
          <cell r="B1202">
            <v>2823</v>
          </cell>
          <cell r="C1202" t="str">
            <v>CERO MATRICULA</v>
          </cell>
          <cell r="D1202" t="str">
            <v>ACTIVO</v>
          </cell>
          <cell r="E1202" t="str">
            <v>CJD487</v>
          </cell>
          <cell r="F1202" t="str">
            <v>Norvil Lutero  Fernandez Davila</v>
          </cell>
          <cell r="G1202" t="str">
            <v>Norvil Lutero  Fernandez Davila</v>
          </cell>
          <cell r="H1202">
            <v>10093512</v>
          </cell>
          <cell r="I1202" t="str">
            <v>BCP</v>
          </cell>
          <cell r="J1202" t="str">
            <v>19403733115022</v>
          </cell>
          <cell r="K1202" t="str">
            <v>DNI</v>
          </cell>
          <cell r="L1202">
            <v>10100935126</v>
          </cell>
          <cell r="M1202" t="str">
            <v>URBANO PARTNER</v>
          </cell>
          <cell r="N1202">
            <v>45307</v>
          </cell>
          <cell r="O1202">
            <v>0</v>
          </cell>
          <cell r="P1202" t="str">
            <v>COMFORT XL</v>
          </cell>
        </row>
        <row r="1203">
          <cell r="A1203">
            <v>2824</v>
          </cell>
          <cell r="B1203">
            <v>2824</v>
          </cell>
          <cell r="C1203" t="str">
            <v>CERO MATRICULA</v>
          </cell>
          <cell r="D1203" t="str">
            <v>ACTIVO</v>
          </cell>
          <cell r="E1203" t="str">
            <v>BSP160</v>
          </cell>
          <cell r="F1203" t="str">
            <v>Sullivan Moleros Cornetero</v>
          </cell>
          <cell r="G1203" t="str">
            <v>DIANA KARINA LEON QUINTO</v>
          </cell>
          <cell r="H1203">
            <v>10880771</v>
          </cell>
          <cell r="I1203" t="str">
            <v>BCP</v>
          </cell>
          <cell r="J1203" t="str">
            <v>19178026357000</v>
          </cell>
          <cell r="K1203" t="str">
            <v>DNI</v>
          </cell>
          <cell r="L1203">
            <v>10108807712</v>
          </cell>
          <cell r="M1203" t="str">
            <v>URBANO</v>
          </cell>
          <cell r="N1203">
            <v>45307</v>
          </cell>
          <cell r="O1203">
            <v>0</v>
          </cell>
          <cell r="P1203" t="str">
            <v>COMFORT XL</v>
          </cell>
        </row>
        <row r="1204">
          <cell r="A1204">
            <v>2825</v>
          </cell>
          <cell r="B1204">
            <v>2825</v>
          </cell>
          <cell r="C1204" t="str">
            <v>CERO MATRICULA</v>
          </cell>
          <cell r="D1204" t="str">
            <v>ACTIVO</v>
          </cell>
          <cell r="E1204" t="str">
            <v>P1D211</v>
          </cell>
          <cell r="F1204" t="str">
            <v>JUAN CARLOS HUANCA CUSI</v>
          </cell>
          <cell r="G1204" t="str">
            <v>JUAN CARLOS HUANCA CUSI</v>
          </cell>
          <cell r="H1204">
            <v>47215825</v>
          </cell>
          <cell r="I1204" t="str">
            <v>BBVA</v>
          </cell>
          <cell r="J1204" t="str">
            <v>001108140216789046</v>
          </cell>
          <cell r="K1204" t="str">
            <v>DNI</v>
          </cell>
          <cell r="L1204">
            <v>10472158258</v>
          </cell>
          <cell r="M1204" t="str">
            <v>URBANO</v>
          </cell>
          <cell r="N1204">
            <v>45307</v>
          </cell>
          <cell r="O1204">
            <v>0</v>
          </cell>
          <cell r="P1204" t="str">
            <v>COMFORT XL</v>
          </cell>
        </row>
        <row r="1205">
          <cell r="A1205">
            <v>2830</v>
          </cell>
          <cell r="B1205">
            <v>2830</v>
          </cell>
          <cell r="C1205" t="str">
            <v>CERO MATRICULA</v>
          </cell>
          <cell r="D1205" t="str">
            <v>ACTIVO</v>
          </cell>
          <cell r="E1205" t="str">
            <v>CJS197</v>
          </cell>
          <cell r="F1205" t="str">
            <v>Jose Guillermo Garcia Olivos</v>
          </cell>
          <cell r="G1205" t="str">
            <v>Jose Guillermo Garcia Olivos</v>
          </cell>
          <cell r="H1205" t="str">
            <v>09008826</v>
          </cell>
          <cell r="I1205" t="str">
            <v>BCP</v>
          </cell>
          <cell r="J1205" t="str">
            <v>19234611382090</v>
          </cell>
          <cell r="K1205" t="str">
            <v>DNI</v>
          </cell>
          <cell r="L1205">
            <v>10090088268</v>
          </cell>
          <cell r="M1205" t="str">
            <v>URBANO</v>
          </cell>
          <cell r="N1205">
            <v>45307</v>
          </cell>
          <cell r="O1205">
            <v>0</v>
          </cell>
          <cell r="P1205" t="str">
            <v>COMFORT</v>
          </cell>
        </row>
        <row r="1206">
          <cell r="A1206">
            <v>2831</v>
          </cell>
          <cell r="B1206">
            <v>2831</v>
          </cell>
          <cell r="C1206" t="str">
            <v>CERO MATRICULA</v>
          </cell>
          <cell r="D1206" t="str">
            <v>ACTIVO</v>
          </cell>
          <cell r="E1206" t="str">
            <v>BBc138</v>
          </cell>
          <cell r="F1206" t="str">
            <v>Abdiel suarez melgarejo</v>
          </cell>
          <cell r="G1206" t="str">
            <v>NORA VICTORIA MEZA CAMPO</v>
          </cell>
          <cell r="H1206">
            <v>80064842</v>
          </cell>
          <cell r="I1206" t="str">
            <v>BBVA</v>
          </cell>
          <cell r="J1206" t="str">
            <v>001101160200800754</v>
          </cell>
          <cell r="K1206" t="str">
            <v>DNI</v>
          </cell>
          <cell r="L1206">
            <v>10800648420</v>
          </cell>
          <cell r="M1206" t="str">
            <v>URBANO</v>
          </cell>
          <cell r="N1206">
            <v>45307</v>
          </cell>
          <cell r="O1206">
            <v>0</v>
          </cell>
          <cell r="P1206" t="str">
            <v>COMFORT XL</v>
          </cell>
        </row>
        <row r="1207">
          <cell r="A1207">
            <v>2832</v>
          </cell>
          <cell r="B1207">
            <v>2832</v>
          </cell>
          <cell r="C1207" t="str">
            <v>CERO MATRICULA</v>
          </cell>
          <cell r="D1207" t="str">
            <v>ACTIVO</v>
          </cell>
          <cell r="E1207" t="str">
            <v>CBR-103</v>
          </cell>
          <cell r="F1207" t="str">
            <v>Mikhail Kremlinn Avellaneda Morales</v>
          </cell>
          <cell r="G1207" t="str">
            <v>Mikhail Kremlinn Avellaneda Morales</v>
          </cell>
          <cell r="H1207">
            <v>73453811</v>
          </cell>
          <cell r="I1207" t="str">
            <v>BBVA</v>
          </cell>
          <cell r="J1207" t="str">
            <v>001108790200081692</v>
          </cell>
          <cell r="K1207" t="str">
            <v>DNI</v>
          </cell>
          <cell r="L1207">
            <v>10734538111</v>
          </cell>
          <cell r="M1207" t="str">
            <v>URBANO</v>
          </cell>
          <cell r="N1207">
            <v>45307</v>
          </cell>
          <cell r="O1207">
            <v>0</v>
          </cell>
          <cell r="P1207" t="str">
            <v>LITE</v>
          </cell>
        </row>
        <row r="1208">
          <cell r="A1208">
            <v>2834</v>
          </cell>
          <cell r="B1208">
            <v>2834</v>
          </cell>
          <cell r="C1208" t="str">
            <v>CERO MATRICULA</v>
          </cell>
          <cell r="D1208" t="str">
            <v>ACTIVO</v>
          </cell>
          <cell r="E1208" t="str">
            <v>CHF330</v>
          </cell>
          <cell r="F1208" t="str">
            <v>JONAR LLACKSON RUIZ YALTA</v>
          </cell>
          <cell r="G1208" t="str">
            <v>JONAR LLACKSON RUIZ YALTA</v>
          </cell>
          <cell r="H1208" t="str">
            <v>43085632</v>
          </cell>
          <cell r="I1208" t="str">
            <v>INTERBANK</v>
          </cell>
          <cell r="J1208" t="str">
            <v>8983375299773</v>
          </cell>
          <cell r="K1208" t="str">
            <v>DNI</v>
          </cell>
          <cell r="L1208">
            <v>10430856320</v>
          </cell>
          <cell r="M1208" t="str">
            <v>URBANO</v>
          </cell>
          <cell r="N1208">
            <v>45307</v>
          </cell>
          <cell r="O1208">
            <v>0</v>
          </cell>
          <cell r="P1208" t="str">
            <v>LITE</v>
          </cell>
        </row>
        <row r="1209">
          <cell r="A1209">
            <v>2836</v>
          </cell>
          <cell r="B1209">
            <v>2836</v>
          </cell>
          <cell r="C1209" t="str">
            <v>CERO MATRICULA</v>
          </cell>
          <cell r="D1209" t="str">
            <v>ACTIVO</v>
          </cell>
          <cell r="E1209" t="str">
            <v>BEJ374</v>
          </cell>
          <cell r="F1209" t="str">
            <v xml:space="preserve">CAMPODONICO SANCHEZ ARTURO ALONSO </v>
          </cell>
          <cell r="G1209" t="str">
            <v>FIRST CLASS GLOBAL BUSINESS S.A.C.</v>
          </cell>
          <cell r="H1209">
            <v>20548831882</v>
          </cell>
          <cell r="I1209" t="str">
            <v>CAJA HUANCAYO</v>
          </cell>
          <cell r="J1209" t="str">
            <v>80814721100100661239</v>
          </cell>
          <cell r="K1209" t="str">
            <v>RUC</v>
          </cell>
          <cell r="L1209">
            <v>20548831882</v>
          </cell>
          <cell r="M1209" t="str">
            <v>URBANO</v>
          </cell>
          <cell r="N1209">
            <v>45314</v>
          </cell>
          <cell r="O1209">
            <v>0</v>
          </cell>
          <cell r="P1209" t="str">
            <v>LITE</v>
          </cell>
        </row>
        <row r="1210">
          <cell r="A1210">
            <v>2837</v>
          </cell>
          <cell r="B1210">
            <v>2837</v>
          </cell>
          <cell r="C1210" t="str">
            <v>CERO MATRICULA</v>
          </cell>
          <cell r="D1210" t="str">
            <v>ACTIVO</v>
          </cell>
          <cell r="E1210" t="str">
            <v>CJT591</v>
          </cell>
          <cell r="F1210" t="str">
            <v>Suarez Leguia Humberto Alexander</v>
          </cell>
          <cell r="G1210" t="str">
            <v>Humberto Alexander Suarez Leguia</v>
          </cell>
          <cell r="H1210">
            <v>40774415</v>
          </cell>
          <cell r="I1210" t="str">
            <v>BCP</v>
          </cell>
          <cell r="J1210" t="str">
            <v>19470011274057</v>
          </cell>
          <cell r="K1210" t="str">
            <v>DNI</v>
          </cell>
          <cell r="L1210">
            <v>10407744158</v>
          </cell>
          <cell r="M1210" t="str">
            <v>URBANO</v>
          </cell>
          <cell r="N1210">
            <v>45314</v>
          </cell>
          <cell r="O1210">
            <v>0</v>
          </cell>
          <cell r="P1210" t="str">
            <v>COMFORT XL</v>
          </cell>
        </row>
        <row r="1211">
          <cell r="A1211">
            <v>2901</v>
          </cell>
          <cell r="B1211">
            <v>2901</v>
          </cell>
          <cell r="C1211" t="str">
            <v>CERO MATRICULA</v>
          </cell>
          <cell r="D1211" t="str">
            <v>ACTIVO</v>
          </cell>
          <cell r="E1211" t="str">
            <v>Chk236</v>
          </cell>
          <cell r="F1211" t="str">
            <v>Centeno Gutiérrez Gabriel Antonio</v>
          </cell>
          <cell r="G1211" t="str">
            <v>Centeno Gutiérrez Gabriel Antonio</v>
          </cell>
          <cell r="H1211" t="str">
            <v>002670957</v>
          </cell>
          <cell r="I1211" t="str">
            <v>INTERBANK</v>
          </cell>
          <cell r="J1211" t="str">
            <v>1623371992701</v>
          </cell>
          <cell r="K1211" t="str">
            <v>CPP</v>
          </cell>
          <cell r="L1211">
            <v>15611693041</v>
          </cell>
          <cell r="M1211" t="str">
            <v>URBANO</v>
          </cell>
          <cell r="N1211">
            <v>45302</v>
          </cell>
          <cell r="O1211">
            <v>0</v>
          </cell>
          <cell r="P1211" t="str">
            <v>XL</v>
          </cell>
        </row>
        <row r="1212">
          <cell r="A1212">
            <v>2904</v>
          </cell>
          <cell r="B1212">
            <v>2904</v>
          </cell>
          <cell r="C1212" t="str">
            <v>CERO MATRICULA</v>
          </cell>
          <cell r="D1212" t="str">
            <v>ACTIVO</v>
          </cell>
          <cell r="E1212" t="str">
            <v>AXH-403</v>
          </cell>
          <cell r="F1212" t="str">
            <v>Llantoy Vargas Fredy</v>
          </cell>
          <cell r="G1212" t="str">
            <v>Pablo llantoy vargas</v>
          </cell>
          <cell r="H1212" t="str">
            <v>47555967</v>
          </cell>
          <cell r="I1212" t="str">
            <v>BCP</v>
          </cell>
          <cell r="J1212" t="str">
            <v>31598563016098</v>
          </cell>
          <cell r="K1212" t="str">
            <v>DNI</v>
          </cell>
          <cell r="L1212">
            <v>10475559679</v>
          </cell>
          <cell r="M1212" t="str">
            <v>URBANO</v>
          </cell>
          <cell r="N1212">
            <v>45302</v>
          </cell>
          <cell r="O1212">
            <v>0</v>
          </cell>
          <cell r="P1212" t="str">
            <v>COMFORT</v>
          </cell>
        </row>
        <row r="1213">
          <cell r="A1213">
            <v>2905</v>
          </cell>
          <cell r="B1213">
            <v>2905</v>
          </cell>
          <cell r="C1213" t="str">
            <v>CERO MATRICULA</v>
          </cell>
          <cell r="D1213" t="str">
            <v>ACTIVO</v>
          </cell>
          <cell r="E1213" t="str">
            <v>AYL165</v>
          </cell>
          <cell r="F1213" t="str">
            <v>DE LA CRUZ  PORTUGAL  ANIBAL</v>
          </cell>
          <cell r="G1213" t="str">
            <v>DE LA CRUZ PORTUGAL ANIBAL</v>
          </cell>
          <cell r="H1213">
            <v>43193943</v>
          </cell>
          <cell r="I1213" t="str">
            <v>BCP</v>
          </cell>
          <cell r="J1213" t="str">
            <v>19221739757048</v>
          </cell>
          <cell r="K1213" t="str">
            <v>DNI</v>
          </cell>
          <cell r="L1213">
            <v>10431939431</v>
          </cell>
          <cell r="M1213" t="str">
            <v>URBANO</v>
          </cell>
          <cell r="N1213">
            <v>45316</v>
          </cell>
          <cell r="O1213">
            <v>0</v>
          </cell>
          <cell r="P1213" t="str">
            <v>LITE</v>
          </cell>
        </row>
        <row r="1214">
          <cell r="A1214">
            <v>2906</v>
          </cell>
          <cell r="B1214">
            <v>2906</v>
          </cell>
          <cell r="C1214" t="str">
            <v>CERO MATRICULA</v>
          </cell>
          <cell r="D1214" t="str">
            <v>ACTIVO</v>
          </cell>
          <cell r="E1214" t="str">
            <v>Bfl243</v>
          </cell>
          <cell r="F1214" t="str">
            <v>MERINO HUARACA WILMER WILLINGTON</v>
          </cell>
          <cell r="G1214" t="str">
            <v>MERINO HUARACA WILMER WILLINGTON</v>
          </cell>
          <cell r="H1214" t="str">
            <v>42059382</v>
          </cell>
          <cell r="I1214" t="str">
            <v>INTERBANK</v>
          </cell>
          <cell r="J1214" t="str">
            <v>8983127932141</v>
          </cell>
          <cell r="K1214" t="str">
            <v>DNI</v>
          </cell>
          <cell r="L1214">
            <v>10420593827</v>
          </cell>
          <cell r="M1214" t="str">
            <v>URBANO</v>
          </cell>
          <cell r="N1214">
            <v>45426</v>
          </cell>
          <cell r="O1214">
            <v>0</v>
          </cell>
          <cell r="P1214" t="str">
            <v>LITE</v>
          </cell>
        </row>
        <row r="1215">
          <cell r="A1215">
            <v>2907</v>
          </cell>
          <cell r="B1215">
            <v>2907</v>
          </cell>
          <cell r="C1215" t="str">
            <v>CERO MATRICULA</v>
          </cell>
          <cell r="D1215" t="str">
            <v>ACTIVO</v>
          </cell>
          <cell r="E1215" t="str">
            <v>BBR057</v>
          </cell>
          <cell r="F1215" t="str">
            <v xml:space="preserve">Pahuacho Aquino Juan Carlos </v>
          </cell>
          <cell r="G1215" t="str">
            <v>Juan Carlos  Pahuacho Aquino</v>
          </cell>
          <cell r="H1215">
            <v>42263752</v>
          </cell>
          <cell r="I1215" t="str">
            <v>BCP</v>
          </cell>
          <cell r="J1215" t="str">
            <v>19390843063067</v>
          </cell>
          <cell r="K1215" t="str">
            <v>DNI</v>
          </cell>
          <cell r="L1215">
            <v>10422637520</v>
          </cell>
          <cell r="M1215" t="str">
            <v>URBANO</v>
          </cell>
          <cell r="N1215">
            <v>45316</v>
          </cell>
          <cell r="O1215">
            <v>0</v>
          </cell>
          <cell r="P1215" t="str">
            <v>COMFORT</v>
          </cell>
        </row>
        <row r="1216">
          <cell r="A1216">
            <v>2908</v>
          </cell>
          <cell r="B1216">
            <v>2908</v>
          </cell>
          <cell r="C1216" t="str">
            <v>CERO MATRICULA</v>
          </cell>
          <cell r="D1216" t="str">
            <v>ACTIVO</v>
          </cell>
          <cell r="E1216" t="str">
            <v>ABG099</v>
          </cell>
          <cell r="F1216" t="str">
            <v>Salas Cordero John omar</v>
          </cell>
          <cell r="G1216" t="str">
            <v>John omar Salas Cordero</v>
          </cell>
          <cell r="H1216">
            <v>40649519</v>
          </cell>
          <cell r="I1216" t="str">
            <v>BCP</v>
          </cell>
          <cell r="J1216" t="str">
            <v>19138361817009</v>
          </cell>
          <cell r="K1216" t="str">
            <v>DNI</v>
          </cell>
          <cell r="L1216">
            <v>10406495197</v>
          </cell>
          <cell r="M1216" t="str">
            <v>URBANO</v>
          </cell>
          <cell r="N1216">
            <v>45316</v>
          </cell>
          <cell r="O1216">
            <v>0</v>
          </cell>
          <cell r="P1216" t="str">
            <v>COMFORT</v>
          </cell>
        </row>
        <row r="1217">
          <cell r="A1217">
            <v>2909</v>
          </cell>
          <cell r="B1217">
            <v>2909</v>
          </cell>
          <cell r="C1217" t="str">
            <v>CERO MATRICULA</v>
          </cell>
          <cell r="D1217" t="str">
            <v>ACTIVO</v>
          </cell>
          <cell r="E1217" t="str">
            <v>apm277</v>
          </cell>
          <cell r="F1217" t="str">
            <v>AMAYA OJEDA ALAN CRISTHIAN</v>
          </cell>
          <cell r="G1217" t="str">
            <v>AMAYA OJEDA ALAN CRISTHIAN</v>
          </cell>
          <cell r="H1217">
            <v>42432822</v>
          </cell>
          <cell r="I1217"/>
          <cell r="J1217"/>
          <cell r="K1217" t="str">
            <v>DNI</v>
          </cell>
          <cell r="L1217">
            <v>10424328222</v>
          </cell>
          <cell r="M1217" t="str">
            <v>URBANO</v>
          </cell>
          <cell r="N1217">
            <v>45323</v>
          </cell>
          <cell r="O1217">
            <v>0</v>
          </cell>
          <cell r="P1217" t="str">
            <v>COMFORT XL</v>
          </cell>
        </row>
        <row r="1218">
          <cell r="A1218">
            <v>2910</v>
          </cell>
          <cell r="B1218">
            <v>2910</v>
          </cell>
          <cell r="C1218" t="str">
            <v>CERO MATRICULA</v>
          </cell>
          <cell r="D1218" t="str">
            <v>ACTIVO</v>
          </cell>
          <cell r="E1218" t="str">
            <v>Bzr053</v>
          </cell>
          <cell r="F1218" t="str">
            <v>RUBIO CAPRISTAN ERICSON EDDER</v>
          </cell>
          <cell r="G1218" t="str">
            <v>ERICSON EDDER RUBIO CAPRISTAN</v>
          </cell>
          <cell r="H1218">
            <v>41512765</v>
          </cell>
          <cell r="I1218" t="str">
            <v>BCP</v>
          </cell>
          <cell r="J1218" t="str">
            <v>19198505715020</v>
          </cell>
          <cell r="K1218" t="str">
            <v>DNI</v>
          </cell>
          <cell r="L1218">
            <v>10415127656</v>
          </cell>
          <cell r="M1218" t="str">
            <v>URBANO PARTNER</v>
          </cell>
          <cell r="N1218">
            <v>45316</v>
          </cell>
          <cell r="O1218">
            <v>0</v>
          </cell>
          <cell r="P1218" t="str">
            <v>XL</v>
          </cell>
        </row>
        <row r="1219">
          <cell r="A1219">
            <v>2915</v>
          </cell>
          <cell r="B1219">
            <v>2915</v>
          </cell>
          <cell r="C1219" t="str">
            <v>CERO MATRICULA</v>
          </cell>
          <cell r="D1219" t="str">
            <v>ACTIVO</v>
          </cell>
          <cell r="E1219" t="str">
            <v>BZG244</v>
          </cell>
          <cell r="F1219" t="str">
            <v>HUAMAN CHAVEZ JOSÉ ANGEL</v>
          </cell>
          <cell r="G1219" t="str">
            <v>HUAMAN CHAVEZ JOSÉ ANGEL</v>
          </cell>
          <cell r="H1219">
            <v>45758758</v>
          </cell>
          <cell r="I1219" t="str">
            <v>BCP</v>
          </cell>
          <cell r="J1219" t="str">
            <v>19136852981031</v>
          </cell>
          <cell r="K1219" t="str">
            <v>DNI</v>
          </cell>
          <cell r="L1219">
            <v>10457587584</v>
          </cell>
          <cell r="M1219" t="str">
            <v>URBANO</v>
          </cell>
          <cell r="N1219">
            <v>45323</v>
          </cell>
          <cell r="O1219">
            <v>0</v>
          </cell>
          <cell r="P1219" t="str">
            <v>COMFORT XL</v>
          </cell>
        </row>
        <row r="1220">
          <cell r="A1220">
            <v>2916</v>
          </cell>
          <cell r="B1220">
            <v>2916</v>
          </cell>
          <cell r="C1220" t="str">
            <v>CERO MATRICULA</v>
          </cell>
          <cell r="D1220" t="str">
            <v>ACTIVO</v>
          </cell>
          <cell r="E1220" t="str">
            <v>CKI 232</v>
          </cell>
          <cell r="F1220" t="str">
            <v>FLORES TRUJILLO NOEL MAGLORIO</v>
          </cell>
          <cell r="G1220" t="str">
            <v>FLORES TRUJILLO NOEL MAGLORIO</v>
          </cell>
          <cell r="H1220">
            <v>20112863</v>
          </cell>
          <cell r="I1220" t="str">
            <v>BCP</v>
          </cell>
          <cell r="J1220" t="str">
            <v>19192830171047</v>
          </cell>
          <cell r="K1220" t="str">
            <v>DNI</v>
          </cell>
          <cell r="L1220">
            <v>10201128639</v>
          </cell>
          <cell r="M1220" t="str">
            <v>URBANO</v>
          </cell>
          <cell r="N1220">
            <v>45323</v>
          </cell>
          <cell r="O1220">
            <v>0</v>
          </cell>
          <cell r="P1220" t="str">
            <v>COMFORT XL</v>
          </cell>
        </row>
        <row r="1221">
          <cell r="A1221">
            <v>2917</v>
          </cell>
          <cell r="B1221">
            <v>2917</v>
          </cell>
          <cell r="C1221" t="str">
            <v>CERO MATRICULA</v>
          </cell>
          <cell r="D1221" t="str">
            <v>ACTIVO</v>
          </cell>
          <cell r="E1221" t="str">
            <v>CDX205</v>
          </cell>
          <cell r="F1221" t="str">
            <v>SEDANO CJUMO ARTURO JOHAN</v>
          </cell>
          <cell r="G1221" t="str">
            <v>SEDANO CJUMO ARTURO JOHAN</v>
          </cell>
          <cell r="H1221">
            <v>43220101</v>
          </cell>
          <cell r="I1221" t="str">
            <v>INTERBANK</v>
          </cell>
          <cell r="J1221" t="str">
            <v>8983392177975</v>
          </cell>
          <cell r="K1221" t="str">
            <v>DNI</v>
          </cell>
          <cell r="L1221">
            <v>10432201011</v>
          </cell>
          <cell r="M1221" t="str">
            <v>URBANO</v>
          </cell>
          <cell r="N1221">
            <v>45323</v>
          </cell>
          <cell r="O1221">
            <v>0</v>
          </cell>
          <cell r="P1221" t="str">
            <v>COMFORT</v>
          </cell>
        </row>
        <row r="1222">
          <cell r="A1222">
            <v>2918</v>
          </cell>
          <cell r="B1222">
            <v>2918</v>
          </cell>
          <cell r="C1222" t="str">
            <v>CERO MATRICULA</v>
          </cell>
          <cell r="D1222" t="str">
            <v>ACTIVO</v>
          </cell>
          <cell r="E1222" t="str">
            <v>CKA 481</v>
          </cell>
          <cell r="F1222" t="str">
            <v xml:space="preserve">AYALA NUÑEZ JOSE EVER </v>
          </cell>
          <cell r="G1222" t="str">
            <v xml:space="preserve">AYALA NUÑEZ JOSE EVER </v>
          </cell>
          <cell r="H1222">
            <v>45197973</v>
          </cell>
          <cell r="I1222" t="str">
            <v>BCP</v>
          </cell>
          <cell r="J1222" t="str">
            <v>19430920419045</v>
          </cell>
          <cell r="K1222" t="str">
            <v>DNI</v>
          </cell>
          <cell r="L1222">
            <v>10451979731</v>
          </cell>
          <cell r="M1222" t="str">
            <v>URBANO</v>
          </cell>
          <cell r="N1222">
            <v>45323</v>
          </cell>
          <cell r="O1222">
            <v>0</v>
          </cell>
          <cell r="P1222" t="str">
            <v>LITE</v>
          </cell>
        </row>
        <row r="1223">
          <cell r="A1223">
            <v>2919</v>
          </cell>
          <cell r="B1223">
            <v>2919</v>
          </cell>
          <cell r="C1223" t="str">
            <v>CERO MATRICULA</v>
          </cell>
          <cell r="D1223" t="str">
            <v>ACTIVO</v>
          </cell>
          <cell r="E1223" t="str">
            <v>Bnm181</v>
          </cell>
          <cell r="F1223" t="str">
            <v>Mosqueda Paez Carlos Daniel</v>
          </cell>
          <cell r="G1223" t="str">
            <v>Castillo bolívar Jeremy jherot</v>
          </cell>
          <cell r="H1223" t="str">
            <v>006207281</v>
          </cell>
          <cell r="I1223" t="str">
            <v>BCP</v>
          </cell>
          <cell r="J1223" t="str">
            <v>19405812496006</v>
          </cell>
          <cell r="K1223" t="str">
            <v>CE</v>
          </cell>
          <cell r="L1223">
            <v>15612179473</v>
          </cell>
          <cell r="M1223" t="str">
            <v>URBANO</v>
          </cell>
          <cell r="N1223">
            <v>45337</v>
          </cell>
          <cell r="O1223">
            <v>0</v>
          </cell>
          <cell r="P1223" t="str">
            <v>XL</v>
          </cell>
        </row>
        <row r="1224">
          <cell r="A1224">
            <v>2920</v>
          </cell>
          <cell r="B1224">
            <v>2920</v>
          </cell>
          <cell r="C1224" t="str">
            <v>CERO MATRICULA</v>
          </cell>
          <cell r="D1224" t="str">
            <v>ACTIVO</v>
          </cell>
          <cell r="E1224"/>
          <cell r="F1224" t="str">
            <v>Meza Sanguinetti Joel</v>
          </cell>
          <cell r="G1224" t="str">
            <v>Sanguinetti Ramirez Miluska Ivon</v>
          </cell>
          <cell r="H1224" t="str">
            <v>07198327</v>
          </cell>
          <cell r="I1224" t="str">
            <v>BCP</v>
          </cell>
          <cell r="J1224" t="str">
            <v>19495130345056</v>
          </cell>
          <cell r="K1224" t="str">
            <v>DNI</v>
          </cell>
          <cell r="L1224">
            <v>10071983272</v>
          </cell>
          <cell r="M1224" t="str">
            <v>URBANO</v>
          </cell>
          <cell r="N1224">
            <v>45330</v>
          </cell>
          <cell r="O1224">
            <v>0</v>
          </cell>
          <cell r="P1224" t="str">
            <v>LITE</v>
          </cell>
        </row>
        <row r="1225">
          <cell r="A1225">
            <v>2921</v>
          </cell>
          <cell r="B1225">
            <v>2921</v>
          </cell>
          <cell r="C1225" t="str">
            <v>CERO MATRICULA</v>
          </cell>
          <cell r="D1225" t="str">
            <v>ACTIVO</v>
          </cell>
          <cell r="E1225"/>
          <cell r="F1225" t="str">
            <v>Zagaceta Vergaray Marcos</v>
          </cell>
          <cell r="G1225" t="str">
            <v>Zagaceta Vergaray Marcos</v>
          </cell>
          <cell r="H1225" t="str">
            <v>05397399</v>
          </cell>
          <cell r="I1225" t="str">
            <v>BCP</v>
          </cell>
          <cell r="J1225" t="str">
            <v>19203163213064</v>
          </cell>
          <cell r="K1225" t="str">
            <v>DNI</v>
          </cell>
          <cell r="L1225">
            <v>10053973995</v>
          </cell>
          <cell r="M1225" t="str">
            <v>URBANO</v>
          </cell>
          <cell r="N1225">
            <v>45330</v>
          </cell>
          <cell r="O1225">
            <v>0</v>
          </cell>
          <cell r="P1225" t="str">
            <v>LITE</v>
          </cell>
        </row>
        <row r="1226">
          <cell r="A1226">
            <v>2922</v>
          </cell>
          <cell r="B1226">
            <v>2922</v>
          </cell>
          <cell r="C1226" t="str">
            <v>CERO MATRICULA</v>
          </cell>
          <cell r="D1226" t="str">
            <v>ACTIVO</v>
          </cell>
          <cell r="E1226"/>
          <cell r="F1226" t="str">
            <v>Espinoza Poma LISNEAL</v>
          </cell>
          <cell r="G1226" t="str">
            <v>Espinoza Poma LISNEAL</v>
          </cell>
          <cell r="H1226" t="str">
            <v>71638482</v>
          </cell>
          <cell r="I1226" t="str">
            <v>BCP</v>
          </cell>
          <cell r="J1226" t="str">
            <v>19479699731076</v>
          </cell>
          <cell r="K1226" t="str">
            <v>DNI</v>
          </cell>
          <cell r="L1226">
            <v>10716384824</v>
          </cell>
          <cell r="M1226" t="str">
            <v>URBANO PARTNER</v>
          </cell>
          <cell r="N1226">
            <v>45330</v>
          </cell>
          <cell r="O1226">
            <v>0</v>
          </cell>
          <cell r="P1226" t="str">
            <v>COMFORT</v>
          </cell>
        </row>
        <row r="1227">
          <cell r="A1227">
            <v>2923</v>
          </cell>
          <cell r="B1227">
            <v>2923</v>
          </cell>
          <cell r="C1227" t="str">
            <v>CERO MATRICULA</v>
          </cell>
          <cell r="D1227" t="str">
            <v>ACTIVO</v>
          </cell>
          <cell r="E1227" t="str">
            <v>Cjj389</v>
          </cell>
          <cell r="F1227" t="str">
            <v>Linares Mendoza Mavel</v>
          </cell>
          <cell r="G1227" t="str">
            <v>Linares Mendoza Mavel</v>
          </cell>
          <cell r="H1227">
            <v>44508386</v>
          </cell>
          <cell r="I1227" t="str">
            <v>INTERBANK</v>
          </cell>
          <cell r="J1227" t="str">
            <v>8983324359712</v>
          </cell>
          <cell r="K1227" t="str">
            <v>DNI</v>
          </cell>
          <cell r="L1227">
            <v>10445083866</v>
          </cell>
          <cell r="M1227" t="str">
            <v>URBANO</v>
          </cell>
          <cell r="N1227">
            <v>45335</v>
          </cell>
          <cell r="O1227">
            <v>0</v>
          </cell>
          <cell r="P1227" t="str">
            <v>COMFORT XL</v>
          </cell>
        </row>
        <row r="1228">
          <cell r="A1228">
            <v>3000</v>
          </cell>
          <cell r="B1228">
            <v>3000</v>
          </cell>
          <cell r="C1228" t="str">
            <v>CERO MATRICULA</v>
          </cell>
          <cell r="D1228" t="str">
            <v>ACTIVO</v>
          </cell>
          <cell r="E1228" t="str">
            <v>BZF666</v>
          </cell>
          <cell r="F1228" t="str">
            <v>HUARINGA LANDA EBERT</v>
          </cell>
          <cell r="G1228" t="str">
            <v>HUARINGA LANDA EBERT</v>
          </cell>
          <cell r="H1228" t="str">
            <v>47281473</v>
          </cell>
          <cell r="I1228" t="str">
            <v>SCOTIABANK</v>
          </cell>
          <cell r="J1228" t="str">
            <v>1240303170</v>
          </cell>
          <cell r="K1228" t="str">
            <v>DNI</v>
          </cell>
          <cell r="L1228">
            <v>10472814732</v>
          </cell>
          <cell r="M1228" t="str">
            <v>AEROLINEAS</v>
          </cell>
          <cell r="N1228">
            <v>44799</v>
          </cell>
          <cell r="O1228">
            <v>0</v>
          </cell>
          <cell r="P1228" t="str">
            <v>COMFORT</v>
          </cell>
        </row>
        <row r="1229">
          <cell r="A1229">
            <v>3003</v>
          </cell>
          <cell r="B1229">
            <v>3003</v>
          </cell>
          <cell r="C1229" t="str">
            <v>CERO MATRICULA</v>
          </cell>
          <cell r="D1229" t="str">
            <v>ACTIVO</v>
          </cell>
          <cell r="E1229" t="str">
            <v>BZZ267</v>
          </cell>
          <cell r="F1229" t="str">
            <v>KOCLEM MOYA ARMANDO PAUL</v>
          </cell>
          <cell r="G1229" t="str">
            <v>KOCLEM MOYA ARMANDO PAUL</v>
          </cell>
          <cell r="H1229" t="str">
            <v>07897832</v>
          </cell>
          <cell r="I1229" t="str">
            <v>BBVA</v>
          </cell>
          <cell r="J1229" t="str">
            <v>0011-0814-180201437453</v>
          </cell>
          <cell r="K1229" t="str">
            <v>DNI</v>
          </cell>
          <cell r="L1229">
            <v>10078978321</v>
          </cell>
          <cell r="M1229" t="str">
            <v>AEROLINEAS</v>
          </cell>
          <cell r="N1229">
            <v>44799</v>
          </cell>
          <cell r="O1229">
            <v>0</v>
          </cell>
          <cell r="P1229" t="str">
            <v>COMFORT</v>
          </cell>
        </row>
        <row r="1230">
          <cell r="A1230">
            <v>3004</v>
          </cell>
          <cell r="B1230">
            <v>3004</v>
          </cell>
          <cell r="C1230" t="str">
            <v>CERO MATRICULA</v>
          </cell>
          <cell r="D1230" t="str">
            <v>ACTIVO</v>
          </cell>
          <cell r="E1230" t="str">
            <v>CAJ343</v>
          </cell>
          <cell r="F1230" t="str">
            <v>FRANCIA GUTIERREZ ARTURO HJALMAR</v>
          </cell>
          <cell r="G1230" t="str">
            <v>FRANCIA GUTIERREZ ARTURO HJALMAR</v>
          </cell>
          <cell r="H1230" t="str">
            <v>07513099</v>
          </cell>
          <cell r="I1230" t="str">
            <v>BBVA</v>
          </cell>
          <cell r="J1230" t="str">
            <v>0011-0230-0020009845096</v>
          </cell>
          <cell r="K1230" t="str">
            <v>DNI</v>
          </cell>
          <cell r="L1230">
            <v>10075130991</v>
          </cell>
          <cell r="M1230" t="str">
            <v>AEROLINEAS</v>
          </cell>
          <cell r="N1230">
            <v>44799</v>
          </cell>
          <cell r="O1230">
            <v>0</v>
          </cell>
          <cell r="P1230" t="str">
            <v>LITE</v>
          </cell>
        </row>
        <row r="1231">
          <cell r="A1231">
            <v>3006</v>
          </cell>
          <cell r="B1231">
            <v>3006</v>
          </cell>
          <cell r="C1231" t="str">
            <v>CERO MATRICULA</v>
          </cell>
          <cell r="D1231" t="str">
            <v>ACTIVO</v>
          </cell>
          <cell r="E1231" t="str">
            <v>BVR261</v>
          </cell>
          <cell r="F1231" t="str">
            <v>MIRANDA MORALES JUAN FRANCISCO</v>
          </cell>
          <cell r="G1231" t="str">
            <v>MIRANDA MORALES JUAN FRANCISCO</v>
          </cell>
          <cell r="H1231" t="str">
            <v>10217033</v>
          </cell>
          <cell r="I1231" t="str">
            <v>BCP</v>
          </cell>
          <cell r="J1231" t="str">
            <v>19316277477094</v>
          </cell>
          <cell r="K1231" t="str">
            <v>DNI</v>
          </cell>
          <cell r="L1231">
            <v>10102170330</v>
          </cell>
          <cell r="M1231" t="str">
            <v>AEROLINEAS</v>
          </cell>
          <cell r="N1231">
            <v>44746</v>
          </cell>
          <cell r="O1231">
            <v>0</v>
          </cell>
          <cell r="P1231" t="str">
            <v>COMFORT XL</v>
          </cell>
        </row>
        <row r="1232">
          <cell r="A1232">
            <v>3007</v>
          </cell>
          <cell r="B1232">
            <v>3007</v>
          </cell>
          <cell r="C1232" t="str">
            <v>CERO MATRICULA</v>
          </cell>
          <cell r="D1232" t="str">
            <v>ACTIVO</v>
          </cell>
          <cell r="E1232" t="str">
            <v>BDA535</v>
          </cell>
          <cell r="F1232" t="str">
            <v>ZAPATA ARANA ALEXANDER MICHEL</v>
          </cell>
          <cell r="G1232" t="str">
            <v>ZAPATA ARANA ALEXANDER MICHEL</v>
          </cell>
          <cell r="H1232" t="str">
            <v>47260726</v>
          </cell>
          <cell r="I1232" t="str">
            <v>BCP</v>
          </cell>
          <cell r="J1232" t="str">
            <v>19497701031008</v>
          </cell>
          <cell r="K1232" t="str">
            <v>DNI</v>
          </cell>
          <cell r="L1232">
            <v>10472607265</v>
          </cell>
          <cell r="M1232" t="str">
            <v>AEROLINEAS</v>
          </cell>
          <cell r="N1232">
            <v>44746</v>
          </cell>
          <cell r="O1232">
            <v>0</v>
          </cell>
          <cell r="P1232" t="str">
            <v>COMFORT XL</v>
          </cell>
        </row>
        <row r="1233">
          <cell r="A1233">
            <v>3008</v>
          </cell>
          <cell r="B1233">
            <v>3008</v>
          </cell>
          <cell r="C1233" t="str">
            <v>CERO MATRICULA</v>
          </cell>
          <cell r="D1233" t="str">
            <v>ACTIVO</v>
          </cell>
          <cell r="E1233" t="str">
            <v>Z6S195</v>
          </cell>
          <cell r="F1233" t="str">
            <v>CASTRO ZEVALLOS RUBEN DARIO</v>
          </cell>
          <cell r="G1233" t="str">
            <v>CASTRO ZEVALLOS RUBEN DARIO</v>
          </cell>
          <cell r="H1233" t="str">
            <v>47002559</v>
          </cell>
          <cell r="I1233" t="str">
            <v>SCOTIABANK</v>
          </cell>
          <cell r="J1233" t="str">
            <v>5621237444</v>
          </cell>
          <cell r="K1233" t="str">
            <v>DNI</v>
          </cell>
          <cell r="L1233">
            <v>10470025595</v>
          </cell>
          <cell r="M1233" t="str">
            <v>AEROLINEAS</v>
          </cell>
          <cell r="N1233">
            <v>44746</v>
          </cell>
          <cell r="O1233">
            <v>0</v>
          </cell>
          <cell r="P1233" t="str">
            <v>LITE</v>
          </cell>
        </row>
        <row r="1234">
          <cell r="A1234">
            <v>3009</v>
          </cell>
          <cell r="B1234">
            <v>3009</v>
          </cell>
          <cell r="C1234" t="str">
            <v>CERO MATRICULA</v>
          </cell>
          <cell r="D1234" t="str">
            <v>ACTIVO</v>
          </cell>
          <cell r="E1234" t="str">
            <v>BCU609</v>
          </cell>
          <cell r="F1234" t="str">
            <v>GALLARDO COSAVALENTE LUIS ANGEL</v>
          </cell>
          <cell r="G1234" t="str">
            <v>GALLARDO COSAVALENTE LUIS ANGEL</v>
          </cell>
          <cell r="H1234" t="str">
            <v>42281205</v>
          </cell>
          <cell r="I1234" t="str">
            <v>BCP</v>
          </cell>
          <cell r="J1234" t="str">
            <v>19191334975048</v>
          </cell>
          <cell r="K1234" t="str">
            <v>DNI</v>
          </cell>
          <cell r="L1234">
            <v>10422812054</v>
          </cell>
          <cell r="M1234" t="str">
            <v>AEROLINEAS</v>
          </cell>
          <cell r="N1234">
            <v>44750</v>
          </cell>
          <cell r="O1234">
            <v>0</v>
          </cell>
          <cell r="P1234" t="str">
            <v>COMFORT</v>
          </cell>
        </row>
        <row r="1235">
          <cell r="A1235">
            <v>3010</v>
          </cell>
          <cell r="B1235">
            <v>3010</v>
          </cell>
          <cell r="C1235" t="str">
            <v>CERO MATRICULA</v>
          </cell>
          <cell r="D1235" t="str">
            <v>ACTIVO</v>
          </cell>
          <cell r="E1235" t="str">
            <v>BYX616</v>
          </cell>
          <cell r="F1235" t="str">
            <v>ROMERO YAUYO JORGE ALEXANDER BENJAMIN</v>
          </cell>
          <cell r="G1235" t="str">
            <v>ROMERO YAUYO JORGE ALEXANDER BENJAMIN</v>
          </cell>
          <cell r="H1235" t="str">
            <v>48411307</v>
          </cell>
          <cell r="I1235" t="str">
            <v>INTERBANK</v>
          </cell>
          <cell r="J1235">
            <v>8983184216789</v>
          </cell>
          <cell r="K1235" t="str">
            <v>DNI</v>
          </cell>
          <cell r="L1235">
            <v>10484113071</v>
          </cell>
          <cell r="M1235" t="str">
            <v>AEROLINEAS</v>
          </cell>
          <cell r="N1235">
            <v>44739</v>
          </cell>
          <cell r="O1235">
            <v>0</v>
          </cell>
          <cell r="P1235" t="str">
            <v>COMFORT</v>
          </cell>
        </row>
        <row r="1236">
          <cell r="A1236">
            <v>3011</v>
          </cell>
          <cell r="B1236">
            <v>3011</v>
          </cell>
          <cell r="C1236" t="str">
            <v>CERO MATRICULA</v>
          </cell>
          <cell r="D1236" t="str">
            <v>ACTIVO</v>
          </cell>
          <cell r="E1236" t="str">
            <v>AHB338</v>
          </cell>
          <cell r="F1236" t="str">
            <v>CANALES FLORES MOISES JUAN DAVID</v>
          </cell>
          <cell r="G1236" t="str">
            <v>CANALES FLORES MOISES JUAN DAVID</v>
          </cell>
          <cell r="H1236" t="str">
            <v>71777585</v>
          </cell>
          <cell r="I1236" t="str">
            <v>BCP</v>
          </cell>
          <cell r="J1236" t="str">
            <v>19170433925077</v>
          </cell>
          <cell r="K1236" t="str">
            <v>DNI</v>
          </cell>
          <cell r="L1236">
            <v>10717775851</v>
          </cell>
          <cell r="M1236" t="str">
            <v>AEROLINEAS</v>
          </cell>
          <cell r="N1236">
            <v>44851</v>
          </cell>
          <cell r="O1236">
            <v>0</v>
          </cell>
          <cell r="P1236" t="str">
            <v>LITE</v>
          </cell>
        </row>
        <row r="1237">
          <cell r="A1237">
            <v>3012</v>
          </cell>
          <cell r="B1237">
            <v>3012</v>
          </cell>
          <cell r="C1237" t="str">
            <v>CERO MATRICULA</v>
          </cell>
          <cell r="D1237" t="str">
            <v>ACTIVO</v>
          </cell>
          <cell r="E1237" t="str">
            <v>BZX230</v>
          </cell>
          <cell r="F1237" t="str">
            <v>CELIS AMARO JHON ANTHONY</v>
          </cell>
          <cell r="G1237" t="str">
            <v>CELIS AMARO JHON ANTHONY</v>
          </cell>
          <cell r="H1237" t="str">
            <v>46638470</v>
          </cell>
          <cell r="I1237" t="str">
            <v>INTERBANK</v>
          </cell>
          <cell r="J1237" t="str">
            <v>898-3347260004</v>
          </cell>
          <cell r="K1237" t="str">
            <v>DNI</v>
          </cell>
          <cell r="L1237">
            <v>10466384700</v>
          </cell>
          <cell r="M1237" t="str">
            <v>URBANO</v>
          </cell>
          <cell r="N1237">
            <v>44935</v>
          </cell>
          <cell r="O1237">
            <v>0</v>
          </cell>
          <cell r="P1237" t="str">
            <v>LITE</v>
          </cell>
        </row>
        <row r="1238">
          <cell r="A1238">
            <v>3013</v>
          </cell>
          <cell r="B1238">
            <v>3013</v>
          </cell>
          <cell r="C1238" t="str">
            <v>CERO MATRICULA</v>
          </cell>
          <cell r="D1238" t="str">
            <v>ACTIVO</v>
          </cell>
          <cell r="E1238" t="str">
            <v>AST420</v>
          </cell>
          <cell r="F1238" t="str">
            <v>ACUÑA VILLEGAS CRISHIAN ISAAC ERNESTO</v>
          </cell>
          <cell r="G1238" t="str">
            <v>ACUÑA VILLEGAS CRISHIAN ISAAC ERNESTO</v>
          </cell>
          <cell r="H1238" t="str">
            <v>71427408</v>
          </cell>
          <cell r="I1238" t="str">
            <v>BCP</v>
          </cell>
          <cell r="J1238" t="str">
            <v>191-39450728-0-19</v>
          </cell>
          <cell r="K1238" t="str">
            <v>DNI</v>
          </cell>
          <cell r="L1238">
            <v>10714274088</v>
          </cell>
          <cell r="M1238" t="str">
            <v>AEROLINEAS</v>
          </cell>
          <cell r="N1238">
            <v>44799</v>
          </cell>
          <cell r="O1238">
            <v>0</v>
          </cell>
          <cell r="P1238" t="str">
            <v>LITE</v>
          </cell>
        </row>
        <row r="1239">
          <cell r="A1239">
            <v>3014</v>
          </cell>
          <cell r="B1239">
            <v>3014</v>
          </cell>
          <cell r="C1239" t="str">
            <v>CERO MATRICULA</v>
          </cell>
          <cell r="D1239" t="str">
            <v>ACTIVO</v>
          </cell>
          <cell r="E1239" t="str">
            <v>BAY454</v>
          </cell>
          <cell r="F1239" t="str">
            <v>SOSAYA CHAVEZ MICHAEL GIOVANNI</v>
          </cell>
          <cell r="G1239" t="str">
            <v>SOSAYA CHAVEZ MICHAEL GIOVANNI</v>
          </cell>
          <cell r="H1239" t="str">
            <v>41757044</v>
          </cell>
          <cell r="I1239" t="str">
            <v>BCP</v>
          </cell>
          <cell r="J1239" t="str">
            <v>19306680082056</v>
          </cell>
          <cell r="K1239" t="str">
            <v>DNI</v>
          </cell>
          <cell r="L1239">
            <v>10417570441</v>
          </cell>
          <cell r="M1239" t="str">
            <v>AEROLINEAS</v>
          </cell>
          <cell r="N1239">
            <v>44733</v>
          </cell>
          <cell r="O1239">
            <v>0</v>
          </cell>
          <cell r="P1239" t="str">
            <v>COMFORT XL</v>
          </cell>
        </row>
        <row r="1240">
          <cell r="A1240">
            <v>3015</v>
          </cell>
          <cell r="B1240">
            <v>3015</v>
          </cell>
          <cell r="C1240" t="str">
            <v>CERO MATRICULA</v>
          </cell>
          <cell r="D1240" t="str">
            <v>ACTIVO</v>
          </cell>
          <cell r="E1240" t="str">
            <v>BSD439</v>
          </cell>
          <cell r="F1240" t="str">
            <v>PARIAPAZA REYES MOISES ARTURO</v>
          </cell>
          <cell r="G1240" t="str">
            <v>PARIAPAZA REYES MOISES ARTURO</v>
          </cell>
          <cell r="H1240" t="str">
            <v>25732567</v>
          </cell>
          <cell r="I1240" t="str">
            <v>BCP</v>
          </cell>
          <cell r="J1240">
            <v>19202438779011</v>
          </cell>
          <cell r="K1240" t="str">
            <v>DNI</v>
          </cell>
          <cell r="L1240">
            <v>10257325674</v>
          </cell>
          <cell r="M1240" t="str">
            <v>AEROLINEAS</v>
          </cell>
          <cell r="N1240">
            <v>44732</v>
          </cell>
          <cell r="O1240">
            <v>0</v>
          </cell>
          <cell r="P1240" t="str">
            <v>XL</v>
          </cell>
        </row>
        <row r="1241">
          <cell r="A1241">
            <v>3016</v>
          </cell>
          <cell r="B1241">
            <v>3016</v>
          </cell>
          <cell r="C1241" t="str">
            <v>CERO MATRICULA</v>
          </cell>
          <cell r="D1241" t="str">
            <v>ACTIVO</v>
          </cell>
          <cell r="E1241" t="str">
            <v>BMU686</v>
          </cell>
          <cell r="F1241" t="str">
            <v>GOMEZ CURIPACO JACK OSCAR</v>
          </cell>
          <cell r="G1241" t="str">
            <v>GOMEZ CURIPACO JACK OSCAR</v>
          </cell>
          <cell r="H1241" t="str">
            <v>70128802</v>
          </cell>
          <cell r="I1241" t="str">
            <v>BBVA</v>
          </cell>
          <cell r="J1241" t="str">
            <v>001108140285263749</v>
          </cell>
          <cell r="K1241" t="str">
            <v>DNI</v>
          </cell>
          <cell r="L1241">
            <v>10701288021</v>
          </cell>
          <cell r="M1241" t="str">
            <v>URBANO PARTNER</v>
          </cell>
          <cell r="N1241">
            <v>44739</v>
          </cell>
          <cell r="O1241">
            <v>0</v>
          </cell>
          <cell r="P1241" t="str">
            <v>COMFORT</v>
          </cell>
        </row>
        <row r="1242">
          <cell r="A1242">
            <v>3017</v>
          </cell>
          <cell r="B1242">
            <v>3017</v>
          </cell>
          <cell r="C1242" t="str">
            <v>CERO MATRICULA</v>
          </cell>
          <cell r="D1242" t="str">
            <v>ACTIVO</v>
          </cell>
          <cell r="E1242" t="str">
            <v>F6H356</v>
          </cell>
          <cell r="F1242" t="str">
            <v>FRANCO LEUREYROS JORGE RAUL</v>
          </cell>
          <cell r="G1242" t="str">
            <v>BAILON PRINCIPE CARLOS</v>
          </cell>
          <cell r="H1242" t="str">
            <v>42821645</v>
          </cell>
          <cell r="I1242" t="str">
            <v>INTERBANK</v>
          </cell>
          <cell r="J1242" t="str">
            <v>0423120139682</v>
          </cell>
          <cell r="K1242" t="str">
            <v>DNI</v>
          </cell>
          <cell r="L1242">
            <v>10428216453</v>
          </cell>
          <cell r="M1242" t="str">
            <v>AEROLINEAS</v>
          </cell>
          <cell r="N1242">
            <v>44732</v>
          </cell>
          <cell r="O1242">
            <v>0</v>
          </cell>
          <cell r="P1242" t="str">
            <v>LITE</v>
          </cell>
        </row>
        <row r="1243">
          <cell r="A1243">
            <v>3018</v>
          </cell>
          <cell r="B1243">
            <v>3018</v>
          </cell>
          <cell r="C1243" t="str">
            <v>CERO MATRICULA</v>
          </cell>
          <cell r="D1243" t="str">
            <v>ACTIVO</v>
          </cell>
          <cell r="E1243" t="str">
            <v>CAD512</v>
          </cell>
          <cell r="F1243" t="str">
            <v>MOLINA TORRES ENRIQUE ANDRE</v>
          </cell>
          <cell r="G1243" t="str">
            <v>MOLINA TORRES ENRIQUE ANDRE</v>
          </cell>
          <cell r="H1243" t="str">
            <v>45667204</v>
          </cell>
          <cell r="I1243" t="str">
            <v>BCP</v>
          </cell>
          <cell r="J1243">
            <v>19195701110086</v>
          </cell>
          <cell r="K1243" t="str">
            <v>DNI</v>
          </cell>
          <cell r="L1243">
            <v>10456672049</v>
          </cell>
          <cell r="M1243" t="str">
            <v>AEROLINEAS</v>
          </cell>
          <cell r="N1243">
            <v>44739</v>
          </cell>
          <cell r="O1243">
            <v>0</v>
          </cell>
          <cell r="P1243" t="str">
            <v>LITE</v>
          </cell>
        </row>
        <row r="1244">
          <cell r="A1244">
            <v>3019</v>
          </cell>
          <cell r="B1244">
            <v>3019</v>
          </cell>
          <cell r="C1244" t="str">
            <v>CERO MATRICULA</v>
          </cell>
          <cell r="D1244" t="str">
            <v>ACTIVO</v>
          </cell>
          <cell r="E1244" t="str">
            <v>BYS293</v>
          </cell>
          <cell r="F1244" t="str">
            <v>ZAVALA ESPINOZA FRANKLIN ABEL</v>
          </cell>
          <cell r="G1244" t="str">
            <v>SANCHEZ RENGIFO ASTRID</v>
          </cell>
          <cell r="H1244" t="str">
            <v>73470113</v>
          </cell>
          <cell r="I1244" t="str">
            <v>BCP</v>
          </cell>
          <cell r="J1244">
            <v>19302939875068</v>
          </cell>
          <cell r="K1244" t="str">
            <v>DNI</v>
          </cell>
          <cell r="L1244">
            <v>10734701136</v>
          </cell>
          <cell r="M1244" t="str">
            <v>AEROLINEAS</v>
          </cell>
          <cell r="N1244">
            <v>44726</v>
          </cell>
          <cell r="O1244">
            <v>0</v>
          </cell>
          <cell r="P1244" t="str">
            <v>COMFORT XL</v>
          </cell>
        </row>
        <row r="1245">
          <cell r="A1245">
            <v>3020</v>
          </cell>
          <cell r="B1245">
            <v>3020</v>
          </cell>
          <cell r="C1245" t="str">
            <v>CERO MATRICULA</v>
          </cell>
          <cell r="D1245" t="str">
            <v>ACTIVO</v>
          </cell>
          <cell r="E1245" t="str">
            <v>BRB356</v>
          </cell>
          <cell r="F1245" t="str">
            <v>RODRIGUEZ BURGOS JOHNATTAN VICTOR</v>
          </cell>
          <cell r="G1245" t="str">
            <v>RODRIGUEZ BURGOS JOHNATTAN VICTOR</v>
          </cell>
          <cell r="H1245" t="str">
            <v>43268816</v>
          </cell>
          <cell r="I1245" t="str">
            <v>SCOTIABANK</v>
          </cell>
          <cell r="J1245">
            <v>8212520624</v>
          </cell>
          <cell r="K1245" t="str">
            <v>DNI</v>
          </cell>
          <cell r="L1245">
            <v>10432688165</v>
          </cell>
          <cell r="M1245" t="str">
            <v>AEROLINEAS</v>
          </cell>
          <cell r="N1245">
            <v>44727</v>
          </cell>
          <cell r="O1245">
            <v>0</v>
          </cell>
          <cell r="P1245" t="str">
            <v>COMFORT</v>
          </cell>
        </row>
        <row r="1246">
          <cell r="A1246">
            <v>3023</v>
          </cell>
          <cell r="B1246">
            <v>3023</v>
          </cell>
          <cell r="C1246" t="str">
            <v>CERO MATRICULA</v>
          </cell>
          <cell r="D1246" t="str">
            <v>ACTIVO</v>
          </cell>
          <cell r="E1246" t="str">
            <v>BVH446</v>
          </cell>
          <cell r="F1246" t="str">
            <v>ZAPATA MALDONADO ALEXANDER EVELIO</v>
          </cell>
          <cell r="G1246" t="str">
            <v>ZAPATA MALDONADO ALEXANDER EVELIO</v>
          </cell>
          <cell r="H1246" t="str">
            <v>49013537</v>
          </cell>
          <cell r="I1246" t="str">
            <v>BCP</v>
          </cell>
          <cell r="J1246">
            <v>19496213732086</v>
          </cell>
          <cell r="K1246" t="str">
            <v>DNI</v>
          </cell>
          <cell r="L1246">
            <v>15603217681</v>
          </cell>
          <cell r="M1246" t="str">
            <v>AEROLINEAS</v>
          </cell>
          <cell r="N1246">
            <v>44692</v>
          </cell>
          <cell r="O1246">
            <v>0</v>
          </cell>
          <cell r="P1246" t="str">
            <v>LITE</v>
          </cell>
        </row>
        <row r="1247">
          <cell r="A1247">
            <v>3024</v>
          </cell>
          <cell r="B1247">
            <v>3024</v>
          </cell>
          <cell r="C1247" t="str">
            <v>CERO MATRICULA</v>
          </cell>
          <cell r="D1247" t="str">
            <v>ACTIVO</v>
          </cell>
          <cell r="E1247" t="str">
            <v>BKQ055</v>
          </cell>
          <cell r="F1247" t="str">
            <v>VILLEGAS PASTOR YARITA ELIZABETH</v>
          </cell>
          <cell r="G1247" t="str">
            <v>VILLEGAS PASTOR YARITA ELIZABETH</v>
          </cell>
          <cell r="H1247" t="str">
            <v>40603826</v>
          </cell>
          <cell r="I1247" t="str">
            <v>BCP</v>
          </cell>
          <cell r="J1247" t="str">
            <v>19103954547090</v>
          </cell>
          <cell r="K1247" t="str">
            <v>DNI</v>
          </cell>
          <cell r="L1247">
            <v>10406038268</v>
          </cell>
          <cell r="M1247" t="str">
            <v>AEROLINEAS</v>
          </cell>
          <cell r="N1247">
            <v>44697</v>
          </cell>
          <cell r="O1247">
            <v>0</v>
          </cell>
          <cell r="P1247" t="str">
            <v>XL</v>
          </cell>
        </row>
        <row r="1248">
          <cell r="A1248">
            <v>3025</v>
          </cell>
          <cell r="B1248">
            <v>3025</v>
          </cell>
          <cell r="C1248" t="str">
            <v>CERO MATRICULA</v>
          </cell>
          <cell r="D1248" t="str">
            <v>ACTIVO</v>
          </cell>
          <cell r="E1248" t="str">
            <v>BDO031</v>
          </cell>
          <cell r="F1248" t="str">
            <v>VALLE TRAVEZAÑO BRAYER GINO</v>
          </cell>
          <cell r="G1248" t="str">
            <v>PADILLA BACA DANIEL ALEXANDER</v>
          </cell>
          <cell r="H1248" t="str">
            <v>76202392</v>
          </cell>
          <cell r="I1248" t="str">
            <v>BBVA</v>
          </cell>
          <cell r="J1248" t="str">
            <v>001100480200106425</v>
          </cell>
          <cell r="K1248" t="str">
            <v>DNI</v>
          </cell>
          <cell r="L1248">
            <v>10762023925</v>
          </cell>
          <cell r="M1248" t="str">
            <v>AEROLINEAS</v>
          </cell>
          <cell r="N1248">
            <v>44721</v>
          </cell>
          <cell r="O1248">
            <v>0</v>
          </cell>
          <cell r="P1248" t="str">
            <v>LITE</v>
          </cell>
        </row>
        <row r="1249">
          <cell r="A1249">
            <v>3026</v>
          </cell>
          <cell r="B1249">
            <v>3026</v>
          </cell>
          <cell r="C1249" t="str">
            <v>CERO MATRICULA</v>
          </cell>
          <cell r="D1249" t="str">
            <v>ACTIVO</v>
          </cell>
          <cell r="E1249" t="str">
            <v>CAC044</v>
          </cell>
          <cell r="F1249" t="str">
            <v>MANRIQUE LOPEZ RICARDO</v>
          </cell>
          <cell r="G1249" t="str">
            <v>MANRIQUE LOPEZ RICARDO</v>
          </cell>
          <cell r="H1249" t="str">
            <v>10663022</v>
          </cell>
          <cell r="I1249" t="str">
            <v>BBVA</v>
          </cell>
          <cell r="J1249" t="str">
            <v>0011-0814-0228144741</v>
          </cell>
          <cell r="K1249" t="str">
            <v>DNI</v>
          </cell>
          <cell r="L1249">
            <v>10106630220</v>
          </cell>
          <cell r="M1249" t="str">
            <v>AEROLINEAS</v>
          </cell>
          <cell r="N1249">
            <v>44827</v>
          </cell>
          <cell r="O1249">
            <v>0</v>
          </cell>
          <cell r="P1249" t="str">
            <v>LITE</v>
          </cell>
        </row>
        <row r="1250">
          <cell r="A1250">
            <v>3028</v>
          </cell>
          <cell r="B1250">
            <v>3028</v>
          </cell>
          <cell r="C1250" t="str">
            <v>CERO MATRICULA</v>
          </cell>
          <cell r="D1250" t="str">
            <v>ACTIVO</v>
          </cell>
          <cell r="E1250" t="str">
            <v>BMM316</v>
          </cell>
          <cell r="F1250" t="str">
            <v>CANICELA CONDOR ORLANDO TITO</v>
          </cell>
          <cell r="G1250" t="str">
            <v>CANICELA CONDOR ORLANDO TITO</v>
          </cell>
          <cell r="H1250" t="str">
            <v>46146242</v>
          </cell>
          <cell r="I1250" t="str">
            <v>BBVA</v>
          </cell>
          <cell r="J1250" t="str">
            <v>001101410200573312</v>
          </cell>
          <cell r="K1250" t="str">
            <v>DNI</v>
          </cell>
          <cell r="L1250">
            <v>10461462427</v>
          </cell>
          <cell r="M1250" t="str">
            <v>AEROLINEAS</v>
          </cell>
          <cell r="N1250" t="str">
            <v>PENDIENTE</v>
          </cell>
          <cell r="O1250">
            <v>0</v>
          </cell>
          <cell r="P1250" t="str">
            <v>COMFORT</v>
          </cell>
        </row>
        <row r="1251">
          <cell r="A1251">
            <v>3031</v>
          </cell>
          <cell r="B1251">
            <v>3031</v>
          </cell>
          <cell r="C1251" t="str">
            <v>CERO MATRICULA</v>
          </cell>
          <cell r="D1251" t="str">
            <v>ACTIVO</v>
          </cell>
          <cell r="E1251" t="str">
            <v>BLN099</v>
          </cell>
          <cell r="F1251" t="str">
            <v>AREVALO SUAREZ SAUL</v>
          </cell>
          <cell r="G1251" t="str">
            <v>AREVALO SUAREZ SAUL</v>
          </cell>
          <cell r="H1251">
            <v>44132613</v>
          </cell>
          <cell r="I1251" t="str">
            <v>BCP</v>
          </cell>
          <cell r="J1251" t="str">
            <v>191-93768444-0-97</v>
          </cell>
          <cell r="K1251" t="str">
            <v>DNI</v>
          </cell>
          <cell r="L1251">
            <v>10441326136</v>
          </cell>
          <cell r="M1251" t="str">
            <v>AEROLINEAS</v>
          </cell>
          <cell r="N1251" t="str">
            <v>PENDIENTE</v>
          </cell>
          <cell r="O1251">
            <v>0</v>
          </cell>
          <cell r="P1251" t="str">
            <v>LITE</v>
          </cell>
        </row>
        <row r="1252">
          <cell r="A1252">
            <v>3033</v>
          </cell>
          <cell r="B1252">
            <v>3033</v>
          </cell>
          <cell r="C1252" t="str">
            <v>CERO MATRICULA</v>
          </cell>
          <cell r="D1252" t="str">
            <v>ACTIVO</v>
          </cell>
          <cell r="E1252" t="str">
            <v>BYP190</v>
          </cell>
          <cell r="F1252" t="str">
            <v>CORRALES PADILLA ANGELO JOEL</v>
          </cell>
          <cell r="G1252" t="str">
            <v>CORRALES PADILLA ANGELO JOEL</v>
          </cell>
          <cell r="H1252" t="str">
            <v>76835212</v>
          </cell>
          <cell r="I1252" t="str">
            <v>BCP</v>
          </cell>
          <cell r="J1252" t="str">
            <v>19407108170068</v>
          </cell>
          <cell r="K1252" t="str">
            <v>DNI</v>
          </cell>
          <cell r="L1252">
            <v>10768352122</v>
          </cell>
          <cell r="M1252" t="str">
            <v>AEROLINEAS</v>
          </cell>
          <cell r="N1252">
            <v>44830</v>
          </cell>
          <cell r="O1252">
            <v>0</v>
          </cell>
          <cell r="P1252" t="str">
            <v>LITE</v>
          </cell>
        </row>
        <row r="1253">
          <cell r="A1253">
            <v>3034</v>
          </cell>
          <cell r="B1253">
            <v>3034</v>
          </cell>
          <cell r="C1253" t="str">
            <v>CERO MATRICULA</v>
          </cell>
          <cell r="D1253" t="str">
            <v>ACTIVO</v>
          </cell>
          <cell r="E1253" t="str">
            <v>AUH242</v>
          </cell>
          <cell r="F1253" t="str">
            <v>ZABALETA CANLLA JAIME</v>
          </cell>
          <cell r="G1253" t="str">
            <v>ZABALETA CANLLA JAIME</v>
          </cell>
          <cell r="H1253" t="str">
            <v>45205020</v>
          </cell>
          <cell r="I1253" t="str">
            <v>BCP</v>
          </cell>
          <cell r="J1253" t="str">
            <v>2904391629078</v>
          </cell>
          <cell r="K1253" t="str">
            <v>DNI</v>
          </cell>
          <cell r="L1253">
            <v>10452050205</v>
          </cell>
          <cell r="M1253" t="str">
            <v>AEROLINEAS</v>
          </cell>
          <cell r="N1253">
            <v>44699</v>
          </cell>
          <cell r="O1253">
            <v>0</v>
          </cell>
          <cell r="P1253" t="str">
            <v>LITE</v>
          </cell>
        </row>
        <row r="1254">
          <cell r="A1254">
            <v>3035</v>
          </cell>
          <cell r="B1254">
            <v>3035</v>
          </cell>
          <cell r="C1254" t="str">
            <v>CERO MATRICULA</v>
          </cell>
          <cell r="D1254" t="str">
            <v>ACTIVO</v>
          </cell>
          <cell r="E1254" t="str">
            <v>BZE268</v>
          </cell>
          <cell r="F1254" t="str">
            <v>ARROYO RAZZETO VICTOR EDUARDO</v>
          </cell>
          <cell r="G1254" t="str">
            <v>ARROYO CUYA VALERIA DIANA</v>
          </cell>
          <cell r="H1254" t="str">
            <v>75378552</v>
          </cell>
          <cell r="I1254" t="str">
            <v>BCP</v>
          </cell>
          <cell r="J1254" t="str">
            <v>19101521789059</v>
          </cell>
          <cell r="K1254" t="str">
            <v>DNI</v>
          </cell>
          <cell r="L1254">
            <v>10753785529</v>
          </cell>
          <cell r="M1254" t="str">
            <v>AEROLINEAS</v>
          </cell>
          <cell r="N1254">
            <v>44701</v>
          </cell>
          <cell r="O1254">
            <v>0</v>
          </cell>
          <cell r="P1254" t="str">
            <v>COMFORT</v>
          </cell>
        </row>
        <row r="1255">
          <cell r="A1255">
            <v>3036</v>
          </cell>
          <cell r="B1255">
            <v>3036</v>
          </cell>
          <cell r="C1255" t="str">
            <v>CERO MATRICULA</v>
          </cell>
          <cell r="D1255" t="str">
            <v>ACTIVO</v>
          </cell>
          <cell r="E1255" t="str">
            <v>BUP085</v>
          </cell>
          <cell r="F1255" t="str">
            <v>CABRERA ALZA DANNY VICTOR</v>
          </cell>
          <cell r="G1255" t="str">
            <v>CABRERA ALZA DANNY VICTOR</v>
          </cell>
          <cell r="H1255" t="str">
            <v>07374044</v>
          </cell>
          <cell r="I1255" t="str">
            <v>BCP</v>
          </cell>
          <cell r="J1255" t="str">
            <v>19402620239005</v>
          </cell>
          <cell r="K1255" t="str">
            <v>DNI</v>
          </cell>
          <cell r="L1255">
            <v>10073740440</v>
          </cell>
          <cell r="M1255" t="str">
            <v>AEROLINEAS</v>
          </cell>
          <cell r="N1255">
            <v>45110</v>
          </cell>
          <cell r="O1255">
            <v>0</v>
          </cell>
          <cell r="P1255" t="str">
            <v>XL</v>
          </cell>
        </row>
        <row r="1256">
          <cell r="A1256">
            <v>3037</v>
          </cell>
          <cell r="B1256">
            <v>3037</v>
          </cell>
          <cell r="C1256" t="str">
            <v>CERO MATRICULA</v>
          </cell>
          <cell r="D1256" t="str">
            <v>ACTIVO</v>
          </cell>
          <cell r="E1256" t="str">
            <v>BYI600</v>
          </cell>
          <cell r="F1256" t="str">
            <v>REYES DURAN KEVIN ANDRES</v>
          </cell>
          <cell r="G1256" t="str">
            <v>REYES DURAN KEVIN ANDRES</v>
          </cell>
          <cell r="H1256" t="str">
            <v>001881705</v>
          </cell>
          <cell r="I1256" t="str">
            <v>BCP</v>
          </cell>
          <cell r="J1256" t="str">
            <v>19192345724007</v>
          </cell>
          <cell r="K1256" t="str">
            <v>CE</v>
          </cell>
          <cell r="L1256">
            <v>15603324681</v>
          </cell>
          <cell r="M1256" t="str">
            <v>AEROLINEAS</v>
          </cell>
          <cell r="N1256">
            <v>44705</v>
          </cell>
          <cell r="O1256">
            <v>0</v>
          </cell>
          <cell r="P1256" t="str">
            <v>COMFORT XL</v>
          </cell>
        </row>
        <row r="1257">
          <cell r="A1257">
            <v>3038</v>
          </cell>
          <cell r="B1257">
            <v>3038</v>
          </cell>
          <cell r="C1257" t="str">
            <v>CERO MATRICULA</v>
          </cell>
          <cell r="D1257" t="str">
            <v>ACTIVO</v>
          </cell>
          <cell r="E1257" t="str">
            <v>BZW495</v>
          </cell>
          <cell r="F1257" t="str">
            <v>RIQUELME SANAC CELSO RICHARD</v>
          </cell>
          <cell r="G1257" t="str">
            <v>RIQUELME SANAC CELSO RICHARD</v>
          </cell>
          <cell r="H1257" t="str">
            <v>10647836</v>
          </cell>
          <cell r="I1257" t="str">
            <v>BCP</v>
          </cell>
          <cell r="J1257">
            <v>19494868556021</v>
          </cell>
          <cell r="K1257" t="str">
            <v>DNI</v>
          </cell>
          <cell r="L1257">
            <v>10106478363</v>
          </cell>
          <cell r="M1257" t="str">
            <v>AEROLINEAS</v>
          </cell>
          <cell r="N1257">
            <v>44711</v>
          </cell>
          <cell r="O1257">
            <v>0</v>
          </cell>
          <cell r="P1257" t="str">
            <v>LITE</v>
          </cell>
        </row>
        <row r="1258">
          <cell r="A1258">
            <v>3039</v>
          </cell>
          <cell r="B1258">
            <v>3039</v>
          </cell>
          <cell r="C1258" t="str">
            <v>CERO MATRICULA</v>
          </cell>
          <cell r="D1258" t="str">
            <v>ACTIVO</v>
          </cell>
          <cell r="E1258" t="str">
            <v>BUZ464</v>
          </cell>
          <cell r="F1258" t="str">
            <v>ALVAREZ CHACON JOSE GREGORIO</v>
          </cell>
          <cell r="G1258" t="str">
            <v>ALVAREZ CHACON JOSE GREGORIO</v>
          </cell>
          <cell r="H1258" t="str">
            <v>002381410</v>
          </cell>
          <cell r="I1258" t="str">
            <v>BCP</v>
          </cell>
          <cell r="J1258" t="str">
            <v>19191139640040</v>
          </cell>
          <cell r="K1258" t="str">
            <v>CE</v>
          </cell>
          <cell r="L1258">
            <v>15604961405</v>
          </cell>
          <cell r="M1258" t="str">
            <v>AEROLINEAS</v>
          </cell>
          <cell r="N1258">
            <v>44713</v>
          </cell>
          <cell r="O1258">
            <v>0</v>
          </cell>
          <cell r="P1258" t="str">
            <v>COMFORT XL</v>
          </cell>
        </row>
        <row r="1259">
          <cell r="A1259">
            <v>3041</v>
          </cell>
          <cell r="B1259">
            <v>3041</v>
          </cell>
          <cell r="C1259" t="str">
            <v>CERO MATRICULA</v>
          </cell>
          <cell r="D1259" t="str">
            <v>ACTIVO</v>
          </cell>
          <cell r="E1259" t="str">
            <v>BJH331</v>
          </cell>
          <cell r="F1259" t="str">
            <v>CONTRERAS VERA ELIAS</v>
          </cell>
          <cell r="G1259" t="str">
            <v xml:space="preserve">Sandra Yuliana Flores Benites de Contreras </v>
          </cell>
          <cell r="H1259" t="str">
            <v>09962402</v>
          </cell>
          <cell r="I1259" t="str">
            <v>BCP</v>
          </cell>
          <cell r="J1259" t="str">
            <v>19195797790041</v>
          </cell>
          <cell r="K1259" t="str">
            <v>DNI</v>
          </cell>
          <cell r="L1259">
            <v>17331726303</v>
          </cell>
          <cell r="M1259" t="str">
            <v>AEROLINEAS</v>
          </cell>
          <cell r="N1259" t="str">
            <v>PENDIENTE</v>
          </cell>
          <cell r="O1259">
            <v>0</v>
          </cell>
          <cell r="P1259" t="str">
            <v>LITE</v>
          </cell>
        </row>
        <row r="1260">
          <cell r="A1260">
            <v>3042</v>
          </cell>
          <cell r="B1260">
            <v>3042</v>
          </cell>
          <cell r="C1260" t="str">
            <v>CERO MATRICULA</v>
          </cell>
          <cell r="D1260" t="str">
            <v>ACTIVO</v>
          </cell>
          <cell r="E1260" t="str">
            <v>BYS590</v>
          </cell>
          <cell r="F1260" t="str">
            <v>NINAQUISPE LOPEZ DANIEL ALEXANDER</v>
          </cell>
          <cell r="G1260" t="str">
            <v>NINAQUISPE LOPEZ DANIEL ALEXANDER</v>
          </cell>
          <cell r="H1260" t="str">
            <v>41087143</v>
          </cell>
          <cell r="I1260" t="str">
            <v>BCP</v>
          </cell>
          <cell r="J1260">
            <v>19291252365004</v>
          </cell>
          <cell r="K1260" t="str">
            <v>DNI</v>
          </cell>
          <cell r="L1260">
            <v>10410871438</v>
          </cell>
          <cell r="M1260" t="str">
            <v>AEROLINEAS</v>
          </cell>
          <cell r="N1260">
            <v>44729</v>
          </cell>
          <cell r="O1260">
            <v>0</v>
          </cell>
          <cell r="P1260" t="str">
            <v>LITE</v>
          </cell>
        </row>
        <row r="1261">
          <cell r="A1261">
            <v>3043</v>
          </cell>
          <cell r="B1261">
            <v>3043</v>
          </cell>
          <cell r="C1261" t="str">
            <v>CERO MATRICULA</v>
          </cell>
          <cell r="D1261" t="str">
            <v>ACTIVO</v>
          </cell>
          <cell r="E1261" t="e">
            <v>#N/A</v>
          </cell>
          <cell r="F1261" t="str">
            <v>PEREZ MURAYARI CESAR</v>
          </cell>
          <cell r="G1261" t="str">
            <v>TORREBLANCA PEÑA MARIA DEL CARMEN</v>
          </cell>
          <cell r="H1261">
            <v>40650915</v>
          </cell>
          <cell r="I1261" t="str">
            <v>BCP</v>
          </cell>
          <cell r="J1261" t="str">
            <v>191-27285937-0-51</v>
          </cell>
          <cell r="K1261" t="str">
            <v>DNI</v>
          </cell>
          <cell r="L1261">
            <v>10406509155</v>
          </cell>
          <cell r="M1261" t="str">
            <v>AEROLINEAS</v>
          </cell>
          <cell r="N1261" t="str">
            <v>PENDIENTE</v>
          </cell>
          <cell r="O1261">
            <v>0</v>
          </cell>
          <cell r="P1261" t="str">
            <v>COMFORT</v>
          </cell>
        </row>
        <row r="1262">
          <cell r="A1262">
            <v>3044</v>
          </cell>
          <cell r="B1262">
            <v>3044</v>
          </cell>
          <cell r="C1262" t="str">
            <v>CERO MATRICULA</v>
          </cell>
          <cell r="D1262" t="str">
            <v>ACTIVO</v>
          </cell>
          <cell r="E1262" t="str">
            <v>F5R592</v>
          </cell>
          <cell r="F1262" t="str">
            <v>CHAVEZ FLORES JUAN CARLOS</v>
          </cell>
          <cell r="G1262" t="str">
            <v>CHAVEZ FLORES JUAN CARLOS</v>
          </cell>
          <cell r="H1262" t="str">
            <v>10432813</v>
          </cell>
          <cell r="I1262" t="str">
            <v>BCP</v>
          </cell>
          <cell r="J1262">
            <v>19295444066045</v>
          </cell>
          <cell r="K1262" t="str">
            <v>DNI</v>
          </cell>
          <cell r="L1262">
            <v>10104328135</v>
          </cell>
          <cell r="M1262" t="str">
            <v>AEROLINEAS</v>
          </cell>
          <cell r="N1262">
            <v>44690</v>
          </cell>
          <cell r="O1262">
            <v>0</v>
          </cell>
          <cell r="P1262" t="str">
            <v>LITE</v>
          </cell>
        </row>
        <row r="1263">
          <cell r="A1263">
            <v>3045</v>
          </cell>
          <cell r="B1263">
            <v>3045</v>
          </cell>
          <cell r="C1263" t="str">
            <v>CERO MATRICULA</v>
          </cell>
          <cell r="D1263" t="str">
            <v>ACTIVO</v>
          </cell>
          <cell r="E1263" t="str">
            <v>BYR536</v>
          </cell>
          <cell r="F1263" t="str">
            <v>CERDAN ANGELES MARCEL</v>
          </cell>
          <cell r="G1263" t="str">
            <v>CERDAN ARIAS JEAN PIERE MARCEL</v>
          </cell>
          <cell r="H1263" t="str">
            <v>70064531</v>
          </cell>
          <cell r="I1263" t="str">
            <v>BBVA</v>
          </cell>
          <cell r="J1263" t="str">
            <v>001101990200451418</v>
          </cell>
          <cell r="K1263" t="str">
            <v>DNI</v>
          </cell>
          <cell r="L1263">
            <v>10700645318</v>
          </cell>
          <cell r="M1263" t="str">
            <v>AEROLINEAS</v>
          </cell>
          <cell r="N1263">
            <v>44690</v>
          </cell>
          <cell r="O1263">
            <v>0</v>
          </cell>
          <cell r="P1263" t="str">
            <v>COMFORT XL</v>
          </cell>
        </row>
        <row r="1264">
          <cell r="A1264">
            <v>3046</v>
          </cell>
          <cell r="B1264">
            <v>3046</v>
          </cell>
          <cell r="C1264" t="str">
            <v>CERO MATRICULA</v>
          </cell>
          <cell r="D1264" t="str">
            <v>ACTIVO</v>
          </cell>
          <cell r="E1264" t="str">
            <v>Z6N657</v>
          </cell>
          <cell r="F1264" t="str">
            <v>MURILLO ROMERO REINALDO</v>
          </cell>
          <cell r="G1264" t="str">
            <v>MURILLO ROMERO REINALDO</v>
          </cell>
          <cell r="H1264" t="str">
            <v>002613688</v>
          </cell>
          <cell r="I1264" t="str">
            <v>BCP</v>
          </cell>
          <cell r="J1264" t="str">
            <v>19290084385026</v>
          </cell>
          <cell r="K1264" t="str">
            <v>CE</v>
          </cell>
          <cell r="L1264">
            <v>15603564283</v>
          </cell>
          <cell r="M1264" t="str">
            <v>AEROLINEAS</v>
          </cell>
          <cell r="N1264">
            <v>44690</v>
          </cell>
          <cell r="O1264">
            <v>0</v>
          </cell>
          <cell r="P1264" t="str">
            <v>LITE</v>
          </cell>
        </row>
        <row r="1265">
          <cell r="A1265">
            <v>3047</v>
          </cell>
          <cell r="B1265">
            <v>3047</v>
          </cell>
          <cell r="C1265" t="str">
            <v>CERO MATRICULA</v>
          </cell>
          <cell r="D1265" t="str">
            <v>ACTIVO</v>
          </cell>
          <cell r="E1265" t="str">
            <v>BRV668</v>
          </cell>
          <cell r="F1265" t="str">
            <v>SUPO ESCOBAR GUSTAVO ADOLFO</v>
          </cell>
          <cell r="G1265" t="str">
            <v>SUPO ESCOBAR GUSTAVO ADOLFO</v>
          </cell>
          <cell r="H1265" t="str">
            <v>25784938</v>
          </cell>
          <cell r="I1265" t="str">
            <v>BBVA</v>
          </cell>
          <cell r="J1265" t="str">
            <v>001101270200948727</v>
          </cell>
          <cell r="K1265" t="str">
            <v>DNI</v>
          </cell>
          <cell r="L1265">
            <v>10257849380</v>
          </cell>
          <cell r="M1265" t="str">
            <v>AEROLINEAS</v>
          </cell>
          <cell r="N1265">
            <v>44697</v>
          </cell>
          <cell r="O1265">
            <v>0</v>
          </cell>
          <cell r="P1265" t="str">
            <v>LITE</v>
          </cell>
        </row>
        <row r="1266">
          <cell r="A1266">
            <v>3049</v>
          </cell>
          <cell r="B1266">
            <v>3049</v>
          </cell>
          <cell r="C1266" t="str">
            <v>CERO MATRICULA</v>
          </cell>
          <cell r="D1266" t="str">
            <v>ACTIVO</v>
          </cell>
          <cell r="E1266" t="str">
            <v>AUK243</v>
          </cell>
          <cell r="F1266" t="str">
            <v>BARZOLA FLORES EDGAR LUIS</v>
          </cell>
          <cell r="G1266" t="str">
            <v>BARZOLA FLORES EDGAR LUIS</v>
          </cell>
          <cell r="H1266" t="str">
            <v>46240997</v>
          </cell>
          <cell r="I1266" t="str">
            <v>BCP</v>
          </cell>
          <cell r="J1266" t="str">
            <v>19391968129097</v>
          </cell>
          <cell r="K1266" t="str">
            <v>DNI</v>
          </cell>
          <cell r="L1266">
            <v>10462409970</v>
          </cell>
          <cell r="M1266" t="str">
            <v>URBANO</v>
          </cell>
          <cell r="N1266" t="str">
            <v>PENDIENTE</v>
          </cell>
          <cell r="O1266">
            <v>0</v>
          </cell>
          <cell r="P1266" t="str">
            <v>COMFORT XL</v>
          </cell>
        </row>
        <row r="1267">
          <cell r="A1267">
            <v>3054</v>
          </cell>
          <cell r="B1267">
            <v>3054</v>
          </cell>
          <cell r="C1267" t="str">
            <v>CERO MATRICULA</v>
          </cell>
          <cell r="D1267" t="str">
            <v>ACTIVO</v>
          </cell>
          <cell r="E1267" t="str">
            <v>BSJ636</v>
          </cell>
          <cell r="F1267" t="str">
            <v>VILLANUEVA ZAVALETA MARTIN YSAAC</v>
          </cell>
          <cell r="G1267" t="str">
            <v>VILLANUEVA ZAVALETA MARTIN YSAAC</v>
          </cell>
          <cell r="H1267" t="str">
            <v>09798242</v>
          </cell>
          <cell r="I1267" t="str">
            <v>BCP</v>
          </cell>
          <cell r="J1267" t="str">
            <v>191-36852371-0-15</v>
          </cell>
          <cell r="K1267" t="str">
            <v>DNI</v>
          </cell>
          <cell r="L1267">
            <v>10097982428</v>
          </cell>
          <cell r="M1267" t="str">
            <v>AEROLINEAS</v>
          </cell>
          <cell r="N1267" t="str">
            <v>PENDIENTE</v>
          </cell>
          <cell r="O1267">
            <v>0</v>
          </cell>
          <cell r="P1267" t="str">
            <v>LITE</v>
          </cell>
        </row>
        <row r="1268">
          <cell r="A1268">
            <v>3055</v>
          </cell>
          <cell r="B1268">
            <v>3055</v>
          </cell>
          <cell r="C1268" t="str">
            <v>CERO MATRICULA</v>
          </cell>
          <cell r="D1268" t="str">
            <v>ACTIVO</v>
          </cell>
          <cell r="E1268" t="str">
            <v>CEI545</v>
          </cell>
          <cell r="F1268" t="str">
            <v>CORONADO CASTILLO MARIO</v>
          </cell>
          <cell r="G1268" t="str">
            <v>CORONADO CASTILLO MARIO</v>
          </cell>
          <cell r="H1268" t="str">
            <v>44225647</v>
          </cell>
          <cell r="I1268" t="str">
            <v>INTERBANK</v>
          </cell>
          <cell r="J1268" t="str">
            <v>2003-129355641</v>
          </cell>
          <cell r="K1268" t="str">
            <v>DNI</v>
          </cell>
          <cell r="L1268">
            <v>10442256476</v>
          </cell>
          <cell r="M1268" t="str">
            <v>URBANO</v>
          </cell>
          <cell r="N1268">
            <v>45190</v>
          </cell>
          <cell r="O1268">
            <v>0</v>
          </cell>
          <cell r="P1268" t="str">
            <v>LITE</v>
          </cell>
        </row>
        <row r="1269">
          <cell r="A1269">
            <v>3061</v>
          </cell>
          <cell r="B1269">
            <v>3061</v>
          </cell>
          <cell r="C1269" t="str">
            <v>CERO MATRICULA</v>
          </cell>
          <cell r="D1269" t="str">
            <v>ACTIVO</v>
          </cell>
          <cell r="E1269" t="str">
            <v>BFF624</v>
          </cell>
          <cell r="F1269" t="str">
            <v>GAMBOA ESPINOZA IGNACIO</v>
          </cell>
          <cell r="G1269" t="str">
            <v>GAMBOA ESPINOZA IGNACIO</v>
          </cell>
          <cell r="H1269" t="str">
            <v>25566409</v>
          </cell>
          <cell r="I1269" t="str">
            <v>BCP</v>
          </cell>
          <cell r="J1269" t="str">
            <v>19198494487078</v>
          </cell>
          <cell r="K1269" t="str">
            <v>DNI</v>
          </cell>
          <cell r="L1269">
            <v>10255664099</v>
          </cell>
          <cell r="M1269" t="str">
            <v>AEROLINEAS</v>
          </cell>
          <cell r="N1269" t="str">
            <v>PENDIENTE</v>
          </cell>
          <cell r="O1269">
            <v>0</v>
          </cell>
          <cell r="P1269" t="str">
            <v>COMFORT XL</v>
          </cell>
        </row>
        <row r="1270">
          <cell r="A1270">
            <v>3064</v>
          </cell>
          <cell r="B1270">
            <v>3064</v>
          </cell>
          <cell r="C1270" t="str">
            <v>CERO MATRICULA</v>
          </cell>
          <cell r="D1270" t="str">
            <v>ACTIVO</v>
          </cell>
          <cell r="E1270" t="str">
            <v>BMK242</v>
          </cell>
          <cell r="F1270" t="str">
            <v>MAGALLANES VARGAS JULIO CESAR</v>
          </cell>
          <cell r="G1270" t="str">
            <v>MAGALLANES BALABARCA GUSTAVO ALFREDO</v>
          </cell>
          <cell r="H1270" t="str">
            <v>09949210</v>
          </cell>
          <cell r="I1270" t="str">
            <v>BCP</v>
          </cell>
          <cell r="J1270" t="str">
            <v>191-39343632-0-41</v>
          </cell>
          <cell r="K1270" t="str">
            <v>DNI</v>
          </cell>
          <cell r="L1270">
            <v>10099492100</v>
          </cell>
          <cell r="M1270" t="str">
            <v>AEROLINEAS</v>
          </cell>
          <cell r="N1270" t="str">
            <v>PENDIENTE</v>
          </cell>
          <cell r="O1270">
            <v>0</v>
          </cell>
          <cell r="P1270" t="str">
            <v>COMFORT</v>
          </cell>
        </row>
        <row r="1271">
          <cell r="A1271">
            <v>3067</v>
          </cell>
          <cell r="B1271">
            <v>3067</v>
          </cell>
          <cell r="C1271" t="str">
            <v>CERO MATRICULA</v>
          </cell>
          <cell r="D1271" t="str">
            <v>ACTIVO</v>
          </cell>
          <cell r="E1271" t="str">
            <v>BUF394</v>
          </cell>
          <cell r="F1271" t="str">
            <v>MELGAR SANTA MARIA ROBIN</v>
          </cell>
          <cell r="G1271" t="str">
            <v>MELGAR SANTA MARIA ROBIN</v>
          </cell>
          <cell r="H1271" t="str">
            <v>09077148</v>
          </cell>
          <cell r="I1271" t="str">
            <v>INTERBANK</v>
          </cell>
          <cell r="J1271" t="str">
            <v>299-3094492213</v>
          </cell>
          <cell r="K1271" t="str">
            <v>DNI</v>
          </cell>
          <cell r="L1271">
            <v>10090771481</v>
          </cell>
          <cell r="M1271" t="str">
            <v>AEROLINEAS</v>
          </cell>
          <cell r="N1271" t="str">
            <v>PENDIENTE</v>
          </cell>
          <cell r="O1271">
            <v>0</v>
          </cell>
          <cell r="P1271" t="str">
            <v>COMFORT</v>
          </cell>
        </row>
        <row r="1272">
          <cell r="A1272">
            <v>3068</v>
          </cell>
          <cell r="B1272">
            <v>3068</v>
          </cell>
          <cell r="C1272" t="str">
            <v>CERO MATRICULA</v>
          </cell>
          <cell r="D1272" t="str">
            <v>ACTIVO</v>
          </cell>
          <cell r="E1272" t="str">
            <v>BZG569</v>
          </cell>
          <cell r="F1272" t="str">
            <v>BAUTISTA MENDOZA TOMAS ANGEL</v>
          </cell>
          <cell r="G1272" t="str">
            <v>BAUTISTA MENDOZA TOMAS ANGEL</v>
          </cell>
          <cell r="H1272" t="str">
            <v>08115098</v>
          </cell>
          <cell r="I1272" t="str">
            <v>BCP</v>
          </cell>
          <cell r="J1272" t="str">
            <v>19135276825055</v>
          </cell>
          <cell r="K1272" t="str">
            <v>DNI</v>
          </cell>
          <cell r="L1272">
            <v>10081150988</v>
          </cell>
          <cell r="M1272" t="str">
            <v>AEROLINEAS</v>
          </cell>
          <cell r="N1272">
            <v>44732</v>
          </cell>
          <cell r="O1272">
            <v>0</v>
          </cell>
          <cell r="P1272" t="str">
            <v>COMFORT XL</v>
          </cell>
        </row>
        <row r="1273">
          <cell r="A1273">
            <v>3069</v>
          </cell>
          <cell r="B1273">
            <v>3069</v>
          </cell>
          <cell r="C1273" t="str">
            <v>CERO MATRICULA</v>
          </cell>
          <cell r="D1273" t="str">
            <v>ACTIVO</v>
          </cell>
          <cell r="E1273" t="str">
            <v>AWE135</v>
          </cell>
          <cell r="F1273" t="str">
            <v>CASTRO PABLO MANUEL MAXIMILIANO</v>
          </cell>
          <cell r="G1273" t="str">
            <v>CASTRO PABLO MANUEL MAXIMILIANO</v>
          </cell>
          <cell r="H1273" t="str">
            <v>08693137</v>
          </cell>
          <cell r="I1273" t="str">
            <v>BCP</v>
          </cell>
          <cell r="J1273" t="str">
            <v>19134111593053</v>
          </cell>
          <cell r="K1273" t="str">
            <v>DNI</v>
          </cell>
          <cell r="L1273">
            <v>10086931376</v>
          </cell>
          <cell r="M1273" t="str">
            <v>AEROLINEAS</v>
          </cell>
          <cell r="N1273" t="str">
            <v>PENDIENTE</v>
          </cell>
          <cell r="O1273">
            <v>0</v>
          </cell>
          <cell r="P1273">
            <v>0</v>
          </cell>
        </row>
        <row r="1274">
          <cell r="A1274">
            <v>3070</v>
          </cell>
          <cell r="B1274">
            <v>3070</v>
          </cell>
          <cell r="C1274" t="str">
            <v>CERO MATRICULA</v>
          </cell>
          <cell r="D1274" t="str">
            <v>ACTIVO</v>
          </cell>
          <cell r="E1274" t="str">
            <v>AZP383</v>
          </cell>
          <cell r="F1274" t="str">
            <v>HIDALGO GARCIA FREDDY ESAU</v>
          </cell>
          <cell r="G1274" t="str">
            <v>HIDALGO GARCIA FREDDY ESAU</v>
          </cell>
          <cell r="H1274" t="str">
            <v>45054853</v>
          </cell>
          <cell r="I1274" t="str">
            <v>BBVA</v>
          </cell>
          <cell r="J1274" t="str">
            <v>001108470200065498</v>
          </cell>
          <cell r="K1274" t="str">
            <v>DNI</v>
          </cell>
          <cell r="L1274">
            <v>10450548532</v>
          </cell>
          <cell r="M1274" t="str">
            <v>AEROLINEAS</v>
          </cell>
          <cell r="N1274">
            <v>45110</v>
          </cell>
          <cell r="O1274">
            <v>0</v>
          </cell>
          <cell r="P1274" t="str">
            <v>XL</v>
          </cell>
        </row>
        <row r="1275">
          <cell r="A1275">
            <v>3072</v>
          </cell>
          <cell r="B1275">
            <v>3072</v>
          </cell>
          <cell r="C1275" t="str">
            <v>CERO MATRICULA</v>
          </cell>
          <cell r="D1275" t="str">
            <v>ACTIVO</v>
          </cell>
          <cell r="E1275" t="str">
            <v>AZQ661</v>
          </cell>
          <cell r="F1275" t="str">
            <v>TOVAR ESPINOZA KENDY JOHAN</v>
          </cell>
          <cell r="G1275" t="str">
            <v>TOVAR ESPINOZA KENDY JOHAN</v>
          </cell>
          <cell r="H1275" t="str">
            <v>002562508</v>
          </cell>
          <cell r="I1275" t="str">
            <v>BCP</v>
          </cell>
          <cell r="J1275" t="str">
            <v>19191396994093</v>
          </cell>
          <cell r="K1275" t="str">
            <v>CE</v>
          </cell>
          <cell r="L1275">
            <v>15603672167</v>
          </cell>
          <cell r="M1275" t="str">
            <v>AEROLINEAS</v>
          </cell>
          <cell r="N1275" t="str">
            <v>PENDIENTE</v>
          </cell>
          <cell r="O1275">
            <v>0</v>
          </cell>
          <cell r="P1275" t="str">
            <v>COMFORT XL</v>
          </cell>
        </row>
        <row r="1276">
          <cell r="A1276">
            <v>3079</v>
          </cell>
          <cell r="B1276">
            <v>3079</v>
          </cell>
          <cell r="C1276" t="str">
            <v>CERO MATRICULA</v>
          </cell>
          <cell r="D1276" t="str">
            <v>ACTIVO</v>
          </cell>
          <cell r="E1276" t="str">
            <v>BDQ362</v>
          </cell>
          <cell r="F1276" t="str">
            <v>SABALU RODRIGUEZ JORGE LUIS</v>
          </cell>
          <cell r="G1276" t="str">
            <v>SABALU RODRIGUEZ JORGE LUIS</v>
          </cell>
          <cell r="H1276" t="str">
            <v>40353812</v>
          </cell>
          <cell r="I1276" t="str">
            <v>BCP</v>
          </cell>
          <cell r="J1276" t="str">
            <v>19297416228028</v>
          </cell>
          <cell r="K1276" t="str">
            <v>DNI</v>
          </cell>
          <cell r="L1276">
            <v>10403538120</v>
          </cell>
          <cell r="M1276" t="str">
            <v>AEROPUERTO</v>
          </cell>
          <cell r="N1276" t="str">
            <v>PENDIENTE</v>
          </cell>
          <cell r="O1276">
            <v>235</v>
          </cell>
          <cell r="P1276" t="str">
            <v>COMFORT XL</v>
          </cell>
        </row>
        <row r="1277">
          <cell r="A1277">
            <v>3081</v>
          </cell>
          <cell r="B1277">
            <v>3081</v>
          </cell>
          <cell r="C1277" t="str">
            <v>CERO MATRICULA</v>
          </cell>
          <cell r="D1277" t="str">
            <v>ACTIVO</v>
          </cell>
          <cell r="E1277" t="str">
            <v>BFK695</v>
          </cell>
          <cell r="F1277" t="str">
            <v>ANGULO ROJAS DAULY JOSE</v>
          </cell>
          <cell r="G1277" t="str">
            <v>ANGULO ROJAS DAULY JOSE</v>
          </cell>
          <cell r="H1277" t="str">
            <v>002623491</v>
          </cell>
          <cell r="I1277" t="str">
            <v>INTERBANK</v>
          </cell>
          <cell r="J1277" t="str">
            <v>8983386865410</v>
          </cell>
          <cell r="K1277" t="str">
            <v>CE</v>
          </cell>
          <cell r="L1277">
            <v>15606548408</v>
          </cell>
          <cell r="M1277" t="str">
            <v>AEROPUERTO</v>
          </cell>
          <cell r="N1277">
            <v>44760</v>
          </cell>
          <cell r="O1277">
            <v>235</v>
          </cell>
          <cell r="P1277" t="str">
            <v>COMFORT XL</v>
          </cell>
        </row>
        <row r="1278">
          <cell r="A1278">
            <v>3089</v>
          </cell>
          <cell r="B1278">
            <v>3089</v>
          </cell>
          <cell r="C1278" t="str">
            <v>CERO MATRICULA</v>
          </cell>
          <cell r="D1278" t="str">
            <v>ACTIVO</v>
          </cell>
          <cell r="E1278" t="str">
            <v>BUW186</v>
          </cell>
          <cell r="F1278" t="str">
            <v>REYES TORRES JUAN CARLOS</v>
          </cell>
          <cell r="G1278" t="str">
            <v>REYES TORRES JUAN CARLOS</v>
          </cell>
          <cell r="H1278" t="str">
            <v>02961850</v>
          </cell>
          <cell r="I1278" t="str">
            <v>BCP</v>
          </cell>
          <cell r="J1278" t="str">
            <v>194-03112088-0-22</v>
          </cell>
          <cell r="K1278" t="str">
            <v>CE</v>
          </cell>
          <cell r="L1278">
            <v>15604381841</v>
          </cell>
          <cell r="M1278" t="str">
            <v>AEROPUERTO</v>
          </cell>
          <cell r="N1278" t="str">
            <v>PENDIENTE</v>
          </cell>
          <cell r="O1278">
            <v>265</v>
          </cell>
          <cell r="P1278" t="str">
            <v>LITE</v>
          </cell>
        </row>
        <row r="1279">
          <cell r="A1279">
            <v>3091</v>
          </cell>
          <cell r="B1279">
            <v>3091</v>
          </cell>
          <cell r="C1279" t="str">
            <v>CERO MATRICULA</v>
          </cell>
          <cell r="D1279" t="str">
            <v>ACTIVO</v>
          </cell>
          <cell r="E1279" t="str">
            <v>BFJ111</v>
          </cell>
          <cell r="F1279" t="str">
            <v>BULLON MOREANO JORGE EDWARD</v>
          </cell>
          <cell r="G1279" t="str">
            <v>BULLON MOREANO JORGE EDWARD</v>
          </cell>
          <cell r="H1279" t="str">
            <v>07141207</v>
          </cell>
          <cell r="I1279" t="str">
            <v>BCP</v>
          </cell>
          <cell r="J1279" t="str">
            <v>191 1893 7114 096</v>
          </cell>
          <cell r="K1279" t="str">
            <v>DNI</v>
          </cell>
          <cell r="L1279">
            <v>10071412071</v>
          </cell>
          <cell r="M1279" t="str">
            <v>AEROLINEAS</v>
          </cell>
          <cell r="N1279">
            <v>45558</v>
          </cell>
          <cell r="O1279">
            <v>0</v>
          </cell>
          <cell r="P1279" t="str">
            <v>COMFORT XL</v>
          </cell>
        </row>
        <row r="1280">
          <cell r="A1280">
            <v>3094</v>
          </cell>
          <cell r="B1280">
            <v>3094</v>
          </cell>
          <cell r="C1280" t="str">
            <v>CERO MATRICULA</v>
          </cell>
          <cell r="D1280" t="str">
            <v>ACTIVO</v>
          </cell>
          <cell r="E1280" t="str">
            <v>BPF229</v>
          </cell>
          <cell r="F1280" t="str">
            <v>CARRERO RIVERA ELOY ORLANDO</v>
          </cell>
          <cell r="G1280" t="str">
            <v>CARRERO RIVERA ELOY ORLANDO</v>
          </cell>
          <cell r="H1280" t="str">
            <v>002948365</v>
          </cell>
          <cell r="I1280" t="str">
            <v>BCP</v>
          </cell>
          <cell r="J1280" t="str">
            <v>191-91257227-0-15</v>
          </cell>
          <cell r="K1280" t="str">
            <v>CE</v>
          </cell>
          <cell r="L1280">
            <v>15605763453</v>
          </cell>
          <cell r="M1280" t="str">
            <v>AEROLINEAS</v>
          </cell>
          <cell r="N1280" t="str">
            <v>PENDIENTE</v>
          </cell>
          <cell r="O1280">
            <v>0</v>
          </cell>
          <cell r="P1280">
            <v>0</v>
          </cell>
        </row>
        <row r="1281">
          <cell r="A1281">
            <v>3095</v>
          </cell>
          <cell r="B1281">
            <v>3095</v>
          </cell>
          <cell r="C1281" t="str">
            <v>CERO MATRICULA</v>
          </cell>
          <cell r="D1281" t="str">
            <v>ACTIVO</v>
          </cell>
          <cell r="E1281" t="str">
            <v>BRZ482</v>
          </cell>
          <cell r="F1281" t="str">
            <v>RUIZ GALARZA LUIS PARCEMON</v>
          </cell>
          <cell r="G1281" t="str">
            <v>RUIZ GALARZA LUIS PARCEMON</v>
          </cell>
          <cell r="H1281" t="str">
            <v>45748373</v>
          </cell>
          <cell r="I1281" t="str">
            <v>BCP</v>
          </cell>
          <cell r="J1281" t="str">
            <v>19291100200003</v>
          </cell>
          <cell r="K1281" t="str">
            <v>DNI</v>
          </cell>
          <cell r="L1281">
            <v>10457483738</v>
          </cell>
          <cell r="M1281" t="str">
            <v>AEROLINEAS</v>
          </cell>
          <cell r="N1281" t="str">
            <v>PENDIENTE</v>
          </cell>
          <cell r="O1281">
            <v>0</v>
          </cell>
          <cell r="P1281" t="str">
            <v>COMFORT XL</v>
          </cell>
        </row>
        <row r="1282">
          <cell r="A1282">
            <v>3096</v>
          </cell>
          <cell r="B1282">
            <v>3096</v>
          </cell>
          <cell r="C1282" t="str">
            <v>CERO MATRICULA</v>
          </cell>
          <cell r="D1282" t="str">
            <v>ACTIVO</v>
          </cell>
          <cell r="E1282" t="str">
            <v>BPD051</v>
          </cell>
          <cell r="F1282" t="str">
            <v>CONTRERAS GARCÍA CHRISTOPHER ANDRE</v>
          </cell>
          <cell r="G1282" t="str">
            <v>CONTRERAS GARCÍA CHRISTOPHER ANDRE</v>
          </cell>
          <cell r="H1282" t="str">
            <v>76314768</v>
          </cell>
          <cell r="I1282" t="str">
            <v>BCP</v>
          </cell>
          <cell r="J1282" t="str">
            <v>19137231647023</v>
          </cell>
          <cell r="K1282" t="str">
            <v>DNI</v>
          </cell>
          <cell r="L1282">
            <v>10763147687</v>
          </cell>
          <cell r="M1282" t="str">
            <v>AEROLINEAS</v>
          </cell>
          <cell r="N1282">
            <v>44781</v>
          </cell>
          <cell r="O1282">
            <v>0</v>
          </cell>
          <cell r="P1282" t="str">
            <v>LITE</v>
          </cell>
        </row>
        <row r="1283">
          <cell r="A1283">
            <v>3101</v>
          </cell>
          <cell r="B1283">
            <v>3101</v>
          </cell>
          <cell r="C1283" t="str">
            <v>CERO MATRICULA</v>
          </cell>
          <cell r="D1283" t="str">
            <v>ACTIVO</v>
          </cell>
          <cell r="E1283" t="str">
            <v>BYN439</v>
          </cell>
          <cell r="F1283" t="str">
            <v>PERALTA PEREZ JEAN CARLOS</v>
          </cell>
          <cell r="G1283" t="str">
            <v>GARCIA CHUJUTALLI KATERIN ROSARIO</v>
          </cell>
          <cell r="H1283" t="str">
            <v>70691418</v>
          </cell>
          <cell r="I1283" t="str">
            <v>BBVA</v>
          </cell>
          <cell r="J1283" t="str">
            <v> 0011-0057-0239005455</v>
          </cell>
          <cell r="K1283" t="str">
            <v>DNI</v>
          </cell>
          <cell r="L1283">
            <v>10706914183</v>
          </cell>
          <cell r="M1283" t="str">
            <v>URBANO</v>
          </cell>
          <cell r="N1283">
            <v>45127</v>
          </cell>
          <cell r="O1283">
            <v>0</v>
          </cell>
          <cell r="P1283" t="str">
            <v>LITE</v>
          </cell>
        </row>
        <row r="1284">
          <cell r="A1284">
            <v>3102</v>
          </cell>
          <cell r="B1284">
            <v>3102</v>
          </cell>
          <cell r="C1284" t="str">
            <v>CERO MATRICULA</v>
          </cell>
          <cell r="D1284" t="str">
            <v>ACTIVO</v>
          </cell>
          <cell r="E1284"/>
          <cell r="F1284" t="str">
            <v>HERRERA CHEVEZ JUAN CARLOS IVAN</v>
          </cell>
          <cell r="G1284" t="str">
            <v>HERRERA CHEVEZ JUAN CARLOS IVAN</v>
          </cell>
          <cell r="H1284" t="str">
            <v>08645164</v>
          </cell>
          <cell r="I1284" t="str">
            <v>BCP</v>
          </cell>
          <cell r="J1284" t="str">
            <v>192-30203142-0-23</v>
          </cell>
          <cell r="K1284" t="str">
            <v>DNI</v>
          </cell>
          <cell r="L1284">
            <v>10086451641</v>
          </cell>
          <cell r="M1284" t="str">
            <v>AEROLINEAS</v>
          </cell>
          <cell r="N1284" t="str">
            <v>PENDIENTE</v>
          </cell>
          <cell r="O1284">
            <v>0</v>
          </cell>
          <cell r="P1284" t="str">
            <v>COMFORT XL</v>
          </cell>
        </row>
        <row r="1285">
          <cell r="A1285">
            <v>3106</v>
          </cell>
          <cell r="B1285">
            <v>3106</v>
          </cell>
          <cell r="C1285" t="str">
            <v>CERO MATRICULA</v>
          </cell>
          <cell r="D1285" t="str">
            <v>ACTIVO</v>
          </cell>
          <cell r="E1285" t="str">
            <v>BUG066</v>
          </cell>
          <cell r="F1285" t="str">
            <v>VASQUEZ RODRIGUEZ WALTER HUGO</v>
          </cell>
          <cell r="G1285" t="str">
            <v>VASQUEZ RODRIGUEZ WALTER HUGO</v>
          </cell>
          <cell r="H1285" t="str">
            <v>72744451</v>
          </cell>
          <cell r="I1285" t="str">
            <v>BCP</v>
          </cell>
          <cell r="J1285" t="str">
            <v>191-00775916-0-52</v>
          </cell>
          <cell r="K1285" t="str">
            <v>DNI</v>
          </cell>
          <cell r="L1285">
            <v>10727444519</v>
          </cell>
          <cell r="M1285" t="str">
            <v>AEROLINEAS</v>
          </cell>
          <cell r="N1285" t="str">
            <v>PENDIENTE</v>
          </cell>
          <cell r="O1285">
            <v>0</v>
          </cell>
          <cell r="P1285" t="str">
            <v>COMFORT</v>
          </cell>
        </row>
        <row r="1286">
          <cell r="A1286">
            <v>3110</v>
          </cell>
          <cell r="B1286">
            <v>3110</v>
          </cell>
          <cell r="C1286" t="str">
            <v>CERO MATRICULA</v>
          </cell>
          <cell r="D1286" t="str">
            <v>ACTIVO</v>
          </cell>
          <cell r="E1286" t="str">
            <v>BDP238</v>
          </cell>
          <cell r="F1286" t="str">
            <v>GAONA MONTENEGRO AMIR DANTE</v>
          </cell>
          <cell r="G1286" t="str">
            <v>GAONA MONTENEGRO AMIR DANTE</v>
          </cell>
          <cell r="H1286" t="str">
            <v>10103876180</v>
          </cell>
          <cell r="I1286" t="str">
            <v>BCP</v>
          </cell>
          <cell r="J1286" t="str">
            <v>1933182408033</v>
          </cell>
          <cell r="K1286" t="str">
            <v>RUC</v>
          </cell>
          <cell r="L1286">
            <v>10103876180</v>
          </cell>
          <cell r="M1286" t="str">
            <v>AEROLINEAS</v>
          </cell>
          <cell r="N1286">
            <v>44440</v>
          </cell>
          <cell r="O1286">
            <v>0</v>
          </cell>
          <cell r="P1286" t="str">
            <v>LITE</v>
          </cell>
        </row>
        <row r="1287">
          <cell r="A1287">
            <v>3111</v>
          </cell>
          <cell r="B1287">
            <v>3111</v>
          </cell>
          <cell r="C1287" t="str">
            <v>CERO MATRICULA</v>
          </cell>
          <cell r="D1287" t="str">
            <v>ACTIVO</v>
          </cell>
          <cell r="E1287" t="str">
            <v>BBJ348</v>
          </cell>
          <cell r="F1287" t="str">
            <v>YANCUL LEON PAUL EDDIE</v>
          </cell>
          <cell r="G1287" t="str">
            <v>YANCUL LEON PAUL EDDIE</v>
          </cell>
          <cell r="H1287" t="str">
            <v>41548899</v>
          </cell>
          <cell r="I1287" t="str">
            <v>BCP</v>
          </cell>
          <cell r="J1287" t="str">
            <v>19234124067053</v>
          </cell>
          <cell r="K1287" t="str">
            <v>DNI</v>
          </cell>
          <cell r="L1287">
            <v>10415488993</v>
          </cell>
          <cell r="M1287" t="str">
            <v>URBANO</v>
          </cell>
          <cell r="N1287">
            <v>44726</v>
          </cell>
          <cell r="O1287">
            <v>0</v>
          </cell>
          <cell r="P1287" t="str">
            <v>COMFORT</v>
          </cell>
        </row>
        <row r="1288">
          <cell r="A1288">
            <v>3113</v>
          </cell>
          <cell r="B1288">
            <v>3113</v>
          </cell>
          <cell r="C1288" t="str">
            <v>CERO MATRICULA</v>
          </cell>
          <cell r="D1288" t="str">
            <v>ACTIVO</v>
          </cell>
          <cell r="E1288" t="str">
            <v>BLL693</v>
          </cell>
          <cell r="F1288" t="str">
            <v>VILCHEZ CHICO JUAN</v>
          </cell>
          <cell r="G1288" t="str">
            <v>VILCHEZ CHICO JUAN</v>
          </cell>
          <cell r="H1288" t="str">
            <v>42231995</v>
          </cell>
          <cell r="I1288" t="str">
            <v>BCP</v>
          </cell>
          <cell r="J1288" t="str">
            <v>19197179214020</v>
          </cell>
          <cell r="K1288" t="str">
            <v>DNI</v>
          </cell>
          <cell r="L1288">
            <v>10422319951</v>
          </cell>
          <cell r="M1288" t="str">
            <v>AEROLINEAS</v>
          </cell>
          <cell r="N1288" t="str">
            <v>PENDIENTE</v>
          </cell>
          <cell r="O1288">
            <v>0</v>
          </cell>
          <cell r="P1288" t="str">
            <v>COMFORT XL</v>
          </cell>
        </row>
        <row r="1289">
          <cell r="A1289">
            <v>3114</v>
          </cell>
          <cell r="B1289">
            <v>3114</v>
          </cell>
          <cell r="C1289" t="str">
            <v>CERO MATRICULA</v>
          </cell>
          <cell r="D1289" t="str">
            <v>ACTIVO</v>
          </cell>
          <cell r="E1289" t="str">
            <v>BSF071</v>
          </cell>
          <cell r="F1289" t="str">
            <v>TOVAR MONTOYA LUIS ALBERTO JOSE</v>
          </cell>
          <cell r="G1289" t="str">
            <v>TOVAR MONTOYA LUIS ALBERTO JOSE</v>
          </cell>
          <cell r="H1289" t="str">
            <v>001617291</v>
          </cell>
          <cell r="I1289" t="str">
            <v>INTERBANK</v>
          </cell>
          <cell r="J1289" t="str">
            <v>1083334657288</v>
          </cell>
          <cell r="K1289" t="str">
            <v>CE</v>
          </cell>
          <cell r="L1289">
            <v>15604791429</v>
          </cell>
          <cell r="M1289" t="str">
            <v>URBANO PARTNER</v>
          </cell>
          <cell r="N1289">
            <v>44669</v>
          </cell>
          <cell r="O1289">
            <v>0</v>
          </cell>
          <cell r="P1289" t="str">
            <v>COMFORT XL</v>
          </cell>
        </row>
        <row r="1290">
          <cell r="A1290">
            <v>3118</v>
          </cell>
          <cell r="B1290">
            <v>3118</v>
          </cell>
          <cell r="C1290" t="str">
            <v>CERO MATRICULA</v>
          </cell>
          <cell r="D1290" t="str">
            <v>ACTIVO</v>
          </cell>
          <cell r="E1290" t="str">
            <v>BWH102</v>
          </cell>
          <cell r="F1290" t="str">
            <v>VILCA SANCHEZ LUIS MANUEL</v>
          </cell>
          <cell r="G1290" t="str">
            <v>VILCA SANCHEZ LUIS MANUEL</v>
          </cell>
          <cell r="H1290" t="str">
            <v>42749806</v>
          </cell>
          <cell r="I1290" t="str">
            <v>BCP</v>
          </cell>
          <cell r="J1290" t="str">
            <v>19100498174004</v>
          </cell>
          <cell r="K1290" t="str">
            <v>DNI</v>
          </cell>
          <cell r="L1290">
            <v>10427498064</v>
          </cell>
          <cell r="M1290" t="str">
            <v>AEROLINEAS</v>
          </cell>
          <cell r="N1290">
            <v>44459</v>
          </cell>
          <cell r="O1290">
            <v>0</v>
          </cell>
          <cell r="P1290" t="str">
            <v>LITE</v>
          </cell>
        </row>
        <row r="1291">
          <cell r="A1291">
            <v>3120</v>
          </cell>
          <cell r="B1291">
            <v>3120</v>
          </cell>
          <cell r="C1291" t="str">
            <v>CERO MATRICULA</v>
          </cell>
          <cell r="D1291" t="str">
            <v>ACTIVO</v>
          </cell>
          <cell r="E1291" t="str">
            <v>BLJ599</v>
          </cell>
          <cell r="F1291" t="str">
            <v>TORRES RIVERO CATHERINE</v>
          </cell>
          <cell r="G1291" t="str">
            <v>TORRES RIVERO CATHERINE</v>
          </cell>
          <cell r="H1291" t="str">
            <v>01556773</v>
          </cell>
          <cell r="I1291" t="str">
            <v>BCP</v>
          </cell>
          <cell r="J1291" t="str">
            <v>194-97088992-0-86</v>
          </cell>
          <cell r="K1291" t="str">
            <v>PASAPORTE</v>
          </cell>
          <cell r="L1291">
            <v>15605767513</v>
          </cell>
          <cell r="M1291" t="str">
            <v>AEROLINEAS</v>
          </cell>
          <cell r="N1291" t="str">
            <v>PENDIENTE</v>
          </cell>
          <cell r="O1291">
            <v>0</v>
          </cell>
          <cell r="P1291" t="str">
            <v>COMFORT XL</v>
          </cell>
        </row>
        <row r="1292">
          <cell r="A1292">
            <v>3122</v>
          </cell>
          <cell r="B1292">
            <v>3122</v>
          </cell>
          <cell r="C1292" t="str">
            <v>CERO MATRICULA</v>
          </cell>
          <cell r="D1292" t="str">
            <v>ACTIVO</v>
          </cell>
          <cell r="E1292" t="str">
            <v>BTO522</v>
          </cell>
          <cell r="F1292" t="str">
            <v>SANCHEZ CCALLOCONDO CHRISTIAN ALEXANDER</v>
          </cell>
          <cell r="G1292" t="str">
            <v>SANCHEZ CCALLOCONDO CHRISTIAN ALEXANDER</v>
          </cell>
          <cell r="H1292">
            <v>47991403</v>
          </cell>
          <cell r="I1292" t="str">
            <v>BCP</v>
          </cell>
          <cell r="J1292" t="str">
            <v>191-39287470-0-11</v>
          </cell>
          <cell r="K1292" t="str">
            <v>DNI</v>
          </cell>
          <cell r="L1292">
            <v>10403841639</v>
          </cell>
          <cell r="M1292" t="str">
            <v>AEROLINEAS</v>
          </cell>
          <cell r="N1292">
            <v>44485</v>
          </cell>
          <cell r="O1292">
            <v>0</v>
          </cell>
          <cell r="P1292">
            <v>0</v>
          </cell>
        </row>
        <row r="1293">
          <cell r="A1293">
            <v>3123</v>
          </cell>
          <cell r="B1293">
            <v>3123</v>
          </cell>
          <cell r="C1293" t="str">
            <v>CERO MATRICULA</v>
          </cell>
          <cell r="D1293" t="str">
            <v>ACTIVO</v>
          </cell>
          <cell r="E1293" t="str">
            <v>BUC309</v>
          </cell>
          <cell r="F1293" t="str">
            <v>MENDOZA HUANCA BRUCE ROBERTO</v>
          </cell>
          <cell r="G1293" t="str">
            <v>MENDOZA HUANCA BRUCE ROBERTO</v>
          </cell>
          <cell r="H1293" t="str">
            <v>25766393</v>
          </cell>
          <cell r="I1293" t="str">
            <v>BCP</v>
          </cell>
          <cell r="J1293" t="str">
            <v>19296568196029</v>
          </cell>
          <cell r="K1293" t="str">
            <v>DNI</v>
          </cell>
          <cell r="L1293">
            <v>10257663936</v>
          </cell>
          <cell r="M1293" t="str">
            <v>AEROLINEAS</v>
          </cell>
          <cell r="N1293">
            <v>44448</v>
          </cell>
          <cell r="O1293">
            <v>0</v>
          </cell>
          <cell r="P1293" t="str">
            <v>XL</v>
          </cell>
        </row>
        <row r="1294">
          <cell r="A1294">
            <v>3125</v>
          </cell>
          <cell r="B1294">
            <v>3125</v>
          </cell>
          <cell r="C1294" t="str">
            <v>CERO MATRICULA</v>
          </cell>
          <cell r="D1294" t="str">
            <v>ACTIVO</v>
          </cell>
          <cell r="E1294" t="str">
            <v>BRJ288</v>
          </cell>
          <cell r="F1294" t="str">
            <v>PALLARTA SANCHEZ ROLANDO AUGUSTO</v>
          </cell>
          <cell r="G1294" t="str">
            <v>PALLARTA SANCHEZ ROLANDO AUGUSTO</v>
          </cell>
          <cell r="H1294" t="str">
            <v>25742099</v>
          </cell>
          <cell r="I1294" t="str">
            <v>BBVA</v>
          </cell>
          <cell r="J1294" t="str">
            <v>0011-0174-0200994369</v>
          </cell>
          <cell r="K1294" t="str">
            <v>DNI</v>
          </cell>
          <cell r="L1294">
            <v>10257420995</v>
          </cell>
          <cell r="M1294" t="str">
            <v>AEROLINEAS</v>
          </cell>
          <cell r="N1294" t="str">
            <v>PENDIENTE</v>
          </cell>
          <cell r="O1294">
            <v>0</v>
          </cell>
          <cell r="P1294" t="str">
            <v>LITE</v>
          </cell>
        </row>
        <row r="1295">
          <cell r="A1295">
            <v>3128</v>
          </cell>
          <cell r="B1295">
            <v>3128</v>
          </cell>
          <cell r="C1295" t="str">
            <v>CERO MATRICULA</v>
          </cell>
          <cell r="D1295" t="str">
            <v>ACTIVO</v>
          </cell>
          <cell r="E1295" t="str">
            <v>BUW054</v>
          </cell>
          <cell r="F1295" t="str">
            <v>CABALLERO ACERO FERNANDO SAUL</v>
          </cell>
          <cell r="G1295" t="str">
            <v>CABALLERO ACERO FERNANDO SAUL</v>
          </cell>
          <cell r="H1295" t="str">
            <v>75004640</v>
          </cell>
          <cell r="I1295" t="str">
            <v>BCP</v>
          </cell>
          <cell r="J1295">
            <v>19239915201083</v>
          </cell>
          <cell r="K1295" t="str">
            <v>DNI</v>
          </cell>
          <cell r="L1295">
            <v>10750046407</v>
          </cell>
          <cell r="M1295" t="str">
            <v>AEROLINEAS</v>
          </cell>
          <cell r="N1295">
            <v>44485</v>
          </cell>
          <cell r="O1295">
            <v>0</v>
          </cell>
          <cell r="P1295" t="str">
            <v>COMFORT XL</v>
          </cell>
        </row>
        <row r="1296">
          <cell r="A1296">
            <v>3129</v>
          </cell>
          <cell r="B1296">
            <v>3129</v>
          </cell>
          <cell r="C1296" t="str">
            <v>CERO MATRICULA</v>
          </cell>
          <cell r="D1296" t="str">
            <v>ACTIVO</v>
          </cell>
          <cell r="E1296" t="str">
            <v>BWZ096</v>
          </cell>
          <cell r="F1296" t="str">
            <v xml:space="preserve">PEREZ MARTINEZ CARLOS LUIS </v>
          </cell>
          <cell r="G1296" t="str">
            <v xml:space="preserve">PEREZ MARTINEZ CARLOS LUIS </v>
          </cell>
          <cell r="H1296" t="str">
            <v>003498067</v>
          </cell>
          <cell r="I1296" t="str">
            <v>BCP</v>
          </cell>
          <cell r="J1296" t="str">
            <v>19193384145017</v>
          </cell>
          <cell r="K1296" t="str">
            <v>CE</v>
          </cell>
          <cell r="L1296">
            <v>15603891161</v>
          </cell>
          <cell r="M1296" t="str">
            <v>AEROLINEAS</v>
          </cell>
          <cell r="N1296">
            <v>44718</v>
          </cell>
          <cell r="O1296">
            <v>0</v>
          </cell>
          <cell r="P1296" t="str">
            <v>LITE</v>
          </cell>
        </row>
        <row r="1297">
          <cell r="A1297">
            <v>3130</v>
          </cell>
          <cell r="B1297">
            <v>3130</v>
          </cell>
          <cell r="C1297" t="str">
            <v>CERO MATRICULA</v>
          </cell>
          <cell r="D1297" t="str">
            <v>ACTIVO</v>
          </cell>
          <cell r="E1297" t="str">
            <v>AMG148</v>
          </cell>
          <cell r="F1297" t="str">
            <v>CHEMPEN SOPLAPUCO FELIPE</v>
          </cell>
          <cell r="G1297" t="str">
            <v>CHEMPEN SOPLAPUCO FELIPE</v>
          </cell>
          <cell r="H1297" t="str">
            <v>16670026</v>
          </cell>
          <cell r="I1297" t="str">
            <v>BBVA</v>
          </cell>
          <cell r="J1297" t="str">
            <v>001100570234449223</v>
          </cell>
          <cell r="K1297" t="str">
            <v>DNI</v>
          </cell>
          <cell r="L1297">
            <v>10166700260</v>
          </cell>
          <cell r="M1297" t="str">
            <v>AEROLINEAS</v>
          </cell>
          <cell r="N1297" t="str">
            <v>PENDIENTE</v>
          </cell>
          <cell r="O1297">
            <v>0</v>
          </cell>
          <cell r="P1297" t="str">
            <v>COMFORT XL</v>
          </cell>
        </row>
        <row r="1298">
          <cell r="A1298">
            <v>3131</v>
          </cell>
          <cell r="B1298">
            <v>3131</v>
          </cell>
          <cell r="C1298" t="str">
            <v>CERO MATRICULA</v>
          </cell>
          <cell r="D1298" t="str">
            <v>ACTIVO</v>
          </cell>
          <cell r="E1298" t="str">
            <v>BPU278</v>
          </cell>
          <cell r="F1298" t="str">
            <v xml:space="preserve">MIRANDA NIEVES WILMER </v>
          </cell>
          <cell r="G1298" t="str">
            <v xml:space="preserve">MIRANDA NIEVES WILMER </v>
          </cell>
          <cell r="H1298" t="str">
            <v>001652246</v>
          </cell>
          <cell r="I1298" t="str">
            <v>BCP</v>
          </cell>
          <cell r="J1298" t="str">
            <v>19239540771071</v>
          </cell>
          <cell r="K1298" t="str">
            <v>CE</v>
          </cell>
          <cell r="L1298">
            <v>15602606632</v>
          </cell>
          <cell r="M1298" t="str">
            <v>AEROLINEAS</v>
          </cell>
          <cell r="N1298" t="str">
            <v>PENDIENTE</v>
          </cell>
          <cell r="O1298">
            <v>0</v>
          </cell>
          <cell r="P1298" t="str">
            <v>XL</v>
          </cell>
        </row>
        <row r="1299">
          <cell r="A1299">
            <v>3132</v>
          </cell>
          <cell r="B1299">
            <v>3132</v>
          </cell>
          <cell r="C1299" t="str">
            <v>CERO MATRICULA</v>
          </cell>
          <cell r="D1299" t="str">
            <v>ACTIVO</v>
          </cell>
          <cell r="E1299" t="str">
            <v>BSL041</v>
          </cell>
          <cell r="F1299" t="str">
            <v>CHIPANA CHUQUICONDOR ERICA MARLENY</v>
          </cell>
          <cell r="G1299" t="str">
            <v>CHIPANA CHUQUICONDOR ERICA MARLENY</v>
          </cell>
          <cell r="H1299" t="str">
            <v>25840718</v>
          </cell>
          <cell r="I1299" t="str">
            <v>BCP</v>
          </cell>
          <cell r="J1299" t="str">
            <v>19199049150044</v>
          </cell>
          <cell r="K1299" t="str">
            <v>DNI</v>
          </cell>
          <cell r="L1299">
            <v>10258407186</v>
          </cell>
          <cell r="M1299" t="str">
            <v>AEROLINEAS</v>
          </cell>
          <cell r="N1299">
            <v>44713</v>
          </cell>
          <cell r="O1299">
            <v>0</v>
          </cell>
          <cell r="P1299" t="str">
            <v>COMFORT XL</v>
          </cell>
        </row>
        <row r="1300">
          <cell r="A1300">
            <v>3134</v>
          </cell>
          <cell r="B1300">
            <v>3134</v>
          </cell>
          <cell r="C1300" t="str">
            <v>CERO MATRICULA</v>
          </cell>
          <cell r="D1300" t="str">
            <v>ACTIVO</v>
          </cell>
          <cell r="E1300" t="str">
            <v>W3R500</v>
          </cell>
          <cell r="F1300" t="str">
            <v>RAMIREZ AVIS FRANKLIN JAVIER</v>
          </cell>
          <cell r="G1300" t="str">
            <v>RAMIREZ AVIS FRANKLIN JAVIER</v>
          </cell>
          <cell r="H1300" t="str">
            <v>3114975</v>
          </cell>
          <cell r="I1300" t="str">
            <v>SCOTIABANK</v>
          </cell>
          <cell r="J1300">
            <v>388317620</v>
          </cell>
          <cell r="K1300" t="str">
            <v>CE</v>
          </cell>
          <cell r="L1300">
            <v>15607270683</v>
          </cell>
          <cell r="M1300" t="str">
            <v>AEROLINEAS</v>
          </cell>
          <cell r="N1300">
            <v>44494</v>
          </cell>
          <cell r="O1300">
            <v>0</v>
          </cell>
          <cell r="P1300" t="str">
            <v>LITE</v>
          </cell>
        </row>
        <row r="1301">
          <cell r="A1301">
            <v>3135</v>
          </cell>
          <cell r="B1301">
            <v>3135</v>
          </cell>
          <cell r="C1301" t="str">
            <v>CERO MATRICULA</v>
          </cell>
          <cell r="D1301" t="str">
            <v>ACTIVO</v>
          </cell>
          <cell r="E1301" t="str">
            <v>BLA361</v>
          </cell>
          <cell r="F1301" t="str">
            <v>VELASCO VEGA BRYAN EFRAIN</v>
          </cell>
          <cell r="G1301" t="str">
            <v>VELASCO VEGA BRYAN EFRAIN</v>
          </cell>
          <cell r="H1301">
            <v>74215204</v>
          </cell>
          <cell r="I1301" t="str">
            <v>BCP</v>
          </cell>
          <cell r="J1301">
            <v>19497887082037</v>
          </cell>
          <cell r="K1301" t="str">
            <v>DNI</v>
          </cell>
          <cell r="L1301">
            <v>10742152044</v>
          </cell>
          <cell r="M1301" t="str">
            <v>AEROLINEAS</v>
          </cell>
          <cell r="N1301">
            <v>44494</v>
          </cell>
          <cell r="O1301">
            <v>0</v>
          </cell>
          <cell r="P1301" t="str">
            <v>COMFORT XL</v>
          </cell>
        </row>
        <row r="1302">
          <cell r="A1302">
            <v>3137</v>
          </cell>
          <cell r="B1302">
            <v>3137</v>
          </cell>
          <cell r="C1302" t="str">
            <v>CERO MATRICULA</v>
          </cell>
          <cell r="D1302" t="str">
            <v>ACTIVO</v>
          </cell>
          <cell r="E1302" t="str">
            <v>BWN321</v>
          </cell>
          <cell r="F1302" t="str">
            <v>BARRIOS SANCHEZ LUIS ALBERTO</v>
          </cell>
          <cell r="G1302" t="str">
            <v>BARRIOS SANCHEZ LUIS ALBERTO</v>
          </cell>
          <cell r="H1302">
            <v>41258810</v>
          </cell>
          <cell r="I1302" t="str">
            <v>BCP</v>
          </cell>
          <cell r="J1302">
            <v>19204739882057</v>
          </cell>
          <cell r="K1302" t="str">
            <v>DNI</v>
          </cell>
          <cell r="L1302">
            <v>10412588105</v>
          </cell>
          <cell r="M1302" t="str">
            <v>AEROLINEAS</v>
          </cell>
          <cell r="N1302">
            <v>44494</v>
          </cell>
          <cell r="O1302">
            <v>0</v>
          </cell>
          <cell r="P1302">
            <v>0</v>
          </cell>
        </row>
        <row r="1303">
          <cell r="A1303">
            <v>3138</v>
          </cell>
          <cell r="B1303">
            <v>3138</v>
          </cell>
          <cell r="C1303" t="str">
            <v>CERO MATRICULA</v>
          </cell>
          <cell r="D1303" t="str">
            <v>ACTIVO</v>
          </cell>
          <cell r="E1303" t="str">
            <v>BDE552</v>
          </cell>
          <cell r="F1303" t="str">
            <v>MACALUPU CESPEDES SEGUNDO ALEJANDRO</v>
          </cell>
          <cell r="G1303" t="str">
            <v>MACALUPU CESPEDES SEGUNDO ALEJANDRO</v>
          </cell>
          <cell r="H1303" t="str">
            <v>48064922</v>
          </cell>
          <cell r="I1303" t="str">
            <v>SCOTIABANK</v>
          </cell>
          <cell r="J1303">
            <v>388239006</v>
          </cell>
          <cell r="K1303" t="str">
            <v>DNI</v>
          </cell>
          <cell r="L1303">
            <v>10480649228</v>
          </cell>
          <cell r="M1303" t="str">
            <v>AEROLINEAS</v>
          </cell>
          <cell r="N1303">
            <v>44499</v>
          </cell>
          <cell r="O1303">
            <v>0</v>
          </cell>
          <cell r="P1303" t="str">
            <v>COMFORT</v>
          </cell>
        </row>
        <row r="1304">
          <cell r="A1304">
            <v>3139</v>
          </cell>
          <cell r="B1304">
            <v>3139</v>
          </cell>
          <cell r="C1304" t="str">
            <v>CERO MATRICULA</v>
          </cell>
          <cell r="D1304" t="str">
            <v>ACTIVO</v>
          </cell>
          <cell r="E1304" t="str">
            <v>BZS469</v>
          </cell>
          <cell r="F1304" t="str">
            <v>DOROTEO SANCHEZ MOISES IGOR</v>
          </cell>
          <cell r="G1304" t="str">
            <v>DOROTEO SANCHEZ MOISES IGOR</v>
          </cell>
          <cell r="H1304" t="str">
            <v>46599379</v>
          </cell>
          <cell r="I1304" t="str">
            <v>BCP</v>
          </cell>
          <cell r="J1304">
            <v>19135790630050</v>
          </cell>
          <cell r="K1304" t="str">
            <v>DNI</v>
          </cell>
          <cell r="L1304">
            <v>10465993796</v>
          </cell>
          <cell r="M1304" t="str">
            <v>AEROLINEAS</v>
          </cell>
          <cell r="N1304">
            <v>44727</v>
          </cell>
          <cell r="O1304">
            <v>0</v>
          </cell>
          <cell r="P1304" t="str">
            <v>COMFORT XL</v>
          </cell>
        </row>
        <row r="1305">
          <cell r="A1305">
            <v>3143</v>
          </cell>
          <cell r="B1305">
            <v>3143</v>
          </cell>
          <cell r="C1305" t="str">
            <v>CERO MATRICULA</v>
          </cell>
          <cell r="D1305" t="str">
            <v>ACTIVO</v>
          </cell>
          <cell r="E1305" t="str">
            <v>BWT057</v>
          </cell>
          <cell r="F1305" t="str">
            <v>OROZCO MARTINEZ JOSE ALEJANDRO</v>
          </cell>
          <cell r="G1305" t="str">
            <v>OROZCO MARTINEZ JOSE ALEJANDRO</v>
          </cell>
          <cell r="H1305" t="str">
            <v>003048680</v>
          </cell>
          <cell r="I1305" t="str">
            <v>BBVA</v>
          </cell>
          <cell r="J1305" t="str">
            <v>0011-0133-0200782333</v>
          </cell>
          <cell r="K1305" t="str">
            <v>CE</v>
          </cell>
          <cell r="L1305">
            <v>15604627769</v>
          </cell>
          <cell r="M1305" t="str">
            <v>AEROLINEAS</v>
          </cell>
          <cell r="N1305">
            <v>44845</v>
          </cell>
          <cell r="O1305">
            <v>0</v>
          </cell>
          <cell r="P1305" t="str">
            <v>LITE</v>
          </cell>
        </row>
        <row r="1306">
          <cell r="A1306">
            <v>3146</v>
          </cell>
          <cell r="B1306">
            <v>3146</v>
          </cell>
          <cell r="C1306" t="str">
            <v>CERO MATRICULA</v>
          </cell>
          <cell r="D1306" t="str">
            <v>ACTIVO</v>
          </cell>
          <cell r="E1306" t="str">
            <v>BFF009</v>
          </cell>
          <cell r="F1306" t="str">
            <v>MEZA ARELLANO WILMER ADOLFO</v>
          </cell>
          <cell r="G1306" t="str">
            <v>MEZA ARELLANO WILMER ADOLFO</v>
          </cell>
          <cell r="H1306" t="str">
            <v>47215119</v>
          </cell>
          <cell r="I1306" t="str">
            <v>BCP</v>
          </cell>
          <cell r="J1306" t="str">
            <v>191-77692498-0-68</v>
          </cell>
          <cell r="K1306" t="str">
            <v>DNI</v>
          </cell>
          <cell r="L1306">
            <v>10472151199</v>
          </cell>
          <cell r="M1306" t="str">
            <v>AEROLINEAS</v>
          </cell>
          <cell r="N1306">
            <v>44534</v>
          </cell>
          <cell r="O1306">
            <v>0</v>
          </cell>
          <cell r="P1306" t="str">
            <v>COMFORT</v>
          </cell>
        </row>
        <row r="1307">
          <cell r="A1307">
            <v>3148</v>
          </cell>
          <cell r="B1307">
            <v>3148</v>
          </cell>
          <cell r="C1307" t="str">
            <v>CERO MATRICULA</v>
          </cell>
          <cell r="D1307" t="str">
            <v>ACTIVO</v>
          </cell>
          <cell r="E1307" t="str">
            <v>BDS234</v>
          </cell>
          <cell r="F1307" t="str">
            <v>SALAZAR VILLARREAL CARLOS</v>
          </cell>
          <cell r="G1307" t="str">
            <v>MAYTA BASTIDAS MAYCOL</v>
          </cell>
          <cell r="H1307" t="str">
            <v>73491965</v>
          </cell>
          <cell r="I1307" t="str">
            <v>BCP</v>
          </cell>
          <cell r="J1307" t="str">
            <v>19194964005035</v>
          </cell>
          <cell r="K1307" t="str">
            <v>DNI</v>
          </cell>
          <cell r="L1307">
            <v>10734919654</v>
          </cell>
          <cell r="M1307" t="str">
            <v>AEROLINEAS</v>
          </cell>
          <cell r="N1307">
            <v>44541</v>
          </cell>
          <cell r="O1307">
            <v>0</v>
          </cell>
          <cell r="P1307" t="str">
            <v>COMFORT</v>
          </cell>
        </row>
        <row r="1308">
          <cell r="A1308">
            <v>3149</v>
          </cell>
          <cell r="B1308">
            <v>3149</v>
          </cell>
          <cell r="C1308" t="str">
            <v>CERO MATRICULA</v>
          </cell>
          <cell r="D1308" t="str">
            <v>ACTIVO</v>
          </cell>
          <cell r="E1308"/>
          <cell r="F1308" t="str">
            <v>CRISPIN CUETO JUNIOR JULIO</v>
          </cell>
          <cell r="G1308" t="str">
            <v>CRISPIN CUETO JUNIOR JULIO</v>
          </cell>
          <cell r="H1308" t="str">
            <v>47912941</v>
          </cell>
          <cell r="I1308" t="str">
            <v>SCOTIABANK</v>
          </cell>
          <cell r="J1308" t="str">
            <v>1770447017</v>
          </cell>
          <cell r="K1308" t="str">
            <v>DNI</v>
          </cell>
          <cell r="L1308">
            <v>10479129415</v>
          </cell>
          <cell r="M1308" t="str">
            <v>AEROLINEAS</v>
          </cell>
          <cell r="N1308">
            <v>44634</v>
          </cell>
          <cell r="O1308">
            <v>0</v>
          </cell>
          <cell r="P1308" t="str">
            <v>LITE</v>
          </cell>
        </row>
        <row r="1309">
          <cell r="A1309">
            <v>3150</v>
          </cell>
          <cell r="B1309">
            <v>3150</v>
          </cell>
          <cell r="C1309" t="str">
            <v>CERO MATRICULA</v>
          </cell>
          <cell r="D1309" t="str">
            <v>ACTIVO</v>
          </cell>
          <cell r="E1309" t="str">
            <v>ALY560</v>
          </cell>
          <cell r="F1309" t="str">
            <v>ROJAS BENITES LUIS ANDREE</v>
          </cell>
          <cell r="G1309" t="str">
            <v>ROJAS BENITES LUIS ANDREE</v>
          </cell>
          <cell r="H1309">
            <v>72694636</v>
          </cell>
          <cell r="I1309" t="str">
            <v>BBVA</v>
          </cell>
          <cell r="J1309" t="str">
            <v>0011-0156-0200604155</v>
          </cell>
          <cell r="K1309"/>
          <cell r="L1309">
            <v>10726946367</v>
          </cell>
          <cell r="M1309" t="str">
            <v>AEROLINEAS</v>
          </cell>
          <cell r="N1309">
            <v>44541</v>
          </cell>
          <cell r="O1309">
            <v>0</v>
          </cell>
          <cell r="P1309" t="str">
            <v>LITE</v>
          </cell>
        </row>
        <row r="1310">
          <cell r="A1310">
            <v>3151</v>
          </cell>
          <cell r="B1310">
            <v>3151</v>
          </cell>
          <cell r="C1310" t="str">
            <v>CERO MATRICULA</v>
          </cell>
          <cell r="D1310" t="str">
            <v>ACTIVO</v>
          </cell>
          <cell r="E1310" t="str">
            <v>ABO672</v>
          </cell>
          <cell r="F1310" t="str">
            <v>SALAS HUALLPARIMMACHE JOSE BERNARDO</v>
          </cell>
          <cell r="G1310" t="str">
            <v>SALAS HUALLPARIMMACHE JOSE BERNARDO</v>
          </cell>
          <cell r="H1310" t="str">
            <v>07817816</v>
          </cell>
          <cell r="I1310" t="str">
            <v>BCP</v>
          </cell>
          <cell r="J1310">
            <v>19106382573042</v>
          </cell>
          <cell r="K1310" t="str">
            <v>DNI</v>
          </cell>
          <cell r="L1310">
            <v>10078178162</v>
          </cell>
          <cell r="M1310" t="str">
            <v>AEROLINEAS</v>
          </cell>
          <cell r="N1310">
            <v>44562</v>
          </cell>
          <cell r="O1310">
            <v>0</v>
          </cell>
          <cell r="P1310" t="str">
            <v>LITE</v>
          </cell>
        </row>
        <row r="1311">
          <cell r="A1311">
            <v>3152</v>
          </cell>
          <cell r="B1311">
            <v>3152</v>
          </cell>
          <cell r="C1311" t="str">
            <v>CERO MATRICULA</v>
          </cell>
          <cell r="D1311" t="str">
            <v>ACTIVO</v>
          </cell>
          <cell r="E1311" t="str">
            <v>ALN067</v>
          </cell>
          <cell r="F1311" t="str">
            <v>SIERRALTA CASUSO MIGUEL MANGEL</v>
          </cell>
          <cell r="G1311" t="str">
            <v>SIERRALTA CASUSO MIGUEL MANGEL</v>
          </cell>
          <cell r="H1311" t="str">
            <v>40914219</v>
          </cell>
          <cell r="I1311" t="str">
            <v>BCP</v>
          </cell>
          <cell r="J1311" t="str">
            <v>19491938645015</v>
          </cell>
          <cell r="K1311" t="str">
            <v>DNI</v>
          </cell>
          <cell r="L1311">
            <v>10409142198</v>
          </cell>
          <cell r="M1311" t="str">
            <v>AEROPUERTO</v>
          </cell>
          <cell r="N1311">
            <v>44548</v>
          </cell>
          <cell r="O1311">
            <v>235</v>
          </cell>
          <cell r="P1311" t="str">
            <v>COMFORT XL</v>
          </cell>
        </row>
        <row r="1312">
          <cell r="A1312">
            <v>3153</v>
          </cell>
          <cell r="B1312">
            <v>3153</v>
          </cell>
          <cell r="C1312" t="str">
            <v>CERO MATRICULA</v>
          </cell>
          <cell r="D1312" t="str">
            <v>ACTIVO</v>
          </cell>
          <cell r="E1312" t="str">
            <v>BXX055</v>
          </cell>
          <cell r="F1312" t="str">
            <v>RODRIGUEZ DELGADO CHARLES FAUSTO</v>
          </cell>
          <cell r="G1312" t="str">
            <v>RODRIGUEZ DELGADO CHARLES FAUSTO</v>
          </cell>
          <cell r="H1312" t="str">
            <v>08749021</v>
          </cell>
          <cell r="I1312" t="str">
            <v>BCP</v>
          </cell>
          <cell r="J1312" t="str">
            <v>19494522880054</v>
          </cell>
          <cell r="K1312" t="str">
            <v>DNI</v>
          </cell>
          <cell r="L1312">
            <v>10087490217</v>
          </cell>
          <cell r="M1312" t="str">
            <v>AEROLINEAS</v>
          </cell>
          <cell r="N1312">
            <v>44556</v>
          </cell>
          <cell r="O1312">
            <v>0</v>
          </cell>
          <cell r="P1312" t="str">
            <v>COMFORT XL</v>
          </cell>
        </row>
        <row r="1313">
          <cell r="A1313">
            <v>3156</v>
          </cell>
          <cell r="B1313">
            <v>3156</v>
          </cell>
          <cell r="C1313" t="str">
            <v>CERO MATRICULA</v>
          </cell>
          <cell r="D1313" t="str">
            <v>ACTIVO</v>
          </cell>
          <cell r="E1313" t="str">
            <v>BXW135</v>
          </cell>
          <cell r="F1313" t="str">
            <v>QUEREVALU ALCEDO MARCO</v>
          </cell>
          <cell r="G1313" t="str">
            <v>QUEREVALU ALCEDO MARCO</v>
          </cell>
          <cell r="H1313" t="str">
            <v>41511753</v>
          </cell>
          <cell r="I1313" t="str">
            <v>BBVA</v>
          </cell>
          <cell r="J1313" t="str">
            <v>001101020200699011</v>
          </cell>
          <cell r="K1313" t="str">
            <v>DNI</v>
          </cell>
          <cell r="L1313">
            <v>10415117537</v>
          </cell>
          <cell r="M1313" t="str">
            <v>AEROLINEAS</v>
          </cell>
          <cell r="N1313">
            <v>44571</v>
          </cell>
          <cell r="O1313">
            <v>0</v>
          </cell>
          <cell r="P1313" t="str">
            <v>COMFORT XL</v>
          </cell>
        </row>
        <row r="1314">
          <cell r="A1314">
            <v>3157</v>
          </cell>
          <cell r="B1314">
            <v>3157</v>
          </cell>
          <cell r="C1314" t="str">
            <v>CERO MATRICULA</v>
          </cell>
          <cell r="D1314" t="str">
            <v>ACTIVO</v>
          </cell>
          <cell r="E1314" t="str">
            <v>BXY216</v>
          </cell>
          <cell r="F1314" t="str">
            <v xml:space="preserve">QUISPE VILCA RICHARD JAVIER </v>
          </cell>
          <cell r="G1314" t="str">
            <v xml:space="preserve">QUISPE VILCA RICHARD JAVIER </v>
          </cell>
          <cell r="H1314" t="str">
            <v>43380198</v>
          </cell>
          <cell r="I1314" t="str">
            <v>BCP</v>
          </cell>
          <cell r="J1314" t="str">
            <v>19291557518039</v>
          </cell>
          <cell r="K1314" t="str">
            <v>DNI</v>
          </cell>
          <cell r="L1314">
            <v>10433801984</v>
          </cell>
          <cell r="M1314" t="str">
            <v>AEROLINEAS</v>
          </cell>
          <cell r="N1314">
            <v>44592</v>
          </cell>
          <cell r="O1314">
            <v>0</v>
          </cell>
          <cell r="P1314" t="str">
            <v>LITE</v>
          </cell>
        </row>
        <row r="1315">
          <cell r="A1315">
            <v>3158</v>
          </cell>
          <cell r="B1315">
            <v>3158</v>
          </cell>
          <cell r="C1315" t="str">
            <v>CERO MATRICULA</v>
          </cell>
          <cell r="D1315" t="str">
            <v>ACTIVO</v>
          </cell>
          <cell r="E1315" t="str">
            <v>BLQ115</v>
          </cell>
          <cell r="F1315" t="str">
            <v>ASENCIO URBANO LUIS ANGEL</v>
          </cell>
          <cell r="G1315" t="str">
            <v>ASENCIO URBANO LUIS ANGEL</v>
          </cell>
          <cell r="H1315" t="str">
            <v>62579500</v>
          </cell>
          <cell r="I1315" t="str">
            <v>BCP</v>
          </cell>
          <cell r="J1315" t="str">
            <v>19204710147023</v>
          </cell>
          <cell r="K1315" t="str">
            <v>DNI</v>
          </cell>
          <cell r="L1315">
            <v>10625795007</v>
          </cell>
          <cell r="M1315" t="str">
            <v>URBANO PARTNER</v>
          </cell>
          <cell r="N1315">
            <v>44571</v>
          </cell>
          <cell r="O1315">
            <v>0</v>
          </cell>
          <cell r="P1315" t="str">
            <v>COMFORT</v>
          </cell>
        </row>
        <row r="1316">
          <cell r="A1316">
            <v>3159</v>
          </cell>
          <cell r="B1316">
            <v>3159</v>
          </cell>
          <cell r="C1316" t="str">
            <v>CERO MATRICULA</v>
          </cell>
          <cell r="D1316" t="str">
            <v>ACTIVO</v>
          </cell>
          <cell r="E1316" t="str">
            <v>BXU586</v>
          </cell>
          <cell r="F1316" t="str">
            <v>HOLGUIN AGUIRRE MICHAEL JUNIOR</v>
          </cell>
          <cell r="G1316" t="str">
            <v>Susana Aguirre Huaman</v>
          </cell>
          <cell r="H1316" t="str">
            <v>07419066</v>
          </cell>
          <cell r="I1316" t="str">
            <v>BBVA</v>
          </cell>
          <cell r="J1316" t="str">
            <v>001101400200875887</v>
          </cell>
          <cell r="K1316" t="str">
            <v>DNI</v>
          </cell>
          <cell r="L1316">
            <v>10074190664</v>
          </cell>
          <cell r="M1316" t="str">
            <v>AEROLINEAS</v>
          </cell>
          <cell r="N1316">
            <v>44587</v>
          </cell>
          <cell r="O1316">
            <v>0</v>
          </cell>
          <cell r="P1316" t="str">
            <v>COMFORT XL</v>
          </cell>
        </row>
        <row r="1317">
          <cell r="A1317">
            <v>3160</v>
          </cell>
          <cell r="B1317">
            <v>3160</v>
          </cell>
          <cell r="C1317" t="str">
            <v>CERO MATRICULA</v>
          </cell>
          <cell r="D1317" t="str">
            <v>ACTIVO</v>
          </cell>
          <cell r="E1317" t="str">
            <v>AZS673</v>
          </cell>
          <cell r="F1317" t="str">
            <v>DIAZ TARAZONA CAYTO ANTONIO</v>
          </cell>
          <cell r="G1317" t="str">
            <v>DIAZ TARAZONA CAYTO ANTONIO</v>
          </cell>
          <cell r="H1317" t="str">
            <v>41210756</v>
          </cell>
          <cell r="I1317" t="str">
            <v>BCP</v>
          </cell>
          <cell r="J1317" t="str">
            <v>191-26638059-0-28</v>
          </cell>
          <cell r="K1317" t="str">
            <v>DNI</v>
          </cell>
          <cell r="L1317">
            <v>10412107565</v>
          </cell>
          <cell r="M1317" t="str">
            <v>AEROLINEAS</v>
          </cell>
          <cell r="N1317">
            <v>44593</v>
          </cell>
          <cell r="O1317">
            <v>0</v>
          </cell>
          <cell r="P1317" t="str">
            <v>COMFORT</v>
          </cell>
        </row>
        <row r="1318">
          <cell r="A1318">
            <v>3163</v>
          </cell>
          <cell r="B1318">
            <v>3163</v>
          </cell>
          <cell r="C1318" t="str">
            <v>CERO MATRICULA</v>
          </cell>
          <cell r="D1318" t="str">
            <v>ACTIVO</v>
          </cell>
          <cell r="E1318" t="str">
            <v>BSC026</v>
          </cell>
          <cell r="F1318" t="str">
            <v>CUBAS TARRILLO JOSE HIGOR</v>
          </cell>
          <cell r="G1318" t="str">
            <v>CUBAS TARRILLO JOSE HIGOR</v>
          </cell>
          <cell r="H1318" t="str">
            <v>16691705</v>
          </cell>
          <cell r="I1318" t="str">
            <v>BCP</v>
          </cell>
          <cell r="J1318">
            <v>19100746941084</v>
          </cell>
          <cell r="K1318" t="str">
            <v>DNI</v>
          </cell>
          <cell r="L1318">
            <v>10166917056</v>
          </cell>
          <cell r="M1318" t="str">
            <v>AEROLINEAS</v>
          </cell>
          <cell r="N1318">
            <v>44592</v>
          </cell>
          <cell r="O1318">
            <v>0</v>
          </cell>
          <cell r="P1318" t="str">
            <v>XL</v>
          </cell>
        </row>
        <row r="1319">
          <cell r="A1319">
            <v>3164</v>
          </cell>
          <cell r="B1319">
            <v>3164</v>
          </cell>
          <cell r="C1319" t="str">
            <v>CERO MATRICULA</v>
          </cell>
          <cell r="D1319" t="str">
            <v>ACTIVO</v>
          </cell>
          <cell r="E1319" t="str">
            <v>BXU355</v>
          </cell>
          <cell r="F1319" t="str">
            <v>ROJAS HIDALGO RONELD EDUARDO</v>
          </cell>
          <cell r="G1319" t="str">
            <v>ROJAS HIDALGO RONELD EDUARDO</v>
          </cell>
          <cell r="H1319" t="str">
            <v>004591948</v>
          </cell>
          <cell r="I1319" t="str">
            <v>BBVA</v>
          </cell>
          <cell r="J1319">
            <v>1105210200371700</v>
          </cell>
          <cell r="K1319" t="str">
            <v>CE</v>
          </cell>
          <cell r="L1319">
            <v>15608927961</v>
          </cell>
          <cell r="M1319" t="str">
            <v>AEROLINEAS</v>
          </cell>
          <cell r="N1319">
            <v>44592</v>
          </cell>
          <cell r="O1319">
            <v>0</v>
          </cell>
          <cell r="P1319" t="str">
            <v>COMFORT</v>
          </cell>
        </row>
        <row r="1320">
          <cell r="A1320">
            <v>3165</v>
          </cell>
          <cell r="B1320">
            <v>3165</v>
          </cell>
          <cell r="C1320" t="str">
            <v>CERO MATRICULA</v>
          </cell>
          <cell r="D1320" t="str">
            <v>ACTIVO</v>
          </cell>
          <cell r="E1320" t="str">
            <v>Z6M450</v>
          </cell>
          <cell r="F1320" t="str">
            <v>VELASQUEZ LARA HENRY ARCADIO</v>
          </cell>
          <cell r="G1320" t="str">
            <v>CERDAN MENDOZA MAGALY</v>
          </cell>
          <cell r="H1320" t="str">
            <v>4155583</v>
          </cell>
          <cell r="I1320" t="str">
            <v>INTERBANK</v>
          </cell>
          <cell r="J1320">
            <v>1263125023521</v>
          </cell>
          <cell r="K1320" t="str">
            <v>DNI</v>
          </cell>
          <cell r="L1320">
            <v>10415558380</v>
          </cell>
          <cell r="M1320" t="str">
            <v>AEROLINEAS</v>
          </cell>
          <cell r="N1320">
            <v>44595</v>
          </cell>
          <cell r="O1320">
            <v>0</v>
          </cell>
          <cell r="P1320" t="str">
            <v>LITE</v>
          </cell>
        </row>
        <row r="1321">
          <cell r="A1321">
            <v>3166</v>
          </cell>
          <cell r="B1321">
            <v>3166</v>
          </cell>
          <cell r="C1321" t="str">
            <v>CERO MATRICULA</v>
          </cell>
          <cell r="D1321" t="str">
            <v>ACTIVO</v>
          </cell>
          <cell r="E1321" t="str">
            <v>BBM030</v>
          </cell>
          <cell r="F1321" t="str">
            <v>MARINO GUERREROS VICTOR ALEXANDER</v>
          </cell>
          <cell r="G1321" t="str">
            <v>MARINO GUERREROS VICTOR ALEXANDER</v>
          </cell>
          <cell r="H1321" t="str">
            <v>70882517</v>
          </cell>
          <cell r="I1321" t="str">
            <v>SCOTIABANK</v>
          </cell>
          <cell r="J1321" t="str">
            <v>069-7731479</v>
          </cell>
          <cell r="K1321" t="str">
            <v>DNI</v>
          </cell>
          <cell r="L1321">
            <v>10708825170</v>
          </cell>
          <cell r="M1321" t="str">
            <v>AEROLINEAS</v>
          </cell>
          <cell r="N1321">
            <v>44627</v>
          </cell>
          <cell r="O1321">
            <v>0</v>
          </cell>
          <cell r="P1321" t="str">
            <v>LITE</v>
          </cell>
        </row>
        <row r="1322">
          <cell r="A1322">
            <v>3167</v>
          </cell>
          <cell r="B1322">
            <v>3167</v>
          </cell>
          <cell r="C1322" t="str">
            <v>CERO MATRICULA</v>
          </cell>
          <cell r="D1322" t="str">
            <v>ACTIVO</v>
          </cell>
          <cell r="E1322" t="str">
            <v>AKS064</v>
          </cell>
          <cell r="F1322" t="str">
            <v>CHAVEZ SALAZAR PABLO ENRIQUE</v>
          </cell>
          <cell r="G1322" t="str">
            <v>CHAVEZ SALAZAR PABLO ENRIQUE</v>
          </cell>
          <cell r="H1322" t="str">
            <v>09506797</v>
          </cell>
          <cell r="I1322" t="str">
            <v>INTERBANK</v>
          </cell>
          <cell r="J1322" t="str">
            <v>943281729879</v>
          </cell>
          <cell r="K1322" t="str">
            <v>DNI</v>
          </cell>
          <cell r="L1322">
            <v>10095067978</v>
          </cell>
          <cell r="M1322" t="str">
            <v>AEROLINEAS</v>
          </cell>
          <cell r="N1322">
            <v>44596</v>
          </cell>
          <cell r="O1322">
            <v>0</v>
          </cell>
          <cell r="P1322" t="str">
            <v>COMFORT</v>
          </cell>
        </row>
        <row r="1323">
          <cell r="A1323">
            <v>3168</v>
          </cell>
          <cell r="B1323">
            <v>3168</v>
          </cell>
          <cell r="C1323" t="str">
            <v>CERO MATRICULA</v>
          </cell>
          <cell r="D1323" t="str">
            <v>ACTIVO</v>
          </cell>
          <cell r="E1323" t="str">
            <v>Z7Q644</v>
          </cell>
          <cell r="F1323" t="str">
            <v>CUEVA CASTILLO Wilfredo Henry</v>
          </cell>
          <cell r="G1323" t="str">
            <v>CUEVA CASTILLO WILFREDO HENRY</v>
          </cell>
          <cell r="H1323" t="str">
            <v>41878255</v>
          </cell>
          <cell r="I1323" t="str">
            <v>BCP</v>
          </cell>
          <cell r="J1323" t="str">
            <v>19200443611091</v>
          </cell>
          <cell r="K1323" t="str">
            <v>DNI</v>
          </cell>
          <cell r="L1323">
            <v>10418782558</v>
          </cell>
          <cell r="M1323" t="str">
            <v>AEROLINEAS</v>
          </cell>
          <cell r="N1323">
            <v>45554</v>
          </cell>
          <cell r="O1323">
            <v>0</v>
          </cell>
          <cell r="P1323" t="str">
            <v>LITE</v>
          </cell>
        </row>
        <row r="1324">
          <cell r="A1324">
            <v>3169</v>
          </cell>
          <cell r="B1324">
            <v>3169</v>
          </cell>
          <cell r="C1324" t="str">
            <v>CERO MATRICULA</v>
          </cell>
          <cell r="D1324" t="str">
            <v>ACTIVO</v>
          </cell>
          <cell r="E1324" t="str">
            <v>CAN230</v>
          </cell>
          <cell r="F1324" t="str">
            <v>RUIZ COSICHE LUIGGI JOAO</v>
          </cell>
          <cell r="G1324" t="str">
            <v>RUIZ COSICHE LUIGGI JOAO</v>
          </cell>
          <cell r="H1324" t="str">
            <v>40990183</v>
          </cell>
          <cell r="I1324" t="str">
            <v>BCP</v>
          </cell>
          <cell r="J1324" t="str">
            <v>19101048682073</v>
          </cell>
          <cell r="K1324" t="str">
            <v>DNI</v>
          </cell>
          <cell r="L1324">
            <v>10409901838</v>
          </cell>
          <cell r="M1324" t="str">
            <v>AEROLINEAS</v>
          </cell>
          <cell r="N1324">
            <v>44746</v>
          </cell>
          <cell r="O1324">
            <v>0</v>
          </cell>
          <cell r="P1324" t="str">
            <v>COMFORT</v>
          </cell>
        </row>
        <row r="1325">
          <cell r="A1325">
            <v>3171</v>
          </cell>
          <cell r="B1325">
            <v>3171</v>
          </cell>
          <cell r="C1325" t="str">
            <v>CERO MATRICULA</v>
          </cell>
          <cell r="D1325" t="str">
            <v>ACTIVO</v>
          </cell>
          <cell r="E1325" t="str">
            <v>BXU089</v>
          </cell>
          <cell r="F1325" t="str">
            <v>FLORES VILLEGAS ROGELIO ERNESTO</v>
          </cell>
          <cell r="G1325" t="str">
            <v>FLORES VILLEGAS ROGELIO ERNESTO</v>
          </cell>
          <cell r="H1325" t="str">
            <v>07622087</v>
          </cell>
          <cell r="I1325" t="str">
            <v>INTERBANK</v>
          </cell>
          <cell r="J1325">
            <v>8983184941971</v>
          </cell>
          <cell r="K1325" t="str">
            <v>DNI</v>
          </cell>
          <cell r="L1325">
            <v>10076220871</v>
          </cell>
          <cell r="M1325" t="str">
            <v>AEROLINEAS</v>
          </cell>
          <cell r="N1325">
            <v>44641</v>
          </cell>
          <cell r="O1325">
            <v>0</v>
          </cell>
          <cell r="P1325" t="str">
            <v>COMFORT XL</v>
          </cell>
        </row>
        <row r="1326">
          <cell r="A1326">
            <v>3173</v>
          </cell>
          <cell r="B1326">
            <v>3173</v>
          </cell>
          <cell r="C1326" t="str">
            <v>CERO MATRICULA</v>
          </cell>
          <cell r="D1326" t="str">
            <v>ACTIVO</v>
          </cell>
          <cell r="E1326" t="str">
            <v>B2O609</v>
          </cell>
          <cell r="F1326" t="str">
            <v>RODRIGUEZ VELARDE EDGARD YARIN</v>
          </cell>
          <cell r="G1326" t="str">
            <v>RODRIGUEZ VELARDE EDGARD YARIN</v>
          </cell>
          <cell r="H1326" t="str">
            <v>43110122</v>
          </cell>
          <cell r="I1326" t="str">
            <v>INTERBANK</v>
          </cell>
          <cell r="J1326" t="str">
            <v>4913090499340</v>
          </cell>
          <cell r="K1326" t="str">
            <v>DNI</v>
          </cell>
          <cell r="L1326">
            <v>10431101225</v>
          </cell>
          <cell r="M1326" t="str">
            <v>URBANO</v>
          </cell>
          <cell r="N1326">
            <v>44837</v>
          </cell>
          <cell r="O1326">
            <v>0</v>
          </cell>
          <cell r="P1326" t="str">
            <v>LITE</v>
          </cell>
        </row>
        <row r="1327">
          <cell r="A1327">
            <v>3175</v>
          </cell>
          <cell r="B1327">
            <v>3175</v>
          </cell>
          <cell r="C1327" t="str">
            <v>CERO MATRICULA</v>
          </cell>
          <cell r="D1327" t="str">
            <v>ACTIVO</v>
          </cell>
          <cell r="E1327" t="str">
            <v>BSC148</v>
          </cell>
          <cell r="F1327" t="str">
            <v>FLORES VALENZUELA RAUL</v>
          </cell>
          <cell r="G1327" t="str">
            <v>FLORES VALENZUELA RAUL</v>
          </cell>
          <cell r="H1327" t="str">
            <v>42933622</v>
          </cell>
          <cell r="I1327" t="str">
            <v>BCP</v>
          </cell>
          <cell r="J1327" t="str">
            <v>19106343833011</v>
          </cell>
          <cell r="K1327" t="str">
            <v>DNI</v>
          </cell>
          <cell r="L1327">
            <v>10429336223</v>
          </cell>
          <cell r="M1327" t="str">
            <v>AEROLINEAS</v>
          </cell>
          <cell r="N1327">
            <v>44606</v>
          </cell>
          <cell r="O1327">
            <v>0</v>
          </cell>
          <cell r="P1327" t="str">
            <v>COMFORT XL</v>
          </cell>
        </row>
        <row r="1328">
          <cell r="A1328">
            <v>3176</v>
          </cell>
          <cell r="B1328">
            <v>3176</v>
          </cell>
          <cell r="C1328" t="str">
            <v>CERO MATRICULA</v>
          </cell>
          <cell r="D1328" t="str">
            <v>ACTIVO</v>
          </cell>
          <cell r="E1328" t="str">
            <v>F2W156</v>
          </cell>
          <cell r="F1328" t="str">
            <v>AMES PANFICHI MARIO ALEJANDRO</v>
          </cell>
          <cell r="G1328" t="str">
            <v>AMES PANFICHI MARIO ALEJANDRO</v>
          </cell>
          <cell r="H1328" t="str">
            <v>07609322</v>
          </cell>
          <cell r="I1328" t="str">
            <v>INTERBANK</v>
          </cell>
          <cell r="J1328" t="str">
            <v>0113207632956</v>
          </cell>
          <cell r="K1328" t="str">
            <v>DNI</v>
          </cell>
          <cell r="L1328">
            <v>10076093224</v>
          </cell>
          <cell r="M1328" t="str">
            <v>AEROPUERTO</v>
          </cell>
          <cell r="N1328">
            <v>44606</v>
          </cell>
          <cell r="O1328">
            <v>240</v>
          </cell>
          <cell r="P1328" t="str">
            <v>XL</v>
          </cell>
        </row>
        <row r="1329">
          <cell r="A1329">
            <v>3177</v>
          </cell>
          <cell r="B1329">
            <v>3177</v>
          </cell>
          <cell r="C1329" t="str">
            <v>CERO MATRICULA</v>
          </cell>
          <cell r="D1329" t="str">
            <v>ACTIVO</v>
          </cell>
          <cell r="E1329" t="str">
            <v>FOH201</v>
          </cell>
          <cell r="F1329" t="str">
            <v>CHAVEZ ESPINOZA ROSSANA</v>
          </cell>
          <cell r="G1329" t="str">
            <v>CHAVEZ ESPINOZA ROSSANA</v>
          </cell>
          <cell r="H1329" t="str">
            <v>10450771</v>
          </cell>
          <cell r="I1329" t="str">
            <v>BBVA</v>
          </cell>
          <cell r="J1329" t="str">
            <v>001108140217914502</v>
          </cell>
          <cell r="K1329" t="str">
            <v>DNI</v>
          </cell>
          <cell r="L1329">
            <v>10104507714</v>
          </cell>
          <cell r="M1329" t="str">
            <v>AEROLINEAS</v>
          </cell>
          <cell r="N1329">
            <v>44613</v>
          </cell>
          <cell r="O1329">
            <v>0</v>
          </cell>
          <cell r="P1329" t="str">
            <v>LITE</v>
          </cell>
        </row>
        <row r="1330">
          <cell r="A1330">
            <v>3179</v>
          </cell>
          <cell r="B1330">
            <v>3179</v>
          </cell>
          <cell r="C1330" t="str">
            <v>CERO MATRICULA</v>
          </cell>
          <cell r="D1330" t="str">
            <v>ACTIVO</v>
          </cell>
          <cell r="E1330" t="str">
            <v>BJT200</v>
          </cell>
          <cell r="F1330" t="str">
            <v>CORDOVA AQUIJE JESUS ANTONIO</v>
          </cell>
          <cell r="G1330" t="str">
            <v>CORDOVA AQUIJE JESUS ANTONIO</v>
          </cell>
          <cell r="H1330" t="str">
            <v>21568267</v>
          </cell>
          <cell r="I1330" t="str">
            <v>BCP</v>
          </cell>
          <cell r="J1330">
            <v>19306652722020</v>
          </cell>
          <cell r="K1330" t="str">
            <v>DNI</v>
          </cell>
          <cell r="L1330">
            <v>10215682671</v>
          </cell>
          <cell r="M1330" t="str">
            <v>AEROLINEAS</v>
          </cell>
          <cell r="N1330">
            <v>44613</v>
          </cell>
          <cell r="O1330">
            <v>0</v>
          </cell>
          <cell r="P1330" t="str">
            <v>COMFORT</v>
          </cell>
        </row>
        <row r="1331">
          <cell r="A1331">
            <v>3180</v>
          </cell>
          <cell r="B1331">
            <v>3180</v>
          </cell>
          <cell r="C1331" t="str">
            <v>CERO MATRICULA</v>
          </cell>
          <cell r="D1331" t="str">
            <v>ACTIVO</v>
          </cell>
          <cell r="E1331" t="str">
            <v>BWQ102</v>
          </cell>
          <cell r="F1331" t="str">
            <v>ACUÑA BARDALES LUIS WILFREDO</v>
          </cell>
          <cell r="G1331" t="str">
            <v>EBER OBLITAS ESTELA</v>
          </cell>
          <cell r="H1331" t="str">
            <v>43377504</v>
          </cell>
          <cell r="I1331" t="str">
            <v>BCP</v>
          </cell>
          <cell r="J1331" t="str">
            <v>19135903445004</v>
          </cell>
          <cell r="K1331" t="str">
            <v>DNI</v>
          </cell>
          <cell r="L1331">
            <v>10433775045</v>
          </cell>
          <cell r="M1331" t="str">
            <v>AEROPUERTO</v>
          </cell>
          <cell r="N1331">
            <v>44851</v>
          </cell>
          <cell r="O1331">
            <v>235</v>
          </cell>
          <cell r="P1331" t="str">
            <v>COMFORT XL</v>
          </cell>
        </row>
        <row r="1332">
          <cell r="A1332">
            <v>3181</v>
          </cell>
          <cell r="B1332">
            <v>3181</v>
          </cell>
          <cell r="C1332" t="str">
            <v>CERO MATRICULA</v>
          </cell>
          <cell r="D1332" t="str">
            <v>ACTIVO</v>
          </cell>
          <cell r="E1332" t="str">
            <v>BLC547</v>
          </cell>
          <cell r="F1332" t="str">
            <v>TOMAS YWAMOTO CHRISTIAN JOHAN</v>
          </cell>
          <cell r="G1332" t="str">
            <v>TOMAS YWAMOTO CHRISTIAN JOHAN</v>
          </cell>
          <cell r="H1332" t="str">
            <v>40971783</v>
          </cell>
          <cell r="I1332" t="str">
            <v>BCP</v>
          </cell>
          <cell r="J1332" t="str">
            <v>19139425485020</v>
          </cell>
          <cell r="K1332" t="str">
            <v>DNI</v>
          </cell>
          <cell r="L1332">
            <v>10409717832</v>
          </cell>
          <cell r="M1332" t="str">
            <v>URBANO</v>
          </cell>
          <cell r="N1332">
            <v>44627</v>
          </cell>
          <cell r="O1332">
            <v>0</v>
          </cell>
          <cell r="P1332" t="str">
            <v>LITE</v>
          </cell>
        </row>
        <row r="1333">
          <cell r="A1333">
            <v>3182</v>
          </cell>
          <cell r="B1333">
            <v>3182</v>
          </cell>
          <cell r="C1333" t="str">
            <v>CERO MATRICULA</v>
          </cell>
          <cell r="D1333" t="str">
            <v>ACTIVO</v>
          </cell>
          <cell r="E1333" t="str">
            <v>BPV577</v>
          </cell>
          <cell r="F1333" t="str">
            <v>BASTIDAS SALAZAR HUMBERTO RAFAEL</v>
          </cell>
          <cell r="G1333" t="str">
            <v>PADILLA BACA DNAIEL ALEXANDER</v>
          </cell>
          <cell r="H1333" t="str">
            <v>76202392</v>
          </cell>
          <cell r="I1333" t="str">
            <v>BBVA</v>
          </cell>
          <cell r="J1333" t="str">
            <v>001100480200106425</v>
          </cell>
          <cell r="K1333" t="str">
            <v>DNI</v>
          </cell>
          <cell r="L1333">
            <v>10762023925</v>
          </cell>
          <cell r="M1333" t="str">
            <v>AEROLINEAS</v>
          </cell>
          <cell r="N1333">
            <v>44721</v>
          </cell>
          <cell r="O1333">
            <v>0</v>
          </cell>
          <cell r="P1333" t="str">
            <v>LITE</v>
          </cell>
        </row>
        <row r="1334">
          <cell r="A1334">
            <v>3183</v>
          </cell>
          <cell r="B1334">
            <v>3183</v>
          </cell>
          <cell r="C1334" t="str">
            <v>CERO MATRICULA</v>
          </cell>
          <cell r="D1334" t="str">
            <v>ACTIVO</v>
          </cell>
          <cell r="E1334" t="str">
            <v>BNM266</v>
          </cell>
          <cell r="F1334" t="str">
            <v>CHACON CORREA CARLOS DETELILLER</v>
          </cell>
          <cell r="G1334" t="str">
            <v>CHACON CORREA CARLOS DETELILLER</v>
          </cell>
          <cell r="H1334" t="str">
            <v>46270613</v>
          </cell>
          <cell r="I1334" t="str">
            <v>SCOTIABANK</v>
          </cell>
          <cell r="J1334" t="str">
            <v xml:space="preserve">200-0435376 </v>
          </cell>
          <cell r="K1334" t="str">
            <v>DNI</v>
          </cell>
          <cell r="L1334">
            <v>10462706133</v>
          </cell>
          <cell r="M1334" t="str">
            <v>AEROLINEAS</v>
          </cell>
          <cell r="N1334">
            <v>44627</v>
          </cell>
          <cell r="O1334">
            <v>0</v>
          </cell>
          <cell r="P1334" t="str">
            <v>LITE</v>
          </cell>
        </row>
        <row r="1335">
          <cell r="A1335">
            <v>3184</v>
          </cell>
          <cell r="B1335">
            <v>3184</v>
          </cell>
          <cell r="C1335" t="str">
            <v>CERO MATRICULA</v>
          </cell>
          <cell r="D1335" t="str">
            <v>ACTIVO</v>
          </cell>
          <cell r="E1335" t="str">
            <v>AVJ643</v>
          </cell>
          <cell r="F1335" t="str">
            <v>MENDOZA ROJAS WILLIAM JOSE</v>
          </cell>
          <cell r="G1335" t="str">
            <v>MENDOZA ROJAS WILLIAM JOSE</v>
          </cell>
          <cell r="H1335" t="str">
            <v>004241768</v>
          </cell>
          <cell r="I1335" t="str">
            <v>SCOTIABANK</v>
          </cell>
          <cell r="J1335">
            <v>8234077876</v>
          </cell>
          <cell r="K1335" t="str">
            <v>CE</v>
          </cell>
          <cell r="L1335">
            <v>15607168226</v>
          </cell>
          <cell r="M1335" t="str">
            <v>AEROLINEAS</v>
          </cell>
          <cell r="N1335">
            <v>44634</v>
          </cell>
          <cell r="O1335">
            <v>0</v>
          </cell>
          <cell r="P1335" t="str">
            <v>LITE</v>
          </cell>
        </row>
        <row r="1336">
          <cell r="A1336">
            <v>3190</v>
          </cell>
          <cell r="B1336">
            <v>3190</v>
          </cell>
          <cell r="C1336" t="str">
            <v>CERO MATRICULA</v>
          </cell>
          <cell r="D1336" t="str">
            <v>ACTIVO</v>
          </cell>
          <cell r="E1336" t="str">
            <v>BMW342</v>
          </cell>
          <cell r="F1336" t="str">
            <v>CHANTA BRAVO LUIS ALBERTO</v>
          </cell>
          <cell r="G1336" t="str">
            <v>RUFASTO CHAVEZ LUZ ESTHER</v>
          </cell>
          <cell r="H1336" t="str">
            <v>10207199</v>
          </cell>
          <cell r="I1336" t="str">
            <v>BCP</v>
          </cell>
          <cell r="J1336" t="str">
            <v>19298871262059</v>
          </cell>
          <cell r="K1336" t="str">
            <v>DNI</v>
          </cell>
          <cell r="L1336">
            <v>10102071994</v>
          </cell>
          <cell r="M1336" t="str">
            <v>AEROLINEAS</v>
          </cell>
          <cell r="N1336">
            <v>44665</v>
          </cell>
          <cell r="O1336">
            <v>0</v>
          </cell>
          <cell r="P1336" t="str">
            <v>LITE</v>
          </cell>
        </row>
        <row r="1337">
          <cell r="A1337">
            <v>3191</v>
          </cell>
          <cell r="B1337">
            <v>3191</v>
          </cell>
          <cell r="C1337" t="str">
            <v>CERO MATRICULA</v>
          </cell>
          <cell r="D1337" t="str">
            <v>ACTIVO</v>
          </cell>
          <cell r="E1337" t="str">
            <v>AJK867</v>
          </cell>
          <cell r="F1337" t="str">
            <v>PACHERES DEL CASTILLO SEGUNDO CONCEPCION</v>
          </cell>
          <cell r="G1337" t="str">
            <v>PACHERES DEL CASTILLO SEGUNDO CONCEPCION</v>
          </cell>
          <cell r="H1337" t="str">
            <v>46411182</v>
          </cell>
          <cell r="I1337" t="str">
            <v>BCP</v>
          </cell>
          <cell r="J1337" t="str">
            <v>19130845211077</v>
          </cell>
          <cell r="K1337" t="str">
            <v>DNI</v>
          </cell>
          <cell r="L1337">
            <v>10464111820</v>
          </cell>
          <cell r="M1337" t="str">
            <v>URBANO</v>
          </cell>
          <cell r="N1337">
            <v>44781</v>
          </cell>
          <cell r="O1337">
            <v>0</v>
          </cell>
          <cell r="P1337" t="str">
            <v>LITE</v>
          </cell>
        </row>
        <row r="1338">
          <cell r="A1338">
            <v>3192</v>
          </cell>
          <cell r="B1338">
            <v>3192</v>
          </cell>
          <cell r="C1338" t="str">
            <v>CERO MATRICULA</v>
          </cell>
          <cell r="D1338" t="str">
            <v>ACTIVO</v>
          </cell>
          <cell r="E1338" t="str">
            <v>BWA090</v>
          </cell>
          <cell r="F1338" t="str">
            <v>CHACON ACUÑA JILMER ISRAEL</v>
          </cell>
          <cell r="G1338" t="str">
            <v>CHACON ACUÑA JILMER ISRAEL</v>
          </cell>
          <cell r="H1338" t="str">
            <v>09886446</v>
          </cell>
          <cell r="I1338" t="str">
            <v>BBVA</v>
          </cell>
          <cell r="J1338" t="str">
            <v>001102820200216797</v>
          </cell>
          <cell r="K1338" t="str">
            <v>DNI</v>
          </cell>
          <cell r="L1338">
            <v>10098864461</v>
          </cell>
          <cell r="M1338" t="str">
            <v>URBANO PARTNER</v>
          </cell>
          <cell r="N1338">
            <v>44671</v>
          </cell>
          <cell r="O1338">
            <v>0</v>
          </cell>
          <cell r="P1338" t="str">
            <v>LITE</v>
          </cell>
        </row>
        <row r="1339">
          <cell r="A1339">
            <v>3194</v>
          </cell>
          <cell r="B1339">
            <v>3194</v>
          </cell>
          <cell r="C1339" t="str">
            <v>CERO MATRICULA</v>
          </cell>
          <cell r="D1339" t="str">
            <v>ACTIVO</v>
          </cell>
          <cell r="E1339" t="str">
            <v>BZH242</v>
          </cell>
          <cell r="F1339" t="str">
            <v>HONORES  RIOS CHRISTIAN FRANK</v>
          </cell>
          <cell r="G1339" t="str">
            <v>HONORES  RIOS CHRISTIAN FRANK</v>
          </cell>
          <cell r="H1339" t="str">
            <v>09909637</v>
          </cell>
          <cell r="I1339" t="str">
            <v>INTERBANK</v>
          </cell>
          <cell r="J1339" t="str">
            <v>254-3196320947</v>
          </cell>
          <cell r="K1339" t="str">
            <v>DNI</v>
          </cell>
          <cell r="L1339">
            <v>10099096379</v>
          </cell>
          <cell r="M1339" t="str">
            <v>AEROLINEAS</v>
          </cell>
          <cell r="N1339">
            <v>44932</v>
          </cell>
          <cell r="O1339">
            <v>0</v>
          </cell>
          <cell r="P1339" t="str">
            <v>LITE</v>
          </cell>
        </row>
        <row r="1340">
          <cell r="A1340">
            <v>3195</v>
          </cell>
          <cell r="B1340">
            <v>3195</v>
          </cell>
          <cell r="C1340" t="str">
            <v>CERO MATRICULA</v>
          </cell>
          <cell r="D1340" t="str">
            <v>ACTIVO</v>
          </cell>
          <cell r="E1340" t="str">
            <v>CCO154</v>
          </cell>
          <cell r="F1340" t="str">
            <v>RIVAS SANTANDER CARLOS CESAR</v>
          </cell>
          <cell r="G1340" t="str">
            <v>SANTANDER QUEVEDO RICARDO MOISES</v>
          </cell>
          <cell r="H1340" t="str">
            <v>40708950</v>
          </cell>
          <cell r="I1340" t="str">
            <v>BBVA</v>
          </cell>
          <cell r="J1340" t="str">
            <v>0011-0141-0200529089</v>
          </cell>
          <cell r="K1340" t="str">
            <v>DNI</v>
          </cell>
          <cell r="L1340">
            <v>10407089508</v>
          </cell>
          <cell r="M1340" t="str">
            <v>AEROLINEAS</v>
          </cell>
          <cell r="N1340">
            <v>45103</v>
          </cell>
          <cell r="O1340">
            <v>0</v>
          </cell>
          <cell r="P1340" t="str">
            <v>LITE</v>
          </cell>
        </row>
        <row r="1341">
          <cell r="A1341">
            <v>3196</v>
          </cell>
          <cell r="B1341">
            <v>3196</v>
          </cell>
          <cell r="C1341" t="str">
            <v>CERO MATRICULA</v>
          </cell>
          <cell r="D1341" t="str">
            <v>ACTIVO</v>
          </cell>
          <cell r="E1341" t="str">
            <v>BXZ140</v>
          </cell>
          <cell r="F1341" t="str">
            <v>CASTILLO REATEGUI ELVIS ROLANDO</v>
          </cell>
          <cell r="G1341" t="str">
            <v>CASTILLO REATEGUI ELVIS ROLANDO</v>
          </cell>
          <cell r="H1341" t="str">
            <v>44474298</v>
          </cell>
          <cell r="I1341" t="str">
            <v>BCP</v>
          </cell>
          <cell r="J1341" t="str">
            <v>19340376898043</v>
          </cell>
          <cell r="K1341" t="str">
            <v>DNI</v>
          </cell>
          <cell r="L1341">
            <v>10444742980</v>
          </cell>
          <cell r="M1341" t="str">
            <v>URBANO</v>
          </cell>
          <cell r="N1341">
            <v>44683</v>
          </cell>
          <cell r="O1341">
            <v>0</v>
          </cell>
          <cell r="P1341" t="str">
            <v>COMFORT</v>
          </cell>
        </row>
        <row r="1342">
          <cell r="A1342">
            <v>3197</v>
          </cell>
          <cell r="B1342">
            <v>3197</v>
          </cell>
          <cell r="C1342" t="str">
            <v>CERO MATRICULA</v>
          </cell>
          <cell r="D1342" t="str">
            <v>ACTIVO</v>
          </cell>
          <cell r="E1342" t="str">
            <v>BBO045</v>
          </cell>
          <cell r="F1342" t="str">
            <v>RENTERIA LOAYZA MIGUEL ANGEL</v>
          </cell>
          <cell r="G1342" t="str">
            <v>RENTERIA LOAYZA MIGUEL ANGEL</v>
          </cell>
          <cell r="H1342" t="str">
            <v>09640844</v>
          </cell>
          <cell r="I1342" t="str">
            <v>BCP</v>
          </cell>
          <cell r="J1342" t="str">
            <v>193-98480584-0-35</v>
          </cell>
          <cell r="K1342" t="str">
            <v>DNI</v>
          </cell>
          <cell r="L1342">
            <v>10096408442</v>
          </cell>
          <cell r="M1342" t="str">
            <v>AEROLINEAS</v>
          </cell>
          <cell r="N1342">
            <v>44809</v>
          </cell>
          <cell r="O1342">
            <v>0</v>
          </cell>
          <cell r="P1342" t="str">
            <v>COMFORT</v>
          </cell>
        </row>
        <row r="1343">
          <cell r="A1343">
            <v>3198</v>
          </cell>
          <cell r="B1343">
            <v>3198</v>
          </cell>
          <cell r="C1343" t="str">
            <v>CERO MATRICULA</v>
          </cell>
          <cell r="D1343" t="str">
            <v>ACTIVO</v>
          </cell>
          <cell r="E1343" t="str">
            <v>C9P301</v>
          </cell>
          <cell r="F1343" t="str">
            <v>MICUNCO ROMERO ENZO ISRAEL</v>
          </cell>
          <cell r="G1343" t="str">
            <v>MICUNCO ROMERO ENZO ISRAEL</v>
          </cell>
          <cell r="H1343" t="str">
            <v>74097287</v>
          </cell>
          <cell r="I1343" t="str">
            <v>BCP</v>
          </cell>
          <cell r="J1343" t="str">
            <v>19104140876002</v>
          </cell>
          <cell r="K1343" t="str">
            <v>DNI</v>
          </cell>
          <cell r="L1343">
            <v>10740972877</v>
          </cell>
          <cell r="M1343" t="str">
            <v>URBANO PARTNER</v>
          </cell>
          <cell r="N1343">
            <v>45110</v>
          </cell>
          <cell r="O1343">
            <v>0</v>
          </cell>
          <cell r="P1343" t="str">
            <v>COMFORT XL</v>
          </cell>
        </row>
        <row r="1344">
          <cell r="A1344">
            <v>3201</v>
          </cell>
          <cell r="B1344">
            <v>3201</v>
          </cell>
          <cell r="C1344" t="str">
            <v>CERO MATRICULA</v>
          </cell>
          <cell r="D1344" t="str">
            <v>ACTIVO</v>
          </cell>
          <cell r="E1344" t="str">
            <v>BMD268</v>
          </cell>
          <cell r="F1344" t="str">
            <v>SALINAS CRUZ PABLO VICTOR</v>
          </cell>
          <cell r="G1344" t="str">
            <v>SALINAS CRUZ PABLO VICTOR</v>
          </cell>
          <cell r="H1344" t="str">
            <v>46299943</v>
          </cell>
          <cell r="I1344" t="str">
            <v>BCP</v>
          </cell>
          <cell r="J1344" t="str">
            <v>194-31636518-0-77</v>
          </cell>
          <cell r="K1344" t="str">
            <v>DNI</v>
          </cell>
          <cell r="L1344">
            <v>10462999432</v>
          </cell>
          <cell r="M1344" t="str">
            <v>AEROLINEAS</v>
          </cell>
          <cell r="N1344">
            <v>44809</v>
          </cell>
          <cell r="O1344">
            <v>0</v>
          </cell>
          <cell r="P1344" t="str">
            <v>XL</v>
          </cell>
        </row>
        <row r="1345">
          <cell r="A1345">
            <v>3202</v>
          </cell>
          <cell r="B1345">
            <v>3202</v>
          </cell>
          <cell r="C1345" t="str">
            <v>CERO MATRICULA</v>
          </cell>
          <cell r="D1345" t="str">
            <v>ACTIVO</v>
          </cell>
          <cell r="E1345" t="str">
            <v>BHG356</v>
          </cell>
          <cell r="F1345" t="str">
            <v>BAYONA MARCHAN ROBERTO SANTO JAVIER</v>
          </cell>
          <cell r="G1345" t="str">
            <v>BAYONA MARCHAN ROBERTO SANTO JAVIER</v>
          </cell>
          <cell r="H1345" t="str">
            <v>80439504</v>
          </cell>
          <cell r="I1345" t="str">
            <v>BCP</v>
          </cell>
          <cell r="J1345" t="str">
            <v>191-93150364-0-75</v>
          </cell>
          <cell r="K1345" t="str">
            <v>DNI</v>
          </cell>
          <cell r="L1345">
            <v>10804395046</v>
          </cell>
          <cell r="M1345" t="str">
            <v>AEROLINEAS</v>
          </cell>
          <cell r="N1345">
            <v>44810</v>
          </cell>
          <cell r="O1345">
            <v>0</v>
          </cell>
          <cell r="P1345" t="str">
            <v>XL</v>
          </cell>
        </row>
        <row r="1346">
          <cell r="A1346">
            <v>3203</v>
          </cell>
          <cell r="B1346">
            <v>3203</v>
          </cell>
          <cell r="C1346" t="str">
            <v>CERO MATRICULA</v>
          </cell>
          <cell r="D1346" t="str">
            <v>ACTIVO</v>
          </cell>
          <cell r="E1346" t="str">
            <v>BJB513</v>
          </cell>
          <cell r="F1346" t="str">
            <v>PECHO YEN GIOVANNY POLO</v>
          </cell>
          <cell r="G1346" t="str">
            <v>PECHO YEN GIOVANNY POLO</v>
          </cell>
          <cell r="H1346" t="str">
            <v>44554405</v>
          </cell>
          <cell r="I1346" t="str">
            <v>BCP</v>
          </cell>
          <cell r="J1346" t="str">
            <v>192-00394005-0-84</v>
          </cell>
          <cell r="K1346" t="str">
            <v>DNI</v>
          </cell>
          <cell r="L1346">
            <v>10445544057</v>
          </cell>
          <cell r="M1346" t="str">
            <v>AEROLINEAS</v>
          </cell>
          <cell r="N1346">
            <v>44812</v>
          </cell>
          <cell r="O1346">
            <v>0</v>
          </cell>
          <cell r="P1346" t="str">
            <v>COMFORT</v>
          </cell>
        </row>
        <row r="1347">
          <cell r="A1347">
            <v>3204</v>
          </cell>
          <cell r="B1347">
            <v>3204</v>
          </cell>
          <cell r="C1347" t="str">
            <v>CERO MATRICULA</v>
          </cell>
          <cell r="D1347" t="str">
            <v>ACTIVO</v>
          </cell>
          <cell r="E1347" t="str">
            <v>CAH439</v>
          </cell>
          <cell r="F1347" t="str">
            <v>VICENTE BERMUDEZ GABRIEL RODRIGO</v>
          </cell>
          <cell r="G1347" t="str">
            <v>VICENTE BERMUDEZ GABRIEL RODRIGO</v>
          </cell>
          <cell r="H1347" t="str">
            <v>73750027</v>
          </cell>
          <cell r="I1347" t="str">
            <v>SCOTIABANK</v>
          </cell>
          <cell r="J1347" t="str">
            <v>890-5737584</v>
          </cell>
          <cell r="K1347" t="str">
            <v>DNI</v>
          </cell>
          <cell r="L1347">
            <v>10737500271</v>
          </cell>
          <cell r="M1347" t="str">
            <v>AEROLINEAS</v>
          </cell>
          <cell r="N1347">
            <v>44816</v>
          </cell>
          <cell r="O1347">
            <v>0</v>
          </cell>
          <cell r="P1347" t="str">
            <v>COMFORT</v>
          </cell>
        </row>
        <row r="1348">
          <cell r="A1348">
            <v>3205</v>
          </cell>
          <cell r="B1348">
            <v>3205</v>
          </cell>
          <cell r="C1348" t="str">
            <v>CERO MATRICULA</v>
          </cell>
          <cell r="D1348" t="str">
            <v>ACTIVO</v>
          </cell>
          <cell r="E1348" t="str">
            <v>BKV212</v>
          </cell>
          <cell r="F1348" t="str">
            <v>BARZOLA FLORES ENYEL JAIME</v>
          </cell>
          <cell r="G1348" t="str">
            <v>BARZOLA FLORES ENYEL JAIME</v>
          </cell>
          <cell r="H1348" t="str">
            <v>70558964</v>
          </cell>
          <cell r="I1348" t="str">
            <v>BCP</v>
          </cell>
          <cell r="J1348" t="str">
            <v>193-31032342-0-99</v>
          </cell>
          <cell r="K1348" t="str">
            <v>DNI</v>
          </cell>
          <cell r="L1348">
            <v>10705589645</v>
          </cell>
          <cell r="M1348" t="str">
            <v>URBANO</v>
          </cell>
          <cell r="N1348">
            <v>44816</v>
          </cell>
          <cell r="O1348">
            <v>0</v>
          </cell>
          <cell r="P1348" t="str">
            <v>COMFORT</v>
          </cell>
        </row>
        <row r="1349">
          <cell r="A1349">
            <v>3206</v>
          </cell>
          <cell r="B1349">
            <v>3206</v>
          </cell>
          <cell r="C1349" t="str">
            <v>CERO MATRICULA</v>
          </cell>
          <cell r="D1349" t="str">
            <v>ACTIVO</v>
          </cell>
          <cell r="E1349" t="str">
            <v>CBJ092</v>
          </cell>
          <cell r="F1349" t="str">
            <v>GOMEZ ATENCIO ARMANDO WILLY</v>
          </cell>
          <cell r="G1349" t="str">
            <v>GOMEZ ATENCIO ARMANDO WILLY</v>
          </cell>
          <cell r="H1349" t="str">
            <v>21262617</v>
          </cell>
          <cell r="I1349" t="str">
            <v>BBVA</v>
          </cell>
          <cell r="J1349" t="str">
            <v>0011-0814-0275186290-11</v>
          </cell>
          <cell r="K1349" t="str">
            <v>DNI</v>
          </cell>
          <cell r="L1349">
            <v>10212626177</v>
          </cell>
          <cell r="M1349" t="str">
            <v>AEROLINEAS</v>
          </cell>
          <cell r="N1349">
            <v>44823</v>
          </cell>
          <cell r="O1349">
            <v>0</v>
          </cell>
          <cell r="P1349" t="str">
            <v>COMFORT XL</v>
          </cell>
        </row>
        <row r="1350">
          <cell r="A1350">
            <v>3207</v>
          </cell>
          <cell r="B1350">
            <v>3207</v>
          </cell>
          <cell r="C1350" t="str">
            <v>CERO MATRICULA</v>
          </cell>
          <cell r="D1350" t="str">
            <v>ACTIVO</v>
          </cell>
          <cell r="E1350" t="str">
            <v>BVT217</v>
          </cell>
          <cell r="F1350" t="str">
            <v>MERA ARRASCUE CESAR NILTON</v>
          </cell>
          <cell r="G1350" t="str">
            <v>MERA ARRASCUE CESAR NILTON</v>
          </cell>
          <cell r="H1350" t="str">
            <v>47420488</v>
          </cell>
          <cell r="I1350" t="str">
            <v>BBVA</v>
          </cell>
          <cell r="J1350" t="str">
            <v>0011-0814-0215253703</v>
          </cell>
          <cell r="K1350" t="str">
            <v>DNI</v>
          </cell>
          <cell r="L1350">
            <v>10474204885</v>
          </cell>
          <cell r="M1350" t="str">
            <v>AEROLINEAS</v>
          </cell>
          <cell r="N1350">
            <v>44830</v>
          </cell>
          <cell r="O1350">
            <v>0</v>
          </cell>
          <cell r="P1350" t="str">
            <v>COMFORT</v>
          </cell>
        </row>
        <row r="1351">
          <cell r="A1351">
            <v>3208</v>
          </cell>
          <cell r="B1351">
            <v>3208</v>
          </cell>
          <cell r="C1351" t="str">
            <v>CERO MATRICULA</v>
          </cell>
          <cell r="D1351" t="str">
            <v>ACTIVO</v>
          </cell>
          <cell r="E1351" t="str">
            <v>BPM473</v>
          </cell>
          <cell r="F1351" t="str">
            <v>PORTILLO SOLIS RUBEN</v>
          </cell>
          <cell r="G1351" t="str">
            <v>PORTILLO SOLIS RUBEN</v>
          </cell>
          <cell r="H1351" t="str">
            <v>25700624</v>
          </cell>
          <cell r="I1351" t="str">
            <v>BCP</v>
          </cell>
          <cell r="J1351" t="str">
            <v>192-95702914-0-08</v>
          </cell>
          <cell r="K1351" t="str">
            <v>DNI</v>
          </cell>
          <cell r="L1351">
            <v>10257006242</v>
          </cell>
          <cell r="M1351" t="str">
            <v>AEROLINEAS</v>
          </cell>
          <cell r="N1351">
            <v>44830</v>
          </cell>
          <cell r="O1351">
            <v>0</v>
          </cell>
          <cell r="P1351" t="str">
            <v>LITE</v>
          </cell>
        </row>
        <row r="1352">
          <cell r="A1352">
            <v>3209</v>
          </cell>
          <cell r="B1352">
            <v>3209</v>
          </cell>
          <cell r="C1352" t="str">
            <v>CERO MATRICULA</v>
          </cell>
          <cell r="D1352" t="str">
            <v>ACTIVO</v>
          </cell>
          <cell r="E1352" t="str">
            <v>BXI638</v>
          </cell>
          <cell r="F1352" t="str">
            <v>CONTRERAS FLORES ALFREDO</v>
          </cell>
          <cell r="G1352" t="str">
            <v>CONTRERAS FLORES ALFREDO</v>
          </cell>
          <cell r="H1352" t="str">
            <v>09038636</v>
          </cell>
          <cell r="I1352" t="str">
            <v>BCP</v>
          </cell>
          <cell r="J1352" t="str">
            <v>191-33838446-0-46</v>
          </cell>
          <cell r="K1352" t="str">
            <v>DNI</v>
          </cell>
          <cell r="L1352">
            <v>10090386366</v>
          </cell>
          <cell r="M1352" t="str">
            <v>AEROLINEAS</v>
          </cell>
          <cell r="N1352">
            <v>44830</v>
          </cell>
          <cell r="O1352">
            <v>0</v>
          </cell>
          <cell r="P1352" t="str">
            <v>COMFORT XL</v>
          </cell>
        </row>
        <row r="1353">
          <cell r="A1353">
            <v>3211</v>
          </cell>
          <cell r="B1353">
            <v>3211</v>
          </cell>
          <cell r="C1353" t="str">
            <v>CERO MATRICULA</v>
          </cell>
          <cell r="D1353" t="str">
            <v>ACTIVO</v>
          </cell>
          <cell r="E1353" t="str">
            <v>AJH562</v>
          </cell>
          <cell r="F1353" t="str">
            <v>SENCEBE GONZALEZ ERNESTO ALBERTO</v>
          </cell>
          <cell r="G1353" t="str">
            <v>MACCHIAVELLO OBANDO JENNY DEL CARMEN</v>
          </cell>
          <cell r="H1353" t="str">
            <v>07973954</v>
          </cell>
          <cell r="I1353" t="str">
            <v>BCP</v>
          </cell>
          <cell r="J1353">
            <v>19300823407023</v>
          </cell>
          <cell r="K1353" t="str">
            <v>DNI</v>
          </cell>
          <cell r="L1353">
            <v>10079739541</v>
          </cell>
          <cell r="M1353" t="str">
            <v>AEROLINEAS</v>
          </cell>
          <cell r="N1353">
            <v>44837</v>
          </cell>
          <cell r="O1353">
            <v>0</v>
          </cell>
          <cell r="P1353" t="str">
            <v>LITE</v>
          </cell>
        </row>
        <row r="1354">
          <cell r="A1354">
            <v>3212</v>
          </cell>
          <cell r="B1354">
            <v>3212</v>
          </cell>
          <cell r="C1354" t="str">
            <v>CERO MATRICULA</v>
          </cell>
          <cell r="D1354" t="str">
            <v>ACTIVO</v>
          </cell>
          <cell r="E1354" t="str">
            <v>CBE284</v>
          </cell>
          <cell r="F1354" t="str">
            <v>INGA CASTRO JOSE JONEL</v>
          </cell>
          <cell r="G1354" t="str">
            <v>INGA CASTRO JOSE JONEL</v>
          </cell>
          <cell r="H1354" t="str">
            <v>46037488</v>
          </cell>
          <cell r="I1354" t="str">
            <v>BBVA</v>
          </cell>
          <cell r="J1354">
            <v>1108140228537170</v>
          </cell>
          <cell r="K1354" t="str">
            <v>DNI</v>
          </cell>
          <cell r="L1354">
            <v>10460374885</v>
          </cell>
          <cell r="M1354" t="str">
            <v>AEROLINEAS</v>
          </cell>
          <cell r="N1354">
            <v>44837</v>
          </cell>
          <cell r="O1354">
            <v>0</v>
          </cell>
          <cell r="P1354" t="str">
            <v>COMFORT</v>
          </cell>
        </row>
        <row r="1355">
          <cell r="A1355">
            <v>3213</v>
          </cell>
          <cell r="B1355">
            <v>3213</v>
          </cell>
          <cell r="C1355" t="str">
            <v>CERO MATRICULA</v>
          </cell>
          <cell r="D1355" t="str">
            <v>ACTIVO</v>
          </cell>
          <cell r="E1355" t="str">
            <v>BZA443</v>
          </cell>
          <cell r="F1355" t="str">
            <v>DAMIAN ROJAS TONI</v>
          </cell>
          <cell r="G1355" t="str">
            <v>DAMIAN ROJAS TONI</v>
          </cell>
          <cell r="H1355" t="str">
            <v>47493137</v>
          </cell>
          <cell r="I1355" t="str">
            <v>BCP</v>
          </cell>
          <cell r="J1355" t="str">
            <v>191-32995688-0-75</v>
          </cell>
          <cell r="K1355" t="str">
            <v>DNI</v>
          </cell>
          <cell r="L1355">
            <v>10474931370</v>
          </cell>
          <cell r="M1355" t="str">
            <v>AEROLINEAS</v>
          </cell>
          <cell r="N1355">
            <v>44845</v>
          </cell>
          <cell r="O1355">
            <v>0</v>
          </cell>
          <cell r="P1355" t="str">
            <v>COMFORT</v>
          </cell>
        </row>
        <row r="1356">
          <cell r="A1356">
            <v>3214</v>
          </cell>
          <cell r="B1356">
            <v>3214</v>
          </cell>
          <cell r="C1356" t="str">
            <v>CERO MATRICULA</v>
          </cell>
          <cell r="D1356" t="str">
            <v>ACTIVO</v>
          </cell>
          <cell r="E1356" t="str">
            <v>BYL201</v>
          </cell>
          <cell r="F1356" t="str">
            <v>GONZALES FLORES FRANKLIN EDWIN</v>
          </cell>
          <cell r="G1356" t="str">
            <v>GONZALES FLORES FRANKLIN EDWIN</v>
          </cell>
          <cell r="H1356" t="str">
            <v>09950152</v>
          </cell>
          <cell r="I1356" t="str">
            <v>BCP</v>
          </cell>
          <cell r="J1356">
            <v>19190243753004</v>
          </cell>
          <cell r="K1356" t="str">
            <v>DNI</v>
          </cell>
          <cell r="L1356">
            <v>10099501524</v>
          </cell>
          <cell r="M1356" t="str">
            <v>AEROLINEAS</v>
          </cell>
          <cell r="N1356">
            <v>44841</v>
          </cell>
          <cell r="O1356">
            <v>0</v>
          </cell>
          <cell r="P1356" t="str">
            <v>COMFORT XL</v>
          </cell>
        </row>
        <row r="1357">
          <cell r="A1357">
            <v>3215</v>
          </cell>
          <cell r="B1357">
            <v>3215</v>
          </cell>
          <cell r="C1357" t="str">
            <v>CERO MATRICULA</v>
          </cell>
          <cell r="D1357" t="str">
            <v>ACTIVO</v>
          </cell>
          <cell r="E1357" t="str">
            <v>AMG110</v>
          </cell>
          <cell r="F1357" t="str">
            <v>HINOSTROZA CHIRIBOGA JOSE LUIS</v>
          </cell>
          <cell r="G1357" t="str">
            <v>HINOSTROZA CHIRIBOGA JOSE LUIS</v>
          </cell>
          <cell r="H1357" t="str">
            <v>09426395</v>
          </cell>
          <cell r="I1357" t="str">
            <v>BCP</v>
          </cell>
          <cell r="J1357" t="str">
            <v>19299225974054</v>
          </cell>
          <cell r="K1357" t="str">
            <v>DNI</v>
          </cell>
          <cell r="L1357">
            <v>10094263951</v>
          </cell>
          <cell r="M1357" t="str">
            <v>AEROLINEAS</v>
          </cell>
          <cell r="N1357">
            <v>44840</v>
          </cell>
          <cell r="O1357">
            <v>0</v>
          </cell>
          <cell r="P1357" t="str">
            <v>COMFORT</v>
          </cell>
        </row>
        <row r="1358">
          <cell r="A1358">
            <v>3218</v>
          </cell>
          <cell r="B1358">
            <v>3218</v>
          </cell>
          <cell r="C1358" t="str">
            <v>CERO MATRICULA</v>
          </cell>
          <cell r="D1358" t="str">
            <v>ACTIVO</v>
          </cell>
          <cell r="E1358" t="str">
            <v>CBR280</v>
          </cell>
          <cell r="F1358" t="str">
            <v>FLORES CARDENAS FREDDY  HERNAN</v>
          </cell>
          <cell r="G1358" t="str">
            <v>FLORES CARDENAS FREDDY  HERNAN</v>
          </cell>
          <cell r="H1358" t="str">
            <v>45722329</v>
          </cell>
          <cell r="I1358" t="str">
            <v>BCP</v>
          </cell>
          <cell r="J1358" t="str">
            <v>192-73028956-0-20</v>
          </cell>
          <cell r="K1358" t="str">
            <v>DNI</v>
          </cell>
          <cell r="L1358">
            <v>10457223299</v>
          </cell>
          <cell r="M1358" t="str">
            <v>AEROLINEAS</v>
          </cell>
          <cell r="N1358">
            <v>44853</v>
          </cell>
          <cell r="O1358">
            <v>0</v>
          </cell>
          <cell r="P1358" t="str">
            <v>LITE</v>
          </cell>
        </row>
        <row r="1359">
          <cell r="A1359">
            <v>3219</v>
          </cell>
          <cell r="B1359">
            <v>3219</v>
          </cell>
          <cell r="C1359" t="str">
            <v>CERO MATRICULA</v>
          </cell>
          <cell r="D1359" t="str">
            <v>ACTIVO</v>
          </cell>
          <cell r="E1359" t="str">
            <v>BFI434</v>
          </cell>
          <cell r="F1359" t="str">
            <v>OCHOA PAQUIYAURI CARLOS</v>
          </cell>
          <cell r="G1359" t="str">
            <v>OCHOA PAQUIYAURI CARLOS</v>
          </cell>
          <cell r="H1359" t="str">
            <v>28306154</v>
          </cell>
          <cell r="I1359" t="str">
            <v>BCP</v>
          </cell>
          <cell r="J1359" t="str">
            <v>193-99049039-0-32</v>
          </cell>
          <cell r="K1359" t="str">
            <v>DNI</v>
          </cell>
          <cell r="L1359">
            <v>10283061545</v>
          </cell>
          <cell r="M1359" t="str">
            <v>URBANO</v>
          </cell>
          <cell r="N1359">
            <v>44845</v>
          </cell>
          <cell r="O1359">
            <v>0</v>
          </cell>
          <cell r="P1359" t="str">
            <v>COMFORT</v>
          </cell>
        </row>
        <row r="1360">
          <cell r="A1360">
            <v>3220</v>
          </cell>
          <cell r="B1360">
            <v>3220</v>
          </cell>
          <cell r="C1360" t="str">
            <v>CERO MATRICULA</v>
          </cell>
          <cell r="D1360" t="str">
            <v>ACTIVO</v>
          </cell>
          <cell r="E1360" t="str">
            <v>BYY232</v>
          </cell>
          <cell r="F1360" t="str">
            <v>HERNÁNDEZ LEONETTI ITALO JOSÉ</v>
          </cell>
          <cell r="G1360" t="str">
            <v>JAMAL VALLEJOS RASEM OMAR</v>
          </cell>
          <cell r="H1360" t="str">
            <v>17543367</v>
          </cell>
          <cell r="I1360" t="str">
            <v>BBVA</v>
          </cell>
          <cell r="J1360" t="str">
            <v>0011-0306-0200418100</v>
          </cell>
          <cell r="K1360" t="str">
            <v>DNI</v>
          </cell>
          <cell r="L1360">
            <v>10175433673</v>
          </cell>
          <cell r="M1360" t="str">
            <v>AEROLINEAS</v>
          </cell>
          <cell r="N1360">
            <v>44844</v>
          </cell>
          <cell r="O1360">
            <v>0</v>
          </cell>
          <cell r="P1360" t="str">
            <v>COMFORT</v>
          </cell>
        </row>
        <row r="1361">
          <cell r="A1361">
            <v>3221</v>
          </cell>
          <cell r="B1361">
            <v>3221</v>
          </cell>
          <cell r="C1361" t="str">
            <v>CERO MATRICULA</v>
          </cell>
          <cell r="D1361" t="str">
            <v>ACTIVO</v>
          </cell>
          <cell r="E1361" t="str">
            <v>BFH418</v>
          </cell>
          <cell r="F1361" t="str">
            <v>MAYORGA DELGADO LUIS ANTONIO</v>
          </cell>
          <cell r="G1361" t="str">
            <v>MAYORGA DELGADO LUIS ANTONIO</v>
          </cell>
          <cell r="H1361" t="str">
            <v>25708034</v>
          </cell>
          <cell r="I1361" t="str">
            <v>BCP</v>
          </cell>
          <cell r="J1361" t="str">
            <v>193-73016153-0-88</v>
          </cell>
          <cell r="K1361" t="str">
            <v>DNI</v>
          </cell>
          <cell r="L1361">
            <v>10257080345</v>
          </cell>
          <cell r="M1361" t="str">
            <v>AEROLINEAS</v>
          </cell>
          <cell r="N1361">
            <v>44852</v>
          </cell>
          <cell r="O1361">
            <v>0</v>
          </cell>
          <cell r="P1361" t="str">
            <v>LITE</v>
          </cell>
        </row>
        <row r="1362">
          <cell r="A1362">
            <v>3222</v>
          </cell>
          <cell r="B1362">
            <v>3222</v>
          </cell>
          <cell r="C1362" t="str">
            <v>CERO MATRICULA</v>
          </cell>
          <cell r="D1362" t="str">
            <v>ACTIVO</v>
          </cell>
          <cell r="E1362" t="str">
            <v>CAP417</v>
          </cell>
          <cell r="F1362" t="str">
            <v>DAMAS SOTO DEHUR DAVIS</v>
          </cell>
          <cell r="G1362" t="str">
            <v>DAMAS SOTO DEHUR DAVIS</v>
          </cell>
          <cell r="H1362" t="str">
            <v>47173165</v>
          </cell>
          <cell r="I1362" t="str">
            <v>BCP</v>
          </cell>
          <cell r="J1362" t="str">
            <v>191-70070515-0-97</v>
          </cell>
          <cell r="K1362" t="str">
            <v>DNI</v>
          </cell>
          <cell r="L1362">
            <v>10471731655</v>
          </cell>
          <cell r="M1362" t="str">
            <v>AEROLINEAS</v>
          </cell>
          <cell r="N1362">
            <v>44853</v>
          </cell>
          <cell r="O1362">
            <v>0</v>
          </cell>
          <cell r="P1362" t="str">
            <v>COMFORT XL</v>
          </cell>
        </row>
        <row r="1363">
          <cell r="A1363">
            <v>3225</v>
          </cell>
          <cell r="B1363">
            <v>3225</v>
          </cell>
          <cell r="C1363" t="str">
            <v>CERO MATRICULA</v>
          </cell>
          <cell r="D1363" t="str">
            <v>ACTIVO</v>
          </cell>
          <cell r="E1363" t="str">
            <v>BYC504</v>
          </cell>
          <cell r="F1363" t="str">
            <v>MARTEL VILCA JOSEH DAVID</v>
          </cell>
          <cell r="G1363" t="str">
            <v>MARTEL VILCA JOSEH DAVID</v>
          </cell>
          <cell r="H1363" t="str">
            <v>72196953</v>
          </cell>
          <cell r="I1363" t="str">
            <v>BCP</v>
          </cell>
          <cell r="J1363" t="str">
            <v>191-91114896-0-46</v>
          </cell>
          <cell r="K1363" t="str">
            <v>DNI</v>
          </cell>
          <cell r="L1363">
            <v>10721969539</v>
          </cell>
          <cell r="M1363" t="str">
            <v>AEROLINEAS</v>
          </cell>
          <cell r="N1363">
            <v>44854</v>
          </cell>
          <cell r="O1363">
            <v>0</v>
          </cell>
          <cell r="P1363" t="str">
            <v>COMFORT</v>
          </cell>
        </row>
        <row r="1364">
          <cell r="A1364">
            <v>3226</v>
          </cell>
          <cell r="B1364">
            <v>3226</v>
          </cell>
          <cell r="C1364" t="str">
            <v>CERO MATRICULA</v>
          </cell>
          <cell r="D1364" t="str">
            <v>ACTIVO</v>
          </cell>
          <cell r="E1364" t="str">
            <v>CBR435</v>
          </cell>
          <cell r="F1364" t="str">
            <v>CARABALLO FERNANDEZ LUIS ALBERTO</v>
          </cell>
          <cell r="G1364" t="str">
            <v>CARABALLO FERNANDEZ LUIS ALBERTO</v>
          </cell>
          <cell r="H1364" t="str">
            <v>004300625</v>
          </cell>
          <cell r="I1364" t="str">
            <v>BCP</v>
          </cell>
          <cell r="J1364" t="str">
            <v>191-97491627-0-89</v>
          </cell>
          <cell r="K1364" t="str">
            <v>CE</v>
          </cell>
          <cell r="L1364">
            <v>15604995954</v>
          </cell>
          <cell r="M1364" t="str">
            <v>AEROLINEAS</v>
          </cell>
          <cell r="N1364">
            <v>44854</v>
          </cell>
          <cell r="O1364">
            <v>0</v>
          </cell>
          <cell r="P1364" t="str">
            <v>LITE</v>
          </cell>
        </row>
        <row r="1365">
          <cell r="A1365">
            <v>3227</v>
          </cell>
          <cell r="B1365">
            <v>3227</v>
          </cell>
          <cell r="C1365" t="str">
            <v>CERO MATRICULA</v>
          </cell>
          <cell r="D1365" t="str">
            <v>ACTIVO</v>
          </cell>
          <cell r="E1365" t="str">
            <v>Z6P446</v>
          </cell>
          <cell r="F1365" t="str">
            <v>AMAYA GARCIA GUILLERMO ARNALDO</v>
          </cell>
          <cell r="G1365" t="str">
            <v>FIGUEROA SANCHEZ ANGELICA</v>
          </cell>
          <cell r="H1365" t="str">
            <v>75088999</v>
          </cell>
          <cell r="I1365" t="str">
            <v>BCP</v>
          </cell>
          <cell r="J1365" t="str">
            <v>19105999443041</v>
          </cell>
          <cell r="K1365" t="str">
            <v>DNI</v>
          </cell>
          <cell r="L1365">
            <v>10750889994</v>
          </cell>
          <cell r="M1365" t="str">
            <v>AEROLINEAS</v>
          </cell>
          <cell r="N1365">
            <v>44859</v>
          </cell>
          <cell r="O1365">
            <v>0</v>
          </cell>
          <cell r="P1365" t="str">
            <v>COMFORT XL</v>
          </cell>
        </row>
        <row r="1366">
          <cell r="A1366">
            <v>3228</v>
          </cell>
          <cell r="B1366">
            <v>3228</v>
          </cell>
          <cell r="C1366" t="str">
            <v>CERO MATRICULA</v>
          </cell>
          <cell r="D1366" t="str">
            <v>ACTIVO</v>
          </cell>
          <cell r="E1366" t="str">
            <v>BFC093</v>
          </cell>
          <cell r="F1366" t="str">
            <v>HERNÁNDEZ EGÚSQUIZA JUAN CARLOS</v>
          </cell>
          <cell r="G1366" t="str">
            <v>HERNÁNDEZ EGÚSQUIZA JUAN CARLOS</v>
          </cell>
          <cell r="H1366" t="str">
            <v>08596700</v>
          </cell>
          <cell r="I1366" t="str">
            <v>BCP</v>
          </cell>
          <cell r="J1366" t="str">
            <v>19101191093023</v>
          </cell>
          <cell r="K1366" t="str">
            <v>DNI</v>
          </cell>
          <cell r="L1366">
            <v>10085967008</v>
          </cell>
          <cell r="M1366" t="str">
            <v>AEROLINEAS</v>
          </cell>
          <cell r="N1366">
            <v>44859</v>
          </cell>
          <cell r="O1366">
            <v>0</v>
          </cell>
          <cell r="P1366" t="str">
            <v>COMFORT XL</v>
          </cell>
        </row>
        <row r="1367">
          <cell r="A1367">
            <v>3229</v>
          </cell>
          <cell r="B1367">
            <v>3229</v>
          </cell>
          <cell r="C1367" t="str">
            <v>CERO MATRICULA</v>
          </cell>
          <cell r="D1367" t="str">
            <v>ACTIVO</v>
          </cell>
          <cell r="E1367" t="str">
            <v>BWB027</v>
          </cell>
          <cell r="F1367" t="str">
            <v>ABAD SANCHEZ CESAR ORLANDO</v>
          </cell>
          <cell r="G1367" t="str">
            <v>ABAD SANCHEZ CESAR ORLANDO</v>
          </cell>
          <cell r="H1367" t="str">
            <v>47563747</v>
          </cell>
          <cell r="I1367" t="str">
            <v>INTERBANK</v>
          </cell>
          <cell r="J1367" t="str">
            <v>0893264870908</v>
          </cell>
          <cell r="K1367" t="str">
            <v>DNI</v>
          </cell>
          <cell r="L1367">
            <v>10475637475</v>
          </cell>
          <cell r="M1367" t="str">
            <v>AEROLINEAS</v>
          </cell>
          <cell r="N1367">
            <v>44858</v>
          </cell>
          <cell r="O1367">
            <v>0</v>
          </cell>
          <cell r="P1367" t="str">
            <v>LITE</v>
          </cell>
        </row>
        <row r="1368">
          <cell r="A1368">
            <v>3230</v>
          </cell>
          <cell r="B1368">
            <v>3230</v>
          </cell>
          <cell r="C1368" t="str">
            <v>CERO MATRICULA</v>
          </cell>
          <cell r="D1368" t="str">
            <v>ACTIVO</v>
          </cell>
          <cell r="E1368" t="str">
            <v>BWQ417</v>
          </cell>
          <cell r="F1368" t="str">
            <v>GARCIA BARCO JOSÉ FELICINO</v>
          </cell>
          <cell r="G1368" t="str">
            <v>GARCIA BARCO JOSÉ FELICINO</v>
          </cell>
          <cell r="H1368" t="str">
            <v>10881991</v>
          </cell>
          <cell r="I1368" t="str">
            <v>BCP</v>
          </cell>
          <cell r="J1368" t="str">
            <v>19132437592042</v>
          </cell>
          <cell r="K1368" t="str">
            <v>DNI</v>
          </cell>
          <cell r="L1368">
            <v>10108819915</v>
          </cell>
          <cell r="M1368" t="str">
            <v>AEROLINEAS</v>
          </cell>
          <cell r="N1368">
            <v>44859</v>
          </cell>
          <cell r="O1368">
            <v>0</v>
          </cell>
          <cell r="P1368" t="str">
            <v>COMFORT</v>
          </cell>
        </row>
        <row r="1369">
          <cell r="A1369">
            <v>3231</v>
          </cell>
          <cell r="B1369">
            <v>3231</v>
          </cell>
          <cell r="C1369" t="str">
            <v>CERO MATRICULA</v>
          </cell>
          <cell r="D1369" t="str">
            <v>ACTIVO</v>
          </cell>
          <cell r="E1369" t="str">
            <v>BWL046</v>
          </cell>
          <cell r="F1369" t="str">
            <v>CALDERÓN MARTELL AGUSTIN</v>
          </cell>
          <cell r="G1369" t="str">
            <v>CALDERÓN MARTELL AGUSTIN</v>
          </cell>
          <cell r="H1369" t="str">
            <v>08047355</v>
          </cell>
          <cell r="I1369" t="str">
            <v>BCP</v>
          </cell>
          <cell r="J1369" t="str">
            <v>19106766292036</v>
          </cell>
          <cell r="K1369" t="str">
            <v>DNI</v>
          </cell>
          <cell r="L1369">
            <v>10080473554</v>
          </cell>
          <cell r="M1369" t="str">
            <v>AEROLINEAS</v>
          </cell>
          <cell r="N1369">
            <v>44859</v>
          </cell>
          <cell r="O1369">
            <v>0</v>
          </cell>
          <cell r="P1369" t="str">
            <v>COMFORT</v>
          </cell>
        </row>
        <row r="1370">
          <cell r="A1370">
            <v>3233</v>
          </cell>
          <cell r="B1370">
            <v>3233</v>
          </cell>
          <cell r="C1370" t="str">
            <v>CERO MATRICULA</v>
          </cell>
          <cell r="D1370" t="str">
            <v>ACTIVO</v>
          </cell>
          <cell r="E1370" t="str">
            <v>BSN062</v>
          </cell>
          <cell r="F1370" t="str">
            <v>MEJIAS VELIZ FABRICIO ANTONIO</v>
          </cell>
          <cell r="G1370" t="str">
            <v>MEJIAS VELIZ FABRICIO ANTONIO</v>
          </cell>
          <cell r="H1370" t="str">
            <v>005491091</v>
          </cell>
          <cell r="I1370" t="str">
            <v>BCP</v>
          </cell>
          <cell r="J1370" t="str">
            <v>19295103810053</v>
          </cell>
          <cell r="K1370" t="str">
            <v>CE</v>
          </cell>
          <cell r="L1370">
            <v>15604804652</v>
          </cell>
          <cell r="M1370" t="str">
            <v>AEROLINEAS</v>
          </cell>
          <cell r="N1370">
            <v>44865</v>
          </cell>
          <cell r="O1370">
            <v>0</v>
          </cell>
          <cell r="P1370" t="str">
            <v>LITE</v>
          </cell>
        </row>
        <row r="1371">
          <cell r="A1371">
            <v>3234</v>
          </cell>
          <cell r="B1371">
            <v>3234</v>
          </cell>
          <cell r="C1371" t="str">
            <v>CERO MATRICULA</v>
          </cell>
          <cell r="D1371" t="str">
            <v>ACTIVO</v>
          </cell>
          <cell r="E1371" t="str">
            <v>CCA117</v>
          </cell>
          <cell r="F1371" t="str">
            <v>SOSA FARFAN MIGUEL ANGEL</v>
          </cell>
          <cell r="G1371" t="str">
            <v>SOSA FARFAN MIGUEL ANGEL</v>
          </cell>
          <cell r="H1371" t="str">
            <v>70050587</v>
          </cell>
          <cell r="I1371" t="str">
            <v>BBVA</v>
          </cell>
          <cell r="J1371" t="str">
            <v>001102860200228142</v>
          </cell>
          <cell r="K1371" t="str">
            <v>DNI</v>
          </cell>
          <cell r="L1371">
            <v>10700505877</v>
          </cell>
          <cell r="M1371" t="str">
            <v>AEROLINEAS</v>
          </cell>
          <cell r="N1371">
            <v>44861</v>
          </cell>
          <cell r="O1371">
            <v>0</v>
          </cell>
          <cell r="P1371" t="str">
            <v>LITE</v>
          </cell>
        </row>
        <row r="1372">
          <cell r="A1372">
            <v>3235</v>
          </cell>
          <cell r="B1372">
            <v>3235</v>
          </cell>
          <cell r="C1372" t="str">
            <v>CERO MATRICULA</v>
          </cell>
          <cell r="D1372" t="str">
            <v>ACTIVO</v>
          </cell>
          <cell r="E1372" t="str">
            <v>BVD272</v>
          </cell>
          <cell r="F1372" t="str">
            <v>GONZALEZ BARBOZA YINMY DAIRO</v>
          </cell>
          <cell r="G1372" t="str">
            <v>GONZALEZ BARBOZA YINMY DAIRO</v>
          </cell>
          <cell r="H1372" t="str">
            <v>002151317</v>
          </cell>
          <cell r="I1372" t="str">
            <v>BCP</v>
          </cell>
          <cell r="J1372" t="str">
            <v>19494171849078</v>
          </cell>
          <cell r="K1372" t="str">
            <v>CE</v>
          </cell>
          <cell r="L1372">
            <v>15606409190</v>
          </cell>
          <cell r="M1372" t="str">
            <v>URBANO PARTNER</v>
          </cell>
          <cell r="N1372">
            <v>44868</v>
          </cell>
          <cell r="O1372">
            <v>0</v>
          </cell>
          <cell r="P1372" t="str">
            <v>LITE</v>
          </cell>
        </row>
        <row r="1373">
          <cell r="A1373">
            <v>3236</v>
          </cell>
          <cell r="B1373">
            <v>3236</v>
          </cell>
          <cell r="C1373" t="str">
            <v>CERO MATRICULA</v>
          </cell>
          <cell r="D1373" t="str">
            <v>ACTIVO</v>
          </cell>
          <cell r="E1373" t="str">
            <v>ERP162</v>
          </cell>
          <cell r="F1373" t="str">
            <v>VEGA QUISPE WILLY VINNEY</v>
          </cell>
          <cell r="G1373" t="str">
            <v>WILLY VINNEY VEGA QUISPE</v>
          </cell>
          <cell r="H1373" t="str">
            <v>08688213</v>
          </cell>
          <cell r="I1373" t="str">
            <v>BCP</v>
          </cell>
          <cell r="J1373" t="str">
            <v>19103537955090</v>
          </cell>
          <cell r="K1373" t="str">
            <v>DNI</v>
          </cell>
          <cell r="L1373">
            <v>10086882138</v>
          </cell>
          <cell r="M1373" t="str">
            <v>AEROPUERTO</v>
          </cell>
          <cell r="N1373">
            <v>44868</v>
          </cell>
          <cell r="O1373">
            <v>240</v>
          </cell>
          <cell r="P1373" t="str">
            <v>XL</v>
          </cell>
        </row>
        <row r="1374">
          <cell r="A1374">
            <v>3238</v>
          </cell>
          <cell r="B1374">
            <v>3238</v>
          </cell>
          <cell r="C1374" t="str">
            <v>CERO MATRICULA</v>
          </cell>
          <cell r="D1374" t="str">
            <v>ACTIVO</v>
          </cell>
          <cell r="E1374" t="str">
            <v>BFJ168</v>
          </cell>
          <cell r="F1374" t="str">
            <v>REYES MUÑOZ MANUEL EDUARDO</v>
          </cell>
          <cell r="G1374" t="str">
            <v>REYES MUÑOZ MANUEL EDUARDO</v>
          </cell>
          <cell r="H1374" t="str">
            <v>10678934</v>
          </cell>
          <cell r="I1374" t="str">
            <v>BBVA</v>
          </cell>
          <cell r="J1374" t="str">
            <v>0011-0284-0200940976</v>
          </cell>
          <cell r="K1374" t="str">
            <v>DNI</v>
          </cell>
          <cell r="L1374">
            <v>10106789342</v>
          </cell>
          <cell r="M1374" t="str">
            <v>AEROLINEAS</v>
          </cell>
          <cell r="N1374">
            <v>44879</v>
          </cell>
          <cell r="O1374">
            <v>0</v>
          </cell>
          <cell r="P1374" t="str">
            <v>XL</v>
          </cell>
        </row>
        <row r="1375">
          <cell r="A1375">
            <v>3239</v>
          </cell>
          <cell r="B1375">
            <v>3239</v>
          </cell>
          <cell r="C1375" t="str">
            <v>CERO MATRICULA</v>
          </cell>
          <cell r="D1375" t="str">
            <v>ACTIVO</v>
          </cell>
          <cell r="E1375" t="str">
            <v>Z6N207</v>
          </cell>
          <cell r="F1375" t="str">
            <v>NAVARRO PECHO ROMEO SEGUNDO</v>
          </cell>
          <cell r="G1375" t="str">
            <v>NAVARRO PECHO ROMEO SEGUNDO</v>
          </cell>
          <cell r="H1375" t="str">
            <v>42661467</v>
          </cell>
          <cell r="I1375" t="str">
            <v>BBVA</v>
          </cell>
          <cell r="J1375" t="str">
            <v>0011-03390200794986</v>
          </cell>
          <cell r="K1375" t="str">
            <v>DNI</v>
          </cell>
          <cell r="L1375">
            <v>10426614672</v>
          </cell>
          <cell r="M1375" t="str">
            <v>AEROLINEAS</v>
          </cell>
          <cell r="N1375">
            <v>44879</v>
          </cell>
          <cell r="O1375">
            <v>0</v>
          </cell>
          <cell r="P1375" t="str">
            <v>LITE</v>
          </cell>
        </row>
        <row r="1376">
          <cell r="A1376">
            <v>3240</v>
          </cell>
          <cell r="B1376">
            <v>3240</v>
          </cell>
          <cell r="C1376" t="str">
            <v>CERO MATRICULA</v>
          </cell>
          <cell r="D1376" t="str">
            <v>ACTIVO</v>
          </cell>
          <cell r="E1376" t="str">
            <v>CCG031</v>
          </cell>
          <cell r="F1376" t="str">
            <v>PÉREZ  AYALA MARIA ESPERANZA</v>
          </cell>
          <cell r="G1376" t="str">
            <v>PÉREZ  AYALA MARIA ESPERANZA</v>
          </cell>
          <cell r="H1376" t="str">
            <v>41123962</v>
          </cell>
          <cell r="I1376" t="str">
            <v>BBVA</v>
          </cell>
          <cell r="J1376" t="str">
            <v>0011-0814-0232518834</v>
          </cell>
          <cell r="K1376" t="str">
            <v>DNI</v>
          </cell>
          <cell r="L1376">
            <v>10411239620</v>
          </cell>
          <cell r="M1376" t="str">
            <v>URBANO</v>
          </cell>
          <cell r="N1376">
            <v>44907</v>
          </cell>
          <cell r="O1376">
            <v>0</v>
          </cell>
          <cell r="P1376" t="str">
            <v>COMFORT XL</v>
          </cell>
        </row>
        <row r="1377">
          <cell r="A1377">
            <v>3241</v>
          </cell>
          <cell r="B1377">
            <v>3241</v>
          </cell>
          <cell r="C1377" t="str">
            <v>CERO MATRICULA</v>
          </cell>
          <cell r="D1377" t="str">
            <v>ACTIVO</v>
          </cell>
          <cell r="E1377" t="str">
            <v>BHP183</v>
          </cell>
          <cell r="F1377" t="str">
            <v>FERIA HUAMÁN  FRANCISCO URRACA</v>
          </cell>
          <cell r="G1377" t="str">
            <v>FERIA HUAMÁN  FRANCISCO URRACA</v>
          </cell>
          <cell r="H1377" t="str">
            <v>42320626</v>
          </cell>
          <cell r="I1377" t="str">
            <v>BCP</v>
          </cell>
          <cell r="J1377" t="str">
            <v>191-95061206-0-19</v>
          </cell>
          <cell r="K1377" t="str">
            <v>DNI</v>
          </cell>
          <cell r="L1377">
            <v>10423206263</v>
          </cell>
          <cell r="M1377" t="str">
            <v>AEROLINEAS</v>
          </cell>
          <cell r="N1377">
            <v>44886</v>
          </cell>
          <cell r="O1377">
            <v>0</v>
          </cell>
          <cell r="P1377" t="str">
            <v>LITE</v>
          </cell>
        </row>
        <row r="1378">
          <cell r="A1378">
            <v>3242</v>
          </cell>
          <cell r="B1378">
            <v>3242</v>
          </cell>
          <cell r="C1378" t="str">
            <v>CERO MATRICULA</v>
          </cell>
          <cell r="D1378" t="str">
            <v>ACTIVO</v>
          </cell>
          <cell r="E1378" t="str">
            <v>CCM084</v>
          </cell>
          <cell r="F1378" t="str">
            <v>DAMIANO CASTRO JOEL DONATO</v>
          </cell>
          <cell r="G1378" t="str">
            <v xml:space="preserve">Joel Donato Damiano castro </v>
          </cell>
          <cell r="H1378" t="str">
            <v>45790580</v>
          </cell>
          <cell r="I1378" t="str">
            <v>BCP</v>
          </cell>
          <cell r="J1378">
            <v>19395544546040</v>
          </cell>
          <cell r="K1378" t="str">
            <v>DNI</v>
          </cell>
          <cell r="L1378">
            <v>10457905802</v>
          </cell>
          <cell r="M1378" t="str">
            <v>URBANO PARTNER</v>
          </cell>
          <cell r="N1378">
            <v>44896</v>
          </cell>
          <cell r="O1378">
            <v>0</v>
          </cell>
          <cell r="P1378" t="str">
            <v>COMFORT XL</v>
          </cell>
        </row>
        <row r="1379">
          <cell r="A1379">
            <v>3243</v>
          </cell>
          <cell r="B1379">
            <v>3243</v>
          </cell>
          <cell r="C1379" t="str">
            <v>CERO MATRICULA</v>
          </cell>
          <cell r="D1379" t="str">
            <v>ACTIVO</v>
          </cell>
          <cell r="E1379" t="str">
            <v>AFF275</v>
          </cell>
          <cell r="F1379" t="str">
            <v>HINOSTROZA HUAMAN  ANGELO BENIGNO</v>
          </cell>
          <cell r="G1379" t="str">
            <v>HINOSTROZA HUAMAN  ANGELO BENIGNO</v>
          </cell>
          <cell r="H1379" t="str">
            <v>25751276</v>
          </cell>
          <cell r="I1379" t="str">
            <v>BBVA</v>
          </cell>
          <cell r="J1379" t="str">
            <v>0011-0257-0200351000</v>
          </cell>
          <cell r="K1379" t="str">
            <v>DNI</v>
          </cell>
          <cell r="L1379">
            <v>10257512768</v>
          </cell>
          <cell r="M1379" t="str">
            <v>AEROLINEAS</v>
          </cell>
          <cell r="N1379">
            <v>44897</v>
          </cell>
          <cell r="O1379">
            <v>0</v>
          </cell>
          <cell r="P1379" t="str">
            <v>LITE</v>
          </cell>
        </row>
        <row r="1380">
          <cell r="A1380">
            <v>3244</v>
          </cell>
          <cell r="B1380">
            <v>3244</v>
          </cell>
          <cell r="C1380" t="str">
            <v>CERO MATRICULA</v>
          </cell>
          <cell r="D1380" t="str">
            <v>ACTIVO</v>
          </cell>
          <cell r="E1380" t="str">
            <v>CCN475</v>
          </cell>
          <cell r="F1380" t="str">
            <v xml:space="preserve">LOA DIAZ DARVID FERNANDO </v>
          </cell>
          <cell r="G1380" t="str">
            <v xml:space="preserve">LOA DIAZ DARVID FERNANDO </v>
          </cell>
          <cell r="H1380" t="str">
            <v>42267704</v>
          </cell>
          <cell r="I1380" t="str">
            <v>BBVA</v>
          </cell>
          <cell r="J1380" t="str">
            <v>0011-0814-023610470813</v>
          </cell>
          <cell r="K1380" t="str">
            <v>DNI</v>
          </cell>
          <cell r="L1380">
            <v>10422677041</v>
          </cell>
          <cell r="M1380" t="str">
            <v>AEROLINEAS</v>
          </cell>
          <cell r="N1380">
            <v>44896</v>
          </cell>
          <cell r="O1380">
            <v>0</v>
          </cell>
          <cell r="P1380" t="str">
            <v>COMFORT</v>
          </cell>
        </row>
        <row r="1381">
          <cell r="A1381">
            <v>3245</v>
          </cell>
          <cell r="B1381">
            <v>3245</v>
          </cell>
          <cell r="C1381" t="str">
            <v>CERO MATRICULA</v>
          </cell>
          <cell r="D1381" t="str">
            <v>ACTIVO</v>
          </cell>
          <cell r="E1381" t="str">
            <v xml:space="preserve">BXP471 </v>
          </cell>
          <cell r="F1381" t="str">
            <v>PEREZ  GONAZALES MANUEL HUGO</v>
          </cell>
          <cell r="G1381" t="str">
            <v>PEREZ  GONAZALES MANUEL HUGO</v>
          </cell>
          <cell r="H1381" t="str">
            <v>72452085</v>
          </cell>
          <cell r="I1381" t="str">
            <v>BCP</v>
          </cell>
          <cell r="J1381" t="str">
            <v>192-94710892-0-65</v>
          </cell>
          <cell r="K1381" t="str">
            <v>DNI</v>
          </cell>
          <cell r="L1381">
            <v>10724520851</v>
          </cell>
          <cell r="M1381" t="str">
            <v>AEROLINEAS</v>
          </cell>
          <cell r="N1381">
            <v>44907</v>
          </cell>
          <cell r="O1381">
            <v>0</v>
          </cell>
          <cell r="P1381" t="str">
            <v>LITE</v>
          </cell>
        </row>
        <row r="1382">
          <cell r="A1382">
            <v>3248</v>
          </cell>
          <cell r="B1382">
            <v>3248</v>
          </cell>
          <cell r="C1382" t="str">
            <v>CERO MATRICULA</v>
          </cell>
          <cell r="D1382" t="str">
            <v>ACTIVO</v>
          </cell>
          <cell r="E1382" t="str">
            <v>CAY212</v>
          </cell>
          <cell r="F1382" t="str">
            <v>PECHERRE  CAMACHO FREDDY DANIEL</v>
          </cell>
          <cell r="G1382" t="str">
            <v>PECHERRE  CAMACHO FREDDY DANIEL</v>
          </cell>
          <cell r="H1382" t="str">
            <v>40049530</v>
          </cell>
          <cell r="I1382" t="str">
            <v>BBVA</v>
          </cell>
          <cell r="J1382" t="str">
            <v>0011-0168-0200065314</v>
          </cell>
          <cell r="K1382" t="str">
            <v>DNI</v>
          </cell>
          <cell r="L1382">
            <v>10400495306</v>
          </cell>
          <cell r="M1382" t="str">
            <v>AEROLINEAS</v>
          </cell>
          <cell r="N1382">
            <v>44907</v>
          </cell>
          <cell r="O1382">
            <v>0</v>
          </cell>
          <cell r="P1382" t="str">
            <v>LITE</v>
          </cell>
        </row>
        <row r="1383">
          <cell r="A1383">
            <v>3249</v>
          </cell>
          <cell r="B1383">
            <v>3249</v>
          </cell>
          <cell r="C1383" t="str">
            <v>CERO MATRICULA</v>
          </cell>
          <cell r="D1383" t="str">
            <v>ACTIVO</v>
          </cell>
          <cell r="E1383" t="str">
            <v>BDJ522</v>
          </cell>
          <cell r="F1383" t="str">
            <v>ROMERO  ROMERO JESUS ANTONIO</v>
          </cell>
          <cell r="G1383" t="str">
            <v>ROMERO  ROMERO JESUS ANTONIO</v>
          </cell>
          <cell r="H1383" t="str">
            <v>03000621</v>
          </cell>
          <cell r="I1383" t="str">
            <v>BCP</v>
          </cell>
          <cell r="J1383" t="str">
            <v>191-91138177-0-62</v>
          </cell>
          <cell r="K1383" t="str">
            <v>CE</v>
          </cell>
          <cell r="L1383">
            <v>15604263708</v>
          </cell>
          <cell r="M1383" t="str">
            <v>AEROLINEAS</v>
          </cell>
          <cell r="N1383">
            <v>44900</v>
          </cell>
          <cell r="O1383">
            <v>0</v>
          </cell>
          <cell r="P1383" t="str">
            <v>VAN</v>
          </cell>
        </row>
        <row r="1384">
          <cell r="A1384">
            <v>3250</v>
          </cell>
          <cell r="B1384">
            <v>3250</v>
          </cell>
          <cell r="C1384" t="str">
            <v>CERO MATRICULA</v>
          </cell>
          <cell r="D1384" t="str">
            <v>ACTIVO</v>
          </cell>
          <cell r="E1384" t="str">
            <v>Z6J516</v>
          </cell>
          <cell r="F1384" t="str">
            <v xml:space="preserve">CARHUAYAL PAJITA ALCIDES JUAN </v>
          </cell>
          <cell r="G1384" t="str">
            <v xml:space="preserve">CARHUAYAL PAJITA ALCIDES JUAN </v>
          </cell>
          <cell r="H1384" t="str">
            <v>07152601</v>
          </cell>
          <cell r="I1384" t="str">
            <v>BCP</v>
          </cell>
          <cell r="J1384" t="str">
            <v>193-12269703-0-38</v>
          </cell>
          <cell r="K1384" t="str">
            <v>DNI</v>
          </cell>
          <cell r="L1384">
            <v>10071526017</v>
          </cell>
          <cell r="M1384" t="str">
            <v>AEROLINEAS</v>
          </cell>
          <cell r="N1384">
            <v>44901</v>
          </cell>
          <cell r="O1384">
            <v>0</v>
          </cell>
          <cell r="P1384" t="str">
            <v>XL</v>
          </cell>
        </row>
        <row r="1385">
          <cell r="A1385">
            <v>3251</v>
          </cell>
          <cell r="B1385">
            <v>3251</v>
          </cell>
          <cell r="C1385" t="str">
            <v>CERO MATRICULA</v>
          </cell>
          <cell r="D1385" t="str">
            <v>ACTIVO</v>
          </cell>
          <cell r="E1385" t="str">
            <v>BRY560</v>
          </cell>
          <cell r="F1385" t="str">
            <v xml:space="preserve">GASCO RUESTAS SEBASTIAN AARON </v>
          </cell>
          <cell r="G1385" t="str">
            <v xml:space="preserve">GASCO RUESTAS SEBASTIAN AARON </v>
          </cell>
          <cell r="H1385" t="str">
            <v>72016367</v>
          </cell>
          <cell r="I1385" t="str">
            <v>BBVA</v>
          </cell>
          <cell r="J1385" t="str">
            <v>0011-0814-0237174238</v>
          </cell>
          <cell r="K1385" t="str">
            <v>DNI</v>
          </cell>
          <cell r="L1385">
            <v>10720163671</v>
          </cell>
          <cell r="M1385" t="str">
            <v>AEROPUERTO</v>
          </cell>
          <cell r="N1385">
            <v>45096</v>
          </cell>
          <cell r="O1385">
            <v>235</v>
          </cell>
          <cell r="P1385" t="str">
            <v>COMFORT XL</v>
          </cell>
        </row>
        <row r="1386">
          <cell r="A1386">
            <v>3253</v>
          </cell>
          <cell r="B1386">
            <v>3253</v>
          </cell>
          <cell r="C1386" t="str">
            <v>CERO MATRICULA</v>
          </cell>
          <cell r="D1386" t="str">
            <v>ACTIVO</v>
          </cell>
          <cell r="E1386" t="str">
            <v>BAC296</v>
          </cell>
          <cell r="F1386" t="str">
            <v>HIDALGO  ALDAVE NILTON CESAR</v>
          </cell>
          <cell r="G1386" t="str">
            <v>HIDALGO  ALDAVE NILTON CESAR</v>
          </cell>
          <cell r="H1386" t="str">
            <v>10204915</v>
          </cell>
          <cell r="I1386" t="str">
            <v>BCP</v>
          </cell>
          <cell r="J1386" t="str">
            <v>193-33889389-0-03</v>
          </cell>
          <cell r="K1386" t="str">
            <v xml:space="preserve">DNI </v>
          </cell>
          <cell r="L1386">
            <v>10102049158</v>
          </cell>
          <cell r="M1386" t="str">
            <v>AEROLINEAS</v>
          </cell>
          <cell r="N1386">
            <v>44921</v>
          </cell>
          <cell r="O1386">
            <v>0</v>
          </cell>
          <cell r="P1386" t="str">
            <v>COMFORT XL</v>
          </cell>
        </row>
        <row r="1387">
          <cell r="A1387">
            <v>3255</v>
          </cell>
          <cell r="B1387">
            <v>3255</v>
          </cell>
          <cell r="C1387" t="str">
            <v>CERO MATRICULA</v>
          </cell>
          <cell r="D1387" t="str">
            <v>ACTIVO</v>
          </cell>
          <cell r="E1387" t="str">
            <v>CCV260</v>
          </cell>
          <cell r="F1387" t="str">
            <v>LOZANO ZAPATA KEVIN MICHAEL</v>
          </cell>
          <cell r="G1387" t="str">
            <v>LOZANO ZAPATA KEVIN MICHAEL</v>
          </cell>
          <cell r="H1387" t="str">
            <v>71711597</v>
          </cell>
          <cell r="I1387" t="str">
            <v>BBVA</v>
          </cell>
          <cell r="J1387" t="str">
            <v>0011-0323-0200917479</v>
          </cell>
          <cell r="K1387" t="str">
            <v xml:space="preserve">DNI </v>
          </cell>
          <cell r="L1387">
            <v>10717115975</v>
          </cell>
          <cell r="M1387" t="str">
            <v>AEROLINEAS</v>
          </cell>
          <cell r="N1387">
            <v>44922</v>
          </cell>
          <cell r="O1387">
            <v>0</v>
          </cell>
          <cell r="P1387" t="str">
            <v>LITE</v>
          </cell>
        </row>
        <row r="1388">
          <cell r="A1388">
            <v>3258</v>
          </cell>
          <cell r="B1388">
            <v>3258</v>
          </cell>
          <cell r="C1388" t="str">
            <v>CERO MATRICULA</v>
          </cell>
          <cell r="D1388" t="str">
            <v>ACTIVO</v>
          </cell>
          <cell r="E1388" t="str">
            <v>BVP309</v>
          </cell>
          <cell r="F1388" t="str">
            <v>YAMUNAQUE VIDARTE ALEJANDRO</v>
          </cell>
          <cell r="G1388" t="str">
            <v>YAMUNAQUE VIDARTE ALEJANDRO</v>
          </cell>
          <cell r="H1388" t="str">
            <v>73951762</v>
          </cell>
          <cell r="I1388" t="str">
            <v>INTERBANK</v>
          </cell>
          <cell r="J1388" t="str">
            <v>0233371311082</v>
          </cell>
          <cell r="K1388" t="str">
            <v xml:space="preserve">DNI </v>
          </cell>
          <cell r="L1388">
            <v>10739517627</v>
          </cell>
          <cell r="M1388" t="str">
            <v>URBANO</v>
          </cell>
          <cell r="N1388">
            <v>44921</v>
          </cell>
          <cell r="O1388">
            <v>0</v>
          </cell>
          <cell r="P1388" t="str">
            <v>COMFORT</v>
          </cell>
        </row>
        <row r="1389">
          <cell r="A1389">
            <v>3260</v>
          </cell>
          <cell r="B1389">
            <v>3260</v>
          </cell>
          <cell r="C1389" t="str">
            <v>CERO MATRICULA</v>
          </cell>
          <cell r="D1389" t="str">
            <v>ACTIVO</v>
          </cell>
          <cell r="E1389" t="str">
            <v>BVX281</v>
          </cell>
          <cell r="F1389" t="str">
            <v xml:space="preserve">ROBLES QUEDAZA JULIO CESAR </v>
          </cell>
          <cell r="G1389" t="str">
            <v>PAASACA PAMPA OLINDA ELENA</v>
          </cell>
          <cell r="H1389" t="str">
            <v>41203118</v>
          </cell>
          <cell r="I1389" t="str">
            <v>BCP</v>
          </cell>
          <cell r="J1389" t="str">
            <v>191-93320317-0-45</v>
          </cell>
          <cell r="K1389" t="str">
            <v>DNI</v>
          </cell>
          <cell r="L1389">
            <v>10412031186</v>
          </cell>
          <cell r="M1389" t="str">
            <v>AEROLINEAS</v>
          </cell>
          <cell r="N1389">
            <v>44921</v>
          </cell>
          <cell r="O1389">
            <v>0</v>
          </cell>
          <cell r="P1389" t="str">
            <v>COMFORT XL</v>
          </cell>
        </row>
        <row r="1390">
          <cell r="A1390">
            <v>3262</v>
          </cell>
          <cell r="B1390">
            <v>3262</v>
          </cell>
          <cell r="C1390" t="str">
            <v>CERO MATRICULA</v>
          </cell>
          <cell r="D1390" t="str">
            <v>ACTIVO</v>
          </cell>
          <cell r="E1390" t="str">
            <v>CAC236</v>
          </cell>
          <cell r="F1390" t="str">
            <v>GIMENEZ LAGUNA MICHAEL ROBERD</v>
          </cell>
          <cell r="G1390" t="str">
            <v>GIMENEZ LAGUNA MICHAEL ROBERD</v>
          </cell>
          <cell r="H1390" t="str">
            <v>002096410</v>
          </cell>
          <cell r="I1390" t="str">
            <v>INTERBANK</v>
          </cell>
          <cell r="J1390" t="str">
            <v>439-3118474152</v>
          </cell>
          <cell r="K1390" t="str">
            <v>CE</v>
          </cell>
          <cell r="L1390">
            <v>15603388671</v>
          </cell>
          <cell r="M1390" t="str">
            <v>AEROLINEAS</v>
          </cell>
          <cell r="N1390">
            <v>44928</v>
          </cell>
          <cell r="O1390">
            <v>0</v>
          </cell>
          <cell r="P1390" t="str">
            <v>LITE</v>
          </cell>
        </row>
        <row r="1391">
          <cell r="A1391">
            <v>3263</v>
          </cell>
          <cell r="B1391">
            <v>3263</v>
          </cell>
          <cell r="C1391" t="str">
            <v>CERO MATRICULA</v>
          </cell>
          <cell r="D1391" t="str">
            <v>ACTIVO</v>
          </cell>
          <cell r="E1391" t="str">
            <v>AXL012</v>
          </cell>
          <cell r="F1391" t="str">
            <v>BERNA PONCE EDWIN</v>
          </cell>
          <cell r="G1391" t="str">
            <v>SANCHEZ HERRERA BENYAMINA PAOLA</v>
          </cell>
          <cell r="H1391" t="str">
            <v>61782953</v>
          </cell>
          <cell r="I1391" t="str">
            <v>BCP</v>
          </cell>
          <cell r="J1391" t="str">
            <v>192-02387568-0-83</v>
          </cell>
          <cell r="K1391" t="str">
            <v>DNI</v>
          </cell>
          <cell r="L1391">
            <v>10617829539</v>
          </cell>
          <cell r="M1391" t="str">
            <v>AEROLINEAS</v>
          </cell>
          <cell r="N1391">
            <v>44921</v>
          </cell>
          <cell r="O1391">
            <v>0</v>
          </cell>
          <cell r="P1391" t="str">
            <v>COMFORT</v>
          </cell>
        </row>
        <row r="1392">
          <cell r="A1392">
            <v>3264</v>
          </cell>
          <cell r="B1392">
            <v>3264</v>
          </cell>
          <cell r="C1392" t="str">
            <v>CERO MATRICULA</v>
          </cell>
          <cell r="D1392" t="str">
            <v>ACTIVO</v>
          </cell>
          <cell r="E1392" t="str">
            <v xml:space="preserve">CBT059 </v>
          </cell>
          <cell r="F1392" t="str">
            <v>SAMPAYO REYES EDWARDS ALBERTO</v>
          </cell>
          <cell r="G1392" t="str">
            <v>SAMPAYO REYES EDWARDS ALBERTO</v>
          </cell>
          <cell r="H1392" t="str">
            <v>004481575</v>
          </cell>
          <cell r="I1392" t="str">
            <v>BCP</v>
          </cell>
          <cell r="J1392" t="str">
            <v>191-96816396-0-36</v>
          </cell>
          <cell r="K1392" t="str">
            <v>CE</v>
          </cell>
          <cell r="L1392">
            <v>15605597812</v>
          </cell>
          <cell r="M1392" t="str">
            <v>AEROLINEAS</v>
          </cell>
          <cell r="N1392">
            <v>44921</v>
          </cell>
          <cell r="O1392">
            <v>0</v>
          </cell>
          <cell r="P1392" t="str">
            <v>LITE</v>
          </cell>
        </row>
        <row r="1393">
          <cell r="A1393">
            <v>3265</v>
          </cell>
          <cell r="B1393">
            <v>3265</v>
          </cell>
          <cell r="C1393" t="str">
            <v>CERO MATRICULA</v>
          </cell>
          <cell r="D1393" t="str">
            <v>ACTIVO</v>
          </cell>
          <cell r="E1393" t="str">
            <v>CAR595</v>
          </cell>
          <cell r="F1393" t="str">
            <v>GARCIA SANCHEZ CRISTIAN EBENEZER</v>
          </cell>
          <cell r="G1393" t="str">
            <v>GARCIA SANCHEZ CRISTIAN EBENEZER</v>
          </cell>
          <cell r="H1393" t="str">
            <v>75493275</v>
          </cell>
          <cell r="I1393" t="str">
            <v>INTERBANK</v>
          </cell>
          <cell r="J1393" t="str">
            <v>898-3339919463</v>
          </cell>
          <cell r="K1393" t="str">
            <v>DNI</v>
          </cell>
          <cell r="L1393">
            <v>10754932754</v>
          </cell>
          <cell r="M1393" t="str">
            <v>URBANO</v>
          </cell>
          <cell r="N1393">
            <v>44931</v>
          </cell>
          <cell r="O1393">
            <v>0</v>
          </cell>
          <cell r="P1393" t="str">
            <v>LITE</v>
          </cell>
        </row>
        <row r="1394">
          <cell r="A1394">
            <v>3267</v>
          </cell>
          <cell r="B1394">
            <v>3267</v>
          </cell>
          <cell r="C1394" t="str">
            <v>CERO MATRICULA</v>
          </cell>
          <cell r="D1394" t="str">
            <v>ACTIVO</v>
          </cell>
          <cell r="E1394" t="str">
            <v>U1H015</v>
          </cell>
          <cell r="F1394" t="str">
            <v>HILARES  UNTIVEROS CARLOS SILVETRE</v>
          </cell>
          <cell r="G1394" t="str">
            <v>HILARES  UNTIVEROS CARLOS SILVETRE</v>
          </cell>
          <cell r="H1394" t="str">
            <v>75421816</v>
          </cell>
          <cell r="I1394" t="str">
            <v>BCP</v>
          </cell>
          <cell r="J1394" t="str">
            <v>193-02818974-0-46</v>
          </cell>
          <cell r="K1394" t="str">
            <v>DNI</v>
          </cell>
          <cell r="L1394">
            <v>10754218164</v>
          </cell>
          <cell r="M1394" t="str">
            <v>AEROLINEAS</v>
          </cell>
          <cell r="N1394">
            <v>44923</v>
          </cell>
          <cell r="O1394">
            <v>0</v>
          </cell>
          <cell r="P1394" t="str">
            <v>LITE</v>
          </cell>
        </row>
        <row r="1395">
          <cell r="A1395">
            <v>3268</v>
          </cell>
          <cell r="B1395">
            <v>3268</v>
          </cell>
          <cell r="C1395" t="str">
            <v>CERO MATRICULA</v>
          </cell>
          <cell r="D1395" t="str">
            <v>ACTIVO</v>
          </cell>
          <cell r="E1395" t="str">
            <v>CCN544</v>
          </cell>
          <cell r="F1395" t="str">
            <v>DÍAS ROMERO JHONMY LUIS</v>
          </cell>
          <cell r="G1395" t="str">
            <v>TELLO LOPEZ DELICIA ELENA</v>
          </cell>
          <cell r="H1395" t="str">
            <v>48460029</v>
          </cell>
          <cell r="I1395" t="str">
            <v>BCP</v>
          </cell>
          <cell r="J1395" t="str">
            <v>194-28735721-0-79</v>
          </cell>
          <cell r="K1395" t="str">
            <v>DNI</v>
          </cell>
          <cell r="L1395">
            <v>10484600291</v>
          </cell>
          <cell r="M1395" t="str">
            <v>AEROLINEAS</v>
          </cell>
          <cell r="N1395">
            <v>44928</v>
          </cell>
          <cell r="O1395">
            <v>0</v>
          </cell>
          <cell r="P1395" t="str">
            <v>COMFORT XL</v>
          </cell>
        </row>
        <row r="1396">
          <cell r="A1396">
            <v>3269</v>
          </cell>
          <cell r="B1396">
            <v>3269</v>
          </cell>
          <cell r="C1396" t="str">
            <v>CERO MATRICULA</v>
          </cell>
          <cell r="D1396" t="str">
            <v>ACTIVO</v>
          </cell>
          <cell r="E1396" t="str">
            <v>BKY431</v>
          </cell>
          <cell r="F1396" t="str">
            <v xml:space="preserve">FERRER HOCMANN HANZ </v>
          </cell>
          <cell r="G1396" t="str">
            <v xml:space="preserve">FERRER HOCMANN HANZ </v>
          </cell>
          <cell r="H1396" t="str">
            <v>45644236</v>
          </cell>
          <cell r="I1396" t="str">
            <v>INTERBANK</v>
          </cell>
          <cell r="J1396" t="str">
            <v>898-3327169736</v>
          </cell>
          <cell r="K1396" t="str">
            <v>DNI</v>
          </cell>
          <cell r="L1396">
            <v>10456442361</v>
          </cell>
          <cell r="M1396" t="str">
            <v>AEROLINEAS</v>
          </cell>
          <cell r="N1396">
            <v>44924</v>
          </cell>
          <cell r="O1396">
            <v>0</v>
          </cell>
          <cell r="P1396" t="str">
            <v>VAN</v>
          </cell>
        </row>
        <row r="1397">
          <cell r="A1397">
            <v>3272</v>
          </cell>
          <cell r="B1397">
            <v>3272</v>
          </cell>
          <cell r="C1397" t="str">
            <v>CERO MATRICULA</v>
          </cell>
          <cell r="D1397" t="str">
            <v>ACTIVO</v>
          </cell>
          <cell r="E1397" t="str">
            <v>BVG694</v>
          </cell>
          <cell r="F1397" t="str">
            <v>NUÑEZ RUIZ CARLOS ALBERTO</v>
          </cell>
          <cell r="G1397" t="str">
            <v>NUÑEZ RUIZ CARLOS ALBERTO</v>
          </cell>
          <cell r="H1397" t="str">
            <v>49027502</v>
          </cell>
          <cell r="I1397" t="str">
            <v>BCP</v>
          </cell>
          <cell r="J1397" t="str">
            <v>191-94913077-0-92</v>
          </cell>
          <cell r="K1397" t="str">
            <v>DNI</v>
          </cell>
          <cell r="L1397">
            <v>10490275024</v>
          </cell>
          <cell r="M1397" t="str">
            <v>AEROLINEAS</v>
          </cell>
          <cell r="N1397">
            <v>44931</v>
          </cell>
          <cell r="O1397">
            <v>0</v>
          </cell>
          <cell r="P1397" t="str">
            <v>LITE</v>
          </cell>
        </row>
        <row r="1398">
          <cell r="A1398">
            <v>3273</v>
          </cell>
          <cell r="B1398">
            <v>3273</v>
          </cell>
          <cell r="C1398" t="str">
            <v>CERO MATRICULA</v>
          </cell>
          <cell r="D1398" t="str">
            <v>ACTIVO</v>
          </cell>
          <cell r="E1398" t="str">
            <v>BMY534</v>
          </cell>
          <cell r="F1398" t="str">
            <v>CHAVELON CUELLO LUIS HERNAN</v>
          </cell>
          <cell r="G1398" t="str">
            <v>CHAVELON CUELLO LUIS HERNAN</v>
          </cell>
          <cell r="H1398" t="str">
            <v>74395183</v>
          </cell>
          <cell r="I1398" t="str">
            <v>BCP</v>
          </cell>
          <cell r="J1398" t="str">
            <v>194-91161095-0-12</v>
          </cell>
          <cell r="K1398" t="str">
            <v>DNI</v>
          </cell>
          <cell r="L1398">
            <v>10743951838</v>
          </cell>
          <cell r="M1398" t="str">
            <v>AEROLINEAS</v>
          </cell>
          <cell r="N1398">
            <v>44931</v>
          </cell>
          <cell r="O1398">
            <v>0</v>
          </cell>
          <cell r="P1398" t="str">
            <v>XL</v>
          </cell>
        </row>
        <row r="1399">
          <cell r="A1399">
            <v>3274</v>
          </cell>
          <cell r="B1399">
            <v>3274</v>
          </cell>
          <cell r="C1399" t="str">
            <v>CERO MATRICULA</v>
          </cell>
          <cell r="D1399" t="str">
            <v>ACTIVO</v>
          </cell>
          <cell r="E1399" t="str">
            <v>BZB350</v>
          </cell>
          <cell r="F1399" t="str">
            <v>MENDOZA RIVERA MIGUEL ANGEL</v>
          </cell>
          <cell r="G1399" t="str">
            <v>MENDOZA RIVERA MIGUEL ANGEL</v>
          </cell>
          <cell r="H1399" t="str">
            <v>74623563</v>
          </cell>
          <cell r="I1399" t="str">
            <v>BCP</v>
          </cell>
          <cell r="J1399" t="str">
            <v>191-97879064-0-38</v>
          </cell>
          <cell r="K1399" t="str">
            <v>DNI</v>
          </cell>
          <cell r="L1399">
            <v>10746235637</v>
          </cell>
          <cell r="M1399" t="str">
            <v>AEROLINEAS</v>
          </cell>
          <cell r="N1399">
            <v>44937</v>
          </cell>
          <cell r="O1399">
            <v>0</v>
          </cell>
          <cell r="P1399" t="str">
            <v>COMFORT XL</v>
          </cell>
        </row>
        <row r="1400">
          <cell r="A1400">
            <v>3276</v>
          </cell>
          <cell r="B1400">
            <v>3276</v>
          </cell>
          <cell r="C1400" t="str">
            <v>CERO MATRICULA</v>
          </cell>
          <cell r="D1400" t="str">
            <v>ACTIVO</v>
          </cell>
          <cell r="E1400" t="str">
            <v>BZJ179</v>
          </cell>
          <cell r="F1400" t="str">
            <v>FLORES ALFONZO EDGAR DANIEL</v>
          </cell>
          <cell r="G1400" t="str">
            <v>FLORES ALFONZO EDGAR DANIEL</v>
          </cell>
          <cell r="H1400" t="str">
            <v>003854711</v>
          </cell>
          <cell r="I1400" t="str">
            <v>BCP</v>
          </cell>
          <cell r="J1400" t="str">
            <v>191-02584807-0-15</v>
          </cell>
          <cell r="K1400" t="str">
            <v>DNI</v>
          </cell>
          <cell r="L1400">
            <v>15610454868</v>
          </cell>
          <cell r="M1400" t="str">
            <v>AEROLINEAS</v>
          </cell>
          <cell r="N1400">
            <v>44937</v>
          </cell>
          <cell r="O1400">
            <v>0</v>
          </cell>
          <cell r="P1400" t="str">
            <v>COMFORT</v>
          </cell>
        </row>
        <row r="1401">
          <cell r="A1401">
            <v>3277</v>
          </cell>
          <cell r="B1401">
            <v>3277</v>
          </cell>
          <cell r="C1401" t="str">
            <v>CERO MATRICULA</v>
          </cell>
          <cell r="D1401" t="str">
            <v>ACTIVO</v>
          </cell>
          <cell r="E1401" t="str">
            <v>F0S653</v>
          </cell>
          <cell r="F1401" t="str">
            <v>OJEDA  BARRIENTOS  VICTOR JESUS</v>
          </cell>
          <cell r="G1401" t="str">
            <v>OJEDA  BARRIENTOS  VICTOR JESUS</v>
          </cell>
          <cell r="H1401" t="str">
            <v>45518712</v>
          </cell>
          <cell r="I1401" t="str">
            <v>SCOTIABANK</v>
          </cell>
          <cell r="J1401" t="str">
            <v>013-0879588</v>
          </cell>
          <cell r="K1401" t="str">
            <v>DNI</v>
          </cell>
          <cell r="L1401">
            <v>10455187121</v>
          </cell>
          <cell r="M1401" t="str">
            <v>AEROLINEAS</v>
          </cell>
          <cell r="N1401">
            <v>44937</v>
          </cell>
          <cell r="O1401">
            <v>0</v>
          </cell>
          <cell r="P1401" t="str">
            <v>COMFORT XL</v>
          </cell>
        </row>
        <row r="1402">
          <cell r="A1402">
            <v>3279</v>
          </cell>
          <cell r="B1402">
            <v>3279</v>
          </cell>
          <cell r="C1402" t="str">
            <v>CERO MATRICULA</v>
          </cell>
          <cell r="D1402" t="str">
            <v>ACTIVO</v>
          </cell>
          <cell r="E1402" t="str">
            <v>BZA673</v>
          </cell>
          <cell r="F1402" t="str">
            <v>MARTINEZ COTERA JOSUEL YERSON</v>
          </cell>
          <cell r="G1402" t="str">
            <v>MARTINEZ COTERA JOSUEL YERSON</v>
          </cell>
          <cell r="H1402" t="str">
            <v>46043308</v>
          </cell>
          <cell r="I1402" t="str">
            <v>CAJA HUANCAYO</v>
          </cell>
          <cell r="J1402" t="str">
            <v>808-08221100056964922</v>
          </cell>
          <cell r="K1402" t="str">
            <v>DNI</v>
          </cell>
          <cell r="L1402">
            <v>10460433083</v>
          </cell>
          <cell r="M1402" t="str">
            <v>AEROLINEAS</v>
          </cell>
          <cell r="N1402">
            <v>44936</v>
          </cell>
          <cell r="O1402">
            <v>0</v>
          </cell>
          <cell r="P1402" t="str">
            <v>COMFORT XL</v>
          </cell>
        </row>
        <row r="1403">
          <cell r="A1403">
            <v>3280</v>
          </cell>
          <cell r="B1403">
            <v>3280</v>
          </cell>
          <cell r="C1403" t="str">
            <v>CERO MATRICULA</v>
          </cell>
          <cell r="D1403" t="str">
            <v>ACTIVO</v>
          </cell>
          <cell r="E1403" t="str">
            <v>Z2X447</v>
          </cell>
          <cell r="F1403" t="str">
            <v>GUTIERREZ LOPEZ HEMERSON BENITO</v>
          </cell>
          <cell r="G1403" t="str">
            <v>GUTIERREZ LOPEZ HEMERSON BENITO</v>
          </cell>
          <cell r="H1403" t="str">
            <v>71889343</v>
          </cell>
          <cell r="I1403" t="str">
            <v>BCP</v>
          </cell>
          <cell r="J1403" t="str">
            <v>194-07413148-0-27</v>
          </cell>
          <cell r="K1403" t="str">
            <v>DNI</v>
          </cell>
          <cell r="L1403">
            <v>10718893432</v>
          </cell>
          <cell r="M1403" t="str">
            <v>AEROLINEAS</v>
          </cell>
          <cell r="N1403">
            <v>44935</v>
          </cell>
          <cell r="O1403">
            <v>0</v>
          </cell>
          <cell r="P1403" t="str">
            <v>LITE</v>
          </cell>
        </row>
        <row r="1404">
          <cell r="A1404">
            <v>3281</v>
          </cell>
          <cell r="B1404">
            <v>3281</v>
          </cell>
          <cell r="C1404" t="str">
            <v>CERO MATRICULA</v>
          </cell>
          <cell r="D1404" t="str">
            <v>ACTIVO</v>
          </cell>
          <cell r="E1404" t="str">
            <v>BZQ231</v>
          </cell>
          <cell r="F1404" t="str">
            <v>SANCHEZ RAMOS YAIR PAOLO</v>
          </cell>
          <cell r="G1404" t="str">
            <v>SANCHEZ RAMOS YAIR PAOLO</v>
          </cell>
          <cell r="H1404" t="str">
            <v>47092314</v>
          </cell>
          <cell r="I1404" t="str">
            <v>BBVA</v>
          </cell>
          <cell r="J1404" t="str">
            <v>0011-0426-0200139743</v>
          </cell>
          <cell r="K1404" t="str">
            <v>DNI</v>
          </cell>
          <cell r="L1404">
            <v>10470923143</v>
          </cell>
          <cell r="M1404" t="str">
            <v>AEROLINEAS</v>
          </cell>
          <cell r="N1404">
            <v>44935</v>
          </cell>
          <cell r="O1404">
            <v>0</v>
          </cell>
          <cell r="P1404" t="str">
            <v>LITE</v>
          </cell>
        </row>
        <row r="1405">
          <cell r="A1405">
            <v>3285</v>
          </cell>
          <cell r="B1405">
            <v>3285</v>
          </cell>
          <cell r="C1405" t="str">
            <v>CERO MATRICULA</v>
          </cell>
          <cell r="D1405" t="str">
            <v>ACTIVO</v>
          </cell>
          <cell r="E1405" t="str">
            <v>F5U219</v>
          </cell>
          <cell r="F1405" t="str">
            <v>SURITA CRUZ RODIN</v>
          </cell>
          <cell r="G1405" t="str">
            <v>SURITA CRUZ RODIN</v>
          </cell>
          <cell r="H1405" t="str">
            <v>09576717</v>
          </cell>
          <cell r="I1405" t="str">
            <v>BBVA</v>
          </cell>
          <cell r="J1405" t="str">
            <v>0011-08570200013328</v>
          </cell>
          <cell r="K1405" t="str">
            <v>DNI</v>
          </cell>
          <cell r="L1405">
            <v>10095767171</v>
          </cell>
          <cell r="M1405" t="str">
            <v>AEROLINEAS</v>
          </cell>
          <cell r="N1405">
            <v>44942</v>
          </cell>
          <cell r="O1405">
            <v>0</v>
          </cell>
          <cell r="P1405" t="str">
            <v>LITE</v>
          </cell>
        </row>
        <row r="1406">
          <cell r="A1406">
            <v>3288</v>
          </cell>
          <cell r="B1406">
            <v>3288</v>
          </cell>
          <cell r="C1406" t="str">
            <v>CERO MATRICULA</v>
          </cell>
          <cell r="D1406" t="str">
            <v>ACTIVO</v>
          </cell>
          <cell r="E1406" t="str">
            <v>CBI125</v>
          </cell>
          <cell r="F1406" t="str">
            <v>MUÑOZ  ESPINOZA JONATHAN FERNANDO</v>
          </cell>
          <cell r="G1406" t="str">
            <v>MUÑOZ  ESPINOZA JONATHAN FERNANDO</v>
          </cell>
          <cell r="H1406" t="str">
            <v>004210456</v>
          </cell>
          <cell r="I1406" t="str">
            <v>BCP</v>
          </cell>
          <cell r="J1406" t="str">
            <v>194-72045791-0-24</v>
          </cell>
          <cell r="K1406" t="str">
            <v>CE</v>
          </cell>
          <cell r="L1406">
            <v>15609932608</v>
          </cell>
          <cell r="M1406" t="str">
            <v>URBANO</v>
          </cell>
          <cell r="N1406">
            <v>45075</v>
          </cell>
          <cell r="O1406">
            <v>0</v>
          </cell>
          <cell r="P1406" t="str">
            <v>LITE</v>
          </cell>
        </row>
        <row r="1407">
          <cell r="A1407">
            <v>3289</v>
          </cell>
          <cell r="B1407">
            <v>3289</v>
          </cell>
          <cell r="C1407" t="str">
            <v>CERO MATRICULA</v>
          </cell>
          <cell r="D1407" t="str">
            <v>ACTIVO</v>
          </cell>
          <cell r="E1407" t="str">
            <v>BBM080</v>
          </cell>
          <cell r="F1407" t="str">
            <v>DEGLANE  BURLING ANTONIO CESAR</v>
          </cell>
          <cell r="G1407" t="str">
            <v>DEGLANE  BURLING ANTONIO CESAR</v>
          </cell>
          <cell r="H1407" t="str">
            <v>08395255</v>
          </cell>
          <cell r="I1407" t="str">
            <v>BCP</v>
          </cell>
          <cell r="J1407" t="str">
            <v>191-99059899-0-01</v>
          </cell>
          <cell r="K1407" t="str">
            <v>DNI</v>
          </cell>
          <cell r="L1407">
            <v>10083952551</v>
          </cell>
          <cell r="M1407" t="str">
            <v>AEROLINEAS</v>
          </cell>
          <cell r="N1407">
            <v>44937</v>
          </cell>
          <cell r="O1407">
            <v>0</v>
          </cell>
          <cell r="P1407" t="str">
            <v>COMFORT</v>
          </cell>
        </row>
        <row r="1408">
          <cell r="A1408">
            <v>3290</v>
          </cell>
          <cell r="B1408">
            <v>3290</v>
          </cell>
          <cell r="C1408" t="str">
            <v>CERO MATRICULA</v>
          </cell>
          <cell r="D1408" t="str">
            <v>ACTIVO</v>
          </cell>
          <cell r="E1408" t="str">
            <v>F0S653</v>
          </cell>
          <cell r="F1408" t="str">
            <v>LINARES BENAVENTE MARCO ANTONIO</v>
          </cell>
          <cell r="G1408" t="str">
            <v>LINARES BENAVENTE MARCO ANTONIO</v>
          </cell>
          <cell r="H1408" t="str">
            <v>45350362</v>
          </cell>
          <cell r="I1408" t="str">
            <v>INTERBANK</v>
          </cell>
          <cell r="J1408" t="str">
            <v>8983-3048-7271-5</v>
          </cell>
          <cell r="K1408" t="str">
            <v>DNI</v>
          </cell>
          <cell r="L1408">
            <v>10453503629</v>
          </cell>
          <cell r="M1408" t="str">
            <v>AEROLINEAS</v>
          </cell>
          <cell r="N1408">
            <v>44965</v>
          </cell>
          <cell r="O1408">
            <v>0</v>
          </cell>
          <cell r="P1408" t="str">
            <v>COMFORT XL</v>
          </cell>
        </row>
        <row r="1409">
          <cell r="A1409">
            <v>3292</v>
          </cell>
          <cell r="B1409">
            <v>3292</v>
          </cell>
          <cell r="C1409" t="str">
            <v>CERO MATRICULA</v>
          </cell>
          <cell r="D1409" t="str">
            <v>ACTIVO</v>
          </cell>
          <cell r="E1409" t="str">
            <v>Z6Q201</v>
          </cell>
          <cell r="F1409" t="str">
            <v>ROMERO CARLOS EDUARDO</v>
          </cell>
          <cell r="G1409" t="str">
            <v>LOPEZ CORREA AURA MARIA</v>
          </cell>
          <cell r="H1409" t="str">
            <v>007905166</v>
          </cell>
          <cell r="I1409" t="str">
            <v>INTERBANK</v>
          </cell>
          <cell r="J1409" t="str">
            <v>1403360042422</v>
          </cell>
          <cell r="K1409" t="str">
            <v>CE</v>
          </cell>
          <cell r="L1409">
            <v>15612946091</v>
          </cell>
          <cell r="M1409" t="str">
            <v>AEROPUERTO</v>
          </cell>
          <cell r="N1409">
            <v>44970</v>
          </cell>
          <cell r="O1409">
            <v>265</v>
          </cell>
          <cell r="P1409" t="str">
            <v>LITE</v>
          </cell>
        </row>
        <row r="1410">
          <cell r="A1410">
            <v>3293</v>
          </cell>
          <cell r="B1410">
            <v>3293</v>
          </cell>
          <cell r="C1410" t="str">
            <v>CERO MATRICULA</v>
          </cell>
          <cell r="D1410" t="str">
            <v>ACTIVO</v>
          </cell>
          <cell r="E1410" t="str">
            <v>BEZ136</v>
          </cell>
          <cell r="F1410" t="str">
            <v>HIDALGOARTEAGA PEDRO LUIS</v>
          </cell>
          <cell r="G1410" t="str">
            <v>HIDALGO ARTEAGA PEDRO LUIS</v>
          </cell>
          <cell r="H1410" t="str">
            <v>002027133</v>
          </cell>
          <cell r="I1410" t="str">
            <v>BCP</v>
          </cell>
          <cell r="J1410" t="str">
            <v>192-39416898-0-46</v>
          </cell>
          <cell r="K1410" t="str">
            <v>CE</v>
          </cell>
          <cell r="L1410">
            <v>15602767032</v>
          </cell>
          <cell r="M1410" t="str">
            <v>AEROPUERTO</v>
          </cell>
          <cell r="N1410">
            <v>44977</v>
          </cell>
          <cell r="O1410">
            <v>265</v>
          </cell>
          <cell r="P1410" t="str">
            <v>LITE</v>
          </cell>
        </row>
        <row r="1411">
          <cell r="A1411">
            <v>3294</v>
          </cell>
          <cell r="B1411">
            <v>3294</v>
          </cell>
          <cell r="C1411" t="str">
            <v>CERO MATRICULA</v>
          </cell>
          <cell r="D1411" t="str">
            <v>ACTIVO</v>
          </cell>
          <cell r="E1411" t="str">
            <v>CBA429</v>
          </cell>
          <cell r="F1411" t="str">
            <v>CORZO BARDALES VICTOR ANDRES</v>
          </cell>
          <cell r="G1411" t="str">
            <v>Antonio Guevara Torres</v>
          </cell>
          <cell r="H1411" t="str">
            <v>02890090</v>
          </cell>
          <cell r="I1411" t="str">
            <v>BCP</v>
          </cell>
          <cell r="J1411" t="str">
            <v>19335675497053</v>
          </cell>
          <cell r="K1411" t="str">
            <v>DNI</v>
          </cell>
          <cell r="L1411">
            <v>10028900908</v>
          </cell>
          <cell r="M1411" t="str">
            <v>URBANO PARTNER</v>
          </cell>
          <cell r="N1411">
            <v>44964</v>
          </cell>
          <cell r="O1411">
            <v>0</v>
          </cell>
          <cell r="P1411" t="str">
            <v>COMFORT XL</v>
          </cell>
        </row>
        <row r="1412">
          <cell r="A1412">
            <v>3295</v>
          </cell>
          <cell r="B1412">
            <v>3295</v>
          </cell>
          <cell r="C1412" t="str">
            <v>CERO MATRICULA</v>
          </cell>
          <cell r="D1412" t="str">
            <v>ACTIVO</v>
          </cell>
          <cell r="E1412" t="str">
            <v>Z7B444</v>
          </cell>
          <cell r="F1412" t="str">
            <v>IZAGUIRRE AVALOS PEDRO ALEJANDRO</v>
          </cell>
          <cell r="G1412" t="str">
            <v>IZAGUIRRE AVALOS PEDRO ALEJANDRO</v>
          </cell>
          <cell r="H1412" t="str">
            <v>08523676</v>
          </cell>
          <cell r="I1412" t="str">
            <v>INTERBANK</v>
          </cell>
          <cell r="J1412" t="str">
            <v>2003-0491-7062-4</v>
          </cell>
          <cell r="K1412" t="str">
            <v>DNI</v>
          </cell>
          <cell r="L1412">
            <v>10085236763</v>
          </cell>
          <cell r="M1412" t="str">
            <v>URBANO</v>
          </cell>
          <cell r="N1412">
            <v>44964</v>
          </cell>
          <cell r="O1412">
            <v>0</v>
          </cell>
          <cell r="P1412" t="str">
            <v>LITE</v>
          </cell>
        </row>
        <row r="1413">
          <cell r="A1413">
            <v>3296</v>
          </cell>
          <cell r="B1413">
            <v>3296</v>
          </cell>
          <cell r="C1413" t="str">
            <v>CERO MATRICULA</v>
          </cell>
          <cell r="D1413" t="str">
            <v>ACTIVO</v>
          </cell>
          <cell r="E1413" t="str">
            <v>BWH167</v>
          </cell>
          <cell r="F1413" t="str">
            <v>MENDOZA CORTEZ ANTHONY JEAN CARLOS</v>
          </cell>
          <cell r="G1413" t="str">
            <v>MENDOZA CORTEZ ANTHONY JEAN CARLOS</v>
          </cell>
          <cell r="H1413" t="str">
            <v>45870477</v>
          </cell>
          <cell r="I1413" t="str">
            <v>BCP</v>
          </cell>
          <cell r="J1413" t="str">
            <v>191-02815051-0-84</v>
          </cell>
          <cell r="K1413" t="str">
            <v>DNI</v>
          </cell>
          <cell r="L1413">
            <v>10458704771</v>
          </cell>
          <cell r="M1413" t="str">
            <v>AEROLINEAS</v>
          </cell>
          <cell r="N1413">
            <v>45006</v>
          </cell>
          <cell r="O1413">
            <v>0</v>
          </cell>
          <cell r="P1413" t="str">
            <v>LITE</v>
          </cell>
        </row>
        <row r="1414">
          <cell r="A1414">
            <v>3299</v>
          </cell>
          <cell r="B1414">
            <v>3299</v>
          </cell>
          <cell r="C1414" t="str">
            <v>CERO MATRICULA</v>
          </cell>
          <cell r="D1414" t="str">
            <v>ACTIVO</v>
          </cell>
          <cell r="E1414" t="str">
            <v>ATO643</v>
          </cell>
          <cell r="F1414" t="str">
            <v>CRISOSTOMO LLANOVARCED CARLOS ALFREDO</v>
          </cell>
          <cell r="G1414" t="str">
            <v>CRISOSTOMO LLANOVARCED CARLOS ALFREDO</v>
          </cell>
          <cell r="H1414" t="str">
            <v>20024400</v>
          </cell>
          <cell r="I1414" t="str">
            <v>BCP</v>
          </cell>
          <cell r="J1414" t="str">
            <v>191-38681043-0-59</v>
          </cell>
          <cell r="K1414" t="str">
            <v>DNI</v>
          </cell>
          <cell r="L1414">
            <v>10200244007</v>
          </cell>
          <cell r="M1414" t="str">
            <v>AEROLINEAS</v>
          </cell>
          <cell r="N1414">
            <v>45005</v>
          </cell>
          <cell r="O1414">
            <v>0</v>
          </cell>
          <cell r="P1414" t="str">
            <v>LITE</v>
          </cell>
        </row>
        <row r="1415">
          <cell r="A1415">
            <v>3300</v>
          </cell>
          <cell r="B1415">
            <v>3300</v>
          </cell>
          <cell r="C1415" t="str">
            <v>CERO MATRICULA</v>
          </cell>
          <cell r="D1415" t="str">
            <v>ACTIVO</v>
          </cell>
          <cell r="E1415" t="str">
            <v xml:space="preserve">AVC061 </v>
          </cell>
          <cell r="F1415" t="str">
            <v>MATTA QUEZADA PIER JHEFERSON</v>
          </cell>
          <cell r="G1415" t="str">
            <v>MATTA QUEZADA PIER JHEFERSON</v>
          </cell>
          <cell r="H1415" t="str">
            <v>70085608</v>
          </cell>
          <cell r="I1415" t="str">
            <v>BCP</v>
          </cell>
          <cell r="J1415" t="str">
            <v>191-94585173-0-76</v>
          </cell>
          <cell r="K1415" t="str">
            <v>DNI</v>
          </cell>
          <cell r="L1415">
            <v>10700856084</v>
          </cell>
          <cell r="M1415" t="str">
            <v>AEROLINEAS</v>
          </cell>
          <cell r="N1415">
            <v>45005</v>
          </cell>
          <cell r="O1415">
            <v>0</v>
          </cell>
          <cell r="P1415" t="str">
            <v>COMFORT XL</v>
          </cell>
        </row>
        <row r="1416">
          <cell r="A1416">
            <v>3301</v>
          </cell>
          <cell r="B1416">
            <v>3301</v>
          </cell>
          <cell r="C1416" t="str">
            <v>CERO MATRICULA</v>
          </cell>
          <cell r="D1416" t="str">
            <v>ACTIVO</v>
          </cell>
          <cell r="E1416" t="str">
            <v>CAO563</v>
          </cell>
          <cell r="F1416" t="str">
            <v>BARRERA PINO LUIS ENRIQUE</v>
          </cell>
          <cell r="G1416" t="str">
            <v>BARRERA PINO LUIS ENRIQUE</v>
          </cell>
          <cell r="H1416" t="str">
            <v>08671021</v>
          </cell>
          <cell r="I1416" t="str">
            <v>BCP</v>
          </cell>
          <cell r="J1416" t="str">
            <v>192-73196694-0-52</v>
          </cell>
          <cell r="K1416" t="str">
            <v>DNI</v>
          </cell>
          <cell r="L1416">
            <v>10086710213</v>
          </cell>
          <cell r="M1416" t="str">
            <v>AEROLINEAS</v>
          </cell>
          <cell r="N1416">
            <v>45006</v>
          </cell>
          <cell r="O1416">
            <v>0</v>
          </cell>
          <cell r="P1416" t="str">
            <v>COMFORT XL</v>
          </cell>
        </row>
        <row r="1417">
          <cell r="A1417">
            <v>3303</v>
          </cell>
          <cell r="B1417">
            <v>3303</v>
          </cell>
          <cell r="C1417" t="str">
            <v>CERO MATRICULA</v>
          </cell>
          <cell r="D1417" t="str">
            <v>ACTIVO</v>
          </cell>
          <cell r="E1417" t="str">
            <v>CDA458</v>
          </cell>
          <cell r="F1417" t="str">
            <v>DURAND POMA CHRISTOPHER</v>
          </cell>
          <cell r="G1417" t="str">
            <v>DURAND POMA CHRISTOPHER</v>
          </cell>
          <cell r="H1417"/>
          <cell r="I1417" t="str">
            <v>BCP</v>
          </cell>
          <cell r="J1417" t="str">
            <v>19490762693085</v>
          </cell>
          <cell r="K1417" t="str">
            <v>DNI</v>
          </cell>
          <cell r="L1417">
            <v>10472780269</v>
          </cell>
          <cell r="M1417" t="str">
            <v>URBANO</v>
          </cell>
          <cell r="N1417">
            <v>45103</v>
          </cell>
          <cell r="O1417">
            <v>0</v>
          </cell>
          <cell r="P1417" t="str">
            <v>COMFORT XL</v>
          </cell>
        </row>
        <row r="1418">
          <cell r="A1418">
            <v>3304</v>
          </cell>
          <cell r="B1418">
            <v>3304</v>
          </cell>
          <cell r="C1418" t="str">
            <v>CERO MATRICULA</v>
          </cell>
          <cell r="D1418" t="str">
            <v>ACTIVO</v>
          </cell>
          <cell r="E1418" t="str">
            <v>CBH223</v>
          </cell>
          <cell r="F1418" t="str">
            <v xml:space="preserve">FELIX CHOCOS RAUL ALEXIS </v>
          </cell>
          <cell r="G1418" t="str">
            <v xml:space="preserve">FELIX CHOCOS RAUL ALEXIS </v>
          </cell>
          <cell r="H1418" t="str">
            <v>44992594</v>
          </cell>
          <cell r="I1418" t="str">
            <v>BBVA</v>
          </cell>
          <cell r="J1418" t="str">
            <v>0011-0847-0200204056</v>
          </cell>
          <cell r="K1418" t="str">
            <v>DNI</v>
          </cell>
          <cell r="L1418">
            <v>10449925942</v>
          </cell>
          <cell r="M1418" t="str">
            <v>AEROLINEAS</v>
          </cell>
          <cell r="N1418">
            <v>45006</v>
          </cell>
          <cell r="O1418">
            <v>0</v>
          </cell>
          <cell r="P1418" t="str">
            <v>COMFORT XL</v>
          </cell>
        </row>
        <row r="1419">
          <cell r="A1419">
            <v>3307</v>
          </cell>
          <cell r="B1419">
            <v>3307</v>
          </cell>
          <cell r="C1419" t="str">
            <v>CERO MATRICULA</v>
          </cell>
          <cell r="D1419" t="str">
            <v>ACTIVO</v>
          </cell>
          <cell r="E1419" t="str">
            <v>CDJ266</v>
          </cell>
          <cell r="F1419" t="str">
            <v>QUISPE HUAPAYA AMILKAR ANDRE</v>
          </cell>
          <cell r="G1419" t="str">
            <v>QUISPE HUAPAYA AMILKAR ANDRE</v>
          </cell>
          <cell r="H1419" t="str">
            <v>75417227</v>
          </cell>
          <cell r="I1419" t="str">
            <v>BBVA</v>
          </cell>
          <cell r="J1419" t="str">
            <v>0011-0814-0224117294</v>
          </cell>
          <cell r="K1419" t="str">
            <v>DNI</v>
          </cell>
          <cell r="L1419">
            <v>10754172270</v>
          </cell>
          <cell r="M1419" t="str">
            <v>AEROLINEAS</v>
          </cell>
          <cell r="N1419">
            <v>45006</v>
          </cell>
          <cell r="O1419">
            <v>0</v>
          </cell>
          <cell r="P1419" t="str">
            <v>COMFORT XL</v>
          </cell>
        </row>
        <row r="1420">
          <cell r="A1420">
            <v>3308</v>
          </cell>
          <cell r="B1420">
            <v>3308</v>
          </cell>
          <cell r="C1420" t="str">
            <v>CERO MATRICULA</v>
          </cell>
          <cell r="D1420" t="str">
            <v>ACTIVO</v>
          </cell>
          <cell r="E1420" t="str">
            <v>CBO090</v>
          </cell>
          <cell r="F1420" t="str">
            <v>TICONA CHOQUE JHON DEYVI</v>
          </cell>
          <cell r="G1420" t="str">
            <v>TICONA CHOQUE JHON DEYVI</v>
          </cell>
          <cell r="H1420" t="str">
            <v>43500455</v>
          </cell>
          <cell r="I1420" t="str">
            <v>BCP</v>
          </cell>
          <cell r="J1420" t="str">
            <v>191-03785176-0-08</v>
          </cell>
          <cell r="K1420" t="str">
            <v>DNI</v>
          </cell>
          <cell r="L1420">
            <v>10435004551</v>
          </cell>
          <cell r="M1420" t="str">
            <v>AEROLINEAS</v>
          </cell>
          <cell r="N1420">
            <v>45008</v>
          </cell>
          <cell r="O1420">
            <v>0</v>
          </cell>
          <cell r="P1420" t="str">
            <v>COMFORT XL</v>
          </cell>
        </row>
        <row r="1421">
          <cell r="A1421">
            <v>3309</v>
          </cell>
          <cell r="B1421">
            <v>3309</v>
          </cell>
          <cell r="C1421" t="str">
            <v>CERO MATRICULA</v>
          </cell>
          <cell r="D1421" t="str">
            <v>ACTIVO</v>
          </cell>
          <cell r="E1421" t="str">
            <v>BWE239</v>
          </cell>
          <cell r="F1421" t="str">
            <v>GIRALDO ORTIZ JHONATHAN PUL</v>
          </cell>
          <cell r="G1421" t="str">
            <v>GIRALDO  ORTIZ JHONATHAN PUL</v>
          </cell>
          <cell r="H1421" t="str">
            <v>42143309</v>
          </cell>
          <cell r="I1421" t="str">
            <v>BCP</v>
          </cell>
          <cell r="J1421" t="str">
            <v>193-92259198-0-06</v>
          </cell>
          <cell r="K1421" t="str">
            <v>DNI</v>
          </cell>
          <cell r="L1421">
            <v>10421433092</v>
          </cell>
          <cell r="M1421" t="str">
            <v>AEROLINEAS</v>
          </cell>
          <cell r="N1421">
            <v>45007</v>
          </cell>
          <cell r="O1421">
            <v>0</v>
          </cell>
          <cell r="P1421" t="str">
            <v>LITE</v>
          </cell>
        </row>
        <row r="1422">
          <cell r="A1422">
            <v>3310</v>
          </cell>
          <cell r="B1422">
            <v>3310</v>
          </cell>
          <cell r="C1422" t="str">
            <v>CERO MATRICULA</v>
          </cell>
          <cell r="D1422" t="str">
            <v>ACTIVO</v>
          </cell>
          <cell r="E1422" t="str">
            <v>CCA152</v>
          </cell>
          <cell r="F1422" t="str">
            <v>SOLANO RODRIGUEZ JOSE ANTONIO</v>
          </cell>
          <cell r="G1422" t="str">
            <v>SOLANO RODRIGUEZ JOSE ANTONIO</v>
          </cell>
          <cell r="H1422" t="str">
            <v>72710636</v>
          </cell>
          <cell r="I1422" t="str">
            <v>BCP</v>
          </cell>
          <cell r="J1422" t="str">
            <v>191-99548643-0-82</v>
          </cell>
          <cell r="K1422" t="str">
            <v>DNI</v>
          </cell>
          <cell r="L1422">
            <v>10727106362</v>
          </cell>
          <cell r="M1422" t="str">
            <v>AEROLINEAS</v>
          </cell>
          <cell r="N1422">
            <v>45012</v>
          </cell>
          <cell r="O1422">
            <v>0</v>
          </cell>
          <cell r="P1422" t="str">
            <v>COMFORT</v>
          </cell>
        </row>
        <row r="1423">
          <cell r="A1423">
            <v>3311</v>
          </cell>
          <cell r="B1423">
            <v>3311</v>
          </cell>
          <cell r="C1423" t="str">
            <v>CERO MATRICULA</v>
          </cell>
          <cell r="D1423" t="str">
            <v>ACTIVO</v>
          </cell>
          <cell r="E1423" t="str">
            <v>BNU428</v>
          </cell>
          <cell r="F1423" t="str">
            <v>GUILARTE ANDRADE MIGUEL ALEJANDRO</v>
          </cell>
          <cell r="G1423" t="str">
            <v>GUILARTE ANDRADE MIGUEL ALEJANDRO</v>
          </cell>
          <cell r="H1423" t="str">
            <v>002869181</v>
          </cell>
          <cell r="I1423" t="str">
            <v>BCP</v>
          </cell>
          <cell r="J1423" t="str">
            <v>192-91128419-0-06</v>
          </cell>
          <cell r="K1423" t="str">
            <v>CE</v>
          </cell>
          <cell r="L1423">
            <v>15608175901</v>
          </cell>
          <cell r="M1423" t="str">
            <v>AEROPUERTO</v>
          </cell>
          <cell r="N1423">
            <v>45019</v>
          </cell>
          <cell r="O1423">
            <v>265</v>
          </cell>
          <cell r="P1423" t="str">
            <v>LITE</v>
          </cell>
        </row>
        <row r="1424">
          <cell r="A1424">
            <v>3312</v>
          </cell>
          <cell r="B1424">
            <v>3312</v>
          </cell>
          <cell r="C1424" t="str">
            <v>CERO MATRICULA</v>
          </cell>
          <cell r="D1424" t="str">
            <v>ACTIVO</v>
          </cell>
          <cell r="E1424" t="str">
            <v>AWZ125</v>
          </cell>
          <cell r="F1424" t="str">
            <v>MOLLE CRUZ RICHARD</v>
          </cell>
          <cell r="G1424" t="str">
            <v>MOLLE CRUZ RICHARD</v>
          </cell>
          <cell r="H1424" t="str">
            <v>40516000</v>
          </cell>
          <cell r="I1424" t="str">
            <v>BCP</v>
          </cell>
          <cell r="J1424" t="str">
            <v>191-77765605-0-14</v>
          </cell>
          <cell r="K1424" t="str">
            <v>DNI</v>
          </cell>
          <cell r="L1424">
            <v>10405160001</v>
          </cell>
          <cell r="M1424" t="str">
            <v>AEROLINEAS</v>
          </cell>
          <cell r="N1424">
            <v>45009</v>
          </cell>
          <cell r="O1424">
            <v>0</v>
          </cell>
          <cell r="P1424" t="str">
            <v>LITE</v>
          </cell>
        </row>
        <row r="1425">
          <cell r="A1425">
            <v>3315</v>
          </cell>
          <cell r="B1425">
            <v>3315</v>
          </cell>
          <cell r="C1425" t="str">
            <v>CERO MATRICULA</v>
          </cell>
          <cell r="D1425" t="str">
            <v>ACTIVO</v>
          </cell>
          <cell r="E1425" t="str">
            <v>V9J014</v>
          </cell>
          <cell r="F1425" t="str">
            <v>ORE PITTMAN ABEL</v>
          </cell>
          <cell r="G1425" t="str">
            <v>ORE PITTMAN ABEL</v>
          </cell>
          <cell r="H1425" t="str">
            <v>45461745</v>
          </cell>
          <cell r="I1425" t="str">
            <v>INTERBANK</v>
          </cell>
          <cell r="J1425" t="str">
            <v>898-3280207758</v>
          </cell>
          <cell r="K1425" t="str">
            <v>DNI</v>
          </cell>
          <cell r="L1425">
            <v>10454617458</v>
          </cell>
          <cell r="M1425" t="str">
            <v>URBANO</v>
          </cell>
          <cell r="N1425">
            <v>45029</v>
          </cell>
          <cell r="O1425">
            <v>0</v>
          </cell>
          <cell r="P1425" t="str">
            <v>COMFORT XL</v>
          </cell>
        </row>
        <row r="1426">
          <cell r="A1426">
            <v>3316</v>
          </cell>
          <cell r="B1426">
            <v>3316</v>
          </cell>
          <cell r="C1426" t="str">
            <v>CERO MATRICULA</v>
          </cell>
          <cell r="D1426" t="str">
            <v>ACTIVO</v>
          </cell>
          <cell r="E1426" t="str">
            <v>CEH348</v>
          </cell>
          <cell r="F1426" t="str">
            <v>ECHEVARRIA DIAZ ALEJANDRO</v>
          </cell>
          <cell r="G1426" t="str">
            <v>RUIZ  TORRES CHRISTOPHER</v>
          </cell>
          <cell r="H1426" t="str">
            <v>73024382</v>
          </cell>
          <cell r="I1426" t="str">
            <v>BCP</v>
          </cell>
          <cell r="J1426" t="str">
            <v>192-00916752-0-10</v>
          </cell>
          <cell r="K1426" t="str">
            <v>DNI</v>
          </cell>
          <cell r="L1426">
            <v>10730243826</v>
          </cell>
          <cell r="M1426" t="str">
            <v>AEROLINEAS</v>
          </cell>
          <cell r="N1426">
            <v>45035</v>
          </cell>
          <cell r="O1426">
            <v>0</v>
          </cell>
          <cell r="P1426" t="str">
            <v>LITE</v>
          </cell>
        </row>
        <row r="1427">
          <cell r="A1427">
            <v>3318</v>
          </cell>
          <cell r="B1427">
            <v>3318</v>
          </cell>
          <cell r="C1427" t="str">
            <v>CERO MATRICULA</v>
          </cell>
          <cell r="D1427" t="str">
            <v>ACTIVO</v>
          </cell>
          <cell r="E1427" t="str">
            <v>CBY363</v>
          </cell>
          <cell r="F1427" t="str">
            <v>SANCHEZ MONTERROSO CESAR</v>
          </cell>
          <cell r="G1427" t="str">
            <v>SANCHEZ MONTERROSO CESAR</v>
          </cell>
          <cell r="H1427" t="str">
            <v>41194601</v>
          </cell>
          <cell r="I1427" t="str">
            <v>BCP</v>
          </cell>
          <cell r="J1427" t="str">
            <v>191-97038288-0-70</v>
          </cell>
          <cell r="K1427" t="str">
            <v>DNI</v>
          </cell>
          <cell r="L1427">
            <v>10411946016</v>
          </cell>
          <cell r="M1427" t="str">
            <v>AEROLINEAS</v>
          </cell>
          <cell r="N1427">
            <v>45030</v>
          </cell>
          <cell r="O1427">
            <v>0</v>
          </cell>
          <cell r="P1427" t="str">
            <v>COMFORT</v>
          </cell>
        </row>
        <row r="1428">
          <cell r="A1428">
            <v>3319</v>
          </cell>
          <cell r="B1428">
            <v>3319</v>
          </cell>
          <cell r="C1428" t="str">
            <v>CERO MATRICULA</v>
          </cell>
          <cell r="D1428" t="str">
            <v>ACTIVO</v>
          </cell>
          <cell r="E1428" t="str">
            <v>BTL257</v>
          </cell>
          <cell r="F1428" t="str">
            <v>CASTILLO  NEIRA JUAN MANUEL</v>
          </cell>
          <cell r="G1428" t="str">
            <v>CASTILLO NEYRA JUAN MANUEL</v>
          </cell>
          <cell r="H1428" t="str">
            <v>44723290</v>
          </cell>
          <cell r="I1428" t="str">
            <v>BCP</v>
          </cell>
          <cell r="J1428" t="str">
            <v>192-369-17746-0-50</v>
          </cell>
          <cell r="K1428" t="str">
            <v>DNI</v>
          </cell>
          <cell r="L1428">
            <v>10447232907</v>
          </cell>
          <cell r="M1428" t="str">
            <v>AEROLINEAS</v>
          </cell>
          <cell r="N1428">
            <v>45028</v>
          </cell>
          <cell r="O1428">
            <v>0</v>
          </cell>
          <cell r="P1428" t="str">
            <v>COMFORT XL</v>
          </cell>
        </row>
        <row r="1429">
          <cell r="A1429">
            <v>3322</v>
          </cell>
          <cell r="B1429">
            <v>3322</v>
          </cell>
          <cell r="C1429" t="str">
            <v>CERO MATRICULA</v>
          </cell>
          <cell r="D1429" t="str">
            <v>ACTIVO</v>
          </cell>
          <cell r="E1429" t="str">
            <v>BTF483</v>
          </cell>
          <cell r="F1429" t="str">
            <v>SAAVEDRA DE LA CRUZ DANIEL</v>
          </cell>
          <cell r="G1429" t="str">
            <v>SAAVEDRA DE LA CRUZ DANIEL</v>
          </cell>
          <cell r="H1429" t="str">
            <v>42357605</v>
          </cell>
          <cell r="I1429" t="str">
            <v>BBVA</v>
          </cell>
          <cell r="J1429" t="str">
            <v>0011-0814-0223626039</v>
          </cell>
          <cell r="K1429" t="str">
            <v>DNI</v>
          </cell>
          <cell r="L1429">
            <v>10423576052</v>
          </cell>
          <cell r="M1429" t="str">
            <v>URBANO</v>
          </cell>
          <cell r="N1429">
            <v>45068</v>
          </cell>
          <cell r="O1429">
            <v>0</v>
          </cell>
          <cell r="P1429" t="str">
            <v>XL</v>
          </cell>
        </row>
        <row r="1430">
          <cell r="A1430">
            <v>3324</v>
          </cell>
          <cell r="B1430">
            <v>3324</v>
          </cell>
          <cell r="C1430" t="str">
            <v>CERO MATRICULA</v>
          </cell>
          <cell r="D1430" t="str">
            <v>ACTIVO</v>
          </cell>
          <cell r="E1430" t="str">
            <v>CDX681</v>
          </cell>
          <cell r="F1430" t="str">
            <v>CONTRERAS BENITES JESUS</v>
          </cell>
          <cell r="G1430" t="str">
            <v>MEZA ARELLANO WILMER ADOLFO</v>
          </cell>
          <cell r="H1430" t="str">
            <v>47215119</v>
          </cell>
          <cell r="I1430" t="str">
            <v>BCP</v>
          </cell>
          <cell r="J1430" t="str">
            <v>191-77692498-0-68</v>
          </cell>
          <cell r="K1430" t="str">
            <v>DNI</v>
          </cell>
          <cell r="L1430">
            <v>10472151199</v>
          </cell>
          <cell r="M1430" t="str">
            <v>AEROLINEAS</v>
          </cell>
          <cell r="N1430">
            <v>45029</v>
          </cell>
          <cell r="O1430">
            <v>0</v>
          </cell>
          <cell r="P1430" t="str">
            <v>LITE</v>
          </cell>
        </row>
        <row r="1431">
          <cell r="A1431">
            <v>3325</v>
          </cell>
          <cell r="B1431">
            <v>3325</v>
          </cell>
          <cell r="C1431" t="str">
            <v>CERO MATRICULA</v>
          </cell>
          <cell r="D1431" t="str">
            <v>ACTIVO</v>
          </cell>
          <cell r="E1431" t="str">
            <v>BTY687</v>
          </cell>
          <cell r="F1431" t="str">
            <v xml:space="preserve">MONTEBLANCO PIEDRA JESUS </v>
          </cell>
          <cell r="G1431" t="str">
            <v>MONTEBLANCO PIEDRA JESUS</v>
          </cell>
          <cell r="H1431" t="str">
            <v>42453490</v>
          </cell>
          <cell r="I1431" t="str">
            <v>BCP</v>
          </cell>
          <cell r="J1431" t="str">
            <v>191-72128395-0-62</v>
          </cell>
          <cell r="K1431" t="str">
            <v>DNI</v>
          </cell>
          <cell r="L1431">
            <v>10424534906</v>
          </cell>
          <cell r="M1431" t="str">
            <v>AEROLINEAS</v>
          </cell>
          <cell r="N1431">
            <v>45030</v>
          </cell>
          <cell r="O1431">
            <v>0</v>
          </cell>
          <cell r="P1431" t="str">
            <v>COMFORT XL</v>
          </cell>
        </row>
        <row r="1432">
          <cell r="A1432">
            <v>3327</v>
          </cell>
          <cell r="B1432">
            <v>3327</v>
          </cell>
          <cell r="C1432" t="str">
            <v>CERO MATRICULA</v>
          </cell>
          <cell r="D1432" t="str">
            <v>ACTIVO</v>
          </cell>
          <cell r="E1432" t="str">
            <v>CDN142</v>
          </cell>
          <cell r="F1432" t="str">
            <v>MIRANDA PALLETE GIAN MARCO</v>
          </cell>
          <cell r="G1432" t="str">
            <v>MIRANDA PALLETE GIAN MARCO</v>
          </cell>
          <cell r="H1432" t="str">
            <v>72247798</v>
          </cell>
          <cell r="I1432" t="str">
            <v>INTERBANK</v>
          </cell>
          <cell r="J1432" t="str">
            <v>898-3287120437</v>
          </cell>
          <cell r="K1432" t="str">
            <v>DNI</v>
          </cell>
          <cell r="L1432">
            <v>10722477982</v>
          </cell>
          <cell r="M1432" t="str">
            <v>AEROLINEAS</v>
          </cell>
          <cell r="N1432">
            <v>45032</v>
          </cell>
          <cell r="O1432">
            <v>0</v>
          </cell>
          <cell r="P1432" t="str">
            <v>COMFORT XL</v>
          </cell>
        </row>
        <row r="1433">
          <cell r="A1433">
            <v>3328</v>
          </cell>
          <cell r="B1433">
            <v>3328</v>
          </cell>
          <cell r="C1433" t="str">
            <v>CERO MATRICULA</v>
          </cell>
          <cell r="D1433" t="str">
            <v>ACTIVO</v>
          </cell>
          <cell r="E1433" t="str">
            <v>CCN625</v>
          </cell>
          <cell r="F1433" t="str">
            <v>YAURI ESPINOZA FREDY</v>
          </cell>
          <cell r="G1433" t="str">
            <v>YAURI ESPINOZA FREDY</v>
          </cell>
          <cell r="H1433" t="str">
            <v>42026104</v>
          </cell>
          <cell r="I1433" t="str">
            <v>INTERBANK</v>
          </cell>
          <cell r="J1433" t="str">
            <v>290-328579-4055</v>
          </cell>
          <cell r="K1433" t="str">
            <v>DNI</v>
          </cell>
          <cell r="L1433">
            <v>10420261042</v>
          </cell>
          <cell r="M1433" t="str">
            <v>AEROLINEAS</v>
          </cell>
          <cell r="N1433">
            <v>45033</v>
          </cell>
          <cell r="O1433">
            <v>0</v>
          </cell>
          <cell r="P1433" t="str">
            <v>XL</v>
          </cell>
        </row>
        <row r="1434">
          <cell r="A1434">
            <v>3329</v>
          </cell>
          <cell r="B1434">
            <v>3329</v>
          </cell>
          <cell r="C1434" t="str">
            <v>CERO MATRICULA</v>
          </cell>
          <cell r="D1434" t="str">
            <v>ACTIVO</v>
          </cell>
          <cell r="E1434" t="str">
            <v>BHW461</v>
          </cell>
          <cell r="F1434" t="str">
            <v>COBOS RIVERA ANGEL JESUS</v>
          </cell>
          <cell r="G1434" t="str">
            <v>COBOS RIVERA ANGEL JESUS</v>
          </cell>
          <cell r="H1434" t="str">
            <v>003619843</v>
          </cell>
          <cell r="I1434" t="str">
            <v>BCP</v>
          </cell>
          <cell r="J1434" t="str">
            <v>192-93929180-0-56</v>
          </cell>
          <cell r="K1434" t="str">
            <v>CE</v>
          </cell>
          <cell r="L1434">
            <v>15604479450</v>
          </cell>
          <cell r="M1434" t="str">
            <v>AEROLINEAS</v>
          </cell>
          <cell r="N1434">
            <v>45040</v>
          </cell>
          <cell r="O1434">
            <v>0</v>
          </cell>
          <cell r="P1434" t="str">
            <v>LITE</v>
          </cell>
        </row>
        <row r="1435">
          <cell r="A1435">
            <v>3330</v>
          </cell>
          <cell r="B1435">
            <v>3330</v>
          </cell>
          <cell r="C1435" t="str">
            <v>CERO MATRICULA</v>
          </cell>
          <cell r="D1435" t="str">
            <v>ACTIVO</v>
          </cell>
          <cell r="E1435" t="str">
            <v xml:space="preserve">CDD - 055 </v>
          </cell>
          <cell r="F1435" t="str">
            <v>AYLLON OLIVARES LUIS EMILIO</v>
          </cell>
          <cell r="G1435" t="str">
            <v>AYLLON OLIVARES LUIS EMILIO</v>
          </cell>
          <cell r="H1435" t="str">
            <v>25808973</v>
          </cell>
          <cell r="I1435" t="str">
            <v>BCP</v>
          </cell>
          <cell r="J1435" t="str">
            <v>192-9337613-7028</v>
          </cell>
          <cell r="K1435" t="str">
            <v>DNI</v>
          </cell>
          <cell r="L1435">
            <v>10258089737</v>
          </cell>
          <cell r="M1435" t="str">
            <v>AEROLINEAS</v>
          </cell>
          <cell r="N1435">
            <v>45049</v>
          </cell>
          <cell r="O1435">
            <v>0</v>
          </cell>
          <cell r="P1435" t="str">
            <v>LITE</v>
          </cell>
        </row>
        <row r="1436">
          <cell r="A1436">
            <v>3331</v>
          </cell>
          <cell r="B1436">
            <v>3331</v>
          </cell>
          <cell r="C1436" t="str">
            <v>CERO MATRICULA</v>
          </cell>
          <cell r="D1436" t="str">
            <v>ACTIVO</v>
          </cell>
          <cell r="E1436" t="str">
            <v>CCL043</v>
          </cell>
          <cell r="F1436" t="str">
            <v>MARIÑO AQUIJE EDGARDO JOSE</v>
          </cell>
          <cell r="G1436" t="str">
            <v>MARIÑO AQUIJE EDGARDO JOSE</v>
          </cell>
          <cell r="H1436" t="str">
            <v>46485800</v>
          </cell>
          <cell r="I1436" t="str">
            <v>SCOTIABANK</v>
          </cell>
          <cell r="J1436" t="str">
            <v>016-7460633</v>
          </cell>
          <cell r="K1436" t="str">
            <v>DNI</v>
          </cell>
          <cell r="L1436">
            <v>10464858003</v>
          </cell>
          <cell r="M1436" t="str">
            <v>AEROLINEAS</v>
          </cell>
          <cell r="N1436">
            <v>45050</v>
          </cell>
          <cell r="O1436">
            <v>0</v>
          </cell>
          <cell r="P1436" t="str">
            <v>COMFORT</v>
          </cell>
        </row>
        <row r="1437">
          <cell r="A1437">
            <v>3332</v>
          </cell>
          <cell r="B1437">
            <v>3332</v>
          </cell>
          <cell r="C1437" t="str">
            <v>CERO MATRICULA</v>
          </cell>
          <cell r="D1437" t="str">
            <v>ACTIVO</v>
          </cell>
          <cell r="E1437" t="str">
            <v>CBU 417</v>
          </cell>
          <cell r="F1437" t="str">
            <v>DARCOURT AGUILAR DAVID</v>
          </cell>
          <cell r="G1437" t="str">
            <v>DARCOURT AGUILAR ERNESTO DAVID GIOVANNI</v>
          </cell>
          <cell r="H1437" t="str">
            <v>40676991</v>
          </cell>
          <cell r="I1437" t="str">
            <v>BCP</v>
          </cell>
          <cell r="J1437" t="str">
            <v>193-75492274020</v>
          </cell>
          <cell r="K1437" t="str">
            <v>DNI</v>
          </cell>
          <cell r="L1437">
            <v>10406769912</v>
          </cell>
          <cell r="M1437" t="str">
            <v>AEROLINEAS</v>
          </cell>
          <cell r="N1437">
            <v>45185</v>
          </cell>
          <cell r="O1437">
            <v>0</v>
          </cell>
          <cell r="P1437" t="str">
            <v>COMFORT XL</v>
          </cell>
        </row>
        <row r="1438">
          <cell r="A1438">
            <v>3333</v>
          </cell>
          <cell r="B1438">
            <v>3333</v>
          </cell>
          <cell r="C1438" t="str">
            <v>CERO MATRICULA</v>
          </cell>
          <cell r="D1438" t="str">
            <v>ACTIVO</v>
          </cell>
          <cell r="E1438" t="str">
            <v>CCZ-391</v>
          </cell>
          <cell r="F1438" t="str">
            <v>BALADO GALLARDO JOSE</v>
          </cell>
          <cell r="G1438" t="str">
            <v>BALADO GALLARDO JOSE</v>
          </cell>
          <cell r="H1438" t="str">
            <v>003136870</v>
          </cell>
          <cell r="I1438" t="str">
            <v>BCP</v>
          </cell>
          <cell r="J1438" t="str">
            <v>191-944276350-47</v>
          </cell>
          <cell r="K1438" t="str">
            <v>CE</v>
          </cell>
          <cell r="L1438">
            <v>15604097701</v>
          </cell>
          <cell r="M1438" t="str">
            <v>AEROLINEAS</v>
          </cell>
          <cell r="N1438">
            <v>45050</v>
          </cell>
          <cell r="O1438">
            <v>0</v>
          </cell>
          <cell r="P1438" t="str">
            <v>LITE</v>
          </cell>
        </row>
        <row r="1439">
          <cell r="A1439">
            <v>3335</v>
          </cell>
          <cell r="B1439">
            <v>3335</v>
          </cell>
          <cell r="C1439" t="str">
            <v>CERO MATRICULA</v>
          </cell>
          <cell r="D1439" t="str">
            <v>ACTIVO</v>
          </cell>
          <cell r="E1439" t="str">
            <v>BPM524</v>
          </cell>
          <cell r="F1439" t="str">
            <v xml:space="preserve">SOLIS RETUERTO CARLOS </v>
          </cell>
          <cell r="G1439" t="str">
            <v xml:space="preserve">SOLIS RETUERTO CARLOS </v>
          </cell>
          <cell r="H1439" t="str">
            <v>09896021</v>
          </cell>
          <cell r="I1439" t="str">
            <v>BCP</v>
          </cell>
          <cell r="J1439" t="str">
            <v>194-71845540-0-50</v>
          </cell>
          <cell r="K1439" t="str">
            <v>DNI</v>
          </cell>
          <cell r="L1439">
            <v>10098960215</v>
          </cell>
          <cell r="M1439" t="str">
            <v>AEROLINEAS</v>
          </cell>
          <cell r="N1439">
            <v>45057</v>
          </cell>
          <cell r="O1439">
            <v>0</v>
          </cell>
          <cell r="P1439" t="str">
            <v>COMFORT XL</v>
          </cell>
        </row>
        <row r="1440">
          <cell r="A1440">
            <v>3337</v>
          </cell>
          <cell r="B1440">
            <v>3337</v>
          </cell>
          <cell r="C1440" t="str">
            <v>CERO MATRICULA</v>
          </cell>
          <cell r="D1440" t="str">
            <v>ACTIVO</v>
          </cell>
          <cell r="E1440" t="str">
            <v>CEP425</v>
          </cell>
          <cell r="F1440" t="str">
            <v>RIVAS GUEVARA ENREANIR</v>
          </cell>
          <cell r="G1440" t="str">
            <v>RIVAS GUEVARA ENREANIR</v>
          </cell>
          <cell r="H1440" t="str">
            <v>000024903</v>
          </cell>
          <cell r="I1440" t="str">
            <v>SCOTIABANK</v>
          </cell>
          <cell r="J1440" t="str">
            <v>143-0170579</v>
          </cell>
          <cell r="K1440" t="str">
            <v>CPP</v>
          </cell>
          <cell r="L1440">
            <v>15610416303</v>
          </cell>
          <cell r="M1440" t="str">
            <v>AEROLINEAS</v>
          </cell>
          <cell r="N1440">
            <v>45063</v>
          </cell>
          <cell r="O1440">
            <v>0</v>
          </cell>
          <cell r="P1440" t="str">
            <v>COMFORT XL</v>
          </cell>
        </row>
        <row r="1441">
          <cell r="A1441">
            <v>3338</v>
          </cell>
          <cell r="B1441">
            <v>3338</v>
          </cell>
          <cell r="C1441" t="str">
            <v>CERO MATRICULA</v>
          </cell>
          <cell r="D1441" t="str">
            <v>ACTIVO</v>
          </cell>
          <cell r="E1441" t="str">
            <v>CAF389</v>
          </cell>
          <cell r="F1441" t="str">
            <v>ARANIBAR QUISA ALEXANDER</v>
          </cell>
          <cell r="G1441" t="str">
            <v>ARANIBAR QUISA ALEXANDER</v>
          </cell>
          <cell r="H1441" t="str">
            <v>47860417</v>
          </cell>
          <cell r="I1441" t="str">
            <v>BCP</v>
          </cell>
          <cell r="J1441" t="str">
            <v>193-77443732-0-90</v>
          </cell>
          <cell r="K1441" t="str">
            <v>DNI</v>
          </cell>
          <cell r="L1441">
            <v>10478604179</v>
          </cell>
          <cell r="M1441" t="str">
            <v>AEROLINEAS</v>
          </cell>
          <cell r="N1441">
            <v>45067</v>
          </cell>
          <cell r="O1441">
            <v>0</v>
          </cell>
          <cell r="P1441" t="str">
            <v>COMFORT XL</v>
          </cell>
        </row>
        <row r="1442">
          <cell r="A1442">
            <v>3340</v>
          </cell>
          <cell r="B1442">
            <v>3340</v>
          </cell>
          <cell r="C1442" t="str">
            <v>CERO MATRICULA</v>
          </cell>
          <cell r="D1442" t="str">
            <v>ACTIVO</v>
          </cell>
          <cell r="E1442" t="str">
            <v>BZI391</v>
          </cell>
          <cell r="F1442" t="str">
            <v xml:space="preserve">CHUMBIAUCA CALIXTRO ROQUE LUIS </v>
          </cell>
          <cell r="G1442" t="str">
            <v xml:space="preserve">CHUMBIAUCA CALIXTRO ROQUE LUIS </v>
          </cell>
          <cell r="H1442" t="str">
            <v>41398680</v>
          </cell>
          <cell r="I1442" t="str">
            <v>BBVA</v>
          </cell>
          <cell r="J1442" t="str">
            <v>0011-0312-0200326896</v>
          </cell>
          <cell r="K1442" t="str">
            <v>DNI</v>
          </cell>
          <cell r="L1442">
            <v>10413986805</v>
          </cell>
          <cell r="M1442" t="str">
            <v>AEROLINEAS</v>
          </cell>
          <cell r="N1442">
            <v>45063</v>
          </cell>
          <cell r="O1442">
            <v>0</v>
          </cell>
          <cell r="P1442" t="str">
            <v>VAN</v>
          </cell>
        </row>
        <row r="1443">
          <cell r="A1443">
            <v>3341</v>
          </cell>
          <cell r="B1443">
            <v>3341</v>
          </cell>
          <cell r="C1443" t="str">
            <v>CERO MATRICULA</v>
          </cell>
          <cell r="D1443" t="str">
            <v>ACTIVO</v>
          </cell>
          <cell r="E1443" t="str">
            <v>W4R005</v>
          </cell>
          <cell r="F1443" t="str">
            <v xml:space="preserve">CASTRO  ESTRADA CARLOS </v>
          </cell>
          <cell r="G1443" t="str">
            <v>CASTRO ESTRADA CARLOS NOEL RUBEN</v>
          </cell>
          <cell r="H1443" t="str">
            <v>42872696</v>
          </cell>
          <cell r="I1443" t="str">
            <v>BCP</v>
          </cell>
          <cell r="J1443">
            <v>19318053023076</v>
          </cell>
          <cell r="K1443" t="str">
            <v>DNI</v>
          </cell>
          <cell r="L1443">
            <v>10428726966</v>
          </cell>
          <cell r="M1443" t="str">
            <v>AEROLINEAS</v>
          </cell>
          <cell r="N1443">
            <v>45064</v>
          </cell>
          <cell r="O1443">
            <v>0</v>
          </cell>
          <cell r="P1443" t="str">
            <v>COMFORT XL</v>
          </cell>
        </row>
        <row r="1444">
          <cell r="A1444">
            <v>3342</v>
          </cell>
          <cell r="B1444">
            <v>3342</v>
          </cell>
          <cell r="C1444" t="str">
            <v>CERO MATRICULA</v>
          </cell>
          <cell r="D1444" t="str">
            <v>ACTIVO</v>
          </cell>
          <cell r="E1444" t="str">
            <v>BNP386</v>
          </cell>
          <cell r="F1444" t="str">
            <v>CHUQUIMAJO GONZALES JONATHAN</v>
          </cell>
          <cell r="G1444" t="str">
            <v>CHUQUIMAJO GONZALES JONATHAN</v>
          </cell>
          <cell r="H1444" t="str">
            <v>43176154</v>
          </cell>
          <cell r="I1444" t="str">
            <v>BCP</v>
          </cell>
          <cell r="J1444" t="str">
            <v>192-77256947-0-18</v>
          </cell>
          <cell r="K1444" t="str">
            <v>DNI</v>
          </cell>
          <cell r="L1444">
            <v>10431761543</v>
          </cell>
          <cell r="M1444" t="str">
            <v>AEROLINEAS</v>
          </cell>
          <cell r="N1444">
            <v>45064</v>
          </cell>
          <cell r="O1444">
            <v>0</v>
          </cell>
          <cell r="P1444" t="str">
            <v>LITE</v>
          </cell>
        </row>
        <row r="1445">
          <cell r="A1445">
            <v>3344</v>
          </cell>
          <cell r="B1445">
            <v>3344</v>
          </cell>
          <cell r="C1445" t="str">
            <v>CERO MATRICULA</v>
          </cell>
          <cell r="D1445" t="str">
            <v>ACTIVO</v>
          </cell>
          <cell r="E1445" t="str">
            <v>CAN034</v>
          </cell>
          <cell r="F1445" t="str">
            <v>ATAPOMA JULCARIMA ANIBERTO</v>
          </cell>
          <cell r="G1445" t="str">
            <v>ATAPOMA JULCARIMA ANIBERTO</v>
          </cell>
          <cell r="H1445" t="str">
            <v>20049560</v>
          </cell>
          <cell r="I1445" t="str">
            <v>BCP</v>
          </cell>
          <cell r="J1445" t="str">
            <v>191-79228723-0-11</v>
          </cell>
          <cell r="K1445" t="str">
            <v>DNI</v>
          </cell>
          <cell r="L1445">
            <v>10200495603</v>
          </cell>
          <cell r="M1445" t="str">
            <v>AEROLINEAS</v>
          </cell>
          <cell r="N1445">
            <v>45065</v>
          </cell>
          <cell r="O1445">
            <v>0</v>
          </cell>
          <cell r="P1445" t="str">
            <v>LITE</v>
          </cell>
        </row>
        <row r="1446">
          <cell r="A1446">
            <v>3345</v>
          </cell>
          <cell r="B1446">
            <v>3345</v>
          </cell>
          <cell r="C1446" t="str">
            <v>CERO MATRICULA</v>
          </cell>
          <cell r="D1446" t="str">
            <v>ACTIVO</v>
          </cell>
          <cell r="E1446" t="str">
            <v>CBJ357</v>
          </cell>
          <cell r="F1446" t="str">
            <v>SALAZAR  LUIS ENRIQUE</v>
          </cell>
          <cell r="G1446" t="str">
            <v>SALAZAR  LUIS ENRIQUE</v>
          </cell>
          <cell r="H1446" t="str">
            <v>003139646</v>
          </cell>
          <cell r="I1446" t="str">
            <v>BCP</v>
          </cell>
          <cell r="J1446" t="str">
            <v>191-03556185-0-04</v>
          </cell>
          <cell r="K1446" t="str">
            <v>CE</v>
          </cell>
          <cell r="L1446">
            <v>15607223731</v>
          </cell>
          <cell r="M1446" t="str">
            <v>AEROLINEAS</v>
          </cell>
          <cell r="N1446">
            <v>45064</v>
          </cell>
          <cell r="O1446">
            <v>0</v>
          </cell>
          <cell r="P1446" t="str">
            <v>LITE</v>
          </cell>
        </row>
        <row r="1447">
          <cell r="A1447">
            <v>3346</v>
          </cell>
          <cell r="B1447">
            <v>3346</v>
          </cell>
          <cell r="C1447" t="str">
            <v>CERO MATRICULA</v>
          </cell>
          <cell r="D1447" t="str">
            <v>ACTIVO</v>
          </cell>
          <cell r="E1447" t="str">
            <v xml:space="preserve"> BKG258 </v>
          </cell>
          <cell r="F1447" t="str">
            <v>Heredia Vasquez Ronald Eladio</v>
          </cell>
          <cell r="G1447" t="str">
            <v>HEREDIA VASQUEZ RONALD ELADIO</v>
          </cell>
          <cell r="H1447" t="str">
            <v>70038732</v>
          </cell>
          <cell r="I1447" t="str">
            <v>BBVA</v>
          </cell>
          <cell r="J1447" t="str">
            <v>001108140239875063</v>
          </cell>
          <cell r="K1447" t="str">
            <v>DNI</v>
          </cell>
          <cell r="L1447">
            <v>10700387327</v>
          </cell>
          <cell r="M1447" t="str">
            <v>URBANO</v>
          </cell>
          <cell r="N1447">
            <v>45544</v>
          </cell>
          <cell r="O1447">
            <v>0</v>
          </cell>
          <cell r="P1447" t="str">
            <v>LITE</v>
          </cell>
        </row>
        <row r="1448">
          <cell r="A1448">
            <v>3347</v>
          </cell>
          <cell r="B1448">
            <v>3347</v>
          </cell>
          <cell r="C1448" t="str">
            <v>CERO MATRICULA</v>
          </cell>
          <cell r="D1448" t="str">
            <v>ACTIVO</v>
          </cell>
          <cell r="E1448" t="str">
            <v>BZA064</v>
          </cell>
          <cell r="F1448" t="str">
            <v xml:space="preserve">SOTELDO GUERRERO YLLEN AMILCAR </v>
          </cell>
          <cell r="G1448" t="str">
            <v xml:space="preserve">SOTELDO GUERRERO YLLEN AMILCAR </v>
          </cell>
          <cell r="H1448" t="str">
            <v>002734466</v>
          </cell>
          <cell r="I1448" t="str">
            <v>BCP</v>
          </cell>
          <cell r="J1448" t="str">
            <v>191-91625848059</v>
          </cell>
          <cell r="K1448" t="str">
            <v>CE</v>
          </cell>
          <cell r="L1448">
            <v>15606097902</v>
          </cell>
          <cell r="M1448" t="str">
            <v>AEROLINEAS</v>
          </cell>
          <cell r="N1448">
            <v>45070</v>
          </cell>
          <cell r="O1448">
            <v>0</v>
          </cell>
          <cell r="P1448" t="str">
            <v>COMFORT XL</v>
          </cell>
        </row>
        <row r="1449">
          <cell r="A1449">
            <v>3348</v>
          </cell>
          <cell r="B1449">
            <v>3348</v>
          </cell>
          <cell r="C1449" t="str">
            <v>CERO MATRICULA</v>
          </cell>
          <cell r="D1449" t="str">
            <v>ACTIVO</v>
          </cell>
          <cell r="E1449" t="str">
            <v>CEJ-465</v>
          </cell>
          <cell r="F1449" t="str">
            <v>CISNEROS GRANDEZ TONY</v>
          </cell>
          <cell r="G1449" t="str">
            <v>CISNEROS GRANDEZ TONY</v>
          </cell>
          <cell r="H1449" t="str">
            <v>72304778</v>
          </cell>
          <cell r="I1449" t="str">
            <v>BCP</v>
          </cell>
          <cell r="J1449">
            <v>19172037024069</v>
          </cell>
          <cell r="K1449" t="str">
            <v>DNI</v>
          </cell>
          <cell r="L1449">
            <v>10723047787</v>
          </cell>
          <cell r="M1449" t="str">
            <v>AEROLINEAS</v>
          </cell>
          <cell r="N1449">
            <v>46072</v>
          </cell>
          <cell r="O1449">
            <v>0</v>
          </cell>
          <cell r="P1449">
            <v>0</v>
          </cell>
        </row>
        <row r="1450">
          <cell r="A1450">
            <v>3349</v>
          </cell>
          <cell r="B1450">
            <v>3349</v>
          </cell>
          <cell r="C1450" t="str">
            <v>CERO MATRICULA</v>
          </cell>
          <cell r="D1450" t="str">
            <v>ACTIVO</v>
          </cell>
          <cell r="E1450" t="str">
            <v>CAQ 693</v>
          </cell>
          <cell r="F1450" t="str">
            <v>APAZA PAULLO BLAS ANTHONY</v>
          </cell>
          <cell r="G1450" t="str">
            <v>APAZA PAULLO BLAS ANTHONY</v>
          </cell>
          <cell r="H1450" t="str">
            <v>73196349</v>
          </cell>
          <cell r="I1450" t="str">
            <v>BBVA</v>
          </cell>
          <cell r="J1450" t="str">
            <v>0011-0518-0200183629</v>
          </cell>
          <cell r="K1450" t="str">
            <v>DNI</v>
          </cell>
          <cell r="L1450">
            <v>10731963491</v>
          </cell>
          <cell r="M1450" t="str">
            <v>URBANO</v>
          </cell>
          <cell r="N1450">
            <v>45070</v>
          </cell>
          <cell r="O1450">
            <v>0</v>
          </cell>
          <cell r="P1450" t="str">
            <v>LITE</v>
          </cell>
        </row>
        <row r="1451">
          <cell r="A1451">
            <v>3350</v>
          </cell>
          <cell r="B1451">
            <v>3350</v>
          </cell>
          <cell r="C1451" t="str">
            <v>CERO MATRICULA</v>
          </cell>
          <cell r="D1451" t="str">
            <v>ACTIVO</v>
          </cell>
          <cell r="E1451" t="str">
            <v>BTQ 390</v>
          </cell>
          <cell r="F1451" t="str">
            <v>MUÑOZ AMPUERO JUAN JOSE</v>
          </cell>
          <cell r="G1451" t="str">
            <v>MUÑOZ AMPUERO JUAN JOSE</v>
          </cell>
          <cell r="H1451" t="str">
            <v>43386606</v>
          </cell>
          <cell r="I1451" t="str">
            <v>BCP</v>
          </cell>
          <cell r="J1451" t="str">
            <v>193-77207997-0-73</v>
          </cell>
          <cell r="K1451" t="str">
            <v>DNI</v>
          </cell>
          <cell r="L1451">
            <v>15268706582</v>
          </cell>
          <cell r="M1451" t="str">
            <v>AEROLINEAS</v>
          </cell>
          <cell r="N1451">
            <v>45073</v>
          </cell>
          <cell r="O1451">
            <v>0</v>
          </cell>
          <cell r="P1451" t="str">
            <v>XL</v>
          </cell>
        </row>
        <row r="1452">
          <cell r="A1452">
            <v>3351</v>
          </cell>
          <cell r="B1452">
            <v>3351</v>
          </cell>
          <cell r="C1452" t="str">
            <v>CERO MATRICULA</v>
          </cell>
          <cell r="D1452" t="str">
            <v>ACTIVO</v>
          </cell>
          <cell r="E1452" t="str">
            <v>BZO121</v>
          </cell>
          <cell r="F1452" t="str">
            <v xml:space="preserve">QUISPE RAFAEL JHAN CARLOS </v>
          </cell>
          <cell r="G1452" t="str">
            <v xml:space="preserve">QUISPE RAFAEL JHAN CARLOS </v>
          </cell>
          <cell r="H1452" t="str">
            <v>74254838</v>
          </cell>
          <cell r="I1452" t="str">
            <v>BCP</v>
          </cell>
          <cell r="J1452" t="str">
            <v>191-97616780-0-05</v>
          </cell>
          <cell r="K1452" t="str">
            <v>DNI</v>
          </cell>
          <cell r="L1452">
            <v>10742548380</v>
          </cell>
          <cell r="M1452" t="str">
            <v>AEROLINEAS</v>
          </cell>
          <cell r="N1452">
            <v>45090</v>
          </cell>
          <cell r="O1452">
            <v>0</v>
          </cell>
          <cell r="P1452" t="str">
            <v>XL</v>
          </cell>
        </row>
        <row r="1453">
          <cell r="A1453">
            <v>3352</v>
          </cell>
          <cell r="B1453">
            <v>3352</v>
          </cell>
          <cell r="C1453" t="str">
            <v>CERO MATRICULA</v>
          </cell>
          <cell r="D1453" t="str">
            <v>ACTIVO</v>
          </cell>
          <cell r="E1453" t="str">
            <v>BYZ214</v>
          </cell>
          <cell r="F1453" t="str">
            <v>BURGOS TAPIA KEVIN DANIEL</v>
          </cell>
          <cell r="G1453" t="str">
            <v>BURGOS TAPIA KEVIN DANIEL</v>
          </cell>
          <cell r="H1453" t="str">
            <v>73073661</v>
          </cell>
          <cell r="I1453" t="str">
            <v>BCP</v>
          </cell>
          <cell r="J1453" t="str">
            <v>19192598592028</v>
          </cell>
          <cell r="K1453" t="str">
            <v>DNI</v>
          </cell>
          <cell r="L1453">
            <v>10730736610</v>
          </cell>
          <cell r="M1453" t="str">
            <v>AEROLINEAS</v>
          </cell>
          <cell r="N1453">
            <v>45082</v>
          </cell>
          <cell r="O1453">
            <v>0</v>
          </cell>
          <cell r="P1453" t="str">
            <v>LITE</v>
          </cell>
        </row>
        <row r="1454">
          <cell r="A1454">
            <v>3353</v>
          </cell>
          <cell r="B1454">
            <v>3353</v>
          </cell>
          <cell r="C1454" t="str">
            <v>CERO MATRICULA</v>
          </cell>
          <cell r="D1454" t="str">
            <v>ACTIVO</v>
          </cell>
          <cell r="E1454" t="str">
            <v>CAM407</v>
          </cell>
          <cell r="F1454" t="str">
            <v>SAMANIEGO CASTRO FRANK</v>
          </cell>
          <cell r="G1454" t="str">
            <v>SAMANIEGO CASTRO FRANK</v>
          </cell>
          <cell r="H1454" t="str">
            <v>41065370</v>
          </cell>
          <cell r="I1454" t="str">
            <v>BBVA</v>
          </cell>
          <cell r="J1454" t="str">
            <v>0011-0342-0200384083</v>
          </cell>
          <cell r="K1454" t="str">
            <v>DNI</v>
          </cell>
          <cell r="L1454">
            <v>10410653708</v>
          </cell>
          <cell r="M1454" t="str">
            <v>AEROLINEAS</v>
          </cell>
          <cell r="N1454">
            <v>45082</v>
          </cell>
          <cell r="O1454">
            <v>0</v>
          </cell>
          <cell r="P1454" t="str">
            <v>COMFORT XL</v>
          </cell>
        </row>
        <row r="1455">
          <cell r="A1455">
            <v>3354</v>
          </cell>
          <cell r="B1455">
            <v>3354</v>
          </cell>
          <cell r="C1455" t="str">
            <v>CERO MATRICULA</v>
          </cell>
          <cell r="D1455" t="str">
            <v>ACTIVO</v>
          </cell>
          <cell r="E1455" t="str">
            <v>BNP472</v>
          </cell>
          <cell r="F1455" t="str">
            <v>PEREZ  SANCHEZ JULIO CESAR</v>
          </cell>
          <cell r="G1455" t="str">
            <v>PEREZ  SANCHEZ JULIO CESAR</v>
          </cell>
          <cell r="H1455" t="str">
            <v>45920262</v>
          </cell>
          <cell r="I1455" t="str">
            <v>INTERBANK</v>
          </cell>
          <cell r="J1455" t="str">
            <v>898-3276022999</v>
          </cell>
          <cell r="K1455" t="str">
            <v>DNI</v>
          </cell>
          <cell r="L1455">
            <v>10459202621</v>
          </cell>
          <cell r="M1455" t="str">
            <v>AEROLINEAS</v>
          </cell>
          <cell r="N1455">
            <v>45091</v>
          </cell>
          <cell r="O1455">
            <v>0</v>
          </cell>
          <cell r="P1455" t="str">
            <v>COMFORT</v>
          </cell>
        </row>
        <row r="1456">
          <cell r="A1456">
            <v>3357</v>
          </cell>
          <cell r="B1456">
            <v>3357</v>
          </cell>
          <cell r="C1456" t="str">
            <v>CERO MATRICULA</v>
          </cell>
          <cell r="D1456" t="str">
            <v>ACTIVO</v>
          </cell>
          <cell r="E1456" t="str">
            <v>BWC096</v>
          </cell>
          <cell r="F1456" t="str">
            <v>VEGA MEDINA BRAYAN FRANKLIN</v>
          </cell>
          <cell r="G1456" t="str">
            <v>VEGA MEDINA BRAYAN FRANKLIN</v>
          </cell>
          <cell r="H1456" t="str">
            <v>73610486</v>
          </cell>
          <cell r="I1456" t="str">
            <v>BCP</v>
          </cell>
          <cell r="J1456" t="str">
            <v>193-04151580-0-14</v>
          </cell>
          <cell r="K1456" t="str">
            <v>DNI</v>
          </cell>
          <cell r="L1456">
            <v>10736104861</v>
          </cell>
          <cell r="M1456" t="str">
            <v>AEROLINEAS</v>
          </cell>
          <cell r="N1456">
            <v>45117</v>
          </cell>
          <cell r="O1456">
            <v>0</v>
          </cell>
          <cell r="P1456" t="str">
            <v>LITE</v>
          </cell>
        </row>
        <row r="1457">
          <cell r="A1457">
            <v>3358</v>
          </cell>
          <cell r="B1457">
            <v>3358</v>
          </cell>
          <cell r="C1457" t="str">
            <v>CERO MATRICULA</v>
          </cell>
          <cell r="D1457" t="str">
            <v>ACTIVO</v>
          </cell>
          <cell r="E1457" t="str">
            <v>CFI101</v>
          </cell>
          <cell r="F1457" t="str">
            <v>SANZ VEROES EDWIN RAMON</v>
          </cell>
          <cell r="G1457" t="str">
            <v>SANZ VEROES EDWIN RAMON</v>
          </cell>
          <cell r="H1457" t="str">
            <v>004182748</v>
          </cell>
          <cell r="I1457" t="str">
            <v>BCP</v>
          </cell>
          <cell r="J1457" t="str">
            <v>191-92650418-0-79</v>
          </cell>
          <cell r="K1457" t="str">
            <v>CE</v>
          </cell>
          <cell r="L1457">
            <v>15606887938</v>
          </cell>
          <cell r="M1457" t="str">
            <v>URBANO</v>
          </cell>
          <cell r="N1457">
            <v>45103</v>
          </cell>
          <cell r="O1457">
            <v>0</v>
          </cell>
          <cell r="P1457" t="str">
            <v>LITE</v>
          </cell>
        </row>
        <row r="1458">
          <cell r="A1458">
            <v>3360</v>
          </cell>
          <cell r="B1458">
            <v>3360</v>
          </cell>
          <cell r="C1458" t="str">
            <v>CERO MATRICULA</v>
          </cell>
          <cell r="D1458" t="str">
            <v>ACTIVO</v>
          </cell>
          <cell r="E1458" t="str">
            <v>BLM425</v>
          </cell>
          <cell r="F1458" t="str">
            <v>MENDOZA LOZANO LUIS</v>
          </cell>
          <cell r="G1458" t="str">
            <v>MENDOZA LOZANO LUIS</v>
          </cell>
          <cell r="H1458" t="str">
            <v>47583104</v>
          </cell>
          <cell r="I1458" t="str">
            <v>BBVA</v>
          </cell>
          <cell r="J1458" t="str">
            <v>0011-0814-0231414008</v>
          </cell>
          <cell r="K1458" t="str">
            <v>DNI</v>
          </cell>
          <cell r="L1458">
            <v>10475831042</v>
          </cell>
          <cell r="M1458" t="str">
            <v>AEROLINEAS</v>
          </cell>
          <cell r="N1458">
            <v>45106</v>
          </cell>
          <cell r="O1458">
            <v>0</v>
          </cell>
          <cell r="P1458" t="str">
            <v>COMFORT XL</v>
          </cell>
        </row>
        <row r="1459">
          <cell r="A1459">
            <v>3361</v>
          </cell>
          <cell r="B1459">
            <v>3361</v>
          </cell>
          <cell r="C1459" t="str">
            <v>CERO MATRICULA</v>
          </cell>
          <cell r="D1459" t="str">
            <v>ACTIVO</v>
          </cell>
          <cell r="E1459" t="str">
            <v>BVG100</v>
          </cell>
          <cell r="F1459" t="str">
            <v>LUCENA HERNANDEZ RAY JOSE</v>
          </cell>
          <cell r="G1459" t="str">
            <v>LUCENA HERNANDEZ RAY JOSE</v>
          </cell>
          <cell r="H1459" t="str">
            <v>002985825</v>
          </cell>
          <cell r="I1459" t="str">
            <v>SCOTIABANK</v>
          </cell>
          <cell r="J1459" t="str">
            <v>691-0415360</v>
          </cell>
          <cell r="K1459" t="str">
            <v>CPP</v>
          </cell>
          <cell r="L1459">
            <v>15611161261</v>
          </cell>
          <cell r="M1459" t="str">
            <v>URBANO</v>
          </cell>
          <cell r="N1459">
            <v>45099</v>
          </cell>
          <cell r="O1459">
            <v>0</v>
          </cell>
          <cell r="P1459" t="str">
            <v>COMFORT</v>
          </cell>
        </row>
        <row r="1460">
          <cell r="A1460">
            <v>3362</v>
          </cell>
          <cell r="B1460">
            <v>3362</v>
          </cell>
          <cell r="C1460" t="str">
            <v>CERO MATRICULA</v>
          </cell>
          <cell r="D1460" t="str">
            <v>ACTIVO</v>
          </cell>
          <cell r="E1460" t="str">
            <v>CDB 624</v>
          </cell>
          <cell r="F1460" t="str">
            <v>PEREA GOVEA CHRISTIAN HUMBERTO</v>
          </cell>
          <cell r="G1460" t="str">
            <v>PEREA GOVEA CHRISTIAN HUMBERTO</v>
          </cell>
          <cell r="H1460" t="str">
            <v>41188194</v>
          </cell>
          <cell r="I1460" t="str">
            <v>BCP</v>
          </cell>
          <cell r="J1460" t="str">
            <v>193-13026070-0-45</v>
          </cell>
          <cell r="K1460" t="str">
            <v>DNI</v>
          </cell>
          <cell r="L1460">
            <v>10411881941</v>
          </cell>
          <cell r="M1460" t="str">
            <v>AEROPUERTO VAN</v>
          </cell>
          <cell r="N1460">
            <v>45111</v>
          </cell>
          <cell r="O1460">
            <v>240</v>
          </cell>
          <cell r="P1460" t="str">
            <v>VAN</v>
          </cell>
        </row>
        <row r="1461">
          <cell r="A1461">
            <v>3363</v>
          </cell>
          <cell r="B1461">
            <v>3363</v>
          </cell>
          <cell r="C1461" t="str">
            <v>CERO MATRICULA</v>
          </cell>
          <cell r="D1461" t="str">
            <v>ACTIVO</v>
          </cell>
          <cell r="E1461" t="str">
            <v>CFJ 667</v>
          </cell>
          <cell r="F1461" t="str">
            <v>CORDERO DE LA CRUZ BILLY DENNIS</v>
          </cell>
          <cell r="G1461" t="str">
            <v>CORDERO DE LA CRUZ BILLY DENNIS</v>
          </cell>
          <cell r="H1461" t="str">
            <v>41467891</v>
          </cell>
          <cell r="I1461" t="str">
            <v>INTERBANK</v>
          </cell>
          <cell r="J1461" t="str">
            <v>155-3073510071</v>
          </cell>
          <cell r="K1461" t="str">
            <v>DNI</v>
          </cell>
          <cell r="L1461">
            <v>10414678918</v>
          </cell>
          <cell r="M1461" t="str">
            <v>AEROLINEAS</v>
          </cell>
          <cell r="N1461">
            <v>45110</v>
          </cell>
          <cell r="O1461">
            <v>0</v>
          </cell>
          <cell r="P1461" t="str">
            <v>COMFORT XL</v>
          </cell>
        </row>
        <row r="1462">
          <cell r="A1462">
            <v>3364</v>
          </cell>
          <cell r="B1462">
            <v>3364</v>
          </cell>
          <cell r="C1462" t="str">
            <v>CERO MATRICULA</v>
          </cell>
          <cell r="D1462" t="str">
            <v>ACTIVO</v>
          </cell>
          <cell r="E1462" t="str">
            <v>CDZ 633</v>
          </cell>
          <cell r="F1462" t="str">
            <v>ROBLES ALMONACID REGULO EDNARD</v>
          </cell>
          <cell r="G1462" t="str">
            <v>VARGAS ZENON MONICA</v>
          </cell>
          <cell r="H1462" t="str">
            <v>10747766</v>
          </cell>
          <cell r="I1462" t="str">
            <v>BCP</v>
          </cell>
          <cell r="J1462" t="str">
            <v>191-06420368-0-19</v>
          </cell>
          <cell r="K1462" t="str">
            <v>DNI</v>
          </cell>
          <cell r="L1462">
            <v>10107477662</v>
          </cell>
          <cell r="M1462" t="str">
            <v>AEROLINEAS</v>
          </cell>
          <cell r="N1462">
            <v>45110</v>
          </cell>
          <cell r="O1462">
            <v>0</v>
          </cell>
          <cell r="P1462" t="str">
            <v>COMFORT XL</v>
          </cell>
        </row>
        <row r="1463">
          <cell r="A1463">
            <v>3365</v>
          </cell>
          <cell r="B1463">
            <v>3365</v>
          </cell>
          <cell r="C1463" t="str">
            <v>CERO MATRICULA</v>
          </cell>
          <cell r="D1463" t="str">
            <v>ACTIVO</v>
          </cell>
          <cell r="E1463" t="str">
            <v>CFA625</v>
          </cell>
          <cell r="F1463" t="str">
            <v>RAMOS LAYNES JOSE ANTONIO</v>
          </cell>
          <cell r="G1463" t="str">
            <v>RAMOS LAYNES JOSE ANTONIO</v>
          </cell>
          <cell r="H1463" t="str">
            <v>47264324</v>
          </cell>
          <cell r="I1463" t="str">
            <v>BCP</v>
          </cell>
          <cell r="J1463" t="str">
            <v>191-93800783-0-63</v>
          </cell>
          <cell r="K1463" t="str">
            <v>DNI</v>
          </cell>
          <cell r="L1463">
            <v>10472643245</v>
          </cell>
          <cell r="M1463" t="str">
            <v>AEROLINEAS</v>
          </cell>
          <cell r="N1463">
            <v>45107</v>
          </cell>
          <cell r="O1463">
            <v>0</v>
          </cell>
          <cell r="P1463" t="str">
            <v>COMFORT</v>
          </cell>
        </row>
        <row r="1464">
          <cell r="A1464">
            <v>3366</v>
          </cell>
          <cell r="B1464">
            <v>3366</v>
          </cell>
          <cell r="C1464" t="str">
            <v>CERO MATRICULA</v>
          </cell>
          <cell r="D1464" t="str">
            <v>ACTIVO</v>
          </cell>
          <cell r="E1464" t="str">
            <v>CDR 639</v>
          </cell>
          <cell r="F1464" t="str">
            <v>ETO DULANTO EDUARDO ALFREDO</v>
          </cell>
          <cell r="G1464" t="str">
            <v>REYES ESPADA MAX ELIAS</v>
          </cell>
          <cell r="H1464" t="str">
            <v>06186084</v>
          </cell>
          <cell r="I1464" t="str">
            <v>BCP</v>
          </cell>
          <cell r="J1464" t="str">
            <v>191-96049915-0-14</v>
          </cell>
          <cell r="K1464" t="str">
            <v>DNI</v>
          </cell>
          <cell r="L1464">
            <v>10061860849</v>
          </cell>
          <cell r="M1464" t="str">
            <v>AEROLINEAS</v>
          </cell>
          <cell r="N1464">
            <v>45111</v>
          </cell>
          <cell r="O1464">
            <v>0</v>
          </cell>
          <cell r="P1464" t="str">
            <v>VAN</v>
          </cell>
        </row>
        <row r="1465">
          <cell r="A1465">
            <v>3367</v>
          </cell>
          <cell r="B1465">
            <v>3367</v>
          </cell>
          <cell r="C1465" t="str">
            <v>CERO MATRICULA</v>
          </cell>
          <cell r="D1465" t="str">
            <v>ACTIVO</v>
          </cell>
          <cell r="E1465" t="str">
            <v>CBZ 239</v>
          </cell>
          <cell r="F1465" t="str">
            <v>SUAREZ COA LUIS MIGUEL</v>
          </cell>
          <cell r="G1465" t="str">
            <v>SUAREZ COA LUIS MIGUEL</v>
          </cell>
          <cell r="H1465" t="str">
            <v>49053707</v>
          </cell>
          <cell r="I1465" t="str">
            <v>BCP</v>
          </cell>
          <cell r="J1465" t="str">
            <v>192-05038920-0-17</v>
          </cell>
          <cell r="K1465" t="str">
            <v>DNI</v>
          </cell>
          <cell r="L1465">
            <v>15603279627</v>
          </cell>
          <cell r="M1465" t="str">
            <v>AEROLINEAS</v>
          </cell>
          <cell r="N1465">
            <v>45114</v>
          </cell>
          <cell r="O1465">
            <v>0</v>
          </cell>
          <cell r="P1465" t="str">
            <v>COMFORT</v>
          </cell>
        </row>
        <row r="1466">
          <cell r="A1466">
            <v>3368</v>
          </cell>
          <cell r="B1466">
            <v>3368</v>
          </cell>
          <cell r="C1466" t="str">
            <v>CERO MATRICULA</v>
          </cell>
          <cell r="D1466" t="str">
            <v>ACTIVO</v>
          </cell>
          <cell r="E1466" t="str">
            <v>CDH 372</v>
          </cell>
          <cell r="F1466" t="str">
            <v>VENEGAS ALARCON FREDDY ANTONIO</v>
          </cell>
          <cell r="G1466" t="str">
            <v>VENEGAS ALARCON FREDDY ANTONIO</v>
          </cell>
          <cell r="H1466" t="str">
            <v>09563367</v>
          </cell>
          <cell r="I1466" t="str">
            <v>Interbank</v>
          </cell>
          <cell r="J1466" t="str">
            <v>8983233791425</v>
          </cell>
          <cell r="K1466" t="str">
            <v>DNI</v>
          </cell>
          <cell r="L1466">
            <v>10095633671</v>
          </cell>
          <cell r="M1466" t="str">
            <v>URBANO</v>
          </cell>
          <cell r="N1466">
            <v>45117</v>
          </cell>
          <cell r="O1466">
            <v>0</v>
          </cell>
          <cell r="P1466" t="str">
            <v>COMFORT XL</v>
          </cell>
        </row>
        <row r="1467">
          <cell r="A1467">
            <v>3369</v>
          </cell>
          <cell r="B1467">
            <v>3369</v>
          </cell>
          <cell r="C1467" t="str">
            <v>CERO MATRICULA</v>
          </cell>
          <cell r="D1467" t="str">
            <v>ACTIVO</v>
          </cell>
          <cell r="E1467" t="str">
            <v>BVW 349</v>
          </cell>
          <cell r="F1467" t="str">
            <v>SOLIS MACO JUAN MANUEL</v>
          </cell>
          <cell r="G1467" t="str">
            <v>SOLIS MACO JUAN MANUEL</v>
          </cell>
          <cell r="H1467" t="str">
            <v>40880380</v>
          </cell>
          <cell r="I1467" t="str">
            <v>BBVA</v>
          </cell>
          <cell r="J1467" t="str">
            <v>0011-0193-0200419708</v>
          </cell>
          <cell r="K1467" t="str">
            <v>DNI</v>
          </cell>
          <cell r="L1467">
            <v>10408803808</v>
          </cell>
          <cell r="M1467" t="str">
            <v>AEROLINEAS</v>
          </cell>
          <cell r="N1467">
            <v>45117</v>
          </cell>
          <cell r="O1467">
            <v>0</v>
          </cell>
          <cell r="P1467" t="str">
            <v>LITE</v>
          </cell>
        </row>
        <row r="1468">
          <cell r="A1468">
            <v>3370</v>
          </cell>
          <cell r="B1468">
            <v>3370</v>
          </cell>
          <cell r="C1468" t="str">
            <v>CERO MATRICULA</v>
          </cell>
          <cell r="D1468" t="str">
            <v>ACTIVO</v>
          </cell>
          <cell r="E1468" t="str">
            <v>BOW-113</v>
          </cell>
          <cell r="F1468" t="str">
            <v>RIVAS LURITA ROBERT JOSUE</v>
          </cell>
          <cell r="G1468" t="str">
            <v>RIVAS LURITA ROBERT JOSUE</v>
          </cell>
          <cell r="H1468" t="str">
            <v>76003439</v>
          </cell>
          <cell r="I1468" t="str">
            <v>INTERBANK</v>
          </cell>
          <cell r="J1468" t="str">
            <v>8983414462407</v>
          </cell>
          <cell r="K1468" t="str">
            <v>DNI</v>
          </cell>
          <cell r="L1468">
            <v>10760034393</v>
          </cell>
          <cell r="M1468" t="str">
            <v>AEROLINEAS</v>
          </cell>
          <cell r="N1468">
            <v>45544</v>
          </cell>
          <cell r="O1468">
            <v>0</v>
          </cell>
          <cell r="P1468" t="str">
            <v>COMFORT XL</v>
          </cell>
        </row>
        <row r="1469">
          <cell r="A1469">
            <v>3371</v>
          </cell>
          <cell r="B1469">
            <v>3371</v>
          </cell>
          <cell r="C1469" t="str">
            <v>CERO MATRICULA</v>
          </cell>
          <cell r="D1469" t="str">
            <v>ACTIVO</v>
          </cell>
          <cell r="E1469" t="str">
            <v>CDM 697</v>
          </cell>
          <cell r="F1469" t="str">
            <v>VILCAMICHE ROJAS JONATHAN RICHARD</v>
          </cell>
          <cell r="G1469" t="str">
            <v>VILCAMICHE ROJAS JONATHAN RICHARD</v>
          </cell>
          <cell r="H1469" t="str">
            <v>42498515</v>
          </cell>
          <cell r="I1469" t="str">
            <v>BBVA</v>
          </cell>
          <cell r="J1469" t="str">
            <v>0011-0323-0200956237</v>
          </cell>
          <cell r="K1469" t="str">
            <v>DNI</v>
          </cell>
          <cell r="L1469">
            <v>10424985151</v>
          </cell>
          <cell r="M1469" t="str">
            <v>AEROLINEAS</v>
          </cell>
          <cell r="N1469">
            <v>45118</v>
          </cell>
          <cell r="O1469">
            <v>0</v>
          </cell>
          <cell r="P1469" t="str">
            <v>VAN</v>
          </cell>
        </row>
        <row r="1470">
          <cell r="A1470">
            <v>3374</v>
          </cell>
          <cell r="B1470">
            <v>3374</v>
          </cell>
          <cell r="C1470" t="str">
            <v>CERO MATRICULA</v>
          </cell>
          <cell r="D1470" t="str">
            <v>ACTIVO</v>
          </cell>
          <cell r="E1470" t="str">
            <v>BTA359</v>
          </cell>
          <cell r="F1470" t="str">
            <v>VERGARA MENDOZA FREDDY ANTONIO</v>
          </cell>
          <cell r="G1470" t="str">
            <v>VERGARA MENDOZA FREDDY ANTONIO</v>
          </cell>
          <cell r="H1470" t="str">
            <v>75056899</v>
          </cell>
          <cell r="I1470" t="str">
            <v>INTERBANK</v>
          </cell>
          <cell r="J1470" t="str">
            <v>898-3132158950</v>
          </cell>
          <cell r="K1470" t="str">
            <v>DNI</v>
          </cell>
          <cell r="L1470">
            <v>10750568993</v>
          </cell>
          <cell r="M1470" t="str">
            <v>AEROLINEAS</v>
          </cell>
          <cell r="N1470">
            <v>45122</v>
          </cell>
          <cell r="O1470">
            <v>0</v>
          </cell>
          <cell r="P1470" t="str">
            <v>COMFORT</v>
          </cell>
        </row>
        <row r="1471">
          <cell r="A1471">
            <v>3376</v>
          </cell>
          <cell r="B1471">
            <v>3376</v>
          </cell>
          <cell r="C1471" t="str">
            <v>CERO MATRICULA</v>
          </cell>
          <cell r="D1471" t="str">
            <v>ACTIVO</v>
          </cell>
          <cell r="E1471" t="str">
            <v>BAE377</v>
          </cell>
          <cell r="F1471" t="str">
            <v>LUJAN  DIAZ DIEGO GUILLERMO</v>
          </cell>
          <cell r="G1471" t="str">
            <v>LUJAN  DIAZ DIEGO GUILLERMO</v>
          </cell>
          <cell r="H1471" t="str">
            <v>72635412</v>
          </cell>
          <cell r="I1471" t="str">
            <v>BCP</v>
          </cell>
          <cell r="J1471" t="str">
            <v>194-99813095-0-05</v>
          </cell>
          <cell r="K1471" t="str">
            <v>DNI</v>
          </cell>
          <cell r="L1471">
            <v>10726354125</v>
          </cell>
          <cell r="M1471" t="str">
            <v>AEROLINEAS</v>
          </cell>
          <cell r="N1471">
            <v>45134</v>
          </cell>
          <cell r="O1471">
            <v>0</v>
          </cell>
          <cell r="P1471" t="str">
            <v>COMFORT XL</v>
          </cell>
        </row>
        <row r="1472">
          <cell r="A1472">
            <v>3377</v>
          </cell>
          <cell r="B1472">
            <v>3377</v>
          </cell>
          <cell r="C1472" t="str">
            <v>CERO MATRICULA</v>
          </cell>
          <cell r="D1472" t="str">
            <v>ACTIVO</v>
          </cell>
          <cell r="E1472" t="str">
            <v>BBH266</v>
          </cell>
          <cell r="F1472" t="str">
            <v>APARICIO MAMANI EDISON</v>
          </cell>
          <cell r="G1472" t="str">
            <v>APARICIO MAMANI EDISON</v>
          </cell>
          <cell r="H1472" t="str">
            <v>46918690</v>
          </cell>
          <cell r="I1472" t="str">
            <v>BCP</v>
          </cell>
          <cell r="J1472" t="str">
            <v>194-97772548-0-47</v>
          </cell>
          <cell r="K1472" t="str">
            <v>DNI</v>
          </cell>
          <cell r="L1472">
            <v>10469186909</v>
          </cell>
          <cell r="M1472" t="str">
            <v>URBANO</v>
          </cell>
          <cell r="N1472">
            <v>45128</v>
          </cell>
          <cell r="O1472">
            <v>0</v>
          </cell>
          <cell r="P1472" t="str">
            <v>COMFORT XL</v>
          </cell>
        </row>
        <row r="1473">
          <cell r="A1473">
            <v>3378</v>
          </cell>
          <cell r="B1473">
            <v>3378</v>
          </cell>
          <cell r="C1473" t="str">
            <v>CERO MATRICULA</v>
          </cell>
          <cell r="D1473" t="str">
            <v>ACTIVO</v>
          </cell>
          <cell r="E1473" t="str">
            <v>CEF599</v>
          </cell>
          <cell r="F1473" t="str">
            <v>GUERRA AGRINZONES JESUS ANGEL</v>
          </cell>
          <cell r="G1473" t="str">
            <v>GUERRA AGRINZONES JESUS ANGEL</v>
          </cell>
          <cell r="H1473" t="str">
            <v>003416893</v>
          </cell>
          <cell r="I1473" t="str">
            <v>BCP</v>
          </cell>
          <cell r="J1473" t="str">
            <v>191-00323542-0-09</v>
          </cell>
          <cell r="K1473" t="str">
            <v>CE</v>
          </cell>
          <cell r="L1473">
            <v>15604969902</v>
          </cell>
          <cell r="M1473" t="str">
            <v>AEROLINEAS</v>
          </cell>
          <cell r="N1473">
            <v>45128</v>
          </cell>
          <cell r="O1473">
            <v>0</v>
          </cell>
          <cell r="P1473" t="str">
            <v>COMFORT</v>
          </cell>
        </row>
        <row r="1474">
          <cell r="A1474">
            <v>3379</v>
          </cell>
          <cell r="B1474">
            <v>3379</v>
          </cell>
          <cell r="C1474" t="str">
            <v>CERO MATRICULA</v>
          </cell>
          <cell r="D1474" t="str">
            <v>ACTIVO</v>
          </cell>
          <cell r="E1474" t="str">
            <v>BMC017</v>
          </cell>
          <cell r="F1474" t="str">
            <v>GUZMAN NOLASCO WAGNER FERNANDO</v>
          </cell>
          <cell r="G1474" t="str">
            <v>GUZMAN NOLASCO WAGNER FERNANDO</v>
          </cell>
          <cell r="H1474" t="str">
            <v>06047598</v>
          </cell>
          <cell r="I1474" t="str">
            <v>BCP</v>
          </cell>
          <cell r="J1474">
            <v>19296451905065</v>
          </cell>
          <cell r="K1474" t="str">
            <v>DNI</v>
          </cell>
          <cell r="L1474">
            <v>10060475984</v>
          </cell>
          <cell r="M1474" t="str">
            <v>AEROLINEAS</v>
          </cell>
          <cell r="N1474">
            <v>45128</v>
          </cell>
          <cell r="O1474">
            <v>0</v>
          </cell>
          <cell r="P1474" t="str">
            <v>COMFORT</v>
          </cell>
        </row>
        <row r="1475">
          <cell r="A1475">
            <v>3380</v>
          </cell>
          <cell r="B1475">
            <v>3380</v>
          </cell>
          <cell r="C1475" t="str">
            <v>CERO MATRICULA</v>
          </cell>
          <cell r="D1475" t="str">
            <v>ACTIVO</v>
          </cell>
          <cell r="E1475" t="str">
            <v>CEF528</v>
          </cell>
          <cell r="F1475" t="str">
            <v>BRIONES LOZANO GERARDO HUMBERTO</v>
          </cell>
          <cell r="G1475" t="str">
            <v>BRIONES LOZANO GERARDO HUMBERTO</v>
          </cell>
          <cell r="H1475" t="str">
            <v>08674859</v>
          </cell>
          <cell r="I1475" t="str">
            <v>BCP</v>
          </cell>
          <cell r="J1475" t="str">
            <v>192-79592521-0-84</v>
          </cell>
          <cell r="K1475" t="str">
            <v>DNI</v>
          </cell>
          <cell r="L1475">
            <v>10086748598</v>
          </cell>
          <cell r="M1475" t="str">
            <v>AEROLINEAS</v>
          </cell>
          <cell r="N1475">
            <v>45129</v>
          </cell>
          <cell r="O1475">
            <v>0</v>
          </cell>
          <cell r="P1475" t="str">
            <v>LITE</v>
          </cell>
        </row>
        <row r="1476">
          <cell r="A1476">
            <v>3381</v>
          </cell>
          <cell r="B1476">
            <v>3381</v>
          </cell>
          <cell r="C1476" t="str">
            <v>CERO MATRICULA</v>
          </cell>
          <cell r="D1476" t="str">
            <v>ACTIVO</v>
          </cell>
          <cell r="E1476" t="str">
            <v>BJR597</v>
          </cell>
          <cell r="F1476" t="str">
            <v>BARRIONUEVO QUINTEROS RICARDO ARIEL</v>
          </cell>
          <cell r="G1476" t="str">
            <v>BARRIONUEVO QUINTEROS RICARDO ARIEL</v>
          </cell>
          <cell r="H1476" t="str">
            <v>000614150</v>
          </cell>
          <cell r="I1476" t="str">
            <v>BCP</v>
          </cell>
          <cell r="J1476" t="str">
            <v>192-77641576-0-32</v>
          </cell>
          <cell r="K1476" t="str">
            <v>CE</v>
          </cell>
          <cell r="L1476">
            <v>15550288939</v>
          </cell>
          <cell r="M1476" t="str">
            <v>URBANO</v>
          </cell>
          <cell r="N1476">
            <v>45128</v>
          </cell>
          <cell r="O1476">
            <v>0</v>
          </cell>
          <cell r="P1476" t="str">
            <v>LITE</v>
          </cell>
        </row>
        <row r="1477">
          <cell r="A1477">
            <v>3383</v>
          </cell>
          <cell r="B1477">
            <v>3383</v>
          </cell>
          <cell r="C1477" t="str">
            <v>CERO MATRICULA</v>
          </cell>
          <cell r="D1477" t="str">
            <v>ACTIVO</v>
          </cell>
          <cell r="E1477" t="str">
            <v>CFU106</v>
          </cell>
          <cell r="F1477" t="str">
            <v>ORELLANA NUÑEZ CHRISTIAN ANDERS</v>
          </cell>
          <cell r="G1477" t="str">
            <v>ORELLANA NUÑEZ CHRISTIAN ANDERS</v>
          </cell>
          <cell r="H1477" t="str">
            <v>15356302</v>
          </cell>
          <cell r="I1477" t="str">
            <v>INTERBANK</v>
          </cell>
          <cell r="J1477" t="str">
            <v>898-3124502774</v>
          </cell>
          <cell r="K1477" t="str">
            <v>DNI</v>
          </cell>
          <cell r="L1477">
            <v>10153563026</v>
          </cell>
          <cell r="M1477" t="str">
            <v>URBANO PARTNER</v>
          </cell>
          <cell r="N1477">
            <v>45141</v>
          </cell>
          <cell r="O1477">
            <v>0</v>
          </cell>
          <cell r="P1477" t="str">
            <v>LITE</v>
          </cell>
        </row>
        <row r="1478">
          <cell r="A1478">
            <v>3384</v>
          </cell>
          <cell r="B1478">
            <v>3384</v>
          </cell>
          <cell r="C1478" t="str">
            <v>CERO MATRICULA</v>
          </cell>
          <cell r="D1478" t="str">
            <v>ACTIVO</v>
          </cell>
          <cell r="E1478" t="str">
            <v>BFU428</v>
          </cell>
          <cell r="F1478" t="str">
            <v>YANEZ MORENO FREDERICK MIGUEL</v>
          </cell>
          <cell r="G1478" t="str">
            <v>YANEZ MORENO FREDERICK MIGUEL</v>
          </cell>
          <cell r="H1478" t="str">
            <v>001582847</v>
          </cell>
          <cell r="I1478" t="str">
            <v>SCOTIABANK</v>
          </cell>
          <cell r="J1478" t="str">
            <v>045-7314920</v>
          </cell>
          <cell r="K1478" t="str">
            <v>CE</v>
          </cell>
          <cell r="L1478">
            <v>15601353285</v>
          </cell>
          <cell r="M1478" t="str">
            <v>AEROLINEAS</v>
          </cell>
          <cell r="N1478">
            <v>45148</v>
          </cell>
          <cell r="O1478">
            <v>0</v>
          </cell>
          <cell r="P1478" t="str">
            <v>LITE</v>
          </cell>
        </row>
        <row r="1479">
          <cell r="A1479">
            <v>3386</v>
          </cell>
          <cell r="B1479">
            <v>3386</v>
          </cell>
          <cell r="C1479" t="str">
            <v>CERO MATRICULA</v>
          </cell>
          <cell r="D1479" t="str">
            <v>ACTIVO</v>
          </cell>
          <cell r="E1479" t="str">
            <v>AUM498</v>
          </cell>
          <cell r="F1479" t="str">
            <v>BRAVO TORRES ALEX MANUEL</v>
          </cell>
          <cell r="G1479" t="str">
            <v>HUAMBINO MOVILIDAD SAC</v>
          </cell>
          <cell r="H1479" t="str">
            <v>20614789710</v>
          </cell>
          <cell r="I1479" t="str">
            <v>BCP</v>
          </cell>
          <cell r="J1479">
            <v>1927331937067</v>
          </cell>
          <cell r="K1479" t="str">
            <v>RUC</v>
          </cell>
          <cell r="L1479">
            <v>20614789710</v>
          </cell>
          <cell r="M1479" t="str">
            <v>AEROPUERTO VAN</v>
          </cell>
          <cell r="N1479">
            <v>45134</v>
          </cell>
          <cell r="O1479">
            <v>240</v>
          </cell>
          <cell r="P1479" t="str">
            <v>VAN</v>
          </cell>
        </row>
        <row r="1480">
          <cell r="A1480">
            <v>3387</v>
          </cell>
          <cell r="B1480">
            <v>3387</v>
          </cell>
          <cell r="C1480" t="str">
            <v>CERO MATRICULA</v>
          </cell>
          <cell r="D1480" t="str">
            <v>ACTIVO</v>
          </cell>
          <cell r="E1480" t="str">
            <v>CEW 167</v>
          </cell>
          <cell r="F1480" t="str">
            <v>MENDEZ BRACAMONTE JHON PAUL MICHAEL</v>
          </cell>
          <cell r="G1480" t="str">
            <v>MENDEZ BRACAMONTE JHON PAUL MICHAEL</v>
          </cell>
          <cell r="H1480" t="str">
            <v>43804086</v>
          </cell>
          <cell r="I1480" t="str">
            <v>INTERBANK</v>
          </cell>
          <cell r="J1480" t="str">
            <v>257-3224272210</v>
          </cell>
          <cell r="K1480" t="str">
            <v>DNI</v>
          </cell>
          <cell r="L1480">
            <v>10438040868</v>
          </cell>
          <cell r="M1480" t="str">
            <v>AEROPUERTO VAN</v>
          </cell>
          <cell r="N1480">
            <v>45139</v>
          </cell>
          <cell r="O1480">
            <v>240</v>
          </cell>
          <cell r="P1480" t="str">
            <v>VAN</v>
          </cell>
        </row>
        <row r="1481">
          <cell r="A1481">
            <v>3389</v>
          </cell>
          <cell r="B1481">
            <v>3389</v>
          </cell>
          <cell r="C1481" t="str">
            <v>CERO MATRICULA</v>
          </cell>
          <cell r="D1481" t="str">
            <v>ACTIVO</v>
          </cell>
          <cell r="E1481" t="str">
            <v>BNC501</v>
          </cell>
          <cell r="F1481" t="str">
            <v>CASTILLO  PEREZ JULIO ENRIQUE</v>
          </cell>
          <cell r="G1481" t="str">
            <v>CASTILLO  PEREZ JULIO ENRIQUE</v>
          </cell>
          <cell r="H1481" t="str">
            <v>003553204</v>
          </cell>
          <cell r="I1481" t="str">
            <v>BCP</v>
          </cell>
          <cell r="J1481" t="str">
            <v>191-99293932099</v>
          </cell>
          <cell r="K1481" t="str">
            <v>CE</v>
          </cell>
          <cell r="L1481">
            <v>15603976158</v>
          </cell>
          <cell r="M1481" t="str">
            <v>AEROLINEAS</v>
          </cell>
          <cell r="N1481">
            <v>45139</v>
          </cell>
          <cell r="O1481">
            <v>0</v>
          </cell>
          <cell r="P1481" t="str">
            <v>LITE</v>
          </cell>
        </row>
        <row r="1482">
          <cell r="A1482">
            <v>3390</v>
          </cell>
          <cell r="B1482">
            <v>3390</v>
          </cell>
          <cell r="C1482" t="str">
            <v>CERO MATRICULA</v>
          </cell>
          <cell r="D1482" t="str">
            <v>ACTIVO</v>
          </cell>
          <cell r="E1482" t="str">
            <v>ADU057</v>
          </cell>
          <cell r="F1482" t="str">
            <v>MANRIQUE FIGUEROA FELIX EDUARDO</v>
          </cell>
          <cell r="G1482" t="str">
            <v>MANRIQUE FIGUEROA FELIX EDUARDO</v>
          </cell>
          <cell r="H1482" t="str">
            <v>41645300</v>
          </cell>
          <cell r="I1482" t="str">
            <v>BCP</v>
          </cell>
          <cell r="J1482" t="str">
            <v>191-90436118012</v>
          </cell>
          <cell r="K1482" t="str">
            <v>DNI</v>
          </cell>
          <cell r="L1482">
            <v>10416453000</v>
          </cell>
          <cell r="M1482" t="str">
            <v>AEROLINEAS</v>
          </cell>
          <cell r="N1482">
            <v>45140</v>
          </cell>
          <cell r="O1482">
            <v>0</v>
          </cell>
          <cell r="P1482" t="str">
            <v>COMFORT XL</v>
          </cell>
        </row>
        <row r="1483">
          <cell r="A1483">
            <v>3391</v>
          </cell>
          <cell r="B1483">
            <v>3391</v>
          </cell>
          <cell r="C1483" t="str">
            <v>CERO MATRICULA</v>
          </cell>
          <cell r="D1483" t="str">
            <v>ACTIVO</v>
          </cell>
          <cell r="E1483" t="str">
            <v>CAP042</v>
          </cell>
          <cell r="F1483" t="str">
            <v>CONTRERAS MONTOYA LUIS FERNANDO</v>
          </cell>
          <cell r="G1483" t="str">
            <v>CONTRERAS MONTOYA LUIS FERNANDO</v>
          </cell>
          <cell r="H1483" t="str">
            <v>003534304</v>
          </cell>
          <cell r="I1483" t="str">
            <v>BCP</v>
          </cell>
          <cell r="J1483" t="str">
            <v>193-95072017039</v>
          </cell>
          <cell r="K1483" t="str">
            <v>CE</v>
          </cell>
          <cell r="L1483">
            <v>15606087991</v>
          </cell>
          <cell r="M1483" t="str">
            <v>URBANO</v>
          </cell>
          <cell r="N1483">
            <v>45139</v>
          </cell>
          <cell r="O1483">
            <v>0</v>
          </cell>
          <cell r="P1483" t="str">
            <v>COMFORT</v>
          </cell>
        </row>
        <row r="1484">
          <cell r="A1484">
            <v>3392</v>
          </cell>
          <cell r="B1484">
            <v>3392</v>
          </cell>
          <cell r="C1484" t="str">
            <v>CERO MATRICULA</v>
          </cell>
          <cell r="D1484" t="str">
            <v>ACTIVO</v>
          </cell>
          <cell r="E1484" t="str">
            <v>CFA497</v>
          </cell>
          <cell r="F1484" t="str">
            <v>MURAMATO PEÑA KOICHIRO HILMER</v>
          </cell>
          <cell r="G1484" t="str">
            <v>RONCEROS NOLE MIGUEL ANTONIO</v>
          </cell>
          <cell r="H1484" t="str">
            <v>10526956</v>
          </cell>
          <cell r="I1484" t="str">
            <v>SCOTIABANK</v>
          </cell>
          <cell r="J1484" t="str">
            <v>8205-158515</v>
          </cell>
          <cell r="K1484" t="str">
            <v>DNI</v>
          </cell>
          <cell r="L1484">
            <v>10105269566</v>
          </cell>
          <cell r="M1484" t="str">
            <v>AEROLINEAS</v>
          </cell>
          <cell r="N1484">
            <v>45141</v>
          </cell>
          <cell r="O1484">
            <v>0</v>
          </cell>
          <cell r="P1484" t="str">
            <v>LITE</v>
          </cell>
        </row>
        <row r="1485">
          <cell r="A1485">
            <v>3393</v>
          </cell>
          <cell r="B1485">
            <v>3393</v>
          </cell>
          <cell r="C1485" t="str">
            <v>CERO MATRICULA</v>
          </cell>
          <cell r="D1485" t="str">
            <v>ACTIVO</v>
          </cell>
          <cell r="E1485" t="str">
            <v>Z7I254</v>
          </cell>
          <cell r="F1485" t="str">
            <v>VELASQUEZ URBANEJA OSWALD ERNESTO</v>
          </cell>
          <cell r="G1485" t="str">
            <v>VELASQUEZ URBANEJA OSWALD ERNESTO</v>
          </cell>
          <cell r="H1485" t="str">
            <v>005130146</v>
          </cell>
          <cell r="I1485" t="str">
            <v>BCP</v>
          </cell>
          <cell r="J1485" t="str">
            <v>192-92756382012</v>
          </cell>
          <cell r="K1485" t="str">
            <v>CE</v>
          </cell>
          <cell r="L1485">
            <v>15611339175</v>
          </cell>
          <cell r="M1485" t="str">
            <v>AEROLINEAS</v>
          </cell>
          <cell r="N1485">
            <v>45141</v>
          </cell>
          <cell r="O1485">
            <v>0</v>
          </cell>
          <cell r="P1485" t="str">
            <v>LITE</v>
          </cell>
        </row>
        <row r="1486">
          <cell r="A1486">
            <v>3394</v>
          </cell>
          <cell r="B1486">
            <v>3394</v>
          </cell>
          <cell r="C1486" t="str">
            <v>CERO MATRICULA</v>
          </cell>
          <cell r="D1486" t="str">
            <v>ACTIVO</v>
          </cell>
          <cell r="E1486" t="str">
            <v>CEB021</v>
          </cell>
          <cell r="F1486" t="str">
            <v>BARRIOS LOZA   VICTOR</v>
          </cell>
          <cell r="G1486" t="str">
            <v>AGUILA BALDEON YESICA ISABEL</v>
          </cell>
          <cell r="H1486" t="str">
            <v>48514496</v>
          </cell>
          <cell r="I1486" t="str">
            <v>BCP</v>
          </cell>
          <cell r="J1486" t="str">
            <v>194-74466041021</v>
          </cell>
          <cell r="K1486" t="str">
            <v>DNI</v>
          </cell>
          <cell r="L1486">
            <v>10485144965</v>
          </cell>
          <cell r="M1486" t="str">
            <v>URBANO</v>
          </cell>
          <cell r="N1486">
            <v>45145</v>
          </cell>
          <cell r="O1486">
            <v>0</v>
          </cell>
          <cell r="P1486" t="str">
            <v>XL</v>
          </cell>
        </row>
        <row r="1487">
          <cell r="A1487">
            <v>3395</v>
          </cell>
          <cell r="B1487">
            <v>3395</v>
          </cell>
          <cell r="C1487" t="str">
            <v>CERO MATRICULA</v>
          </cell>
          <cell r="D1487" t="str">
            <v>ACTIVO</v>
          </cell>
          <cell r="E1487" t="str">
            <v>BFC496</v>
          </cell>
          <cell r="F1487" t="str">
            <v>EL ZGHAYER GONZALEZ JORGE MANUEL</v>
          </cell>
          <cell r="G1487" t="str">
            <v>EL ZGHAYER GONZALEZ JORGE MANUEL</v>
          </cell>
          <cell r="H1487" t="str">
            <v>005996598</v>
          </cell>
          <cell r="I1487" t="str">
            <v>INTERBANK</v>
          </cell>
          <cell r="J1487" t="str">
            <v>082-3327822148</v>
          </cell>
          <cell r="K1487" t="str">
            <v>CE</v>
          </cell>
          <cell r="L1487">
            <v>15609909029</v>
          </cell>
          <cell r="M1487" t="str">
            <v>AEROLINEAS</v>
          </cell>
          <cell r="N1487">
            <v>45143</v>
          </cell>
          <cell r="O1487">
            <v>0</v>
          </cell>
          <cell r="P1487" t="str">
            <v>LITE</v>
          </cell>
        </row>
        <row r="1488">
          <cell r="A1488">
            <v>3396</v>
          </cell>
          <cell r="B1488">
            <v>3396</v>
          </cell>
          <cell r="C1488" t="str">
            <v>CERO MATRICULA</v>
          </cell>
          <cell r="D1488" t="str">
            <v>ACTIVO</v>
          </cell>
          <cell r="E1488" t="str">
            <v>BKS378</v>
          </cell>
          <cell r="F1488" t="str">
            <v>CHAVEZ LOBATON RUIZDAEL SCOTT</v>
          </cell>
          <cell r="G1488" t="str">
            <v>CHAVEZ LOBATON RUIZDAEL SCOTT</v>
          </cell>
          <cell r="H1488" t="str">
            <v>61331863</v>
          </cell>
          <cell r="I1488" t="str">
            <v>INTERBANK</v>
          </cell>
          <cell r="J1488" t="str">
            <v>8983-377112247</v>
          </cell>
          <cell r="K1488" t="str">
            <v>DNI</v>
          </cell>
          <cell r="L1488">
            <v>10613318637</v>
          </cell>
          <cell r="M1488" t="str">
            <v>AEROLINEAS</v>
          </cell>
          <cell r="N1488">
            <v>45145</v>
          </cell>
          <cell r="O1488">
            <v>0</v>
          </cell>
          <cell r="P1488" t="str">
            <v>VAN</v>
          </cell>
        </row>
        <row r="1489">
          <cell r="A1489">
            <v>3397</v>
          </cell>
          <cell r="B1489">
            <v>3397</v>
          </cell>
          <cell r="C1489" t="str">
            <v>CERO MATRICULA</v>
          </cell>
          <cell r="D1489" t="str">
            <v>ACTIVO</v>
          </cell>
          <cell r="E1489" t="str">
            <v>CEL334</v>
          </cell>
          <cell r="F1489" t="str">
            <v>ARAUJO DE MORALES DAMARYS NOHEMI</v>
          </cell>
          <cell r="G1489" t="str">
            <v>ARAUJO DE MORALES DAMARYS NOHEMI</v>
          </cell>
          <cell r="H1489" t="str">
            <v>002534981</v>
          </cell>
          <cell r="I1489" t="str">
            <v>BCP</v>
          </cell>
          <cell r="J1489" t="str">
            <v>191-99500409062</v>
          </cell>
          <cell r="K1489" t="str">
            <v>CE</v>
          </cell>
          <cell r="L1489">
            <v>15606806652</v>
          </cell>
          <cell r="M1489" t="str">
            <v>AEROLINEAS</v>
          </cell>
          <cell r="N1489">
            <v>45140</v>
          </cell>
          <cell r="O1489">
            <v>0</v>
          </cell>
          <cell r="P1489" t="str">
            <v>LITE</v>
          </cell>
        </row>
        <row r="1490">
          <cell r="A1490">
            <v>3398</v>
          </cell>
          <cell r="B1490">
            <v>3398</v>
          </cell>
          <cell r="C1490" t="str">
            <v>CERO MATRICULA</v>
          </cell>
          <cell r="D1490" t="str">
            <v>ACTIVO</v>
          </cell>
          <cell r="E1490" t="str">
            <v>CEL281</v>
          </cell>
          <cell r="F1490" t="str">
            <v>PEREZ  MURGA GIAN CARLO</v>
          </cell>
          <cell r="G1490" t="str">
            <v>MORENO  DE LA CRUZ DE PEREZ CATHERINE ROSANA</v>
          </cell>
          <cell r="H1490" t="str">
            <v>75319788</v>
          </cell>
          <cell r="I1490" t="str">
            <v>SCOTIABANK</v>
          </cell>
          <cell r="J1490">
            <v>8330757196</v>
          </cell>
          <cell r="K1490" t="str">
            <v>DNI</v>
          </cell>
          <cell r="L1490">
            <v>10753197881</v>
          </cell>
          <cell r="M1490" t="str">
            <v>MEMBRESÍA URBANO</v>
          </cell>
          <cell r="N1490">
            <v>45143</v>
          </cell>
          <cell r="O1490">
            <v>280</v>
          </cell>
          <cell r="P1490" t="str">
            <v>XL</v>
          </cell>
        </row>
        <row r="1491">
          <cell r="A1491">
            <v>3399</v>
          </cell>
          <cell r="B1491">
            <v>3399</v>
          </cell>
          <cell r="C1491" t="str">
            <v>CERO MATRICULA</v>
          </cell>
          <cell r="D1491" t="str">
            <v>ACTIVO</v>
          </cell>
          <cell r="E1491" t="str">
            <v>BPE066</v>
          </cell>
          <cell r="F1491" t="str">
            <v>SOLORZANO  SANCHEZ ANTONY GIAN MARCO</v>
          </cell>
          <cell r="G1491" t="str">
            <v>SOLORZANO  SANCHEZ ANTONY GIAN MARCO</v>
          </cell>
          <cell r="H1491" t="str">
            <v>75419547</v>
          </cell>
          <cell r="I1491" t="str">
            <v>BBVA</v>
          </cell>
          <cell r="J1491" t="str">
            <v>0011-0999-0200068044</v>
          </cell>
          <cell r="K1491" t="str">
            <v>DNI</v>
          </cell>
          <cell r="L1491">
            <v>10754195474</v>
          </cell>
          <cell r="M1491" t="str">
            <v>MEMBRESÍA URBANO</v>
          </cell>
          <cell r="N1491">
            <v>45140</v>
          </cell>
          <cell r="O1491">
            <v>280</v>
          </cell>
          <cell r="P1491" t="str">
            <v>COMFORT XL</v>
          </cell>
        </row>
        <row r="1492">
          <cell r="A1492">
            <v>3400</v>
          </cell>
          <cell r="B1492">
            <v>3400</v>
          </cell>
          <cell r="C1492" t="str">
            <v>CERO MATRICULA</v>
          </cell>
          <cell r="D1492" t="str">
            <v>ACTIVO</v>
          </cell>
          <cell r="E1492" t="str">
            <v>Z6X249</v>
          </cell>
          <cell r="F1492" t="str">
            <v>LOPEZ GOMEZ PEDRO LUIS</v>
          </cell>
          <cell r="G1492" t="str">
            <v>LOPEZ GOMEZ PEDRO LUIS</v>
          </cell>
          <cell r="H1492" t="str">
            <v>003516575</v>
          </cell>
          <cell r="I1492" t="str">
            <v>BCP</v>
          </cell>
          <cell r="J1492" t="str">
            <v>191-05702172068</v>
          </cell>
          <cell r="K1492" t="str">
            <v>CE</v>
          </cell>
          <cell r="L1492">
            <v>15603372996</v>
          </cell>
          <cell r="M1492" t="str">
            <v>AEROLINEAS</v>
          </cell>
          <cell r="N1492">
            <v>45140</v>
          </cell>
          <cell r="O1492">
            <v>0</v>
          </cell>
          <cell r="P1492" t="str">
            <v>LITE</v>
          </cell>
        </row>
        <row r="1493">
          <cell r="A1493">
            <v>3401</v>
          </cell>
          <cell r="B1493">
            <v>3401</v>
          </cell>
          <cell r="C1493" t="str">
            <v>CERO MATRICULA</v>
          </cell>
          <cell r="D1493" t="str">
            <v>ACTIVO</v>
          </cell>
          <cell r="E1493" t="str">
            <v>CDX 009</v>
          </cell>
          <cell r="F1493" t="str">
            <v>BARRERA CRUZ LUIS ALEXANDER</v>
          </cell>
          <cell r="G1493" t="str">
            <v>BARRERA CRUZ LUIS ALEXANDER</v>
          </cell>
          <cell r="H1493" t="str">
            <v>47165170</v>
          </cell>
          <cell r="I1493" t="str">
            <v>INTERBANK</v>
          </cell>
          <cell r="J1493" t="str">
            <v>3783-358332748</v>
          </cell>
          <cell r="K1493" t="str">
            <v>DNI</v>
          </cell>
          <cell r="L1493">
            <v>10471651708</v>
          </cell>
          <cell r="M1493" t="str">
            <v>URBANO</v>
          </cell>
          <cell r="N1493">
            <v>45149</v>
          </cell>
          <cell r="O1493">
            <v>0</v>
          </cell>
          <cell r="P1493" t="str">
            <v>LITE</v>
          </cell>
        </row>
        <row r="1494">
          <cell r="A1494">
            <v>3402</v>
          </cell>
          <cell r="B1494">
            <v>3402</v>
          </cell>
          <cell r="C1494" t="str">
            <v>CERO MATRICULA</v>
          </cell>
          <cell r="D1494" t="str">
            <v>ACTIVO</v>
          </cell>
          <cell r="E1494" t="str">
            <v>CAB 369</v>
          </cell>
          <cell r="F1494" t="str">
            <v>PALLMAY CARRASCO FRANKLIN JAVIER</v>
          </cell>
          <cell r="G1494" t="str">
            <v>PALLMAY CARRASCO FRANKLIN JAVIER</v>
          </cell>
          <cell r="H1494" t="str">
            <v>001579373</v>
          </cell>
          <cell r="I1494" t="str">
            <v>BCP</v>
          </cell>
          <cell r="J1494" t="str">
            <v>19105841176076</v>
          </cell>
          <cell r="K1494" t="str">
            <v>CE</v>
          </cell>
          <cell r="L1494">
            <v>15606059890</v>
          </cell>
          <cell r="M1494" t="str">
            <v>AEROLINEAS</v>
          </cell>
          <cell r="N1494">
            <v>45148</v>
          </cell>
          <cell r="O1494">
            <v>0</v>
          </cell>
          <cell r="P1494" t="str">
            <v>LITE</v>
          </cell>
        </row>
        <row r="1495">
          <cell r="A1495">
            <v>3403</v>
          </cell>
          <cell r="B1495">
            <v>3403</v>
          </cell>
          <cell r="C1495" t="str">
            <v>CERO MATRICULA</v>
          </cell>
          <cell r="D1495" t="str">
            <v>ACTIVO</v>
          </cell>
          <cell r="E1495" t="str">
            <v>CDK 298</v>
          </cell>
          <cell r="F1495" t="str">
            <v>PASTRANA  OLORTIGA PIERRE ANDRE</v>
          </cell>
          <cell r="G1495" t="str">
            <v>PASTRANA  OLORTIGA PIERRE ANDRE</v>
          </cell>
          <cell r="H1495" t="str">
            <v>47241152</v>
          </cell>
          <cell r="I1495" t="str">
            <v>BCP</v>
          </cell>
          <cell r="J1495" t="str">
            <v>194-07503238027</v>
          </cell>
          <cell r="K1495" t="str">
            <v>DNI</v>
          </cell>
          <cell r="L1495">
            <v>10472411522</v>
          </cell>
          <cell r="M1495" t="str">
            <v>AEROLINEAS</v>
          </cell>
          <cell r="N1495">
            <v>45148</v>
          </cell>
          <cell r="O1495">
            <v>0</v>
          </cell>
          <cell r="P1495" t="str">
            <v>COMFORT XL</v>
          </cell>
        </row>
        <row r="1496">
          <cell r="A1496">
            <v>3404</v>
          </cell>
          <cell r="B1496">
            <v>3404</v>
          </cell>
          <cell r="C1496" t="str">
            <v>CERO MATRICULA</v>
          </cell>
          <cell r="D1496" t="str">
            <v>ACTIVO</v>
          </cell>
          <cell r="E1496" t="str">
            <v>BDU 096</v>
          </cell>
          <cell r="F1496" t="str">
            <v>BARDALES BECERRA OSMAR</v>
          </cell>
          <cell r="G1496" t="str">
            <v>Bardales Becerra Osmar</v>
          </cell>
          <cell r="H1496" t="str">
            <v>10681174</v>
          </cell>
          <cell r="I1496" t="str">
            <v>BCP</v>
          </cell>
          <cell r="J1496">
            <v>19102979680075</v>
          </cell>
          <cell r="K1496" t="str">
            <v>DNI</v>
          </cell>
          <cell r="L1496">
            <v>10106811747</v>
          </cell>
          <cell r="M1496" t="str">
            <v>AEROLINEAS</v>
          </cell>
          <cell r="N1496">
            <v>45148</v>
          </cell>
          <cell r="O1496">
            <v>0</v>
          </cell>
          <cell r="P1496" t="str">
            <v>COMFORT</v>
          </cell>
        </row>
        <row r="1497">
          <cell r="A1497">
            <v>3406</v>
          </cell>
          <cell r="B1497">
            <v>3406</v>
          </cell>
          <cell r="C1497" t="str">
            <v>CERO MATRICULA</v>
          </cell>
          <cell r="D1497" t="str">
            <v>ACTIVO</v>
          </cell>
          <cell r="E1497" t="str">
            <v>CEQ098</v>
          </cell>
          <cell r="F1497" t="str">
            <v>CORDOVA MONTEOLIVO CHRISTIAN JOAQUIN</v>
          </cell>
          <cell r="G1497" t="str">
            <v>CORDOVA MONTEOLIVO CHRISTIAN JOAQUIN</v>
          </cell>
          <cell r="H1497" t="str">
            <v>72932193</v>
          </cell>
          <cell r="I1497" t="str">
            <v>BCP</v>
          </cell>
          <cell r="J1497" t="str">
            <v>192-94903346-0-63</v>
          </cell>
          <cell r="K1497" t="str">
            <v>DNI</v>
          </cell>
          <cell r="L1497">
            <v>10729321937</v>
          </cell>
          <cell r="M1497" t="str">
            <v>AEROLINEAS</v>
          </cell>
          <cell r="N1497">
            <v>45153</v>
          </cell>
          <cell r="O1497">
            <v>0</v>
          </cell>
          <cell r="P1497" t="str">
            <v>COMFORT XL</v>
          </cell>
        </row>
        <row r="1498">
          <cell r="A1498">
            <v>3407</v>
          </cell>
          <cell r="B1498">
            <v>3407</v>
          </cell>
          <cell r="C1498" t="str">
            <v>CERO MATRICULA</v>
          </cell>
          <cell r="D1498" t="str">
            <v>ACTIVO</v>
          </cell>
          <cell r="E1498" t="str">
            <v>CDD332</v>
          </cell>
          <cell r="F1498" t="str">
            <v>VARGAS FERNANDEZ FRANK EDUARDO</v>
          </cell>
          <cell r="G1498" t="str">
            <v>VARGAS FERNANDEZ FRANK EDUARDO</v>
          </cell>
          <cell r="H1498" t="str">
            <v>41658061</v>
          </cell>
          <cell r="I1498" t="str">
            <v>INTERBANK</v>
          </cell>
          <cell r="J1498" t="str">
            <v>8983-332581033</v>
          </cell>
          <cell r="K1498" t="str">
            <v>DNI</v>
          </cell>
          <cell r="L1498">
            <v>10416580613</v>
          </cell>
          <cell r="M1498" t="str">
            <v>AEROLINEAS</v>
          </cell>
          <cell r="N1498">
            <v>45153</v>
          </cell>
          <cell r="O1498">
            <v>0</v>
          </cell>
          <cell r="P1498" t="str">
            <v>COMFORT XL</v>
          </cell>
        </row>
        <row r="1499">
          <cell r="A1499">
            <v>3409</v>
          </cell>
          <cell r="B1499">
            <v>3409</v>
          </cell>
          <cell r="C1499" t="str">
            <v>CERO MATRICULA</v>
          </cell>
          <cell r="D1499" t="str">
            <v>ACTIVO</v>
          </cell>
          <cell r="E1499" t="str">
            <v>CDD230</v>
          </cell>
          <cell r="F1499" t="str">
            <v>CHAVEZ VERGARAY ALEXIS GIAMPIERRE</v>
          </cell>
          <cell r="G1499" t="str">
            <v>CHAVEZ VERGARAY ALEXIS GIAMPIERRE</v>
          </cell>
          <cell r="H1499" t="str">
            <v>73655413</v>
          </cell>
          <cell r="I1499" t="str">
            <v>BCP</v>
          </cell>
          <cell r="J1499" t="str">
            <v>191-93556368-0-79</v>
          </cell>
          <cell r="K1499" t="str">
            <v>DNI</v>
          </cell>
          <cell r="L1499">
            <v>10736554131</v>
          </cell>
          <cell r="M1499" t="str">
            <v>AEROLINEAS</v>
          </cell>
          <cell r="N1499">
            <v>45152</v>
          </cell>
          <cell r="O1499">
            <v>0</v>
          </cell>
          <cell r="P1499" t="str">
            <v>LITE</v>
          </cell>
        </row>
        <row r="1500">
          <cell r="A1500">
            <v>3410</v>
          </cell>
          <cell r="B1500">
            <v>3410</v>
          </cell>
          <cell r="C1500" t="str">
            <v>CERO MATRICULA</v>
          </cell>
          <cell r="D1500" t="str">
            <v>ACTIVO</v>
          </cell>
          <cell r="E1500" t="str">
            <v>Z7B 558</v>
          </cell>
          <cell r="F1500" t="str">
            <v>BLAS ALEJANDRO EDWING</v>
          </cell>
          <cell r="G1500" t="str">
            <v>BLAS ALEJANDRO EDWING</v>
          </cell>
          <cell r="H1500" t="str">
            <v>47937372</v>
          </cell>
          <cell r="I1500" t="str">
            <v>BBVA</v>
          </cell>
          <cell r="J1500" t="str">
            <v>001108320200253683</v>
          </cell>
          <cell r="K1500" t="str">
            <v>DNI</v>
          </cell>
          <cell r="L1500">
            <v>10479373723</v>
          </cell>
          <cell r="M1500" t="str">
            <v>AEROLINEAS</v>
          </cell>
          <cell r="N1500">
            <v>45175</v>
          </cell>
          <cell r="O1500">
            <v>0</v>
          </cell>
          <cell r="P1500" t="str">
            <v>LITE</v>
          </cell>
        </row>
        <row r="1501">
          <cell r="A1501">
            <v>3411</v>
          </cell>
          <cell r="B1501">
            <v>3411</v>
          </cell>
          <cell r="C1501" t="str">
            <v>CERO MATRICULA</v>
          </cell>
          <cell r="D1501" t="str">
            <v>ACTIVO</v>
          </cell>
          <cell r="E1501" t="str">
            <v>CBH631</v>
          </cell>
          <cell r="F1501" t="str">
            <v>CUADROS QUISPE MARCO ANTONIO</v>
          </cell>
          <cell r="G1501" t="str">
            <v>CUADROS QUISPE MARCO ANTONIO</v>
          </cell>
          <cell r="H1501" t="str">
            <v>41371615</v>
          </cell>
          <cell r="I1501" t="str">
            <v>INTERBANK</v>
          </cell>
          <cell r="J1501" t="str">
            <v>00389801343504802349</v>
          </cell>
          <cell r="K1501" t="str">
            <v>DNI</v>
          </cell>
          <cell r="L1501">
            <v>10413716158</v>
          </cell>
          <cell r="M1501" t="str">
            <v>AEROLINEAS</v>
          </cell>
          <cell r="N1501">
            <v>45152</v>
          </cell>
          <cell r="O1501">
            <v>0</v>
          </cell>
          <cell r="P1501" t="str">
            <v>VAN</v>
          </cell>
        </row>
        <row r="1502">
          <cell r="A1502">
            <v>3412</v>
          </cell>
          <cell r="B1502">
            <v>3412</v>
          </cell>
          <cell r="C1502" t="str">
            <v>CERO MATRICULA</v>
          </cell>
          <cell r="D1502" t="str">
            <v>ACTIVO</v>
          </cell>
          <cell r="E1502" t="str">
            <v>BWQ032</v>
          </cell>
          <cell r="F1502" t="str">
            <v>SANDOVAL  RAZA LYN WILLIAM</v>
          </cell>
          <cell r="G1502" t="str">
            <v>SANDOVAL  RAZA LYN WILLIAM</v>
          </cell>
          <cell r="H1502" t="str">
            <v>71684067</v>
          </cell>
          <cell r="I1502" t="str">
            <v>BBVA</v>
          </cell>
          <cell r="J1502" t="str">
            <v>0011-0814-0217991183</v>
          </cell>
          <cell r="K1502" t="str">
            <v>DNI</v>
          </cell>
          <cell r="L1502">
            <v>10716840676</v>
          </cell>
          <cell r="M1502" t="str">
            <v>AEROLINEAS</v>
          </cell>
          <cell r="N1502">
            <v>45153</v>
          </cell>
          <cell r="O1502">
            <v>0</v>
          </cell>
          <cell r="P1502" t="str">
            <v>VAN</v>
          </cell>
        </row>
        <row r="1503">
          <cell r="A1503">
            <v>3414</v>
          </cell>
          <cell r="B1503">
            <v>3414</v>
          </cell>
          <cell r="C1503" t="str">
            <v>CERO MATRICULA</v>
          </cell>
          <cell r="D1503" t="str">
            <v>ACTIVO</v>
          </cell>
          <cell r="E1503" t="str">
            <v>BPM 133</v>
          </cell>
          <cell r="F1503" t="str">
            <v>HUAMAN RAMOS HARRY</v>
          </cell>
          <cell r="G1503" t="str">
            <v>HUAMAN  QUISPE HIARSINHO JURGHEN</v>
          </cell>
          <cell r="H1503" t="str">
            <v>75534683</v>
          </cell>
          <cell r="I1503" t="str">
            <v>BBVA</v>
          </cell>
          <cell r="J1503" t="str">
            <v>001102580200294711</v>
          </cell>
          <cell r="K1503" t="str">
            <v>DNI</v>
          </cell>
          <cell r="L1503">
            <v>10755346832</v>
          </cell>
          <cell r="M1503" t="str">
            <v>AEROLINEAS</v>
          </cell>
          <cell r="N1503">
            <v>45166</v>
          </cell>
          <cell r="O1503">
            <v>0</v>
          </cell>
          <cell r="P1503" t="str">
            <v>COMFORT XL</v>
          </cell>
        </row>
        <row r="1504">
          <cell r="A1504">
            <v>3415</v>
          </cell>
          <cell r="B1504">
            <v>3415</v>
          </cell>
          <cell r="C1504" t="str">
            <v>CERO MATRICULA</v>
          </cell>
          <cell r="D1504" t="str">
            <v>ACTIVO</v>
          </cell>
          <cell r="E1504" t="str">
            <v>AMD417</v>
          </cell>
          <cell r="F1504" t="str">
            <v>ACOSTA TORRES WILLIAM</v>
          </cell>
          <cell r="G1504" t="str">
            <v>ACOSTA TORRES WILLIAM</v>
          </cell>
          <cell r="H1504" t="str">
            <v>10202043</v>
          </cell>
          <cell r="I1504" t="str">
            <v>INTERBANK</v>
          </cell>
          <cell r="J1504" t="str">
            <v>1593-127930700</v>
          </cell>
          <cell r="K1504" t="str">
            <v>DNI</v>
          </cell>
          <cell r="L1504">
            <v>10102020435</v>
          </cell>
          <cell r="M1504" t="str">
            <v>AEROLINEAS</v>
          </cell>
          <cell r="N1504">
            <v>45154</v>
          </cell>
          <cell r="O1504">
            <v>0</v>
          </cell>
          <cell r="P1504" t="str">
            <v>LITE</v>
          </cell>
        </row>
        <row r="1505">
          <cell r="A1505">
            <v>3416</v>
          </cell>
          <cell r="B1505">
            <v>3416</v>
          </cell>
          <cell r="C1505" t="str">
            <v>CERO MATRICULA</v>
          </cell>
          <cell r="D1505" t="str">
            <v>ACTIVO</v>
          </cell>
          <cell r="E1505" t="str">
            <v>BEU 038</v>
          </cell>
          <cell r="F1505" t="str">
            <v>HUAMAN QUISPE JULIO HECTOR</v>
          </cell>
          <cell r="G1505" t="str">
            <v>HUAMAN  QUISPE JULIO HECTOR</v>
          </cell>
          <cell r="H1505" t="str">
            <v>09551179</v>
          </cell>
          <cell r="I1505" t="str">
            <v>BCP</v>
          </cell>
          <cell r="J1505" t="str">
            <v>19207378005029</v>
          </cell>
          <cell r="K1505" t="str">
            <v>DNI</v>
          </cell>
          <cell r="L1505">
            <v>10095511797</v>
          </cell>
          <cell r="M1505" t="str">
            <v>AEROPUERTO</v>
          </cell>
          <cell r="N1505">
            <v>45170</v>
          </cell>
          <cell r="O1505">
            <v>240</v>
          </cell>
          <cell r="P1505" t="str">
            <v>COMFORT</v>
          </cell>
        </row>
        <row r="1506">
          <cell r="A1506">
            <v>3417</v>
          </cell>
          <cell r="B1506">
            <v>3417</v>
          </cell>
          <cell r="C1506" t="str">
            <v>CERO MATRICULA</v>
          </cell>
          <cell r="D1506" t="str">
            <v>ACTIVO</v>
          </cell>
          <cell r="E1506" t="str">
            <v>ALG 842</v>
          </cell>
          <cell r="F1506" t="str">
            <v xml:space="preserve">MORENO ROMERO EDUARDO  </v>
          </cell>
          <cell r="G1506" t="str">
            <v xml:space="preserve">MORENO ROMERO EDUARDO  </v>
          </cell>
          <cell r="H1506" t="str">
            <v>07207512</v>
          </cell>
          <cell r="I1506" t="str">
            <v>INTERBANK</v>
          </cell>
          <cell r="J1506" t="str">
            <v>7443088032216</v>
          </cell>
          <cell r="K1506" t="str">
            <v>DNI</v>
          </cell>
          <cell r="L1506">
            <v>10072075124</v>
          </cell>
          <cell r="M1506" t="str">
            <v>AEROLINEAS</v>
          </cell>
          <cell r="N1506">
            <v>45166</v>
          </cell>
          <cell r="O1506">
            <v>0</v>
          </cell>
          <cell r="P1506" t="str">
            <v>VAN</v>
          </cell>
        </row>
        <row r="1507">
          <cell r="A1507">
            <v>3418</v>
          </cell>
          <cell r="B1507">
            <v>3418</v>
          </cell>
          <cell r="C1507" t="str">
            <v>CERO MATRICULA</v>
          </cell>
          <cell r="D1507" t="str">
            <v>ACTIVO</v>
          </cell>
          <cell r="E1507" t="str">
            <v>CDZ648</v>
          </cell>
          <cell r="F1507" t="str">
            <v>AGUIRRE DELESMA CARLOS FELIX</v>
          </cell>
          <cell r="G1507" t="str">
            <v>DE LA CRUZ CERVANTES JORGE GLEM</v>
          </cell>
          <cell r="H1507" t="str">
            <v>45604515</v>
          </cell>
          <cell r="I1507" t="str">
            <v>BBVA</v>
          </cell>
          <cell r="J1507" t="str">
            <v>001108140225778650</v>
          </cell>
          <cell r="K1507" t="str">
            <v>DNI</v>
          </cell>
          <cell r="L1507">
            <v>10456045150</v>
          </cell>
          <cell r="M1507" t="str">
            <v>AEROLINEAS</v>
          </cell>
          <cell r="N1507">
            <v>45161</v>
          </cell>
          <cell r="O1507">
            <v>0</v>
          </cell>
          <cell r="P1507" t="str">
            <v>VAN</v>
          </cell>
        </row>
        <row r="1508">
          <cell r="A1508">
            <v>3419</v>
          </cell>
          <cell r="B1508">
            <v>3419</v>
          </cell>
          <cell r="C1508" t="str">
            <v>CERO MATRICULA</v>
          </cell>
          <cell r="D1508" t="str">
            <v>ACTIVO</v>
          </cell>
          <cell r="E1508" t="str">
            <v>CFY472</v>
          </cell>
          <cell r="F1508" t="str">
            <v>BLANCO  GONZALEZ ANDRES YSIDORO</v>
          </cell>
          <cell r="G1508" t="str">
            <v>BLANCO  GONZALEZ ANDRES YSIDORO</v>
          </cell>
          <cell r="H1508" t="str">
            <v>000424281</v>
          </cell>
          <cell r="I1508" t="str">
            <v>SCOTIABANK</v>
          </cell>
          <cell r="J1508" t="str">
            <v>7117461389</v>
          </cell>
          <cell r="K1508" t="str">
            <v>CPP</v>
          </cell>
          <cell r="L1508">
            <v>15611414479</v>
          </cell>
          <cell r="M1508" t="str">
            <v>AEROLINEAS</v>
          </cell>
          <cell r="N1508">
            <v>45162</v>
          </cell>
          <cell r="O1508">
            <v>0</v>
          </cell>
          <cell r="P1508" t="str">
            <v>XL</v>
          </cell>
        </row>
        <row r="1509">
          <cell r="A1509">
            <v>3420</v>
          </cell>
          <cell r="B1509">
            <v>3420</v>
          </cell>
          <cell r="C1509" t="str">
            <v>CERO MATRICULA</v>
          </cell>
          <cell r="D1509" t="str">
            <v>ACTIVO</v>
          </cell>
          <cell r="E1509" t="str">
            <v>BYE472</v>
          </cell>
          <cell r="F1509" t="str">
            <v>RODRIGUEZ CHAPILLEQUEN CARLOS AGUSTIN</v>
          </cell>
          <cell r="G1509" t="str">
            <v>ANTAURCO  OBREGON JELY  FLORMILA</v>
          </cell>
          <cell r="H1509" t="str">
            <v>10413653</v>
          </cell>
          <cell r="I1509" t="str">
            <v>INTERBANK</v>
          </cell>
          <cell r="J1509" t="str">
            <v>8983330857600</v>
          </cell>
          <cell r="K1509" t="str">
            <v>DNI</v>
          </cell>
          <cell r="L1509">
            <v>10104136538</v>
          </cell>
          <cell r="M1509" t="str">
            <v>AEROLINEAS</v>
          </cell>
          <cell r="N1509">
            <v>45161</v>
          </cell>
          <cell r="O1509">
            <v>0</v>
          </cell>
          <cell r="P1509" t="str">
            <v>COMFORT XL</v>
          </cell>
        </row>
        <row r="1510">
          <cell r="A1510">
            <v>3421</v>
          </cell>
          <cell r="B1510">
            <v>3421</v>
          </cell>
          <cell r="C1510" t="str">
            <v>CERO MATRICULA</v>
          </cell>
          <cell r="D1510" t="str">
            <v>ACTIVO</v>
          </cell>
          <cell r="E1510" t="str">
            <v>BSD591</v>
          </cell>
          <cell r="F1510" t="str">
            <v>STARRIPA NIETO JAVIER GUILLERMO</v>
          </cell>
          <cell r="G1510" t="str">
            <v>STARRIPA NIETO JAVIER GUILLERMO</v>
          </cell>
          <cell r="H1510" t="str">
            <v>09444507</v>
          </cell>
          <cell r="I1510" t="str">
            <v>BCP</v>
          </cell>
          <cell r="J1510" t="str">
            <v>1917658667070</v>
          </cell>
          <cell r="K1510" t="str">
            <v>DNI</v>
          </cell>
          <cell r="L1510">
            <v>10094445073</v>
          </cell>
          <cell r="M1510" t="str">
            <v>AEROLINEAS</v>
          </cell>
          <cell r="N1510">
            <v>45161</v>
          </cell>
          <cell r="O1510">
            <v>0</v>
          </cell>
          <cell r="P1510" t="str">
            <v>COMFORT XL</v>
          </cell>
        </row>
        <row r="1511">
          <cell r="A1511">
            <v>3422</v>
          </cell>
          <cell r="B1511">
            <v>3422</v>
          </cell>
          <cell r="C1511" t="str">
            <v>CERO MATRICULA</v>
          </cell>
          <cell r="D1511" t="str">
            <v>ACTIVO</v>
          </cell>
          <cell r="E1511" t="str">
            <v>CFV393</v>
          </cell>
          <cell r="F1511" t="str">
            <v>ANCHANTE RAMOS OSWALDO MARTIN</v>
          </cell>
          <cell r="G1511" t="str">
            <v>ANCHANTE RAMOS OSWALDO MARTIN</v>
          </cell>
          <cell r="H1511" t="str">
            <v>40296973</v>
          </cell>
          <cell r="I1511" t="str">
            <v>BCP</v>
          </cell>
          <cell r="J1511" t="str">
            <v>192-26914103-0-61</v>
          </cell>
          <cell r="K1511" t="str">
            <v>DNI</v>
          </cell>
          <cell r="L1511">
            <v>10402969739</v>
          </cell>
          <cell r="M1511" t="str">
            <v>AEROLINEAS</v>
          </cell>
          <cell r="N1511">
            <v>45163</v>
          </cell>
          <cell r="O1511">
            <v>0</v>
          </cell>
          <cell r="P1511" t="str">
            <v>COMFORT</v>
          </cell>
        </row>
        <row r="1512">
          <cell r="A1512">
            <v>3424</v>
          </cell>
          <cell r="B1512">
            <v>3424</v>
          </cell>
          <cell r="C1512" t="str">
            <v>CERO MATRICULA</v>
          </cell>
          <cell r="D1512" t="str">
            <v>ACTIVO</v>
          </cell>
          <cell r="E1512" t="str">
            <v>BZW327</v>
          </cell>
          <cell r="F1512" t="str">
            <v>CALDERON HUERTAS ALBERTO LEONCIO</v>
          </cell>
          <cell r="G1512" t="str">
            <v>PROVEEDORES CALCA S.A.C.</v>
          </cell>
          <cell r="H1512" t="str">
            <v>20604965188</v>
          </cell>
          <cell r="I1512" t="str">
            <v>INTERBANK</v>
          </cell>
          <cell r="J1512" t="str">
            <v>2003002519613</v>
          </cell>
          <cell r="K1512" t="str">
            <v>RUC</v>
          </cell>
          <cell r="L1512">
            <v>20604965188</v>
          </cell>
          <cell r="M1512" t="str">
            <v>AEROPUERTO VAN</v>
          </cell>
          <cell r="N1512">
            <v>45164</v>
          </cell>
          <cell r="O1512">
            <v>240</v>
          </cell>
          <cell r="P1512" t="str">
            <v>VAN</v>
          </cell>
        </row>
        <row r="1513">
          <cell r="A1513">
            <v>3425</v>
          </cell>
          <cell r="B1513">
            <v>3425</v>
          </cell>
          <cell r="C1513" t="str">
            <v>CERO MATRICULA</v>
          </cell>
          <cell r="D1513" t="str">
            <v>ACTIVO</v>
          </cell>
          <cell r="E1513" t="str">
            <v>AVX849</v>
          </cell>
          <cell r="F1513" t="str">
            <v>MARTINEZ MANCO CARLOS AUGUSTO</v>
          </cell>
          <cell r="G1513" t="str">
            <v>MARTINEZ MANCO CARLOS AUGUSTO</v>
          </cell>
          <cell r="H1513" t="str">
            <v>40752320</v>
          </cell>
          <cell r="I1513" t="str">
            <v>BCP</v>
          </cell>
          <cell r="J1513" t="str">
            <v>19127867310096</v>
          </cell>
          <cell r="K1513" t="str">
            <v>DNI</v>
          </cell>
          <cell r="L1513">
            <v>10407523208</v>
          </cell>
          <cell r="M1513" t="str">
            <v>AEROLINEAS</v>
          </cell>
          <cell r="N1513">
            <v>45163</v>
          </cell>
          <cell r="O1513">
            <v>0</v>
          </cell>
          <cell r="P1513" t="str">
            <v>VAN</v>
          </cell>
        </row>
        <row r="1514">
          <cell r="A1514">
            <v>3426</v>
          </cell>
          <cell r="B1514">
            <v>3426</v>
          </cell>
          <cell r="C1514" t="str">
            <v>CERO MATRICULA</v>
          </cell>
          <cell r="D1514" t="str">
            <v>ACTIVO</v>
          </cell>
          <cell r="E1514" t="str">
            <v>CDZ 108</v>
          </cell>
          <cell r="F1514" t="str">
            <v>SOLANO GOMEZ MARIA TERESA</v>
          </cell>
          <cell r="G1514" t="str">
            <v>SOLANO GOMEZ MARIA TERESA</v>
          </cell>
          <cell r="H1514" t="str">
            <v>48936854</v>
          </cell>
          <cell r="I1514" t="str">
            <v>BCP</v>
          </cell>
          <cell r="J1514" t="str">
            <v>19438973603074</v>
          </cell>
          <cell r="K1514" t="str">
            <v>DNI</v>
          </cell>
          <cell r="L1514">
            <v>15552898246</v>
          </cell>
          <cell r="M1514" t="str">
            <v>AEROLINEAS</v>
          </cell>
          <cell r="N1514">
            <v>45166</v>
          </cell>
          <cell r="O1514">
            <v>0</v>
          </cell>
          <cell r="P1514" t="str">
            <v>VAN</v>
          </cell>
        </row>
        <row r="1515">
          <cell r="A1515">
            <v>3427</v>
          </cell>
          <cell r="B1515">
            <v>3427</v>
          </cell>
          <cell r="C1515" t="str">
            <v>CERO MATRICULA</v>
          </cell>
          <cell r="D1515" t="str">
            <v>ACTIVO</v>
          </cell>
          <cell r="E1515" t="str">
            <v>CEK012</v>
          </cell>
          <cell r="F1515" t="str">
            <v>BURGA VEGA JUAN CARLOS</v>
          </cell>
          <cell r="G1515" t="str">
            <v>INVERSIONES RGC PERU EIRL</v>
          </cell>
          <cell r="H1515" t="str">
            <v>20601674603</v>
          </cell>
          <cell r="I1515" t="str">
            <v>BANCO DE LA NACIÓN</v>
          </cell>
          <cell r="J1515" t="str">
            <v>01806800006836928276</v>
          </cell>
          <cell r="K1515" t="str">
            <v>DNI</v>
          </cell>
          <cell r="L1515">
            <v>20601674603</v>
          </cell>
          <cell r="M1515" t="str">
            <v>AEROLINEAS</v>
          </cell>
          <cell r="N1515">
            <v>45163</v>
          </cell>
          <cell r="O1515">
            <v>0</v>
          </cell>
          <cell r="P1515" t="str">
            <v>VAN</v>
          </cell>
        </row>
        <row r="1516">
          <cell r="A1516">
            <v>3429</v>
          </cell>
          <cell r="B1516">
            <v>3429</v>
          </cell>
          <cell r="C1516" t="str">
            <v>CERO MATRICULA</v>
          </cell>
          <cell r="D1516" t="str">
            <v>ACTIVO</v>
          </cell>
          <cell r="E1516" t="str">
            <v>BSE399</v>
          </cell>
          <cell r="F1516" t="str">
            <v xml:space="preserve">JAMANCA  SAENZ PABLO CESAR </v>
          </cell>
          <cell r="G1516" t="str">
            <v xml:space="preserve">JAMANCA  SAENZ PABLO CESAR </v>
          </cell>
          <cell r="H1516" t="str">
            <v>47340466</v>
          </cell>
          <cell r="I1516" t="str">
            <v>INTERBANK</v>
          </cell>
          <cell r="J1516" t="str">
            <v>898-3142114412</v>
          </cell>
          <cell r="K1516" t="str">
            <v>DNI</v>
          </cell>
          <cell r="L1516">
            <v>10473404660</v>
          </cell>
          <cell r="M1516" t="str">
            <v>AEROLINEAS</v>
          </cell>
          <cell r="N1516">
            <v>45168</v>
          </cell>
          <cell r="O1516">
            <v>0</v>
          </cell>
          <cell r="P1516" t="str">
            <v>COMFORT XL</v>
          </cell>
        </row>
        <row r="1517">
          <cell r="A1517">
            <v>3430</v>
          </cell>
          <cell r="B1517">
            <v>3430</v>
          </cell>
          <cell r="C1517" t="str">
            <v>CERO MATRICULA</v>
          </cell>
          <cell r="D1517" t="str">
            <v>ACTIVO</v>
          </cell>
          <cell r="E1517" t="str">
            <v>CAO015</v>
          </cell>
          <cell r="F1517" t="str">
            <v>FLORES CAMARA FERNANDO ANTONY</v>
          </cell>
          <cell r="G1517" t="str">
            <v>FLORES CAMARA FERNANDO ANTONY</v>
          </cell>
          <cell r="H1517" t="str">
            <v>75424726</v>
          </cell>
          <cell r="I1517" t="str">
            <v>BCP</v>
          </cell>
          <cell r="J1517" t="str">
            <v>19475550845083</v>
          </cell>
          <cell r="K1517" t="str">
            <v>DNI</v>
          </cell>
          <cell r="L1517">
            <v>10754247261</v>
          </cell>
          <cell r="M1517" t="str">
            <v>AEROLINEAS</v>
          </cell>
          <cell r="N1517">
            <v>45170</v>
          </cell>
          <cell r="O1517">
            <v>0</v>
          </cell>
          <cell r="P1517" t="str">
            <v>LITE</v>
          </cell>
        </row>
        <row r="1518">
          <cell r="A1518">
            <v>3431</v>
          </cell>
          <cell r="B1518">
            <v>3431</v>
          </cell>
          <cell r="C1518" t="str">
            <v>CERO MATRICULA</v>
          </cell>
          <cell r="D1518" t="str">
            <v>ACTIVO</v>
          </cell>
          <cell r="E1518" t="str">
            <v>BRE640</v>
          </cell>
          <cell r="F1518" t="str">
            <v>RICHY CAHUAO JOSE</v>
          </cell>
          <cell r="G1518" t="str">
            <v>RICHY CAHUAO JOSE</v>
          </cell>
          <cell r="H1518" t="str">
            <v>004341342</v>
          </cell>
          <cell r="I1518" t="str">
            <v>BCP</v>
          </cell>
          <cell r="J1518" t="str">
            <v>19494388141054</v>
          </cell>
          <cell r="K1518" t="str">
            <v>CE</v>
          </cell>
          <cell r="L1518">
            <v>15607477946</v>
          </cell>
          <cell r="M1518" t="str">
            <v>AEROPUERTO</v>
          </cell>
          <cell r="N1518">
            <v>45167</v>
          </cell>
          <cell r="O1518">
            <v>235</v>
          </cell>
          <cell r="P1518" t="str">
            <v>COMFORT XL</v>
          </cell>
        </row>
        <row r="1519">
          <cell r="A1519">
            <v>3432</v>
          </cell>
          <cell r="B1519">
            <v>3432</v>
          </cell>
          <cell r="C1519" t="str">
            <v>CERO MATRICULA</v>
          </cell>
          <cell r="D1519" t="str">
            <v>ACTIVO</v>
          </cell>
          <cell r="E1519" t="str">
            <v>BNM121</v>
          </cell>
          <cell r="F1519" t="str">
            <v xml:space="preserve">CAÑAMERO ESPEJO PAOLO CESAR </v>
          </cell>
          <cell r="G1519" t="str">
            <v xml:space="preserve">CAÑAMERO ESPEJO PAOLO CESAR </v>
          </cell>
          <cell r="H1519" t="str">
            <v>40141529</v>
          </cell>
          <cell r="I1519" t="str">
            <v>BCP</v>
          </cell>
          <cell r="J1519" t="str">
            <v>19278650369015</v>
          </cell>
          <cell r="K1519" t="str">
            <v>DNI</v>
          </cell>
          <cell r="L1519">
            <v>10401415292</v>
          </cell>
          <cell r="M1519" t="str">
            <v>AEROLINEAS</v>
          </cell>
          <cell r="N1519">
            <v>45169</v>
          </cell>
          <cell r="O1519">
            <v>0</v>
          </cell>
          <cell r="P1519" t="str">
            <v>LITE</v>
          </cell>
        </row>
        <row r="1520">
          <cell r="A1520">
            <v>3434</v>
          </cell>
          <cell r="B1520">
            <v>3434</v>
          </cell>
          <cell r="C1520" t="str">
            <v>CERO MATRICULA</v>
          </cell>
          <cell r="D1520" t="str">
            <v>ACTIVO</v>
          </cell>
          <cell r="E1520" t="str">
            <v>CFA497</v>
          </cell>
          <cell r="F1520" t="str">
            <v>LA TORRE GUTIERREZ JOSE ROLANDO</v>
          </cell>
          <cell r="G1520" t="str">
            <v>RONCEROS NOLE MIGUEL ANTONIO</v>
          </cell>
          <cell r="H1520" t="str">
            <v>10526956</v>
          </cell>
          <cell r="I1520" t="str">
            <v>SCOTIABANK</v>
          </cell>
          <cell r="J1520" t="str">
            <v>8205158515</v>
          </cell>
          <cell r="K1520" t="str">
            <v>DNI</v>
          </cell>
          <cell r="L1520">
            <v>10105269566</v>
          </cell>
          <cell r="M1520" t="str">
            <v>AEROLINEAS</v>
          </cell>
          <cell r="N1520">
            <v>45178</v>
          </cell>
          <cell r="O1520">
            <v>0</v>
          </cell>
          <cell r="P1520" t="str">
            <v>LITE</v>
          </cell>
        </row>
        <row r="1521">
          <cell r="A1521">
            <v>3435</v>
          </cell>
          <cell r="B1521">
            <v>3435</v>
          </cell>
          <cell r="C1521" t="str">
            <v>CERO MATRICULA</v>
          </cell>
          <cell r="D1521" t="str">
            <v>ACTIVO</v>
          </cell>
          <cell r="E1521" t="str">
            <v>ALD272</v>
          </cell>
          <cell r="F1521" t="str">
            <v>CALLUPE CUYO CARLOS ENRIQUE</v>
          </cell>
          <cell r="G1521" t="str">
            <v>CALLUPE CUYO CARLOS ENRIQUE</v>
          </cell>
          <cell r="H1521" t="str">
            <v>42776741</v>
          </cell>
          <cell r="I1521" t="str">
            <v>BBVA</v>
          </cell>
          <cell r="J1521" t="str">
            <v>001108140223451727</v>
          </cell>
          <cell r="K1521" t="str">
            <v>DNI</v>
          </cell>
          <cell r="L1521">
            <v>10427767413</v>
          </cell>
          <cell r="M1521" t="str">
            <v>AEROLINEAS</v>
          </cell>
          <cell r="N1521">
            <v>45175</v>
          </cell>
          <cell r="O1521">
            <v>0</v>
          </cell>
          <cell r="P1521" t="str">
            <v>LITE</v>
          </cell>
        </row>
        <row r="1522">
          <cell r="A1522">
            <v>3437</v>
          </cell>
          <cell r="B1522">
            <v>3437</v>
          </cell>
          <cell r="C1522" t="str">
            <v>CERO MATRICULA</v>
          </cell>
          <cell r="D1522" t="str">
            <v>ACTIVO</v>
          </cell>
          <cell r="E1522" t="str">
            <v>BRN030</v>
          </cell>
          <cell r="F1522" t="str">
            <v>CEDEÑO ASMAT ROGER IVAN</v>
          </cell>
          <cell r="G1522" t="str">
            <v>CEDEÑO ASMAT ROGER IVAN</v>
          </cell>
          <cell r="H1522" t="str">
            <v>25777016</v>
          </cell>
          <cell r="I1522" t="str">
            <v>SCOTIABANK</v>
          </cell>
          <cell r="J1522" t="str">
            <v>820-4916483</v>
          </cell>
          <cell r="K1522" t="str">
            <v>DNI</v>
          </cell>
          <cell r="L1522">
            <v>10257770163</v>
          </cell>
          <cell r="M1522" t="str">
            <v>AEROLINEAS</v>
          </cell>
          <cell r="N1522">
            <v>45170</v>
          </cell>
          <cell r="O1522">
            <v>0</v>
          </cell>
          <cell r="P1522" t="str">
            <v>COMFORT XL</v>
          </cell>
        </row>
        <row r="1523">
          <cell r="A1523">
            <v>3440</v>
          </cell>
          <cell r="B1523">
            <v>3440</v>
          </cell>
          <cell r="C1523" t="str">
            <v>CERO MATRICULA</v>
          </cell>
          <cell r="D1523" t="str">
            <v>ACTIVO</v>
          </cell>
          <cell r="E1523" t="str">
            <v>F2J 031</v>
          </cell>
          <cell r="F1523" t="str">
            <v>MELGAREJO BERNARDINI JAIRO WILLIAM</v>
          </cell>
          <cell r="G1523" t="str">
            <v>MELGAREJO BERNARDINI JAIRO WILLIAM</v>
          </cell>
          <cell r="H1523" t="str">
            <v>08679372</v>
          </cell>
          <cell r="I1523" t="str">
            <v>BCP</v>
          </cell>
          <cell r="J1523" t="str">
            <v>19172037609060</v>
          </cell>
          <cell r="K1523" t="str">
            <v>DNI</v>
          </cell>
          <cell r="L1523">
            <v>10086793721</v>
          </cell>
          <cell r="M1523" t="str">
            <v>AEROLINEAS</v>
          </cell>
          <cell r="N1523">
            <v>45170</v>
          </cell>
          <cell r="O1523">
            <v>0</v>
          </cell>
          <cell r="P1523" t="str">
            <v>VAN</v>
          </cell>
        </row>
        <row r="1524">
          <cell r="A1524">
            <v>3441</v>
          </cell>
          <cell r="B1524">
            <v>3441</v>
          </cell>
          <cell r="C1524" t="str">
            <v>CERO MATRICULA</v>
          </cell>
          <cell r="D1524" t="str">
            <v>ACTIVO</v>
          </cell>
          <cell r="E1524" t="str">
            <v>C0U 951</v>
          </cell>
          <cell r="F1524" t="str">
            <v>TACZA MARTINEZ JORGE ARMANDO</v>
          </cell>
          <cell r="G1524" t="str">
            <v>TACZA MARTINEZ JORGE ARMANDO</v>
          </cell>
          <cell r="H1524" t="str">
            <v>21279327</v>
          </cell>
          <cell r="I1524" t="str">
            <v>INTERBANK</v>
          </cell>
          <cell r="J1524" t="str">
            <v>1403123982984</v>
          </cell>
          <cell r="K1524" t="str">
            <v>DNI</v>
          </cell>
          <cell r="L1524">
            <v>10212793278</v>
          </cell>
          <cell r="M1524" t="str">
            <v>AEROLINEAS</v>
          </cell>
          <cell r="N1524">
            <v>45170</v>
          </cell>
          <cell r="O1524">
            <v>0</v>
          </cell>
          <cell r="P1524" t="str">
            <v>VAN</v>
          </cell>
        </row>
        <row r="1525">
          <cell r="A1525">
            <v>3442</v>
          </cell>
          <cell r="B1525">
            <v>3442</v>
          </cell>
          <cell r="C1525" t="str">
            <v>CERO MATRICULA</v>
          </cell>
          <cell r="D1525" t="str">
            <v>ACTIVO</v>
          </cell>
          <cell r="E1525" t="str">
            <v>CHJ 276</v>
          </cell>
          <cell r="F1525" t="str">
            <v>AQUIJE NORIEGA ELMORE LEONIDAS</v>
          </cell>
          <cell r="G1525" t="str">
            <v>AQUIJE NORIEGA ELMORE LEONIDAS</v>
          </cell>
          <cell r="H1525" t="str">
            <v>25803135</v>
          </cell>
          <cell r="I1525" t="str">
            <v>INTERBANK</v>
          </cell>
          <cell r="J1525" t="str">
            <v>252-3215650484</v>
          </cell>
          <cell r="K1525" t="str">
            <v>DNI</v>
          </cell>
          <cell r="L1525">
            <v>10258031356</v>
          </cell>
          <cell r="M1525" t="str">
            <v>AEROLINEAS</v>
          </cell>
          <cell r="N1525">
            <v>45170</v>
          </cell>
          <cell r="O1525">
            <v>0</v>
          </cell>
          <cell r="P1525" t="str">
            <v>VAN</v>
          </cell>
        </row>
        <row r="1526">
          <cell r="A1526">
            <v>3443</v>
          </cell>
          <cell r="B1526">
            <v>3443</v>
          </cell>
          <cell r="C1526" t="str">
            <v>CERO MATRICULA</v>
          </cell>
          <cell r="D1526" t="str">
            <v>ACTIVO</v>
          </cell>
          <cell r="E1526" t="str">
            <v>BUA 119</v>
          </cell>
          <cell r="F1526" t="str">
            <v>VALERIO HUAMAN FERNANDO CORNELIO</v>
          </cell>
          <cell r="G1526" t="str">
            <v>VALERIO HUAMAN FERNANDO CORNELIO</v>
          </cell>
          <cell r="H1526" t="str">
            <v>41274382</v>
          </cell>
          <cell r="I1526" t="str">
            <v>BBVA</v>
          </cell>
          <cell r="J1526" t="str">
            <v>0011 01290200622105</v>
          </cell>
          <cell r="K1526" t="str">
            <v>DNI</v>
          </cell>
          <cell r="L1526">
            <v>10412743828</v>
          </cell>
          <cell r="M1526" t="str">
            <v>AEROLINEAS</v>
          </cell>
          <cell r="N1526">
            <v>45170</v>
          </cell>
          <cell r="O1526">
            <v>0</v>
          </cell>
          <cell r="P1526" t="str">
            <v>VAN</v>
          </cell>
        </row>
        <row r="1527">
          <cell r="A1527">
            <v>3444</v>
          </cell>
          <cell r="B1527">
            <v>3444</v>
          </cell>
          <cell r="C1527" t="str">
            <v>CERO MATRICULA</v>
          </cell>
          <cell r="D1527" t="str">
            <v>ACTIVO</v>
          </cell>
          <cell r="E1527" t="str">
            <v>CCF 277</v>
          </cell>
          <cell r="F1527" t="str">
            <v>LUNASCO  MENDOZA ZOEYGER ZACARIAS</v>
          </cell>
          <cell r="G1527" t="str">
            <v>LUNASCO  MENDOZA ZOEYGER ZACARIAS</v>
          </cell>
          <cell r="H1527" t="str">
            <v>20726691</v>
          </cell>
          <cell r="I1527" t="str">
            <v>BCP</v>
          </cell>
          <cell r="J1527" t="str">
            <v>192-27580635026</v>
          </cell>
          <cell r="K1527" t="str">
            <v>DNI</v>
          </cell>
          <cell r="L1527">
            <v>10207266910</v>
          </cell>
          <cell r="M1527" t="str">
            <v>AEROLINEAS</v>
          </cell>
          <cell r="N1527">
            <v>45180</v>
          </cell>
          <cell r="O1527">
            <v>0</v>
          </cell>
          <cell r="P1527" t="str">
            <v>VAN</v>
          </cell>
        </row>
        <row r="1528">
          <cell r="A1528">
            <v>3446</v>
          </cell>
          <cell r="B1528">
            <v>3446</v>
          </cell>
          <cell r="C1528" t="str">
            <v>CERO MATRICULA</v>
          </cell>
          <cell r="D1528" t="str">
            <v>ACTIVO</v>
          </cell>
          <cell r="E1528" t="str">
            <v>ACA 528</v>
          </cell>
          <cell r="F1528" t="str">
            <v xml:space="preserve">ALVARADO MAYLLE EDGAR  </v>
          </cell>
          <cell r="G1528" t="str">
            <v xml:space="preserve">ALVARADO MAYLLE EDGAR  </v>
          </cell>
          <cell r="H1528" t="str">
            <v>10122383</v>
          </cell>
          <cell r="I1528" t="str">
            <v>BCP</v>
          </cell>
          <cell r="J1528" t="str">
            <v>19171266933099</v>
          </cell>
          <cell r="K1528" t="str">
            <v>DNI</v>
          </cell>
          <cell r="L1528">
            <v>10101223839</v>
          </cell>
          <cell r="M1528" t="str">
            <v>AEROLINEAS</v>
          </cell>
          <cell r="N1528">
            <v>45177</v>
          </cell>
          <cell r="O1528">
            <v>0</v>
          </cell>
          <cell r="P1528" t="str">
            <v>COMFORT XL</v>
          </cell>
        </row>
        <row r="1529">
          <cell r="A1529">
            <v>3447</v>
          </cell>
          <cell r="B1529">
            <v>3447</v>
          </cell>
          <cell r="C1529" t="str">
            <v>CERO MATRICULA</v>
          </cell>
          <cell r="D1529" t="str">
            <v>ACTIVO</v>
          </cell>
          <cell r="E1529" t="str">
            <v>CHK 404</v>
          </cell>
          <cell r="F1529" t="str">
            <v>TUCTO VASQUEZ HUGO RUBEN</v>
          </cell>
          <cell r="G1529" t="str">
            <v>TUCTO VASQUEZ HUGO RUBEN</v>
          </cell>
          <cell r="H1529" t="str">
            <v>73174349</v>
          </cell>
          <cell r="I1529" t="str">
            <v>INTERBANK</v>
          </cell>
          <cell r="J1529" t="str">
            <v>898-3251159124</v>
          </cell>
          <cell r="K1529" t="str">
            <v>DNI</v>
          </cell>
          <cell r="L1529">
            <v>10731743491</v>
          </cell>
          <cell r="M1529" t="str">
            <v>URBANO PARTNER</v>
          </cell>
          <cell r="N1529">
            <v>45177</v>
          </cell>
          <cell r="O1529">
            <v>0</v>
          </cell>
          <cell r="P1529" t="str">
            <v>COMFORT XL</v>
          </cell>
        </row>
        <row r="1530">
          <cell r="A1530">
            <v>3448</v>
          </cell>
          <cell r="B1530">
            <v>3448</v>
          </cell>
          <cell r="C1530" t="str">
            <v>CERO MATRICULA</v>
          </cell>
          <cell r="D1530" t="str">
            <v>ACTIVO</v>
          </cell>
          <cell r="E1530" t="str">
            <v>CDP 432</v>
          </cell>
          <cell r="F1530" t="str">
            <v>VILLANES GRANDEZ JORGE</v>
          </cell>
          <cell r="G1530" t="str">
            <v>VILLANES GRANDEZ JORGE</v>
          </cell>
          <cell r="H1530" t="str">
            <v>75200939</v>
          </cell>
          <cell r="I1530" t="str">
            <v>INTERBANK</v>
          </cell>
          <cell r="J1530" t="str">
            <v>2003105446654</v>
          </cell>
          <cell r="K1530" t="str">
            <v>DNI</v>
          </cell>
          <cell r="L1530">
            <v>10752009398</v>
          </cell>
          <cell r="M1530" t="str">
            <v>AEROLINEAS</v>
          </cell>
          <cell r="N1530">
            <v>45176</v>
          </cell>
          <cell r="O1530">
            <v>0</v>
          </cell>
          <cell r="P1530" t="str">
            <v>LITE</v>
          </cell>
        </row>
        <row r="1531">
          <cell r="A1531">
            <v>3449</v>
          </cell>
          <cell r="B1531">
            <v>3449</v>
          </cell>
          <cell r="C1531" t="str">
            <v>CERO MATRICULA</v>
          </cell>
          <cell r="D1531" t="str">
            <v>ACTIVO</v>
          </cell>
          <cell r="E1531" t="str">
            <v>CFZ 331</v>
          </cell>
          <cell r="F1531" t="str">
            <v>POLO PAREDES PABLO ROBERTO</v>
          </cell>
          <cell r="G1531" t="str">
            <v>POLO PAREDES PABLO ROBERTO</v>
          </cell>
          <cell r="H1531" t="str">
            <v>10627470</v>
          </cell>
          <cell r="I1531" t="str">
            <v>BBVA</v>
          </cell>
          <cell r="J1531" t="str">
            <v>0011-0879-0200042778</v>
          </cell>
          <cell r="K1531" t="str">
            <v>DNI</v>
          </cell>
          <cell r="L1531">
            <v>10106274709</v>
          </cell>
          <cell r="M1531" t="str">
            <v>AEROPUERTO</v>
          </cell>
          <cell r="N1531">
            <v>45177</v>
          </cell>
          <cell r="O1531">
            <v>235</v>
          </cell>
          <cell r="P1531" t="str">
            <v>COMFORT XL</v>
          </cell>
        </row>
        <row r="1532">
          <cell r="A1532">
            <v>3451</v>
          </cell>
          <cell r="B1532">
            <v>3451</v>
          </cell>
          <cell r="C1532" t="str">
            <v>CERO MATRICULA</v>
          </cell>
          <cell r="D1532" t="str">
            <v>ACTIVO</v>
          </cell>
          <cell r="E1532" t="str">
            <v>BTS 355</v>
          </cell>
          <cell r="F1532" t="str">
            <v>CLARES  NAVARRO CARLOS ALBERTO</v>
          </cell>
          <cell r="G1532" t="str">
            <v>CLARES  NAVARRO CARLOS ALBERTO</v>
          </cell>
          <cell r="H1532" t="str">
            <v>42987931</v>
          </cell>
          <cell r="I1532" t="str">
            <v>BCP</v>
          </cell>
          <cell r="J1532" t="str">
            <v>192-95865164096</v>
          </cell>
          <cell r="K1532" t="str">
            <v>DNI</v>
          </cell>
          <cell r="L1532">
            <v>10429879316</v>
          </cell>
          <cell r="M1532" t="str">
            <v>AEROLINEAS</v>
          </cell>
          <cell r="N1532">
            <v>45182</v>
          </cell>
          <cell r="O1532">
            <v>0</v>
          </cell>
          <cell r="P1532" t="str">
            <v>LITE</v>
          </cell>
        </row>
        <row r="1533">
          <cell r="A1533">
            <v>3452</v>
          </cell>
          <cell r="B1533">
            <v>3452</v>
          </cell>
          <cell r="C1533" t="str">
            <v>CERO MATRICULA</v>
          </cell>
          <cell r="D1533" t="str">
            <v>ACTIVO</v>
          </cell>
          <cell r="E1533" t="str">
            <v>CFO 389</v>
          </cell>
          <cell r="F1533" t="str">
            <v>CLIMACO TORALVA DAVID SIMEON</v>
          </cell>
          <cell r="G1533" t="str">
            <v>CLIMACO TORALVA DAVID SIMEON</v>
          </cell>
          <cell r="H1533" t="str">
            <v>21258317</v>
          </cell>
          <cell r="I1533" t="str">
            <v>BCP</v>
          </cell>
          <cell r="J1533" t="str">
            <v>191-07343722000</v>
          </cell>
          <cell r="K1533" t="str">
            <v>DNI</v>
          </cell>
          <cell r="L1533">
            <v>10212583176</v>
          </cell>
          <cell r="M1533" t="str">
            <v>AEROLINEAS</v>
          </cell>
          <cell r="N1533">
            <v>45183</v>
          </cell>
          <cell r="O1533">
            <v>0</v>
          </cell>
          <cell r="P1533" t="str">
            <v>COMFORT XL</v>
          </cell>
        </row>
        <row r="1534">
          <cell r="A1534">
            <v>3453</v>
          </cell>
          <cell r="B1534">
            <v>3453</v>
          </cell>
          <cell r="C1534" t="str">
            <v>CERO MATRICULA</v>
          </cell>
          <cell r="D1534" t="str">
            <v>ACTIVO</v>
          </cell>
          <cell r="E1534" t="str">
            <v>BLR 435</v>
          </cell>
          <cell r="F1534" t="str">
            <v>FERNANDEZ OSUNA DAYANA RAMONA</v>
          </cell>
          <cell r="G1534" t="str">
            <v>FERNANDEZ OSUNA DAYANA RAMONA</v>
          </cell>
          <cell r="H1534" t="str">
            <v>005667885</v>
          </cell>
          <cell r="I1534" t="str">
            <v>BCP</v>
          </cell>
          <cell r="J1534" t="str">
            <v>193-99083389029</v>
          </cell>
          <cell r="K1534" t="str">
            <v>CE</v>
          </cell>
          <cell r="L1534">
            <v>15611524223</v>
          </cell>
          <cell r="M1534" t="str">
            <v>URBANO PARTNER</v>
          </cell>
          <cell r="N1534">
            <v>45182</v>
          </cell>
          <cell r="O1534">
            <v>0</v>
          </cell>
          <cell r="P1534" t="str">
            <v>COMFORT XL</v>
          </cell>
        </row>
        <row r="1535">
          <cell r="A1535">
            <v>3456</v>
          </cell>
          <cell r="B1535">
            <v>3456</v>
          </cell>
          <cell r="C1535" t="str">
            <v>CERO MATRICULA</v>
          </cell>
          <cell r="D1535" t="str">
            <v>ACTIVO</v>
          </cell>
          <cell r="E1535" t="str">
            <v>AWS428</v>
          </cell>
          <cell r="F1535" t="str">
            <v>QUISPE MORALES  JOSE ANTONIO</v>
          </cell>
          <cell r="G1535" t="str">
            <v>QUISPE MORALES  JOSE ANTONIO</v>
          </cell>
          <cell r="H1535" t="str">
            <v>48242046</v>
          </cell>
          <cell r="I1535" t="str">
            <v>SCOTIABANK</v>
          </cell>
          <cell r="J1535" t="str">
            <v>428-0276587</v>
          </cell>
          <cell r="K1535" t="str">
            <v>DNI</v>
          </cell>
          <cell r="L1535">
            <v>10482420465</v>
          </cell>
          <cell r="M1535" t="str">
            <v>URBANO</v>
          </cell>
          <cell r="N1535">
            <v>45187</v>
          </cell>
          <cell r="O1535">
            <v>0</v>
          </cell>
          <cell r="P1535" t="str">
            <v>COMFORT XL</v>
          </cell>
        </row>
        <row r="1536">
          <cell r="A1536">
            <v>3457</v>
          </cell>
          <cell r="B1536">
            <v>3457</v>
          </cell>
          <cell r="C1536" t="str">
            <v>CERO MATRICULA</v>
          </cell>
          <cell r="D1536" t="str">
            <v>ACTIVO</v>
          </cell>
          <cell r="E1536" t="str">
            <v>CFK592</v>
          </cell>
          <cell r="F1536" t="str">
            <v xml:space="preserve">HUAMANI HERRERA MIGUEL ANGEL </v>
          </cell>
          <cell r="G1536" t="str">
            <v xml:space="preserve">HUAMANI HERRERA MIGUEL ANGEL </v>
          </cell>
          <cell r="H1536" t="str">
            <v>40251060</v>
          </cell>
          <cell r="I1536" t="str">
            <v>BCP</v>
          </cell>
          <cell r="J1536" t="str">
            <v>193-14348430-0-62</v>
          </cell>
          <cell r="K1536" t="str">
            <v>DNI</v>
          </cell>
          <cell r="L1536">
            <v>10402510604</v>
          </cell>
          <cell r="M1536" t="str">
            <v>AEROLINEAS</v>
          </cell>
          <cell r="N1536">
            <v>45190</v>
          </cell>
          <cell r="O1536">
            <v>0</v>
          </cell>
          <cell r="P1536" t="str">
            <v>VAN</v>
          </cell>
        </row>
        <row r="1537">
          <cell r="A1537">
            <v>3458</v>
          </cell>
          <cell r="B1537">
            <v>3458</v>
          </cell>
          <cell r="C1537" t="str">
            <v>CERO MATRICULA</v>
          </cell>
          <cell r="D1537" t="str">
            <v>ACTIVO</v>
          </cell>
          <cell r="E1537" t="str">
            <v>BMW114</v>
          </cell>
          <cell r="F1537" t="str">
            <v>SEVILLA LIZANA NICOLAS WILFREDO</v>
          </cell>
          <cell r="G1537" t="str">
            <v>SEVILLA LIZANA NICOLAS WILFREDO</v>
          </cell>
          <cell r="H1537" t="str">
            <v>70018001</v>
          </cell>
          <cell r="I1537" t="str">
            <v>INTERBANK</v>
          </cell>
          <cell r="J1537" t="str">
            <v>8983-212604021</v>
          </cell>
          <cell r="K1537" t="str">
            <v>DNI</v>
          </cell>
          <cell r="L1537">
            <v>10700180013</v>
          </cell>
          <cell r="M1537" t="str">
            <v>URBANO</v>
          </cell>
          <cell r="N1537">
            <v>45189</v>
          </cell>
          <cell r="O1537">
            <v>0</v>
          </cell>
          <cell r="P1537" t="str">
            <v>COMFORT XL</v>
          </cell>
        </row>
        <row r="1538">
          <cell r="A1538">
            <v>3460</v>
          </cell>
          <cell r="B1538">
            <v>3460</v>
          </cell>
          <cell r="C1538" t="str">
            <v>CERO MATRICULA</v>
          </cell>
          <cell r="D1538" t="str">
            <v>ACTIVO</v>
          </cell>
          <cell r="E1538" t="str">
            <v>F5M959</v>
          </cell>
          <cell r="F1538" t="str">
            <v>CARRANZA ROMERO ALEJANDRO GUSTAVO</v>
          </cell>
          <cell r="G1538" t="str">
            <v>ROMERO SUELPRES MARIA ROSA</v>
          </cell>
          <cell r="H1538" t="str">
            <v>07911433</v>
          </cell>
          <cell r="I1538" t="str">
            <v>BCP</v>
          </cell>
          <cell r="J1538" t="str">
            <v>19438865258034</v>
          </cell>
          <cell r="K1538" t="str">
            <v>DNI</v>
          </cell>
          <cell r="L1538">
            <v>10079114338</v>
          </cell>
          <cell r="M1538" t="str">
            <v>AEROLINEAS</v>
          </cell>
          <cell r="N1538">
            <v>45244</v>
          </cell>
          <cell r="O1538">
            <v>0</v>
          </cell>
          <cell r="P1538" t="str">
            <v>VAN</v>
          </cell>
        </row>
        <row r="1539">
          <cell r="A1539">
            <v>3461</v>
          </cell>
          <cell r="B1539">
            <v>3461</v>
          </cell>
          <cell r="C1539" t="str">
            <v>CERO MATRICULA</v>
          </cell>
          <cell r="D1539" t="str">
            <v>ACTIVO</v>
          </cell>
          <cell r="E1539" t="str">
            <v>CHO270</v>
          </cell>
          <cell r="F1539" t="str">
            <v>PEÑA  ARAGONES VICTOR</v>
          </cell>
          <cell r="G1539" t="str">
            <v>PEÑA  ARAGONES VICTOR</v>
          </cell>
          <cell r="H1539" t="str">
            <v>09543698</v>
          </cell>
          <cell r="I1539" t="str">
            <v>BCP</v>
          </cell>
          <cell r="J1539" t="str">
            <v>192-33861536070</v>
          </cell>
          <cell r="K1539" t="str">
            <v>DNI</v>
          </cell>
          <cell r="L1539">
            <v>10095436981</v>
          </cell>
          <cell r="M1539" t="str">
            <v>AEROLINEAS</v>
          </cell>
          <cell r="N1539">
            <v>45189</v>
          </cell>
          <cell r="O1539">
            <v>0</v>
          </cell>
          <cell r="P1539" t="str">
            <v>COMFORT</v>
          </cell>
        </row>
        <row r="1540">
          <cell r="A1540">
            <v>3462</v>
          </cell>
          <cell r="B1540">
            <v>3462</v>
          </cell>
          <cell r="C1540" t="str">
            <v>CERO MATRICULA</v>
          </cell>
          <cell r="D1540" t="str">
            <v>ACTIVO</v>
          </cell>
          <cell r="E1540" t="str">
            <v>CDC323</v>
          </cell>
          <cell r="F1540" t="str">
            <v>BORGES GONZALEZ DEIVIS ANIBAL</v>
          </cell>
          <cell r="G1540" t="str">
            <v>ANTOIMA  MIGLORIS NAHIBETH</v>
          </cell>
          <cell r="H1540" t="str">
            <v>005822340</v>
          </cell>
          <cell r="I1540" t="str">
            <v>BCP</v>
          </cell>
          <cell r="J1540" t="str">
            <v>194-95859643019</v>
          </cell>
          <cell r="K1540" t="str">
            <v>CE</v>
          </cell>
          <cell r="L1540">
            <v>15605266255</v>
          </cell>
          <cell r="M1540" t="str">
            <v>URBANO</v>
          </cell>
          <cell r="N1540">
            <v>45189</v>
          </cell>
          <cell r="O1540">
            <v>0</v>
          </cell>
          <cell r="P1540" t="str">
            <v>XL</v>
          </cell>
        </row>
        <row r="1541">
          <cell r="A1541">
            <v>3463</v>
          </cell>
          <cell r="B1541">
            <v>3463</v>
          </cell>
          <cell r="C1541" t="str">
            <v>CERO MATRICULA</v>
          </cell>
          <cell r="D1541" t="str">
            <v>ACTIVO</v>
          </cell>
          <cell r="E1541" t="str">
            <v>CHO445</v>
          </cell>
          <cell r="F1541" t="str">
            <v>BELLO CAHUA  MIGUEL ALEXANDER</v>
          </cell>
          <cell r="G1541" t="str">
            <v>BELLO CAHUA  MIGUEL ALEXANDER</v>
          </cell>
          <cell r="H1541" t="str">
            <v>45966583</v>
          </cell>
          <cell r="I1541" t="str">
            <v>INTERBANK</v>
          </cell>
          <cell r="J1541" t="str">
            <v>8983-179693617</v>
          </cell>
          <cell r="K1541" t="str">
            <v>DNI</v>
          </cell>
          <cell r="L1541">
            <v>10459665833</v>
          </cell>
          <cell r="M1541" t="str">
            <v>AEROLINEAS</v>
          </cell>
          <cell r="N1541">
            <v>45189</v>
          </cell>
          <cell r="O1541">
            <v>0</v>
          </cell>
          <cell r="P1541" t="str">
            <v>COMFORT XL</v>
          </cell>
        </row>
        <row r="1542">
          <cell r="A1542">
            <v>3464</v>
          </cell>
          <cell r="B1542">
            <v>3464</v>
          </cell>
          <cell r="C1542" t="str">
            <v>CERO MATRICULA</v>
          </cell>
          <cell r="D1542" t="str">
            <v>ACTIVO</v>
          </cell>
          <cell r="E1542" t="str">
            <v>CHA397</v>
          </cell>
          <cell r="F1542" t="str">
            <v>HORNA GONZALES LUIS ENRIQUE</v>
          </cell>
          <cell r="G1542" t="str">
            <v>HORNA GONZALES LUIS ENRIQUE</v>
          </cell>
          <cell r="H1542" t="str">
            <v>44794509</v>
          </cell>
          <cell r="I1542" t="str">
            <v>BCP</v>
          </cell>
          <cell r="J1542" t="str">
            <v>19291562155023</v>
          </cell>
          <cell r="K1542" t="str">
            <v>DNI</v>
          </cell>
          <cell r="L1542">
            <v>10447945091</v>
          </cell>
          <cell r="M1542" t="str">
            <v>AEROLINEAS</v>
          </cell>
          <cell r="N1542">
            <v>45189</v>
          </cell>
          <cell r="O1542">
            <v>0</v>
          </cell>
          <cell r="P1542" t="str">
            <v>COMFORT</v>
          </cell>
        </row>
        <row r="1543">
          <cell r="A1543">
            <v>3465</v>
          </cell>
          <cell r="B1543">
            <v>3465</v>
          </cell>
          <cell r="C1543" t="str">
            <v>CERO MATRICULA</v>
          </cell>
          <cell r="D1543" t="str">
            <v>ACTIVO</v>
          </cell>
          <cell r="E1543" t="str">
            <v>CDZ 493</v>
          </cell>
          <cell r="F1543" t="str">
            <v>PACHAS MENDEZ ENRIQUE</v>
          </cell>
          <cell r="G1543" t="str">
            <v>PACHAS MENDEZ ENRIQUE</v>
          </cell>
          <cell r="H1543" t="str">
            <v>09994107</v>
          </cell>
          <cell r="I1543" t="str">
            <v>BCP</v>
          </cell>
          <cell r="J1543">
            <v>19100244957030</v>
          </cell>
          <cell r="K1543" t="str">
            <v>DNI</v>
          </cell>
          <cell r="L1543">
            <v>10099941079</v>
          </cell>
          <cell r="M1543" t="str">
            <v>AEROLINEAS</v>
          </cell>
          <cell r="N1543">
            <v>45203</v>
          </cell>
          <cell r="O1543">
            <v>0</v>
          </cell>
          <cell r="P1543" t="str">
            <v>VAN</v>
          </cell>
        </row>
        <row r="1544">
          <cell r="A1544">
            <v>3466</v>
          </cell>
          <cell r="B1544">
            <v>3466</v>
          </cell>
          <cell r="C1544" t="str">
            <v>CERO MATRICULA</v>
          </cell>
          <cell r="D1544" t="str">
            <v>ACTIVO</v>
          </cell>
          <cell r="E1544" t="str">
            <v>CDZ 493</v>
          </cell>
          <cell r="F1544" t="str">
            <v>ARCAYA MALDONADO ANTONI</v>
          </cell>
          <cell r="G1544" t="str">
            <v>PACHAS MENDEZ ENRIQUE</v>
          </cell>
          <cell r="H1544" t="str">
            <v>09994107</v>
          </cell>
          <cell r="I1544" t="str">
            <v>BCP</v>
          </cell>
          <cell r="J1544" t="str">
            <v>19100244957030</v>
          </cell>
          <cell r="K1544" t="str">
            <v>DNI</v>
          </cell>
          <cell r="L1544">
            <v>10099941079</v>
          </cell>
          <cell r="M1544" t="str">
            <v>AEROLINEAS</v>
          </cell>
          <cell r="N1544">
            <v>45198</v>
          </cell>
          <cell r="O1544">
            <v>0</v>
          </cell>
          <cell r="P1544" t="str">
            <v>VAN</v>
          </cell>
        </row>
        <row r="1545">
          <cell r="A1545">
            <v>3467</v>
          </cell>
          <cell r="B1545">
            <v>3467</v>
          </cell>
          <cell r="C1545" t="str">
            <v>CERO MATRICULA</v>
          </cell>
          <cell r="D1545" t="str">
            <v>ACTIVO</v>
          </cell>
          <cell r="E1545" t="str">
            <v>CEM 122</v>
          </cell>
          <cell r="F1545" t="str">
            <v>CHIROQUE  ROSALES HENRY JEANCARLO</v>
          </cell>
          <cell r="G1545" t="str">
            <v>CHIROQUE  ROSALES HENRY JEANCARLO</v>
          </cell>
          <cell r="H1545" t="str">
            <v>70689004</v>
          </cell>
          <cell r="I1545" t="str">
            <v>BCP</v>
          </cell>
          <cell r="J1545" t="str">
            <v>19130941550089</v>
          </cell>
          <cell r="K1545" t="str">
            <v>DNI</v>
          </cell>
          <cell r="L1545">
            <v>10706890047</v>
          </cell>
          <cell r="M1545" t="str">
            <v>AEROLINEAS</v>
          </cell>
          <cell r="N1545">
            <v>45209</v>
          </cell>
          <cell r="O1545">
            <v>0</v>
          </cell>
          <cell r="P1545" t="str">
            <v>VAN</v>
          </cell>
        </row>
        <row r="1546">
          <cell r="A1546">
            <v>3468</v>
          </cell>
          <cell r="B1546">
            <v>3468</v>
          </cell>
          <cell r="C1546" t="str">
            <v>CERO MATRICULA</v>
          </cell>
          <cell r="D1546" t="str">
            <v>ACTIVO</v>
          </cell>
          <cell r="E1546" t="str">
            <v>BCO 096</v>
          </cell>
          <cell r="F1546" t="str">
            <v>IBARRA HUAMAN DANIEL FERNANDO</v>
          </cell>
          <cell r="G1546" t="str">
            <v>IBARRA HUAMAN DANIEL FERNANDO</v>
          </cell>
          <cell r="H1546" t="str">
            <v>40806417</v>
          </cell>
          <cell r="I1546" t="str">
            <v>BCP</v>
          </cell>
          <cell r="J1546" t="str">
            <v>191-98354405-0-82</v>
          </cell>
          <cell r="K1546" t="str">
            <v>DNI</v>
          </cell>
          <cell r="L1546">
            <v>10408064177</v>
          </cell>
          <cell r="M1546" t="str">
            <v>URBANO</v>
          </cell>
          <cell r="N1546">
            <v>45202</v>
          </cell>
          <cell r="O1546">
            <v>0</v>
          </cell>
          <cell r="P1546" t="str">
            <v>VAN</v>
          </cell>
        </row>
        <row r="1547">
          <cell r="A1547">
            <v>3469</v>
          </cell>
          <cell r="B1547">
            <v>3469</v>
          </cell>
          <cell r="C1547" t="str">
            <v>CERO MATRICULA</v>
          </cell>
          <cell r="D1547" t="str">
            <v>ACTIVO</v>
          </cell>
          <cell r="E1547" t="str">
            <v>BXW 360</v>
          </cell>
          <cell r="F1547" t="str">
            <v>HUAMAN DIAZ MARIO JORGE</v>
          </cell>
          <cell r="G1547" t="str">
            <v>SIRIO ESPINOZA ANGELA MARIA</v>
          </cell>
          <cell r="H1547" t="str">
            <v>25710414</v>
          </cell>
          <cell r="I1547" t="str">
            <v>INTERBANK</v>
          </cell>
          <cell r="J1547" t="str">
            <v>2843-147900800</v>
          </cell>
          <cell r="K1547" t="str">
            <v>DNI</v>
          </cell>
          <cell r="L1547">
            <v>10257104147</v>
          </cell>
          <cell r="M1547" t="str">
            <v>AEROLINEAS</v>
          </cell>
          <cell r="N1547">
            <v>45196</v>
          </cell>
          <cell r="O1547">
            <v>0</v>
          </cell>
          <cell r="P1547" t="str">
            <v>LITE</v>
          </cell>
        </row>
        <row r="1548">
          <cell r="A1548">
            <v>3470</v>
          </cell>
          <cell r="B1548">
            <v>3470</v>
          </cell>
          <cell r="C1548" t="str">
            <v>CERO MATRICULA</v>
          </cell>
          <cell r="D1548" t="str">
            <v>ACTIVO</v>
          </cell>
          <cell r="E1548" t="str">
            <v>CFE 153</v>
          </cell>
          <cell r="F1548" t="str">
            <v>MALDONADO LA COTERA ANGELO</v>
          </cell>
          <cell r="G1548" t="str">
            <v>MALDONADO LA COTERA ANGELO</v>
          </cell>
          <cell r="H1548" t="str">
            <v>70542323</v>
          </cell>
          <cell r="I1548" t="str">
            <v>SCOTIABANK</v>
          </cell>
          <cell r="J1548">
            <v>1760512309</v>
          </cell>
          <cell r="K1548" t="str">
            <v>DNI</v>
          </cell>
          <cell r="L1548">
            <v>10705423232</v>
          </cell>
          <cell r="M1548" t="str">
            <v>AEROLINEAS</v>
          </cell>
          <cell r="N1548">
            <v>45196</v>
          </cell>
          <cell r="O1548">
            <v>0</v>
          </cell>
          <cell r="P1548" t="str">
            <v>LITE</v>
          </cell>
        </row>
        <row r="1549">
          <cell r="A1549">
            <v>3471</v>
          </cell>
          <cell r="B1549">
            <v>3471</v>
          </cell>
          <cell r="C1549" t="str">
            <v>CERO MATRICULA</v>
          </cell>
          <cell r="D1549" t="str">
            <v>ACTIVO</v>
          </cell>
          <cell r="E1549" t="str">
            <v>BDX 129</v>
          </cell>
          <cell r="F1549" t="str">
            <v>ANICAMA PEREZ JOSUE JAVIER</v>
          </cell>
          <cell r="G1549" t="str">
            <v>ANICAMA PEREZ JOSUE JAVIER</v>
          </cell>
          <cell r="H1549" t="str">
            <v>09534121</v>
          </cell>
          <cell r="I1549" t="str">
            <v>BCP</v>
          </cell>
          <cell r="J1549" t="str">
            <v>19135998335052</v>
          </cell>
          <cell r="K1549" t="str">
            <v>DNI</v>
          </cell>
          <cell r="L1549">
            <v>10095341212</v>
          </cell>
          <cell r="M1549" t="str">
            <v>AEROLINEAS</v>
          </cell>
          <cell r="N1549">
            <v>45197</v>
          </cell>
          <cell r="O1549">
            <v>0</v>
          </cell>
          <cell r="P1549" t="str">
            <v>LITE</v>
          </cell>
        </row>
        <row r="1550">
          <cell r="A1550">
            <v>3472</v>
          </cell>
          <cell r="B1550">
            <v>3472</v>
          </cell>
          <cell r="C1550" t="str">
            <v>CERO MATRICULA</v>
          </cell>
          <cell r="D1550" t="str">
            <v>ACTIVO</v>
          </cell>
          <cell r="E1550" t="str">
            <v>BVE 022</v>
          </cell>
          <cell r="F1550" t="str">
            <v>DELGADO  ELVIS JOHAN</v>
          </cell>
          <cell r="G1550" t="str">
            <v>DELGADO  ELVIS JOHAN</v>
          </cell>
          <cell r="H1550" t="str">
            <v>001996941</v>
          </cell>
          <cell r="I1550" t="str">
            <v>SCOTIABANK</v>
          </cell>
          <cell r="J1550" t="str">
            <v>0227-811056</v>
          </cell>
          <cell r="K1550" t="str">
            <v>CPP</v>
          </cell>
          <cell r="L1550">
            <v>15611438947</v>
          </cell>
          <cell r="M1550" t="str">
            <v>AEROLINEAS</v>
          </cell>
          <cell r="N1550">
            <v>45197</v>
          </cell>
          <cell r="O1550">
            <v>0</v>
          </cell>
          <cell r="P1550" t="str">
            <v>LITE</v>
          </cell>
        </row>
        <row r="1551">
          <cell r="A1551">
            <v>3473</v>
          </cell>
          <cell r="B1551">
            <v>3473</v>
          </cell>
          <cell r="C1551" t="str">
            <v>CERO MATRICULA</v>
          </cell>
          <cell r="D1551" t="str">
            <v>ACTIVO</v>
          </cell>
          <cell r="E1551" t="str">
            <v>CCX 522</v>
          </cell>
          <cell r="F1551" t="str">
            <v>CASTILLO  ARRIECHE DIEGO ROLANDO</v>
          </cell>
          <cell r="G1551" t="str">
            <v>TEMOCHE JIMENEZ CARMEN MARIA LUISA</v>
          </cell>
          <cell r="H1551" t="str">
            <v>43972766</v>
          </cell>
          <cell r="I1551" t="str">
            <v>BCP</v>
          </cell>
          <cell r="J1551" t="str">
            <v>19201752558059</v>
          </cell>
          <cell r="K1551" t="str">
            <v>DNI</v>
          </cell>
          <cell r="L1551">
            <v>10439727662</v>
          </cell>
          <cell r="M1551" t="str">
            <v>AEROLINEAS</v>
          </cell>
          <cell r="N1551">
            <v>45197</v>
          </cell>
          <cell r="O1551">
            <v>0</v>
          </cell>
          <cell r="P1551" t="str">
            <v>LITE</v>
          </cell>
        </row>
        <row r="1552">
          <cell r="A1552">
            <v>3474</v>
          </cell>
          <cell r="B1552">
            <v>3474</v>
          </cell>
          <cell r="C1552" t="str">
            <v>CERO MATRICULA</v>
          </cell>
          <cell r="D1552" t="str">
            <v>ACTIVO</v>
          </cell>
          <cell r="E1552" t="str">
            <v>ATY 705</v>
          </cell>
          <cell r="F1552" t="str">
            <v>CHIMOY NICHO JUAN ERNESTO</v>
          </cell>
          <cell r="G1552" t="str">
            <v>VELASQUEZ SUAREZ DE CHIMOY MIRTHA</v>
          </cell>
          <cell r="H1552" t="str">
            <v>25703441</v>
          </cell>
          <cell r="I1552" t="str">
            <v>SCOTIABANK</v>
          </cell>
          <cell r="J1552" t="str">
            <v>0377596242</v>
          </cell>
          <cell r="K1552" t="str">
            <v>DNI</v>
          </cell>
          <cell r="L1552">
            <v>10257034416</v>
          </cell>
          <cell r="M1552" t="str">
            <v>AEROLINEAS</v>
          </cell>
          <cell r="N1552">
            <v>45202</v>
          </cell>
          <cell r="O1552">
            <v>0</v>
          </cell>
          <cell r="P1552" t="str">
            <v>VAN</v>
          </cell>
        </row>
        <row r="1553">
          <cell r="A1553">
            <v>3475</v>
          </cell>
          <cell r="B1553">
            <v>3475</v>
          </cell>
          <cell r="C1553" t="str">
            <v>CERO MATRICULA</v>
          </cell>
          <cell r="D1553" t="str">
            <v>ACTIVO</v>
          </cell>
          <cell r="E1553" t="str">
            <v>CCK 048</v>
          </cell>
          <cell r="F1553" t="str">
            <v>VAZQUEZ LEYVA JAIME ELIGIO</v>
          </cell>
          <cell r="G1553" t="str">
            <v>VAZQUEZ  LEYVA JAIME ELIGIO</v>
          </cell>
          <cell r="H1553" t="str">
            <v>45414080</v>
          </cell>
          <cell r="I1553" t="str">
            <v>BCP</v>
          </cell>
          <cell r="J1553" t="str">
            <v>19133987939049</v>
          </cell>
          <cell r="K1553" t="str">
            <v>DNI</v>
          </cell>
          <cell r="L1553">
            <v>10454140805</v>
          </cell>
          <cell r="M1553" t="str">
            <v>AEROLINEAS</v>
          </cell>
          <cell r="N1553">
            <v>45257</v>
          </cell>
          <cell r="O1553">
            <v>0</v>
          </cell>
          <cell r="P1553" t="str">
            <v>COMFORT XL</v>
          </cell>
        </row>
        <row r="1554">
          <cell r="A1554">
            <v>3478</v>
          </cell>
          <cell r="B1554">
            <v>3478</v>
          </cell>
          <cell r="C1554" t="str">
            <v>CERO MATRICULA</v>
          </cell>
          <cell r="D1554" t="str">
            <v>ACTIVO</v>
          </cell>
          <cell r="E1554" t="str">
            <v>CHI 636</v>
          </cell>
          <cell r="F1554" t="str">
            <v>LOPEZ VERA BLADIMIRO</v>
          </cell>
          <cell r="G1554" t="str">
            <v>LOPEZ VERA BLADIMIRO</v>
          </cell>
          <cell r="H1554" t="str">
            <v>09347104</v>
          </cell>
          <cell r="I1554" t="str">
            <v>SCOTIABANK</v>
          </cell>
          <cell r="J1554" t="str">
            <v>0820371284</v>
          </cell>
          <cell r="K1554" t="str">
            <v>DNI</v>
          </cell>
          <cell r="L1554">
            <v>10093471046</v>
          </cell>
          <cell r="M1554" t="str">
            <v>AEROLINEAS</v>
          </cell>
          <cell r="N1554">
            <v>45205</v>
          </cell>
          <cell r="O1554">
            <v>0</v>
          </cell>
          <cell r="P1554" t="str">
            <v>XL</v>
          </cell>
        </row>
        <row r="1555">
          <cell r="A1555">
            <v>3480</v>
          </cell>
          <cell r="B1555">
            <v>3480</v>
          </cell>
          <cell r="C1555" t="str">
            <v>CERO MATRICULA</v>
          </cell>
          <cell r="D1555" t="str">
            <v>ACTIVO</v>
          </cell>
          <cell r="E1555" t="str">
            <v>BYG 622</v>
          </cell>
          <cell r="F1555" t="str">
            <v>CHAVEZ HERNANDEZ JULIO CESAR</v>
          </cell>
          <cell r="G1555" t="str">
            <v>CHAVEZ HERNANDEZ JULIO CESAR</v>
          </cell>
          <cell r="H1555" t="str">
            <v>43506664</v>
          </cell>
          <cell r="I1555" t="str">
            <v>BCP</v>
          </cell>
          <cell r="J1555" t="str">
            <v>194-91238012-0-06</v>
          </cell>
          <cell r="K1555" t="str">
            <v>DNI</v>
          </cell>
          <cell r="L1555">
            <v>10435066645</v>
          </cell>
          <cell r="M1555" t="str">
            <v>AEROLINEAS</v>
          </cell>
          <cell r="N1555">
            <v>45202</v>
          </cell>
          <cell r="O1555">
            <v>0</v>
          </cell>
          <cell r="P1555" t="str">
            <v>COMFORT XL</v>
          </cell>
        </row>
        <row r="1556">
          <cell r="A1556">
            <v>3481</v>
          </cell>
          <cell r="B1556">
            <v>3481</v>
          </cell>
          <cell r="C1556" t="str">
            <v>CERO MATRICULA</v>
          </cell>
          <cell r="D1556" t="str">
            <v>ACTIVO</v>
          </cell>
          <cell r="E1556" t="str">
            <v>BYF 120</v>
          </cell>
          <cell r="F1556" t="str">
            <v>MACAVILCA MINAYA ANGEL MAXIMO</v>
          </cell>
          <cell r="G1556" t="str">
            <v>MACAVILCA MINAYA ANGEL MAXIMO</v>
          </cell>
          <cell r="H1556" t="str">
            <v>25660774</v>
          </cell>
          <cell r="I1556" t="str">
            <v>BBVA</v>
          </cell>
          <cell r="J1556" t="str">
            <v>0011-0814-0201297600</v>
          </cell>
          <cell r="K1556" t="str">
            <v>DNI</v>
          </cell>
          <cell r="L1556">
            <v>10256607749</v>
          </cell>
          <cell r="M1556" t="str">
            <v>AEROLINEAS</v>
          </cell>
          <cell r="N1556">
            <v>45202</v>
          </cell>
          <cell r="O1556">
            <v>0</v>
          </cell>
          <cell r="P1556" t="str">
            <v>XL</v>
          </cell>
        </row>
        <row r="1557">
          <cell r="A1557">
            <v>3483</v>
          </cell>
          <cell r="B1557">
            <v>3483</v>
          </cell>
          <cell r="C1557" t="str">
            <v>CERO MATRICULA</v>
          </cell>
          <cell r="D1557" t="str">
            <v>ACTIVO</v>
          </cell>
          <cell r="E1557" t="str">
            <v>CBD 351</v>
          </cell>
          <cell r="F1557" t="str">
            <v>ESQUEIROS ESQUEIROS VICTOR MANUEL</v>
          </cell>
          <cell r="G1557" t="str">
            <v>ESQUEIROS ESQUEIROS VICTOR MANUEL</v>
          </cell>
          <cell r="H1557" t="str">
            <v>41353144</v>
          </cell>
          <cell r="I1557" t="str">
            <v>SCOTIABANK</v>
          </cell>
          <cell r="J1557" t="str">
            <v>197-0213987</v>
          </cell>
          <cell r="K1557" t="str">
            <v>DNI</v>
          </cell>
          <cell r="L1557">
            <v>10413531441</v>
          </cell>
          <cell r="M1557" t="str">
            <v>URBANO</v>
          </cell>
          <cell r="N1557">
            <v>45208</v>
          </cell>
          <cell r="O1557">
            <v>0</v>
          </cell>
          <cell r="P1557" t="str">
            <v>COMFORT XL</v>
          </cell>
        </row>
        <row r="1558">
          <cell r="A1558">
            <v>3485</v>
          </cell>
          <cell r="B1558">
            <v>3485</v>
          </cell>
          <cell r="C1558" t="str">
            <v>CERO MATRICULA</v>
          </cell>
          <cell r="D1558" t="str">
            <v>ACTIVO</v>
          </cell>
          <cell r="E1558" t="str">
            <v>BYU 691</v>
          </cell>
          <cell r="F1558" t="str">
            <v>RAMIREZ YNOLOPU JUNIOR ALBERTO</v>
          </cell>
          <cell r="G1558" t="str">
            <v>RAMIREZ  YNOLOPU JUNIOR ALBERTO</v>
          </cell>
          <cell r="H1558" t="str">
            <v>48586414</v>
          </cell>
          <cell r="I1558" t="str">
            <v>BCP</v>
          </cell>
          <cell r="J1558" t="str">
            <v>191-07427505029</v>
          </cell>
          <cell r="K1558" t="str">
            <v>DNI</v>
          </cell>
          <cell r="L1558">
            <v>10485864143</v>
          </cell>
          <cell r="M1558" t="str">
            <v>AEROLINEAS</v>
          </cell>
          <cell r="N1558">
            <v>45208</v>
          </cell>
          <cell r="O1558">
            <v>0</v>
          </cell>
          <cell r="P1558" t="str">
            <v>COMFORT XL</v>
          </cell>
        </row>
        <row r="1559">
          <cell r="A1559">
            <v>3486</v>
          </cell>
          <cell r="B1559">
            <v>3486</v>
          </cell>
          <cell r="C1559" t="str">
            <v>CERO MATRICULA</v>
          </cell>
          <cell r="D1559" t="str">
            <v>ACTIVO</v>
          </cell>
          <cell r="E1559" t="str">
            <v>CHL 521</v>
          </cell>
          <cell r="F1559" t="str">
            <v>ALVARADO TORREALBA ALBERTO JOSE</v>
          </cell>
          <cell r="G1559" t="str">
            <v>ALVARADO TORREALBA ALBERTO JOSE</v>
          </cell>
          <cell r="H1559" t="str">
            <v>004516446</v>
          </cell>
          <cell r="I1559" t="str">
            <v>BCP</v>
          </cell>
          <cell r="J1559" t="str">
            <v>191-97647400035</v>
          </cell>
          <cell r="K1559" t="str">
            <v>CE</v>
          </cell>
          <cell r="L1559">
            <v>15608803570</v>
          </cell>
          <cell r="M1559" t="str">
            <v>AEROLINEAS</v>
          </cell>
          <cell r="N1559">
            <v>45208</v>
          </cell>
          <cell r="O1559">
            <v>0</v>
          </cell>
          <cell r="P1559" t="str">
            <v>LITE</v>
          </cell>
        </row>
        <row r="1560">
          <cell r="A1560">
            <v>3487</v>
          </cell>
          <cell r="B1560">
            <v>3487</v>
          </cell>
          <cell r="C1560" t="str">
            <v>CERO MATRICULA</v>
          </cell>
          <cell r="D1560" t="str">
            <v>ACTIVO</v>
          </cell>
          <cell r="E1560" t="str">
            <v>BRD 090</v>
          </cell>
          <cell r="F1560" t="str">
            <v>SANCHEZ ROMERO GERMAN</v>
          </cell>
          <cell r="G1560" t="str">
            <v>SANCHEZ ROMERO GERMAN</v>
          </cell>
          <cell r="H1560" t="str">
            <v>09795226</v>
          </cell>
          <cell r="I1560" t="str">
            <v>BCP</v>
          </cell>
          <cell r="J1560" t="str">
            <v>191-94339135-0-53</v>
          </cell>
          <cell r="K1560" t="str">
            <v>DNI</v>
          </cell>
          <cell r="L1560">
            <v>10097952260</v>
          </cell>
          <cell r="M1560" t="str">
            <v>AEROLINEAS</v>
          </cell>
          <cell r="N1560">
            <v>45202</v>
          </cell>
          <cell r="O1560">
            <v>0</v>
          </cell>
          <cell r="P1560" t="str">
            <v>LITE</v>
          </cell>
        </row>
        <row r="1561">
          <cell r="A1561">
            <v>3488</v>
          </cell>
          <cell r="B1561">
            <v>3488</v>
          </cell>
          <cell r="C1561" t="str">
            <v>CERO MATRICULA</v>
          </cell>
          <cell r="D1561" t="str">
            <v>ACTIVO</v>
          </cell>
          <cell r="E1561" t="str">
            <v>CHS 392</v>
          </cell>
          <cell r="F1561" t="str">
            <v>LIVIA ORIHUELA DAVID NUN</v>
          </cell>
          <cell r="G1561" t="str">
            <v>LIVIA ORIHUELA DAVID NUN</v>
          </cell>
          <cell r="H1561" t="str">
            <v>40390083</v>
          </cell>
          <cell r="I1561" t="str">
            <v>BCP</v>
          </cell>
          <cell r="J1561" t="str">
            <v>191-7241479050</v>
          </cell>
          <cell r="K1561" t="str">
            <v>DNI</v>
          </cell>
          <cell r="L1561">
            <v>10403900830</v>
          </cell>
          <cell r="M1561" t="str">
            <v>AEROLINEAS</v>
          </cell>
          <cell r="N1561">
            <v>45208</v>
          </cell>
          <cell r="O1561">
            <v>0</v>
          </cell>
          <cell r="P1561" t="str">
            <v>COMFORT XL</v>
          </cell>
        </row>
        <row r="1562">
          <cell r="A1562">
            <v>3489</v>
          </cell>
          <cell r="B1562">
            <v>3489</v>
          </cell>
          <cell r="C1562" t="str">
            <v>CERO MATRICULA</v>
          </cell>
          <cell r="D1562" t="str">
            <v>ACTIVO</v>
          </cell>
          <cell r="E1562" t="str">
            <v>BWH 564</v>
          </cell>
          <cell r="F1562" t="str">
            <v>MANCILLA HIDALGO FERNANDO ANDRE</v>
          </cell>
          <cell r="G1562" t="str">
            <v>MANCILLA HIDALGO FERNANDO ANDRE</v>
          </cell>
          <cell r="H1562" t="str">
            <v>70450992</v>
          </cell>
          <cell r="I1562" t="str">
            <v>BCP</v>
          </cell>
          <cell r="J1562" t="str">
            <v>19391923858079</v>
          </cell>
          <cell r="K1562" t="str">
            <v>DNI</v>
          </cell>
          <cell r="L1562">
            <v>10704509923</v>
          </cell>
          <cell r="M1562" t="str">
            <v>AEROLINEAS</v>
          </cell>
          <cell r="N1562">
            <v>45210</v>
          </cell>
          <cell r="O1562">
            <v>0</v>
          </cell>
          <cell r="P1562" t="str">
            <v>COMFORT</v>
          </cell>
        </row>
        <row r="1563">
          <cell r="A1563">
            <v>3490</v>
          </cell>
          <cell r="B1563">
            <v>3490</v>
          </cell>
          <cell r="C1563" t="str">
            <v>CERO MATRICULA</v>
          </cell>
          <cell r="D1563" t="str">
            <v>ACTIVO</v>
          </cell>
          <cell r="E1563" t="str">
            <v>CBA 403</v>
          </cell>
          <cell r="F1563" t="str">
            <v>FLORES TAPIAS EDUARDO JOSE</v>
          </cell>
          <cell r="G1563" t="str">
            <v>FLORES TAPIAS EDUARDO JOSE</v>
          </cell>
          <cell r="H1563" t="str">
            <v>002442814</v>
          </cell>
          <cell r="I1563" t="str">
            <v>BCP</v>
          </cell>
          <cell r="J1563" t="str">
            <v>19199942344060</v>
          </cell>
          <cell r="K1563" t="str">
            <v>CE</v>
          </cell>
          <cell r="L1563">
            <v>15603276831</v>
          </cell>
          <cell r="M1563" t="str">
            <v>AEROLINEAS</v>
          </cell>
          <cell r="N1563">
            <v>45210</v>
          </cell>
          <cell r="O1563">
            <v>0</v>
          </cell>
          <cell r="P1563" t="str">
            <v>LITE</v>
          </cell>
        </row>
        <row r="1564">
          <cell r="A1564">
            <v>3491</v>
          </cell>
          <cell r="B1564">
            <v>3491</v>
          </cell>
          <cell r="C1564" t="str">
            <v>CERO MATRICULA</v>
          </cell>
          <cell r="D1564" t="str">
            <v>ACTIVO</v>
          </cell>
          <cell r="E1564" t="str">
            <v>Z6F 039</v>
          </cell>
          <cell r="F1564" t="str">
            <v>SEMINARIO ESPINOSA LUIS RICARDO</v>
          </cell>
          <cell r="G1564" t="str">
            <v>SEMINARIO ESPINOSA LUIS RICARDO</v>
          </cell>
          <cell r="H1564" t="str">
            <v>09145869</v>
          </cell>
          <cell r="I1564" t="str">
            <v>BBVA</v>
          </cell>
          <cell r="J1564" t="str">
            <v>0011-01400200732121</v>
          </cell>
          <cell r="K1564" t="str">
            <v>DNI</v>
          </cell>
          <cell r="L1564">
            <v>10091458697</v>
          </cell>
          <cell r="M1564" t="str">
            <v>AEROLINEAS</v>
          </cell>
          <cell r="N1564">
            <v>45210</v>
          </cell>
          <cell r="O1564">
            <v>0</v>
          </cell>
          <cell r="P1564" t="str">
            <v>LITE</v>
          </cell>
        </row>
        <row r="1565">
          <cell r="A1565">
            <v>3492</v>
          </cell>
          <cell r="B1565">
            <v>3492</v>
          </cell>
          <cell r="C1565" t="str">
            <v>CERO MATRICULA</v>
          </cell>
          <cell r="D1565" t="str">
            <v>ACTIVO</v>
          </cell>
          <cell r="E1565" t="str">
            <v>BTQ 503</v>
          </cell>
          <cell r="F1565" t="str">
            <v>RAMIREZ VARGAS NOLBERTO RAFAEL</v>
          </cell>
          <cell r="G1565" t="str">
            <v>RAMIREZ VARGAS NOLBERTO RAFAEL</v>
          </cell>
          <cell r="H1565" t="str">
            <v>08488824</v>
          </cell>
          <cell r="I1565" t="str">
            <v>BCP</v>
          </cell>
          <cell r="J1565" t="str">
            <v>191-92805172095</v>
          </cell>
          <cell r="K1565" t="str">
            <v>DNI</v>
          </cell>
          <cell r="L1565">
            <v>10084888244</v>
          </cell>
          <cell r="M1565" t="str">
            <v>URBANO PARTNER</v>
          </cell>
          <cell r="N1565">
            <v>45216</v>
          </cell>
          <cell r="O1565">
            <v>0</v>
          </cell>
          <cell r="P1565" t="str">
            <v>XL</v>
          </cell>
        </row>
        <row r="1566">
          <cell r="A1566">
            <v>3493</v>
          </cell>
          <cell r="B1566">
            <v>3493</v>
          </cell>
          <cell r="C1566" t="str">
            <v>CERO MATRICULA</v>
          </cell>
          <cell r="D1566" t="str">
            <v>ACTIVO</v>
          </cell>
          <cell r="E1566" t="str">
            <v>CDI173</v>
          </cell>
          <cell r="F1566" t="str">
            <v>ARANIBAR FLORES ENRIQUE</v>
          </cell>
          <cell r="G1566" t="str">
            <v>ARANIBAR FLORES ENRIQUE</v>
          </cell>
          <cell r="H1566" t="str">
            <v>06326104</v>
          </cell>
          <cell r="I1566" t="str">
            <v>BCP</v>
          </cell>
          <cell r="J1566" t="str">
            <v>19296870657046</v>
          </cell>
          <cell r="K1566" t="str">
            <v>DNI</v>
          </cell>
          <cell r="L1566">
            <v>10063261047</v>
          </cell>
          <cell r="M1566" t="str">
            <v>AEROLINEAS</v>
          </cell>
          <cell r="N1566">
            <v>45222</v>
          </cell>
          <cell r="O1566">
            <v>0</v>
          </cell>
          <cell r="P1566" t="str">
            <v>COMFORT</v>
          </cell>
        </row>
        <row r="1567">
          <cell r="A1567">
            <v>3494</v>
          </cell>
          <cell r="B1567">
            <v>3494</v>
          </cell>
          <cell r="C1567" t="str">
            <v>CERO MATRICULA</v>
          </cell>
          <cell r="D1567" t="str">
            <v>ACTIVO</v>
          </cell>
          <cell r="E1567" t="str">
            <v>CBK 172</v>
          </cell>
          <cell r="F1567" t="str">
            <v>GUERRERO MEJIA JERICO</v>
          </cell>
          <cell r="G1567" t="str">
            <v>GUERRERO MEJIA JERICO</v>
          </cell>
          <cell r="H1567" t="str">
            <v>44751696</v>
          </cell>
          <cell r="I1567" t="str">
            <v>SCOTIABANK</v>
          </cell>
          <cell r="J1567" t="str">
            <v>391-0413321</v>
          </cell>
          <cell r="K1567" t="str">
            <v>DNI</v>
          </cell>
          <cell r="L1567">
            <v>10447516964</v>
          </cell>
          <cell r="M1567" t="str">
            <v>AEROLINEAS</v>
          </cell>
          <cell r="N1567">
            <v>45216</v>
          </cell>
          <cell r="O1567">
            <v>0</v>
          </cell>
          <cell r="P1567" t="str">
            <v>LITE</v>
          </cell>
        </row>
        <row r="1568">
          <cell r="A1568">
            <v>3495</v>
          </cell>
          <cell r="B1568">
            <v>3495</v>
          </cell>
          <cell r="C1568" t="str">
            <v>CERO MATRICULA</v>
          </cell>
          <cell r="D1568" t="str">
            <v>ACTIVO</v>
          </cell>
          <cell r="E1568" t="str">
            <v xml:space="preserve">AWC 679 </v>
          </cell>
          <cell r="F1568" t="str">
            <v>FIGUEROA APARICIO JOSE DANIEL</v>
          </cell>
          <cell r="G1568" t="str">
            <v>FIGUEROA APARICIO JOSE DANIEL</v>
          </cell>
          <cell r="H1568" t="str">
            <v>004215680</v>
          </cell>
          <cell r="I1568" t="str">
            <v>BCP</v>
          </cell>
          <cell r="J1568" t="str">
            <v>19105412200068</v>
          </cell>
          <cell r="K1568" t="str">
            <v>CE</v>
          </cell>
          <cell r="L1568">
            <v>15607587369</v>
          </cell>
          <cell r="M1568" t="str">
            <v>AEROLINEAS</v>
          </cell>
          <cell r="N1568">
            <v>45251</v>
          </cell>
          <cell r="O1568">
            <v>0</v>
          </cell>
          <cell r="P1568" t="str">
            <v>XL</v>
          </cell>
        </row>
        <row r="1569">
          <cell r="A1569">
            <v>3496</v>
          </cell>
          <cell r="B1569">
            <v>3496</v>
          </cell>
          <cell r="C1569" t="str">
            <v>CERO MATRICULA</v>
          </cell>
          <cell r="D1569" t="str">
            <v>ACTIVO</v>
          </cell>
          <cell r="E1569" t="str">
            <v>BXK 598</v>
          </cell>
          <cell r="F1569" t="str">
            <v>BOSSIO  CASTILLO VICTOR ANDRES</v>
          </cell>
          <cell r="G1569" t="str">
            <v>BOSSIO CASTILLO VICTOR ANDRES</v>
          </cell>
          <cell r="H1569" t="str">
            <v>45072988</v>
          </cell>
          <cell r="I1569" t="str">
            <v>SCOTIABANK</v>
          </cell>
          <cell r="J1569" t="str">
            <v>039-7314063</v>
          </cell>
          <cell r="K1569" t="str">
            <v>DNI</v>
          </cell>
          <cell r="L1569">
            <v>10450729880</v>
          </cell>
          <cell r="M1569" t="str">
            <v>AEROLINEAS</v>
          </cell>
          <cell r="N1569">
            <v>45217</v>
          </cell>
          <cell r="O1569">
            <v>0</v>
          </cell>
          <cell r="P1569" t="str">
            <v>LITE</v>
          </cell>
        </row>
        <row r="1570">
          <cell r="A1570">
            <v>3497</v>
          </cell>
          <cell r="B1570">
            <v>3497</v>
          </cell>
          <cell r="C1570" t="str">
            <v>CERO MATRICULA</v>
          </cell>
          <cell r="D1570" t="str">
            <v>ACTIVO</v>
          </cell>
          <cell r="E1570" t="str">
            <v>BLL261</v>
          </cell>
          <cell r="F1570" t="str">
            <v>OCHOA REGALADO JACK HAROL</v>
          </cell>
          <cell r="G1570" t="str">
            <v>LOPEZ REYES KAROL ISABEL</v>
          </cell>
          <cell r="H1570" t="str">
            <v>41910050</v>
          </cell>
          <cell r="I1570" t="str">
            <v>BCP</v>
          </cell>
          <cell r="J1570" t="str">
            <v>19371906310034</v>
          </cell>
          <cell r="K1570" t="str">
            <v>DNI</v>
          </cell>
          <cell r="L1570">
            <v>10419100507</v>
          </cell>
          <cell r="M1570" t="str">
            <v>AEROLINEAS</v>
          </cell>
          <cell r="N1570">
            <v>45217</v>
          </cell>
          <cell r="O1570">
            <v>0</v>
          </cell>
          <cell r="P1570" t="str">
            <v>LITE</v>
          </cell>
        </row>
        <row r="1571">
          <cell r="A1571">
            <v>3500</v>
          </cell>
          <cell r="B1571">
            <v>3500</v>
          </cell>
          <cell r="C1571" t="str">
            <v>CERO MATRICULA</v>
          </cell>
          <cell r="D1571" t="str">
            <v>ACTIVO</v>
          </cell>
          <cell r="E1571" t="str">
            <v>BUX421</v>
          </cell>
          <cell r="F1571" t="str">
            <v>SANCHEZ MEJIA JOSE GONZALO</v>
          </cell>
          <cell r="G1571" t="str">
            <v>SANCHEZ MEJIA JOSE GONZALO</v>
          </cell>
          <cell r="H1571" t="str">
            <v>73193133</v>
          </cell>
          <cell r="I1571" t="str">
            <v>BBVA</v>
          </cell>
          <cell r="J1571" t="str">
            <v>0011-0814-0237924695</v>
          </cell>
          <cell r="K1571" t="str">
            <v>DNI</v>
          </cell>
          <cell r="L1571">
            <v>10731931335</v>
          </cell>
          <cell r="M1571" t="str">
            <v>AEROLINEAS</v>
          </cell>
          <cell r="N1571">
            <v>44823</v>
          </cell>
          <cell r="O1571">
            <v>0</v>
          </cell>
          <cell r="P1571" t="str">
            <v>COMFORT</v>
          </cell>
        </row>
        <row r="1572">
          <cell r="A1572">
            <v>3501</v>
          </cell>
          <cell r="B1572">
            <v>3501</v>
          </cell>
          <cell r="C1572" t="str">
            <v>CERO MATRICULA</v>
          </cell>
          <cell r="D1572" t="str">
            <v>ACTIVO</v>
          </cell>
          <cell r="E1572" t="str">
            <v>BXM632</v>
          </cell>
          <cell r="F1572" t="str">
            <v>ESPINOZA MENDOZA FREDY JHON</v>
          </cell>
          <cell r="G1572" t="str">
            <v>ESPINOZA MENDOZA FREDY JHON</v>
          </cell>
          <cell r="H1572" t="str">
            <v>46773141</v>
          </cell>
          <cell r="I1572" t="str">
            <v>BCP</v>
          </cell>
          <cell r="J1572" t="str">
            <v>191-34722102-0-29</v>
          </cell>
          <cell r="K1572" t="str">
            <v>DNI</v>
          </cell>
          <cell r="L1572">
            <v>10467731411</v>
          </cell>
          <cell r="M1572" t="str">
            <v>URBANO</v>
          </cell>
          <cell r="N1572">
            <v>44830</v>
          </cell>
          <cell r="O1572">
            <v>0</v>
          </cell>
          <cell r="P1572" t="str">
            <v>COMFORT XL</v>
          </cell>
        </row>
        <row r="1573">
          <cell r="A1573">
            <v>3504</v>
          </cell>
          <cell r="B1573">
            <v>3504</v>
          </cell>
          <cell r="C1573" t="str">
            <v>CERO MATRICULA</v>
          </cell>
          <cell r="D1573" t="str">
            <v>ACTIVO</v>
          </cell>
          <cell r="E1573" t="str">
            <v>BER461</v>
          </cell>
          <cell r="F1573" t="str">
            <v>PERALTA PENADO RENSON DHENIS</v>
          </cell>
          <cell r="G1573" t="str">
            <v>PERALTA PENADO RENSON DHENIS</v>
          </cell>
          <cell r="H1573" t="str">
            <v>41948260</v>
          </cell>
          <cell r="I1573" t="str">
            <v>BBVA</v>
          </cell>
          <cell r="J1573" t="str">
            <v>0011-0814-0215900113</v>
          </cell>
          <cell r="K1573" t="str">
            <v>DNI</v>
          </cell>
          <cell r="L1573">
            <v>10419482604</v>
          </cell>
          <cell r="M1573" t="str">
            <v>AEROLINEAS</v>
          </cell>
          <cell r="N1573">
            <v>45376</v>
          </cell>
          <cell r="O1573">
            <v>0</v>
          </cell>
          <cell r="P1573" t="str">
            <v>COMFORT</v>
          </cell>
        </row>
        <row r="1574">
          <cell r="A1574">
            <v>3505</v>
          </cell>
          <cell r="B1574">
            <v>3505</v>
          </cell>
          <cell r="C1574" t="str">
            <v>CERO MATRICULA</v>
          </cell>
          <cell r="D1574" t="str">
            <v>ACTIVO</v>
          </cell>
          <cell r="E1574" t="str">
            <v>BPA141</v>
          </cell>
          <cell r="F1574" t="str">
            <v>LUCAS REQUENA LUIS ALBERTO</v>
          </cell>
          <cell r="G1574" t="str">
            <v>ESPINOZA LUCAS LAURA RAQUEL</v>
          </cell>
          <cell r="H1574" t="str">
            <v>73246446</v>
          </cell>
          <cell r="I1574" t="str">
            <v>BBVA</v>
          </cell>
          <cell r="J1574" t="str">
            <v>0011-0814-0240-2047-92</v>
          </cell>
          <cell r="K1574" t="str">
            <v>DNI</v>
          </cell>
          <cell r="L1574">
            <v>10732464463</v>
          </cell>
          <cell r="M1574" t="str">
            <v>AEROLINEAS</v>
          </cell>
          <cell r="N1574">
            <v>44859</v>
          </cell>
          <cell r="O1574">
            <v>0</v>
          </cell>
          <cell r="P1574" t="str">
            <v>XL</v>
          </cell>
        </row>
        <row r="1575">
          <cell r="A1575">
            <v>3510</v>
          </cell>
          <cell r="B1575">
            <v>3510</v>
          </cell>
          <cell r="C1575" t="str">
            <v>CERO MATRICULA</v>
          </cell>
          <cell r="D1575" t="str">
            <v>ACTIVO</v>
          </cell>
          <cell r="E1575" t="str">
            <v>AUL 077</v>
          </cell>
          <cell r="F1575" t="str">
            <v>CASTILLO  SANTAMARIA JOSE ALBERTO</v>
          </cell>
          <cell r="G1575" t="str">
            <v>CASTILLO SANTAMARIA JOSE ALBERTO</v>
          </cell>
          <cell r="H1575" t="str">
            <v>44144647</v>
          </cell>
          <cell r="I1575" t="str">
            <v>INTERBANK</v>
          </cell>
          <cell r="J1575" t="str">
            <v>898-3216170719</v>
          </cell>
          <cell r="K1575" t="str">
            <v>DNI</v>
          </cell>
          <cell r="L1575">
            <v>10441446476</v>
          </cell>
          <cell r="M1575" t="str">
            <v>AEROLINEAS</v>
          </cell>
          <cell r="N1575">
            <v>45221</v>
          </cell>
          <cell r="O1575">
            <v>0</v>
          </cell>
          <cell r="P1575" t="str">
            <v>COMFORT XL</v>
          </cell>
        </row>
        <row r="1576">
          <cell r="A1576">
            <v>3511</v>
          </cell>
          <cell r="B1576">
            <v>3511</v>
          </cell>
          <cell r="C1576" t="str">
            <v>CERO MATRICULA</v>
          </cell>
          <cell r="D1576" t="str">
            <v>ACTIVO</v>
          </cell>
          <cell r="E1576" t="str">
            <v>CEW 404</v>
          </cell>
          <cell r="F1576" t="str">
            <v>MOLINA ARRIOLA LUIS ENRIQUE</v>
          </cell>
          <cell r="G1576" t="str">
            <v>MOLINA ARRIOLA LUIS ENRIQUE</v>
          </cell>
          <cell r="H1576">
            <v>72804770</v>
          </cell>
          <cell r="I1576" t="str">
            <v>BCP</v>
          </cell>
          <cell r="J1576" t="str">
            <v>19193498619047</v>
          </cell>
          <cell r="K1576" t="str">
            <v>DNI</v>
          </cell>
          <cell r="L1576">
            <v>10728047700</v>
          </cell>
          <cell r="M1576" t="str">
            <v>AEROLINEAS</v>
          </cell>
          <cell r="N1576">
            <v>45222</v>
          </cell>
          <cell r="O1576">
            <v>0</v>
          </cell>
          <cell r="P1576" t="str">
            <v>LITE</v>
          </cell>
        </row>
        <row r="1577">
          <cell r="A1577">
            <v>3512</v>
          </cell>
          <cell r="B1577">
            <v>3512</v>
          </cell>
          <cell r="C1577" t="str">
            <v>CERO MATRICULA</v>
          </cell>
          <cell r="D1577" t="str">
            <v>ACTIVO</v>
          </cell>
          <cell r="E1577" t="str">
            <v>AWG566</v>
          </cell>
          <cell r="F1577" t="str">
            <v>QUINTERO SILVA LEONEL JESUS</v>
          </cell>
          <cell r="G1577" t="str">
            <v>QUINTERO SILVA LEONEL JESUS</v>
          </cell>
          <cell r="H1577" t="str">
            <v>002233354</v>
          </cell>
          <cell r="I1577" t="str">
            <v>SCOTIABANK</v>
          </cell>
          <cell r="J1577" t="str">
            <v>0557391919</v>
          </cell>
          <cell r="K1577" t="str">
            <v>CE</v>
          </cell>
          <cell r="L1577">
            <v>15603762956</v>
          </cell>
          <cell r="M1577" t="str">
            <v>AEROLINEAS</v>
          </cell>
          <cell r="N1577">
            <v>45224</v>
          </cell>
          <cell r="O1577">
            <v>0</v>
          </cell>
          <cell r="P1577" t="str">
            <v>LITE</v>
          </cell>
        </row>
        <row r="1578">
          <cell r="A1578">
            <v>3513</v>
          </cell>
          <cell r="B1578">
            <v>3513</v>
          </cell>
          <cell r="C1578" t="str">
            <v>CERO MATRICULA</v>
          </cell>
          <cell r="D1578" t="str">
            <v>ACTIVO</v>
          </cell>
          <cell r="E1578" t="str">
            <v>BRR212</v>
          </cell>
          <cell r="F1578" t="str">
            <v>SALAS FLORES JIMMY ANTHONIO</v>
          </cell>
          <cell r="G1578" t="str">
            <v>SALAS  FLORES JIMMY ANTHONIO</v>
          </cell>
          <cell r="H1578" t="str">
            <v>09454729</v>
          </cell>
          <cell r="I1578" t="str">
            <v>BCP</v>
          </cell>
          <cell r="J1578">
            <v>19393046901067</v>
          </cell>
          <cell r="K1578" t="str">
            <v>DNI</v>
          </cell>
          <cell r="L1578">
            <v>15345128686</v>
          </cell>
          <cell r="M1578" t="str">
            <v>URBANO</v>
          </cell>
          <cell r="N1578">
            <v>45224</v>
          </cell>
          <cell r="O1578">
            <v>0</v>
          </cell>
          <cell r="P1578" t="str">
            <v>LITE</v>
          </cell>
        </row>
        <row r="1579">
          <cell r="A1579">
            <v>3514</v>
          </cell>
          <cell r="B1579">
            <v>3514</v>
          </cell>
          <cell r="C1579" t="str">
            <v>CERO MATRICULA</v>
          </cell>
          <cell r="D1579" t="str">
            <v>ACTIVO</v>
          </cell>
          <cell r="E1579" t="str">
            <v>ABG250</v>
          </cell>
          <cell r="F1579" t="str">
            <v>DIAZ DOMINGUEZ EDINSON DANIEL</v>
          </cell>
          <cell r="G1579" t="str">
            <v>DIAZ DOMINGUEZ EDINSON DANIEL</v>
          </cell>
          <cell r="H1579">
            <v>71624905</v>
          </cell>
          <cell r="I1579" t="str">
            <v>BCP</v>
          </cell>
          <cell r="J1579" t="str">
            <v>19102486789006</v>
          </cell>
          <cell r="K1579" t="str">
            <v>DNI</v>
          </cell>
          <cell r="L1579">
            <v>10716249056</v>
          </cell>
          <cell r="M1579" t="str">
            <v>AEROLINEAS</v>
          </cell>
          <cell r="N1579">
            <v>45224</v>
          </cell>
          <cell r="O1579">
            <v>0</v>
          </cell>
          <cell r="P1579" t="str">
            <v>VAN</v>
          </cell>
        </row>
        <row r="1580">
          <cell r="A1580">
            <v>3515</v>
          </cell>
          <cell r="B1580">
            <v>3515</v>
          </cell>
          <cell r="C1580" t="str">
            <v>CERO MATRICULA</v>
          </cell>
          <cell r="D1580" t="str">
            <v>ACTIVO</v>
          </cell>
          <cell r="E1580" t="str">
            <v>BCF712</v>
          </cell>
          <cell r="F1580" t="str">
            <v>QUISPE ROJAS JUAN DE DIOS</v>
          </cell>
          <cell r="G1580" t="str">
            <v>QUISPE TORRE NILS HOVERLY</v>
          </cell>
          <cell r="H1580">
            <v>77494552</v>
          </cell>
          <cell r="I1580" t="str">
            <v>BCP</v>
          </cell>
          <cell r="J1580" t="str">
            <v>19197313337098</v>
          </cell>
          <cell r="K1580" t="str">
            <v>DNI</v>
          </cell>
          <cell r="L1580">
            <v>10774945526</v>
          </cell>
          <cell r="M1580" t="str">
            <v>AEROLINEAS</v>
          </cell>
          <cell r="N1580">
            <v>45224</v>
          </cell>
          <cell r="O1580">
            <v>0</v>
          </cell>
          <cell r="P1580" t="str">
            <v>VAN</v>
          </cell>
        </row>
        <row r="1581">
          <cell r="A1581">
            <v>3516</v>
          </cell>
          <cell r="B1581">
            <v>3516</v>
          </cell>
          <cell r="C1581" t="str">
            <v>CERO MATRICULA</v>
          </cell>
          <cell r="D1581" t="str">
            <v>ACTIVO</v>
          </cell>
          <cell r="E1581" t="str">
            <v>CFY171</v>
          </cell>
          <cell r="F1581" t="str">
            <v>RODRIGUEZ JIMENEZ JOAN MANUEL</v>
          </cell>
          <cell r="G1581" t="str">
            <v>HERNANDEZ FARFAN GRACIELA DAYANA</v>
          </cell>
          <cell r="H1581" t="str">
            <v>002263650</v>
          </cell>
          <cell r="I1581" t="str">
            <v>BCP</v>
          </cell>
          <cell r="J1581" t="str">
            <v>19139402690095</v>
          </cell>
          <cell r="K1581" t="str">
            <v>CE</v>
          </cell>
          <cell r="L1581">
            <v>15605893110</v>
          </cell>
          <cell r="M1581" t="str">
            <v>AEROLINEAS</v>
          </cell>
          <cell r="N1581">
            <v>45229</v>
          </cell>
          <cell r="O1581">
            <v>0</v>
          </cell>
          <cell r="P1581" t="str">
            <v>LITE</v>
          </cell>
        </row>
        <row r="1582">
          <cell r="A1582">
            <v>3517</v>
          </cell>
          <cell r="B1582">
            <v>3517</v>
          </cell>
          <cell r="C1582" t="str">
            <v>CERO MATRICULA</v>
          </cell>
          <cell r="D1582" t="str">
            <v>ACTIVO</v>
          </cell>
          <cell r="E1582" t="str">
            <v>CHM525</v>
          </cell>
          <cell r="F1582" t="str">
            <v>PINTO CRUZ NORMA ANITA</v>
          </cell>
          <cell r="G1582" t="str">
            <v>PINTO CRUZ NORMA ANITA</v>
          </cell>
          <cell r="H1582" t="str">
            <v>09703827</v>
          </cell>
          <cell r="I1582" t="str">
            <v>BBVA</v>
          </cell>
          <cell r="J1582">
            <v>1.11600002003637E+18</v>
          </cell>
          <cell r="K1582" t="str">
            <v>DNI</v>
          </cell>
          <cell r="L1582">
            <v>10097038274</v>
          </cell>
          <cell r="M1582" t="str">
            <v>AEROLINEAS</v>
          </cell>
          <cell r="N1582">
            <v>45230</v>
          </cell>
          <cell r="O1582">
            <v>0</v>
          </cell>
          <cell r="P1582" t="str">
            <v>LITE</v>
          </cell>
        </row>
        <row r="1583">
          <cell r="A1583">
            <v>3518</v>
          </cell>
          <cell r="B1583">
            <v>3518</v>
          </cell>
          <cell r="C1583" t="str">
            <v>CERO MATRICULA</v>
          </cell>
          <cell r="D1583" t="str">
            <v>ACTIVO</v>
          </cell>
          <cell r="E1583" t="str">
            <v>CHK055</v>
          </cell>
          <cell r="F1583" t="str">
            <v>PUESCAS QUEREVALU JUAN FRANCISCO</v>
          </cell>
          <cell r="G1583" t="str">
            <v>PUESCAS QUEREVALU JUAN FRANCISCO</v>
          </cell>
          <cell r="H1583" t="str">
            <v>42008113</v>
          </cell>
          <cell r="I1583" t="str">
            <v>INTERBANK</v>
          </cell>
          <cell r="J1583" t="str">
            <v>8983349796068</v>
          </cell>
          <cell r="K1583" t="str">
            <v>DNI</v>
          </cell>
          <cell r="L1583">
            <v>10420081133</v>
          </cell>
          <cell r="M1583" t="str">
            <v>AEROLINEAS</v>
          </cell>
          <cell r="N1583">
            <v>45236</v>
          </cell>
          <cell r="O1583">
            <v>0</v>
          </cell>
          <cell r="P1583" t="str">
            <v>COMFORT XL</v>
          </cell>
        </row>
        <row r="1584">
          <cell r="A1584">
            <v>3519</v>
          </cell>
          <cell r="B1584">
            <v>3519</v>
          </cell>
          <cell r="C1584" t="str">
            <v>CERO MATRICULA</v>
          </cell>
          <cell r="D1584" t="str">
            <v>ACTIVO</v>
          </cell>
          <cell r="E1584" t="str">
            <v>CJD187</v>
          </cell>
          <cell r="F1584" t="str">
            <v>CASTILLO  DEZA WALTER PAVLOV</v>
          </cell>
          <cell r="G1584" t="str">
            <v>CASTILLO DEZA WALTER PAVLOV</v>
          </cell>
          <cell r="H1584" t="str">
            <v>18140649</v>
          </cell>
          <cell r="I1584" t="str">
            <v>INTERBANK</v>
          </cell>
          <cell r="J1584" t="str">
            <v>0823141711672</v>
          </cell>
          <cell r="K1584" t="str">
            <v>DNI</v>
          </cell>
          <cell r="L1584">
            <v>10181406491</v>
          </cell>
          <cell r="M1584" t="str">
            <v>AEROLINEAS</v>
          </cell>
          <cell r="N1584">
            <v>45243</v>
          </cell>
          <cell r="O1584">
            <v>0</v>
          </cell>
          <cell r="P1584" t="str">
            <v>XL</v>
          </cell>
        </row>
        <row r="1585">
          <cell r="A1585">
            <v>3520</v>
          </cell>
          <cell r="B1585">
            <v>3520</v>
          </cell>
          <cell r="C1585" t="str">
            <v>CERO MATRICULA</v>
          </cell>
          <cell r="D1585" t="str">
            <v>ACTIVO</v>
          </cell>
          <cell r="E1585" t="str">
            <v>CEY409</v>
          </cell>
          <cell r="F1585" t="str">
            <v>FEIJOO PUELL VICTOR GRONWEL</v>
          </cell>
          <cell r="G1585" t="str">
            <v>FEIJOO PUELL VICTOR GRONWEL</v>
          </cell>
          <cell r="H1585" t="str">
            <v>44979438</v>
          </cell>
          <cell r="I1585" t="str">
            <v>BCP</v>
          </cell>
          <cell r="J1585" t="str">
            <v>19299113037077</v>
          </cell>
          <cell r="K1585" t="str">
            <v>DNI</v>
          </cell>
          <cell r="L1585">
            <v>10449794384</v>
          </cell>
          <cell r="M1585" t="str">
            <v>AEROLINEAS</v>
          </cell>
          <cell r="N1585">
            <v>45236</v>
          </cell>
          <cell r="O1585">
            <v>0</v>
          </cell>
          <cell r="P1585" t="str">
            <v>COMFORT XL</v>
          </cell>
        </row>
        <row r="1586">
          <cell r="A1586">
            <v>3521</v>
          </cell>
          <cell r="B1586">
            <v>3521</v>
          </cell>
          <cell r="C1586" t="str">
            <v>CERO MATRICULA</v>
          </cell>
          <cell r="D1586" t="str">
            <v>ACTIVO</v>
          </cell>
          <cell r="E1586" t="str">
            <v>CDD182</v>
          </cell>
          <cell r="F1586" t="str">
            <v>PAREDES ARANGO CARLOS ENRIQUE</v>
          </cell>
          <cell r="G1586" t="str">
            <v>PAREDES ARANGO CARLOS ENRIQUE</v>
          </cell>
          <cell r="H1586" t="str">
            <v>40728160</v>
          </cell>
          <cell r="I1586" t="str">
            <v>BCP</v>
          </cell>
          <cell r="J1586" t="str">
            <v>19196064927078</v>
          </cell>
          <cell r="K1586" t="str">
            <v>DNI</v>
          </cell>
          <cell r="L1586">
            <v>10407281603</v>
          </cell>
          <cell r="M1586" t="str">
            <v>AEROLINEAS</v>
          </cell>
          <cell r="N1586">
            <v>45236</v>
          </cell>
          <cell r="O1586">
            <v>0</v>
          </cell>
          <cell r="P1586" t="str">
            <v>COMFORT</v>
          </cell>
        </row>
        <row r="1587">
          <cell r="A1587">
            <v>3522</v>
          </cell>
          <cell r="B1587">
            <v>3522</v>
          </cell>
          <cell r="C1587" t="str">
            <v>CERO MATRICULA</v>
          </cell>
          <cell r="D1587" t="str">
            <v>ACTIVO</v>
          </cell>
          <cell r="E1587" t="str">
            <v>CEQ559</v>
          </cell>
          <cell r="F1587" t="str">
            <v>CHOQUECAHUA YENGLE LUIS DANIEL</v>
          </cell>
          <cell r="G1587" t="str">
            <v>CHOQUECAHUA YENGLE LUIS DANIEL</v>
          </cell>
          <cell r="H1587" t="str">
            <v>46735942</v>
          </cell>
          <cell r="I1587" t="str">
            <v>BCP</v>
          </cell>
          <cell r="J1587" t="str">
            <v>19491066600063</v>
          </cell>
          <cell r="K1587" t="str">
            <v>DNI</v>
          </cell>
          <cell r="L1587">
            <v>10467359423</v>
          </cell>
          <cell r="M1587" t="str">
            <v>AEROLINEAS</v>
          </cell>
          <cell r="N1587">
            <v>45236</v>
          </cell>
          <cell r="O1587">
            <v>0</v>
          </cell>
          <cell r="P1587" t="str">
            <v>LITE</v>
          </cell>
        </row>
        <row r="1588">
          <cell r="A1588">
            <v>3523</v>
          </cell>
          <cell r="B1588">
            <v>3523</v>
          </cell>
          <cell r="C1588" t="str">
            <v>CERO MATRICULA</v>
          </cell>
          <cell r="D1588" t="str">
            <v>ACTIVO</v>
          </cell>
          <cell r="E1588" t="str">
            <v>BTR489</v>
          </cell>
          <cell r="F1588" t="str">
            <v>HINOSTROZA LOZANO YOSEL</v>
          </cell>
          <cell r="G1588" t="str">
            <v>HINOSTROZA LOZANO YOSEL</v>
          </cell>
          <cell r="H1588" t="str">
            <v>10281138</v>
          </cell>
          <cell r="I1588" t="str">
            <v>BBVA</v>
          </cell>
          <cell r="J1588" t="str">
            <v>001101620200305967</v>
          </cell>
          <cell r="K1588" t="str">
            <v>DNI</v>
          </cell>
          <cell r="L1588">
            <v>10102811386</v>
          </cell>
          <cell r="M1588" t="str">
            <v>AEROLINEAS</v>
          </cell>
          <cell r="N1588">
            <v>45238</v>
          </cell>
          <cell r="O1588">
            <v>0</v>
          </cell>
          <cell r="P1588" t="str">
            <v>XL</v>
          </cell>
        </row>
        <row r="1589">
          <cell r="A1589">
            <v>3524</v>
          </cell>
          <cell r="B1589">
            <v>3524</v>
          </cell>
          <cell r="C1589" t="str">
            <v>CERO MATRICULA</v>
          </cell>
          <cell r="D1589" t="str">
            <v>ACTIVO</v>
          </cell>
          <cell r="E1589" t="str">
            <v>BLT151</v>
          </cell>
          <cell r="F1589" t="str">
            <v>LOPEZ LIZANA LANDERZON</v>
          </cell>
          <cell r="G1589" t="str">
            <v>LOPEZ LIZANA LANDERZON</v>
          </cell>
          <cell r="H1589" t="str">
            <v>10647852</v>
          </cell>
          <cell r="I1589" t="str">
            <v>BBVA</v>
          </cell>
          <cell r="J1589" t="str">
            <v>001101180200499095</v>
          </cell>
          <cell r="K1589" t="str">
            <v>DNI</v>
          </cell>
          <cell r="L1589">
            <v>10106478525</v>
          </cell>
          <cell r="M1589" t="str">
            <v>AEROLINEAS</v>
          </cell>
          <cell r="N1589">
            <v>45244</v>
          </cell>
          <cell r="O1589">
            <v>0</v>
          </cell>
          <cell r="P1589" t="str">
            <v>COMFORT</v>
          </cell>
        </row>
        <row r="1590">
          <cell r="A1590">
            <v>3525</v>
          </cell>
          <cell r="B1590">
            <v>3525</v>
          </cell>
          <cell r="C1590" t="str">
            <v>CERO MATRICULA</v>
          </cell>
          <cell r="D1590" t="str">
            <v>ACTIVO</v>
          </cell>
          <cell r="E1590" t="str">
            <v>BNM139</v>
          </cell>
          <cell r="F1590" t="str">
            <v xml:space="preserve">SOVERO FASABI AUGUSTO </v>
          </cell>
          <cell r="G1590" t="str">
            <v>SOVERO FASABI AUGUSTO</v>
          </cell>
          <cell r="H1590" t="str">
            <v>44544945</v>
          </cell>
          <cell r="I1590" t="str">
            <v>INTERBANK</v>
          </cell>
          <cell r="J1590" t="str">
            <v>8983328175594</v>
          </cell>
          <cell r="K1590" t="str">
            <v>DNI</v>
          </cell>
          <cell r="L1590">
            <v>10445449453</v>
          </cell>
          <cell r="M1590" t="str">
            <v>AEROLINEAS</v>
          </cell>
          <cell r="N1590">
            <v>45244</v>
          </cell>
          <cell r="O1590">
            <v>0</v>
          </cell>
          <cell r="P1590" t="str">
            <v>COMFORT XL</v>
          </cell>
        </row>
        <row r="1591">
          <cell r="A1591">
            <v>3600</v>
          </cell>
          <cell r="B1591">
            <v>3600</v>
          </cell>
          <cell r="C1591" t="str">
            <v>CERO MATRICULA</v>
          </cell>
          <cell r="D1591" t="str">
            <v>ACTIVO</v>
          </cell>
          <cell r="E1591" t="str">
            <v>Z6N207</v>
          </cell>
          <cell r="F1591" t="str">
            <v>PASTRANA  YACILA  DE NAVARRO YOLANDA ELIZABETH</v>
          </cell>
          <cell r="G1591" t="str">
            <v>PASTRANA  YACILA  DE NAVARRO YOLANDA ELIZABETH</v>
          </cell>
          <cell r="H1591" t="str">
            <v>42510366</v>
          </cell>
          <cell r="I1591" t="str">
            <v>INTERBANK</v>
          </cell>
          <cell r="J1591" t="str">
            <v>0893112092241</v>
          </cell>
          <cell r="K1591" t="str">
            <v>DNI</v>
          </cell>
          <cell r="L1591">
            <v>10425103666</v>
          </cell>
          <cell r="M1591" t="str">
            <v>AEROLINEAS</v>
          </cell>
          <cell r="N1591">
            <v>45260</v>
          </cell>
          <cell r="O1591">
            <v>0</v>
          </cell>
          <cell r="P1591" t="str">
            <v>LITE</v>
          </cell>
        </row>
        <row r="1592">
          <cell r="A1592">
            <v>3603</v>
          </cell>
          <cell r="B1592">
            <v>3603</v>
          </cell>
          <cell r="C1592" t="str">
            <v>CERO MATRICULA</v>
          </cell>
          <cell r="D1592" t="str">
            <v>ACTIVO</v>
          </cell>
          <cell r="E1592" t="str">
            <v>CFW-616</v>
          </cell>
          <cell r="F1592" t="str">
            <v>DIAZ  ESTRADA JAVIER EDUARDO</v>
          </cell>
          <cell r="G1592" t="str">
            <v>ESCOBAR GARCIA LUCIA SOLEDAD</v>
          </cell>
          <cell r="H1592" t="str">
            <v>42756491</v>
          </cell>
          <cell r="I1592" t="str">
            <v>BCP</v>
          </cell>
          <cell r="J1592" t="str">
            <v>19191704154056</v>
          </cell>
          <cell r="K1592" t="str">
            <v>DNI</v>
          </cell>
          <cell r="L1592">
            <v>10427564911</v>
          </cell>
          <cell r="M1592" t="str">
            <v>AEROLINEAS</v>
          </cell>
          <cell r="N1592">
            <v>45251</v>
          </cell>
          <cell r="O1592">
            <v>0</v>
          </cell>
          <cell r="P1592" t="str">
            <v>LITE</v>
          </cell>
        </row>
        <row r="1593">
          <cell r="A1593">
            <v>3604</v>
          </cell>
          <cell r="B1593">
            <v>3604</v>
          </cell>
          <cell r="C1593" t="str">
            <v>CERO MATRICULA</v>
          </cell>
          <cell r="D1593" t="str">
            <v>ACTIVO</v>
          </cell>
          <cell r="E1593" t="str">
            <v>CEK 445</v>
          </cell>
          <cell r="F1593" t="str">
            <v>Zavala Genebrozo Christian john</v>
          </cell>
          <cell r="G1593" t="str">
            <v>Zavala Genebrozo Christian john</v>
          </cell>
          <cell r="H1593" t="str">
            <v>40392725</v>
          </cell>
          <cell r="I1593" t="str">
            <v>BCP</v>
          </cell>
          <cell r="J1593" t="str">
            <v>19191135622082</v>
          </cell>
          <cell r="K1593" t="str">
            <v>DNI</v>
          </cell>
          <cell r="L1593">
            <v>10403927258</v>
          </cell>
          <cell r="M1593" t="str">
            <v>AEROLINEAS</v>
          </cell>
          <cell r="N1593">
            <v>45252</v>
          </cell>
          <cell r="O1593">
            <v>0</v>
          </cell>
          <cell r="P1593" t="str">
            <v>COMFORT XL</v>
          </cell>
        </row>
        <row r="1594">
          <cell r="A1594">
            <v>3605</v>
          </cell>
          <cell r="B1594">
            <v>3605</v>
          </cell>
          <cell r="C1594" t="str">
            <v>CERO MATRICULA</v>
          </cell>
          <cell r="D1594" t="str">
            <v>ACTIVO</v>
          </cell>
          <cell r="E1594" t="str">
            <v>CJM344</v>
          </cell>
          <cell r="F1594" t="str">
            <v>DÁVILA  ARQUINIGO MELANIO EMILIANO</v>
          </cell>
          <cell r="G1594" t="str">
            <v>AGUIRRE ARELLANO ELMA ZENAIDA</v>
          </cell>
          <cell r="H1594" t="str">
            <v>07991899</v>
          </cell>
          <cell r="I1594" t="str">
            <v>BCP</v>
          </cell>
          <cell r="J1594" t="str">
            <v>19123847170048</v>
          </cell>
          <cell r="K1594" t="str">
            <v>DNI</v>
          </cell>
          <cell r="L1594">
            <v>10079918992</v>
          </cell>
          <cell r="M1594" t="str">
            <v>AEROLINEAS</v>
          </cell>
          <cell r="N1594">
            <v>45251</v>
          </cell>
          <cell r="O1594">
            <v>0</v>
          </cell>
          <cell r="P1594" t="str">
            <v>XL</v>
          </cell>
        </row>
        <row r="1595">
          <cell r="A1595">
            <v>3606</v>
          </cell>
          <cell r="B1595">
            <v>3606</v>
          </cell>
          <cell r="C1595" t="str">
            <v>CERO MATRICULA</v>
          </cell>
          <cell r="D1595" t="str">
            <v>ACTIVO</v>
          </cell>
          <cell r="E1595" t="str">
            <v>CHO167</v>
          </cell>
          <cell r="F1595" t="str">
            <v>Huaccha Romero Ever Luis</v>
          </cell>
          <cell r="G1595" t="str">
            <v>JOSE GREGORIO ALVAREZ CHACON</v>
          </cell>
          <cell r="H1595" t="str">
            <v>002381410</v>
          </cell>
          <cell r="I1595" t="str">
            <v>BCP</v>
          </cell>
          <cell r="J1595">
            <v>19191139640040</v>
          </cell>
          <cell r="K1595" t="str">
            <v>CE</v>
          </cell>
          <cell r="L1595">
            <v>15604961405</v>
          </cell>
          <cell r="M1595" t="str">
            <v>AEROLINEAS</v>
          </cell>
          <cell r="N1595">
            <v>45260</v>
          </cell>
          <cell r="O1595">
            <v>0</v>
          </cell>
          <cell r="P1595" t="str">
            <v>COMFORT XL</v>
          </cell>
        </row>
        <row r="1596">
          <cell r="A1596">
            <v>3607</v>
          </cell>
          <cell r="B1596">
            <v>3607</v>
          </cell>
          <cell r="C1596" t="str">
            <v>CERO MATRICULA</v>
          </cell>
          <cell r="D1596" t="str">
            <v>ACTIVO</v>
          </cell>
          <cell r="E1596" t="str">
            <v>CHU 501</v>
          </cell>
          <cell r="F1596" t="str">
            <v>Reinozo Guzmán Yovanny de Jesús</v>
          </cell>
          <cell r="G1596" t="str">
            <v>Reinozo Guzmán Yovanny de Jesús</v>
          </cell>
          <cell r="H1596" t="str">
            <v>004618753</v>
          </cell>
          <cell r="I1596" t="str">
            <v>BCP</v>
          </cell>
          <cell r="J1596" t="str">
            <v>19196331516060</v>
          </cell>
          <cell r="K1596" t="str">
            <v>CE</v>
          </cell>
          <cell r="L1596">
            <v>15611757864</v>
          </cell>
          <cell r="M1596" t="str">
            <v>AEROLINEAS</v>
          </cell>
          <cell r="N1596">
            <v>45260</v>
          </cell>
          <cell r="O1596">
            <v>0</v>
          </cell>
          <cell r="P1596" t="str">
            <v>COMFORT XL</v>
          </cell>
        </row>
        <row r="1597">
          <cell r="A1597">
            <v>3608</v>
          </cell>
          <cell r="B1597">
            <v>3608</v>
          </cell>
          <cell r="C1597" t="str">
            <v>CERO MATRICULA</v>
          </cell>
          <cell r="D1597" t="str">
            <v>ACTIVO</v>
          </cell>
          <cell r="E1597" t="str">
            <v>CJE-057</v>
          </cell>
          <cell r="F1597" t="str">
            <v>DIAZ UTSUNOMIYA JORGE LUIS</v>
          </cell>
          <cell r="G1597" t="str">
            <v>DIAZ UTSUNOMIYA JORGE LUIS</v>
          </cell>
          <cell r="H1597" t="str">
            <v>06540595</v>
          </cell>
          <cell r="I1597" t="str">
            <v>BCP</v>
          </cell>
          <cell r="J1597">
            <v>19198658697046</v>
          </cell>
          <cell r="K1597" t="str">
            <v>DNI</v>
          </cell>
          <cell r="L1597">
            <v>10065405950</v>
          </cell>
          <cell r="M1597" t="str">
            <v>AEROLINEAS</v>
          </cell>
          <cell r="N1597">
            <v>45264</v>
          </cell>
          <cell r="O1597">
            <v>0</v>
          </cell>
          <cell r="P1597" t="str">
            <v>COMFORT</v>
          </cell>
        </row>
        <row r="1598">
          <cell r="A1598">
            <v>3611</v>
          </cell>
          <cell r="B1598">
            <v>3611</v>
          </cell>
          <cell r="C1598" t="str">
            <v>CERO MATRICULA</v>
          </cell>
          <cell r="D1598" t="str">
            <v>ACTIVO</v>
          </cell>
          <cell r="E1598" t="str">
            <v>ARI 053</v>
          </cell>
          <cell r="F1598" t="str">
            <v>RIVADENEYRA SOTO SERGIO VICTOR</v>
          </cell>
          <cell r="G1598" t="str">
            <v>RIVADENEYRA SOTO SERGIO VICTOR</v>
          </cell>
          <cell r="H1598" t="str">
            <v>08611789</v>
          </cell>
          <cell r="I1598" t="str">
            <v>BBVA</v>
          </cell>
          <cell r="J1598" t="str">
            <v>001108140220676396</v>
          </cell>
          <cell r="K1598" t="str">
            <v>DNI</v>
          </cell>
          <cell r="L1598">
            <v>10086117890</v>
          </cell>
          <cell r="M1598" t="str">
            <v>AEROLINEAS</v>
          </cell>
          <cell r="N1598">
            <v>45261</v>
          </cell>
          <cell r="O1598">
            <v>0</v>
          </cell>
          <cell r="P1598" t="str">
            <v>COMFORT XL</v>
          </cell>
        </row>
        <row r="1599">
          <cell r="A1599">
            <v>3612</v>
          </cell>
          <cell r="B1599">
            <v>3612</v>
          </cell>
          <cell r="C1599" t="str">
            <v>CERO MATRICULA</v>
          </cell>
          <cell r="D1599" t="str">
            <v>ACTIVO</v>
          </cell>
          <cell r="E1599" t="str">
            <v>CJO320</v>
          </cell>
          <cell r="F1599" t="str">
            <v>Varas Lopez</v>
          </cell>
          <cell r="G1599" t="str">
            <v>Varas Lopez Javier</v>
          </cell>
          <cell r="H1599" t="str">
            <v>45335897</v>
          </cell>
          <cell r="I1599" t="str">
            <v>BBVA</v>
          </cell>
          <cell r="J1599" t="str">
            <v>0011-0814-0251281705</v>
          </cell>
          <cell r="K1599" t="str">
            <v>DNI</v>
          </cell>
          <cell r="L1599">
            <v>10453358971</v>
          </cell>
          <cell r="M1599" t="str">
            <v>AEROLINEAS</v>
          </cell>
          <cell r="N1599">
            <v>45266</v>
          </cell>
          <cell r="O1599">
            <v>0</v>
          </cell>
          <cell r="P1599" t="str">
            <v>LITE</v>
          </cell>
        </row>
        <row r="1600">
          <cell r="A1600">
            <v>3613</v>
          </cell>
          <cell r="B1600">
            <v>3613</v>
          </cell>
          <cell r="C1600" t="str">
            <v>CERO MATRICULA</v>
          </cell>
          <cell r="D1600" t="str">
            <v>ACTIVO</v>
          </cell>
          <cell r="E1600" t="str">
            <v>Bvf672</v>
          </cell>
          <cell r="F1600" t="str">
            <v>Sanchez Izarnotegui</v>
          </cell>
          <cell r="G1600" t="str">
            <v>Sanchez Izarnotegui JOSE ANTONIO</v>
          </cell>
          <cell r="H1600" t="str">
            <v>09565814</v>
          </cell>
          <cell r="I1600" t="str">
            <v>BCP</v>
          </cell>
          <cell r="J1600" t="str">
            <v>19117401242011</v>
          </cell>
          <cell r="K1600" t="str">
            <v>DNI</v>
          </cell>
          <cell r="L1600">
            <v>10095658143</v>
          </cell>
          <cell r="M1600" t="str">
            <v>AEROLINEAS</v>
          </cell>
          <cell r="N1600">
            <v>45266</v>
          </cell>
          <cell r="O1600">
            <v>0</v>
          </cell>
          <cell r="P1600" t="str">
            <v>LITE</v>
          </cell>
        </row>
        <row r="1601">
          <cell r="A1601">
            <v>3614</v>
          </cell>
          <cell r="B1601">
            <v>3614</v>
          </cell>
          <cell r="C1601" t="str">
            <v>CERO MATRICULA</v>
          </cell>
          <cell r="D1601" t="str">
            <v>ACTIVO</v>
          </cell>
          <cell r="E1601" t="str">
            <v>BLB357</v>
          </cell>
          <cell r="F1601" t="str">
            <v>Alzamora Muñoz</v>
          </cell>
          <cell r="G1601" t="str">
            <v>Alzamora Muñoz Manuel Enrique</v>
          </cell>
          <cell r="H1601" t="str">
            <v>08703257</v>
          </cell>
          <cell r="I1601" t="str">
            <v>BCP</v>
          </cell>
          <cell r="J1601" t="str">
            <v>19331384162072</v>
          </cell>
          <cell r="K1601" t="str">
            <v>DNI</v>
          </cell>
          <cell r="L1601">
            <v>10087032570</v>
          </cell>
          <cell r="M1601" t="str">
            <v>AEROLINEAS</v>
          </cell>
          <cell r="N1601">
            <v>45267</v>
          </cell>
          <cell r="O1601">
            <v>0</v>
          </cell>
          <cell r="P1601" t="str">
            <v>LITE</v>
          </cell>
        </row>
        <row r="1602">
          <cell r="A1602">
            <v>3615</v>
          </cell>
          <cell r="B1602">
            <v>3615</v>
          </cell>
          <cell r="C1602" t="str">
            <v>CERO MATRICULA</v>
          </cell>
          <cell r="D1602" t="str">
            <v>ACTIVO</v>
          </cell>
          <cell r="E1602" t="str">
            <v>BFT593</v>
          </cell>
          <cell r="F1602" t="str">
            <v>HUAMANI PEREIRA RICHARD</v>
          </cell>
          <cell r="G1602" t="str">
            <v>HUAMANI PEREIRA RICHARD</v>
          </cell>
          <cell r="H1602" t="str">
            <v>72299428</v>
          </cell>
          <cell r="I1602" t="str">
            <v>BCP</v>
          </cell>
          <cell r="J1602" t="str">
            <v>19104508008042</v>
          </cell>
          <cell r="K1602" t="str">
            <v>DNI</v>
          </cell>
          <cell r="L1602">
            <v>10722994286</v>
          </cell>
          <cell r="M1602" t="str">
            <v>AEROLINEAS</v>
          </cell>
          <cell r="N1602">
            <v>45271</v>
          </cell>
          <cell r="O1602">
            <v>0</v>
          </cell>
          <cell r="P1602" t="str">
            <v>LITE</v>
          </cell>
        </row>
        <row r="1603">
          <cell r="A1603">
            <v>3616</v>
          </cell>
          <cell r="B1603">
            <v>3616</v>
          </cell>
          <cell r="C1603" t="str">
            <v>CERO MATRICULA</v>
          </cell>
          <cell r="D1603" t="str">
            <v>ACTIVO</v>
          </cell>
          <cell r="E1603" t="str">
            <v>AVY202</v>
          </cell>
          <cell r="F1603" t="str">
            <v>Rincon Mendoza Aldo Elias</v>
          </cell>
          <cell r="G1603" t="str">
            <v>Rincon Mendoza Aldo Elias</v>
          </cell>
          <cell r="H1603" t="str">
            <v>77821813</v>
          </cell>
          <cell r="I1603" t="str">
            <v>INTERBANK</v>
          </cell>
          <cell r="J1603" t="str">
            <v>8983353145748</v>
          </cell>
          <cell r="K1603" t="str">
            <v>DNI</v>
          </cell>
          <cell r="L1603">
            <v>10778218131</v>
          </cell>
          <cell r="M1603" t="str">
            <v>AEROLINEAS</v>
          </cell>
          <cell r="N1603">
            <v>45281</v>
          </cell>
          <cell r="O1603">
            <v>0</v>
          </cell>
          <cell r="P1603" t="str">
            <v>XL</v>
          </cell>
        </row>
        <row r="1604">
          <cell r="A1604">
            <v>3618</v>
          </cell>
          <cell r="B1604">
            <v>3618</v>
          </cell>
          <cell r="C1604" t="str">
            <v>CERO MATRICULA</v>
          </cell>
          <cell r="D1604" t="str">
            <v>ACTIVO</v>
          </cell>
          <cell r="E1604" t="str">
            <v>CHQ084</v>
          </cell>
          <cell r="F1604" t="str">
            <v>Fajardo Torres Hairo Anderson</v>
          </cell>
          <cell r="G1604" t="str">
            <v>Fajardo Torres Hairo Anderson</v>
          </cell>
          <cell r="H1604" t="str">
            <v>77336963</v>
          </cell>
          <cell r="I1604" t="str">
            <v>INTERBANK</v>
          </cell>
          <cell r="J1604" t="str">
            <v>8983280994113</v>
          </cell>
          <cell r="K1604" t="str">
            <v>DNI</v>
          </cell>
          <cell r="L1604">
            <v>10773369637</v>
          </cell>
          <cell r="M1604" t="str">
            <v>AEROLINEAS</v>
          </cell>
          <cell r="N1604">
            <v>45303</v>
          </cell>
          <cell r="O1604">
            <v>0</v>
          </cell>
          <cell r="P1604" t="str">
            <v>LITE</v>
          </cell>
        </row>
        <row r="1605">
          <cell r="A1605">
            <v>3619</v>
          </cell>
          <cell r="B1605">
            <v>3619</v>
          </cell>
          <cell r="C1605" t="str">
            <v>CERO MATRICULA</v>
          </cell>
          <cell r="D1605" t="str">
            <v>ACTIVO</v>
          </cell>
          <cell r="E1605" t="str">
            <v>BXI017</v>
          </cell>
          <cell r="F1605" t="str">
            <v>Caballero Sanchez Jose ricky</v>
          </cell>
          <cell r="G1605" t="str">
            <v>Caballero Sanchez Jose ricky</v>
          </cell>
          <cell r="H1605" t="str">
            <v>48873160</v>
          </cell>
          <cell r="I1605" t="str">
            <v>BCP</v>
          </cell>
          <cell r="J1605" t="str">
            <v>19193058284064</v>
          </cell>
          <cell r="K1605" t="str">
            <v>DNI</v>
          </cell>
          <cell r="L1605">
            <v>10488731608</v>
          </cell>
          <cell r="M1605" t="str">
            <v>URBANO PARTNER</v>
          </cell>
          <cell r="N1605">
            <v>45304</v>
          </cell>
          <cell r="O1605">
            <v>0</v>
          </cell>
          <cell r="P1605" t="str">
            <v>LITE</v>
          </cell>
        </row>
        <row r="1606">
          <cell r="A1606">
            <v>3620</v>
          </cell>
          <cell r="B1606">
            <v>3620</v>
          </cell>
          <cell r="C1606" t="str">
            <v>CERO MATRICULA</v>
          </cell>
          <cell r="D1606" t="str">
            <v>ACTIVO</v>
          </cell>
          <cell r="E1606" t="str">
            <v>CJF406</v>
          </cell>
          <cell r="F1606" t="str">
            <v>Sarmiento Paz Jorge Felix</v>
          </cell>
          <cell r="G1606" t="str">
            <v>SARMIENTO ZELADA ALEXANDER JESUS</v>
          </cell>
          <cell r="H1606" t="str">
            <v>72533913</v>
          </cell>
          <cell r="I1606" t="str">
            <v>BCP</v>
          </cell>
          <cell r="J1606">
            <v>19195048417000</v>
          </cell>
          <cell r="K1606" t="str">
            <v>DNI</v>
          </cell>
          <cell r="L1606">
            <v>10725339131</v>
          </cell>
          <cell r="M1606" t="str">
            <v>AEROLINEAS</v>
          </cell>
          <cell r="N1606">
            <v>45306</v>
          </cell>
          <cell r="O1606">
            <v>0</v>
          </cell>
          <cell r="P1606" t="str">
            <v>COMFORT XL</v>
          </cell>
        </row>
        <row r="1607">
          <cell r="A1607">
            <v>3621</v>
          </cell>
          <cell r="B1607">
            <v>3621</v>
          </cell>
          <cell r="C1607" t="str">
            <v>CERO MATRICULA</v>
          </cell>
          <cell r="D1607" t="str">
            <v>ACTIVO</v>
          </cell>
          <cell r="E1607" t="str">
            <v>CJI139</v>
          </cell>
          <cell r="F1607" t="str">
            <v>Gonzales Huarcaya Ulises Antonio</v>
          </cell>
          <cell r="G1607" t="str">
            <v>Gonzales Huarcaya  Ulises Antonio</v>
          </cell>
          <cell r="H1607" t="str">
            <v>07757293</v>
          </cell>
          <cell r="I1607" t="str">
            <v>BCP</v>
          </cell>
          <cell r="J1607" t="str">
            <v>19294828738001</v>
          </cell>
          <cell r="K1607" t="str">
            <v>DNI</v>
          </cell>
          <cell r="L1607">
            <v>10077572932</v>
          </cell>
          <cell r="M1607" t="str">
            <v>AEROLINEAS</v>
          </cell>
          <cell r="N1607">
            <v>45303</v>
          </cell>
          <cell r="O1607">
            <v>0</v>
          </cell>
          <cell r="P1607" t="str">
            <v>LITE</v>
          </cell>
        </row>
        <row r="1608">
          <cell r="A1608">
            <v>3622</v>
          </cell>
          <cell r="B1608">
            <v>3622</v>
          </cell>
          <cell r="C1608" t="str">
            <v>CERO MATRICULA</v>
          </cell>
          <cell r="D1608" t="str">
            <v>ACTIVO</v>
          </cell>
          <cell r="E1608" t="str">
            <v>BTT090</v>
          </cell>
          <cell r="F1608" t="str">
            <v>Del Carpio Altuna Carlos Alberto</v>
          </cell>
          <cell r="G1608" t="str">
            <v>Del Carpio Altuna Carlos Alberto</v>
          </cell>
          <cell r="H1608" t="str">
            <v>73426188</v>
          </cell>
          <cell r="I1608" t="str">
            <v>INTERBANK</v>
          </cell>
          <cell r="J1608" t="str">
            <v>3683060069647</v>
          </cell>
          <cell r="K1608" t="str">
            <v>DNI</v>
          </cell>
          <cell r="L1608">
            <v>10734261888</v>
          </cell>
          <cell r="M1608" t="str">
            <v>AEROLINEAS</v>
          </cell>
          <cell r="N1608">
            <v>45302</v>
          </cell>
          <cell r="O1608">
            <v>0</v>
          </cell>
          <cell r="P1608" t="str">
            <v>XL</v>
          </cell>
        </row>
        <row r="1609">
          <cell r="A1609">
            <v>3623</v>
          </cell>
          <cell r="B1609">
            <v>3623</v>
          </cell>
          <cell r="C1609" t="str">
            <v>CERO MATRICULA</v>
          </cell>
          <cell r="D1609" t="str">
            <v>ACTIVO</v>
          </cell>
          <cell r="E1609" t="str">
            <v>CCV063</v>
          </cell>
          <cell r="F1609" t="str">
            <v>ruiz galves JOHNNY MANUEL</v>
          </cell>
          <cell r="G1609" t="str">
            <v>ruiz galves JOHNNY MANUEL</v>
          </cell>
          <cell r="H1609" t="str">
            <v>70322815</v>
          </cell>
          <cell r="I1609" t="str">
            <v>BCP</v>
          </cell>
          <cell r="J1609" t="str">
            <v>19234580639037</v>
          </cell>
          <cell r="K1609" t="str">
            <v>DNI</v>
          </cell>
          <cell r="L1609">
            <v>10703228157</v>
          </cell>
          <cell r="M1609" t="str">
            <v>AEROLINEAS</v>
          </cell>
          <cell r="N1609">
            <v>45303</v>
          </cell>
          <cell r="O1609">
            <v>0</v>
          </cell>
          <cell r="P1609" t="str">
            <v>COMFORT</v>
          </cell>
        </row>
        <row r="1610">
          <cell r="A1610">
            <v>3701</v>
          </cell>
          <cell r="B1610">
            <v>3701</v>
          </cell>
          <cell r="C1610" t="str">
            <v>CERO MATRICULA</v>
          </cell>
          <cell r="D1610" t="str">
            <v>ACTIVO</v>
          </cell>
          <cell r="E1610" t="str">
            <v>CKD-641</v>
          </cell>
          <cell r="F1610" t="str">
            <v>Enoc Oswaldo Llagas Reyes</v>
          </cell>
          <cell r="G1610" t="str">
            <v>Enoc Oswaldo Llagas Reyes</v>
          </cell>
          <cell r="H1610" t="str">
            <v>46026113</v>
          </cell>
          <cell r="I1610" t="str">
            <v>BCP</v>
          </cell>
          <cell r="J1610">
            <v>19106616301031</v>
          </cell>
          <cell r="K1610" t="str">
            <v>DNI</v>
          </cell>
          <cell r="L1610">
            <v>10460261134</v>
          </cell>
          <cell r="M1610" t="str">
            <v>AEROPUERTO</v>
          </cell>
          <cell r="N1610">
            <v>45307</v>
          </cell>
          <cell r="O1610">
            <v>235</v>
          </cell>
          <cell r="P1610" t="str">
            <v>COMFORT XL</v>
          </cell>
        </row>
        <row r="1611">
          <cell r="A1611">
            <v>3702</v>
          </cell>
          <cell r="B1611">
            <v>3702</v>
          </cell>
          <cell r="C1611" t="str">
            <v>CERO MATRICULA</v>
          </cell>
          <cell r="D1611" t="str">
            <v>ACTIVO</v>
          </cell>
          <cell r="E1611" t="str">
            <v>Bsj 683</v>
          </cell>
          <cell r="F1611" t="str">
            <v>Gutiérrez Huaman Jose ely</v>
          </cell>
          <cell r="G1611" t="str">
            <v>Jose ely Gutiérrez Huaman</v>
          </cell>
          <cell r="H1611">
            <v>42818118</v>
          </cell>
          <cell r="I1611" t="str">
            <v>BCP</v>
          </cell>
          <cell r="J1611" t="str">
            <v>19105449016055</v>
          </cell>
          <cell r="K1611" t="str">
            <v>DNI</v>
          </cell>
          <cell r="L1611">
            <v>10428181188</v>
          </cell>
          <cell r="M1611" t="str">
            <v>AEROLINEAS</v>
          </cell>
          <cell r="N1611">
            <v>45316</v>
          </cell>
          <cell r="O1611">
            <v>0</v>
          </cell>
          <cell r="P1611" t="str">
            <v>LITE</v>
          </cell>
        </row>
        <row r="1612">
          <cell r="A1612">
            <v>3703</v>
          </cell>
          <cell r="B1612">
            <v>3703</v>
          </cell>
          <cell r="C1612" t="str">
            <v>CERO MATRICULA</v>
          </cell>
          <cell r="D1612" t="str">
            <v>ACTIVO</v>
          </cell>
          <cell r="E1612" t="str">
            <v>BFJ521</v>
          </cell>
          <cell r="F1612" t="str">
            <v>vargas chilo carlos enrique</v>
          </cell>
          <cell r="G1612" t="str">
            <v>VARGAS CHILO CARLOS ENRIQUE</v>
          </cell>
          <cell r="H1612" t="str">
            <v>10109460</v>
          </cell>
          <cell r="I1612" t="str">
            <v>BCP</v>
          </cell>
          <cell r="J1612" t="str">
            <v>19405936082040</v>
          </cell>
          <cell r="K1612" t="str">
            <v>DNI</v>
          </cell>
          <cell r="L1612">
            <v>10101094605</v>
          </cell>
          <cell r="M1612" t="str">
            <v>AEROLINEAS</v>
          </cell>
          <cell r="N1612">
            <v>45568.125</v>
          </cell>
          <cell r="O1612">
            <v>0</v>
          </cell>
          <cell r="P1612" t="str">
            <v>COMFORT</v>
          </cell>
        </row>
        <row r="1613">
          <cell r="A1613">
            <v>3704</v>
          </cell>
          <cell r="B1613">
            <v>3704</v>
          </cell>
          <cell r="C1613" t="str">
            <v>CERO MATRICULA</v>
          </cell>
          <cell r="D1613" t="str">
            <v>ACTIVO</v>
          </cell>
          <cell r="E1613" t="str">
            <v>BDV399</v>
          </cell>
          <cell r="F1613" t="str">
            <v>Alejandro israel Gutierrez Callupe</v>
          </cell>
          <cell r="G1613" t="str">
            <v>Alejandro israel Gutierrez Callupe</v>
          </cell>
          <cell r="H1613" t="str">
            <v>78258461</v>
          </cell>
          <cell r="I1613" t="str">
            <v>BCP</v>
          </cell>
          <cell r="J1613" t="str">
            <v>19471498621027</v>
          </cell>
          <cell r="K1613" t="str">
            <v>DNI</v>
          </cell>
          <cell r="L1613">
            <v>10782584613</v>
          </cell>
          <cell r="M1613" t="str">
            <v>AEROLINEAS</v>
          </cell>
          <cell r="N1613">
            <v>45307</v>
          </cell>
          <cell r="O1613">
            <v>0</v>
          </cell>
          <cell r="P1613" t="str">
            <v>COMFORT XL</v>
          </cell>
        </row>
        <row r="1614">
          <cell r="A1614">
            <v>3705</v>
          </cell>
          <cell r="B1614">
            <v>3705</v>
          </cell>
          <cell r="C1614" t="str">
            <v>CERO MATRICULA</v>
          </cell>
          <cell r="D1614" t="str">
            <v>ACTIVO</v>
          </cell>
          <cell r="E1614" t="str">
            <v>CHW-549</v>
          </cell>
          <cell r="F1614" t="str">
            <v>Brian scott Taipe Torres</v>
          </cell>
          <cell r="G1614" t="str">
            <v>Brian scott Taipe Torres</v>
          </cell>
          <cell r="H1614" t="str">
            <v>70328543</v>
          </cell>
          <cell r="I1614" t="str">
            <v>BCP</v>
          </cell>
          <cell r="J1614" t="str">
            <v>19179330769088</v>
          </cell>
          <cell r="K1614" t="str">
            <v>DNI</v>
          </cell>
          <cell r="L1614">
            <v>10703285436</v>
          </cell>
          <cell r="M1614" t="str">
            <v>AEROLINEAS</v>
          </cell>
          <cell r="N1614">
            <v>45307</v>
          </cell>
          <cell r="O1614">
            <v>0</v>
          </cell>
          <cell r="P1614" t="str">
            <v>COMFORT</v>
          </cell>
        </row>
        <row r="1615">
          <cell r="A1615">
            <v>3708</v>
          </cell>
          <cell r="B1615">
            <v>3708</v>
          </cell>
          <cell r="C1615" t="str">
            <v>CERO MATRICULA</v>
          </cell>
          <cell r="D1615" t="str">
            <v>ACTIVO</v>
          </cell>
          <cell r="E1615" t="str">
            <v>Z7N330</v>
          </cell>
          <cell r="F1615" t="str">
            <v>Farfán Nuñez del arco Danny Piero</v>
          </cell>
          <cell r="G1615" t="str">
            <v>Danny Piero Farfán Nuñez del arco</v>
          </cell>
          <cell r="H1615">
            <v>10618932</v>
          </cell>
          <cell r="I1615" t="str">
            <v>BCP</v>
          </cell>
          <cell r="J1615" t="str">
            <v>1912778473082</v>
          </cell>
          <cell r="K1615" t="str">
            <v>DNI</v>
          </cell>
          <cell r="L1615">
            <v>10106189329</v>
          </cell>
          <cell r="M1615" t="str">
            <v>AEROLINEAS</v>
          </cell>
          <cell r="N1615">
            <v>45316</v>
          </cell>
          <cell r="O1615">
            <v>0</v>
          </cell>
          <cell r="P1615" t="str">
            <v>LITE</v>
          </cell>
        </row>
        <row r="1616">
          <cell r="A1616">
            <v>3709</v>
          </cell>
          <cell r="B1616">
            <v>3709</v>
          </cell>
          <cell r="C1616" t="str">
            <v>CERO MATRICULA</v>
          </cell>
          <cell r="D1616" t="str">
            <v>ACTIVO</v>
          </cell>
          <cell r="E1616" t="str">
            <v>CJR 169</v>
          </cell>
          <cell r="F1616" t="str">
            <v>Salinas Flores Fernando Tomas</v>
          </cell>
          <cell r="G1616" t="str">
            <v>Fernando Tomas Salinas Flores</v>
          </cell>
          <cell r="H1616">
            <v>29601165</v>
          </cell>
          <cell r="I1616" t="str">
            <v>BBVA</v>
          </cell>
          <cell r="J1616" t="str">
            <v>001108140253106470</v>
          </cell>
          <cell r="K1616" t="str">
            <v>DNI</v>
          </cell>
          <cell r="L1616">
            <v>10296011652</v>
          </cell>
          <cell r="M1616" t="str">
            <v>URBANO</v>
          </cell>
          <cell r="N1616">
            <v>45316</v>
          </cell>
          <cell r="O1616">
            <v>0</v>
          </cell>
          <cell r="P1616" t="str">
            <v>LITE</v>
          </cell>
        </row>
        <row r="1617">
          <cell r="A1617">
            <v>3710</v>
          </cell>
          <cell r="B1617">
            <v>3710</v>
          </cell>
          <cell r="C1617" t="str">
            <v>CERO MATRICULA</v>
          </cell>
          <cell r="D1617" t="str">
            <v>ACTIVO</v>
          </cell>
          <cell r="E1617" t="str">
            <v>CFT538</v>
          </cell>
          <cell r="F1617" t="str">
            <v>Chavez Alarcon Carlos</v>
          </cell>
          <cell r="G1617" t="str">
            <v>Carlos Chavez Alarcon</v>
          </cell>
          <cell r="H1617" t="str">
            <v>09355130</v>
          </cell>
          <cell r="I1617" t="str">
            <v>BCP</v>
          </cell>
          <cell r="J1617" t="str">
            <v>19190704167068</v>
          </cell>
          <cell r="K1617" t="str">
            <v>DNI</v>
          </cell>
          <cell r="L1617">
            <v>10093551309</v>
          </cell>
          <cell r="M1617" t="str">
            <v>AEROLINEAS</v>
          </cell>
          <cell r="N1617">
            <v>45316</v>
          </cell>
          <cell r="O1617">
            <v>0</v>
          </cell>
          <cell r="P1617" t="str">
            <v>COMFORT XL</v>
          </cell>
        </row>
        <row r="1618">
          <cell r="A1618">
            <v>3712</v>
          </cell>
          <cell r="B1618">
            <v>3712</v>
          </cell>
          <cell r="C1618" t="str">
            <v>CERO MATRICULA</v>
          </cell>
          <cell r="D1618" t="str">
            <v>ACTIVO</v>
          </cell>
          <cell r="E1618" t="str">
            <v>Z6N657</v>
          </cell>
          <cell r="F1618" t="str">
            <v>Murillo Romero Reinaldo</v>
          </cell>
          <cell r="G1618" t="str">
            <v>Reinaldo Murillo Romero</v>
          </cell>
          <cell r="H1618" t="str">
            <v>002613688</v>
          </cell>
          <cell r="I1618" t="str">
            <v>BCP</v>
          </cell>
          <cell r="J1618" t="str">
            <v>19290084385026</v>
          </cell>
          <cell r="K1618" t="str">
            <v>CE</v>
          </cell>
          <cell r="L1618">
            <v>15603564283</v>
          </cell>
          <cell r="M1618" t="str">
            <v>AEROLINEAS</v>
          </cell>
          <cell r="N1618">
            <v>45316</v>
          </cell>
          <cell r="O1618">
            <v>0</v>
          </cell>
          <cell r="P1618" t="str">
            <v>LITE</v>
          </cell>
        </row>
        <row r="1619">
          <cell r="A1619">
            <v>3713</v>
          </cell>
          <cell r="B1619">
            <v>3713</v>
          </cell>
          <cell r="C1619" t="str">
            <v>CERO MATRICULA</v>
          </cell>
          <cell r="D1619" t="str">
            <v>ACTIVO</v>
          </cell>
          <cell r="E1619" t="str">
            <v>CEE129</v>
          </cell>
          <cell r="F1619" t="str">
            <v>JATABE LIU JHOSIMAN</v>
          </cell>
          <cell r="G1619" t="str">
            <v>JATABE LIU JHOSIMAN</v>
          </cell>
          <cell r="H1619">
            <v>46950240</v>
          </cell>
          <cell r="I1619" t="str">
            <v>BCP</v>
          </cell>
          <cell r="J1619" t="str">
            <v>19200521546013</v>
          </cell>
          <cell r="K1619" t="str">
            <v>DNI</v>
          </cell>
          <cell r="L1619">
            <v>10469502401</v>
          </cell>
          <cell r="M1619" t="str">
            <v>AEROLINEAS</v>
          </cell>
          <cell r="N1619">
            <v>45323</v>
          </cell>
          <cell r="O1619">
            <v>0</v>
          </cell>
          <cell r="P1619" t="str">
            <v>LITE</v>
          </cell>
        </row>
        <row r="1620">
          <cell r="A1620">
            <v>3714</v>
          </cell>
          <cell r="B1620">
            <v>3714</v>
          </cell>
          <cell r="C1620" t="str">
            <v>CERO MATRICULA</v>
          </cell>
          <cell r="D1620" t="str">
            <v>ACTIVO</v>
          </cell>
          <cell r="E1620" t="str">
            <v>CJO-596</v>
          </cell>
          <cell r="F1620" t="str">
            <v>URBINA DELGADO GREGORIO JOSE</v>
          </cell>
          <cell r="G1620" t="str">
            <v>URBINA DELGADO GREGORIO JOSE</v>
          </cell>
          <cell r="H1620" t="str">
            <v>03139778</v>
          </cell>
          <cell r="I1620" t="str">
            <v>BCP</v>
          </cell>
          <cell r="J1620" t="str">
            <v>19406102569010</v>
          </cell>
          <cell r="K1620" t="str">
            <v>CE</v>
          </cell>
          <cell r="L1620">
            <v>15605015481</v>
          </cell>
          <cell r="M1620" t="str">
            <v>AEROLINEAS</v>
          </cell>
          <cell r="N1620">
            <v>45323</v>
          </cell>
          <cell r="O1620">
            <v>0</v>
          </cell>
          <cell r="P1620" t="str">
            <v>XL</v>
          </cell>
        </row>
        <row r="1621">
          <cell r="A1621">
            <v>3715</v>
          </cell>
          <cell r="B1621">
            <v>3715</v>
          </cell>
          <cell r="C1621" t="str">
            <v>CERO MATRICULA</v>
          </cell>
          <cell r="D1621" t="str">
            <v>ACTIVO</v>
          </cell>
          <cell r="E1621" t="str">
            <v>CER299</v>
          </cell>
          <cell r="F1621" t="str">
            <v>CACHO CAPARO JUAN ALBERTO</v>
          </cell>
          <cell r="G1621" t="str">
            <v>Bryan Louis Meza Vicente</v>
          </cell>
          <cell r="H1621" t="str">
            <v>45012038</v>
          </cell>
          <cell r="I1621" t="str">
            <v>BCP</v>
          </cell>
          <cell r="J1621">
            <v>19195198259055</v>
          </cell>
          <cell r="K1621" t="str">
            <v>DNI</v>
          </cell>
          <cell r="L1621">
            <v>10450120389</v>
          </cell>
          <cell r="M1621" t="str">
            <v>AEROLINEAS</v>
          </cell>
          <cell r="N1621">
            <v>45323</v>
          </cell>
          <cell r="O1621">
            <v>0</v>
          </cell>
          <cell r="P1621" t="str">
            <v>LITE</v>
          </cell>
        </row>
        <row r="1622">
          <cell r="A1622">
            <v>3716</v>
          </cell>
          <cell r="B1622">
            <v>3716</v>
          </cell>
          <cell r="C1622" t="str">
            <v>CERO MATRICULA</v>
          </cell>
          <cell r="D1622" t="str">
            <v>ACTIVO</v>
          </cell>
          <cell r="E1622" t="str">
            <v>CFS271</v>
          </cell>
          <cell r="F1622" t="str">
            <v>BERROCAL BEJAR RONY FREDY</v>
          </cell>
          <cell r="G1622" t="str">
            <v>FELITA TRANSPORTES PREMIUM SAC</v>
          </cell>
          <cell r="H1622">
            <v>20611250569</v>
          </cell>
          <cell r="I1622" t="str">
            <v>INTERBANK</v>
          </cell>
          <cell r="J1622" t="str">
            <v>2003005294027</v>
          </cell>
          <cell r="K1622" t="str">
            <v>RUC</v>
          </cell>
          <cell r="L1622">
            <v>20611250569</v>
          </cell>
          <cell r="M1622" t="str">
            <v>AEROLINEAS</v>
          </cell>
          <cell r="N1622">
            <v>45323</v>
          </cell>
          <cell r="O1622">
            <v>0</v>
          </cell>
          <cell r="P1622" t="str">
            <v>XL</v>
          </cell>
        </row>
        <row r="1623">
          <cell r="A1623">
            <v>3717</v>
          </cell>
          <cell r="B1623">
            <v>3717</v>
          </cell>
          <cell r="C1623" t="str">
            <v>CERO MATRICULA</v>
          </cell>
          <cell r="D1623" t="str">
            <v>ACTIVO</v>
          </cell>
          <cell r="E1623"/>
          <cell r="F1623" t="str">
            <v>Bernal Jiménez Luz Helena</v>
          </cell>
          <cell r="G1623" t="str">
            <v>Bernal Jiménez Luz Helena</v>
          </cell>
          <cell r="H1623" t="str">
            <v>000001786</v>
          </cell>
          <cell r="I1623" t="str">
            <v>BCP</v>
          </cell>
          <cell r="J1623" t="str">
            <v>19391691866044</v>
          </cell>
          <cell r="K1623" t="str">
            <v>CE</v>
          </cell>
          <cell r="L1623">
            <v>15509501405</v>
          </cell>
          <cell r="M1623" t="str">
            <v>AEROLINEAS</v>
          </cell>
          <cell r="N1623">
            <v>45330</v>
          </cell>
          <cell r="O1623">
            <v>0</v>
          </cell>
          <cell r="P1623" t="str">
            <v>VAN</v>
          </cell>
        </row>
        <row r="1624">
          <cell r="A1624">
            <v>3719</v>
          </cell>
          <cell r="B1624">
            <v>3719</v>
          </cell>
          <cell r="C1624" t="str">
            <v>CERO MATRICULA</v>
          </cell>
          <cell r="D1624" t="str">
            <v>ACTIVO</v>
          </cell>
          <cell r="E1624"/>
          <cell r="F1624" t="str">
            <v>Bustamante Romero Augusto javier</v>
          </cell>
          <cell r="G1624" t="str">
            <v xml:space="preserve">Victoria Coromoto salas Molina </v>
          </cell>
          <cell r="H1624" t="str">
            <v>007326886</v>
          </cell>
          <cell r="I1624" t="str">
            <v>BCP</v>
          </cell>
          <cell r="J1624" t="str">
            <v>19113212400058</v>
          </cell>
          <cell r="K1624" t="str">
            <v>CE</v>
          </cell>
          <cell r="L1624">
            <v>15615251990</v>
          </cell>
          <cell r="M1624" t="str">
            <v>MEMBRESÍA URBANO</v>
          </cell>
          <cell r="N1624">
            <v>45330</v>
          </cell>
          <cell r="O1624">
            <v>280</v>
          </cell>
          <cell r="P1624" t="str">
            <v>COMFORT XL</v>
          </cell>
        </row>
        <row r="1625">
          <cell r="A1625">
            <v>3720</v>
          </cell>
          <cell r="B1625">
            <v>3720</v>
          </cell>
          <cell r="C1625" t="str">
            <v>CERO MATRICULA</v>
          </cell>
          <cell r="D1625" t="str">
            <v>ACTIVO</v>
          </cell>
          <cell r="E1625"/>
          <cell r="F1625" t="str">
            <v>SEGURA URDIALES JORGE FERNANDO</v>
          </cell>
          <cell r="G1625" t="str">
            <v>SEGURA URDIALES JORGE FERNANDO</v>
          </cell>
          <cell r="H1625" t="str">
            <v>80279476</v>
          </cell>
          <cell r="I1625" t="str">
            <v>BCP</v>
          </cell>
          <cell r="J1625" t="str">
            <v>19191752634026</v>
          </cell>
          <cell r="K1625" t="str">
            <v>DNI</v>
          </cell>
          <cell r="L1625">
            <v>10802794768</v>
          </cell>
          <cell r="M1625" t="str">
            <v>AEROLINEAS</v>
          </cell>
          <cell r="N1625">
            <v>45330</v>
          </cell>
          <cell r="O1625">
            <v>0</v>
          </cell>
          <cell r="P1625" t="str">
            <v>LITE</v>
          </cell>
        </row>
        <row r="1626">
          <cell r="A1626">
            <v>3721</v>
          </cell>
          <cell r="B1626">
            <v>3721</v>
          </cell>
          <cell r="C1626" t="str">
            <v>CERO MATRICULA</v>
          </cell>
          <cell r="D1626" t="str">
            <v>ACTIVO</v>
          </cell>
          <cell r="E1626" t="str">
            <v>CKQ214</v>
          </cell>
          <cell r="F1626" t="str">
            <v>Farro Padilla Giovanni Joseph</v>
          </cell>
          <cell r="G1626" t="str">
            <v>Farro Padilla Giovanni Joseph</v>
          </cell>
          <cell r="H1626">
            <v>40974509</v>
          </cell>
          <cell r="I1626" t="str">
            <v>INTERBANK</v>
          </cell>
          <cell r="J1626" t="str">
            <v>8983316815121</v>
          </cell>
          <cell r="K1626" t="str">
            <v>DNI</v>
          </cell>
          <cell r="L1626">
            <v>10409745097</v>
          </cell>
          <cell r="M1626" t="str">
            <v>AEROLINEAS</v>
          </cell>
          <cell r="N1626">
            <v>45337</v>
          </cell>
          <cell r="O1626">
            <v>0</v>
          </cell>
          <cell r="P1626" t="str">
            <v>LITE</v>
          </cell>
        </row>
        <row r="1627">
          <cell r="A1627">
            <v>3722</v>
          </cell>
          <cell r="B1627">
            <v>3722</v>
          </cell>
          <cell r="C1627" t="str">
            <v>CERO MATRICULA</v>
          </cell>
          <cell r="D1627" t="str">
            <v>ACTIVO</v>
          </cell>
          <cell r="E1627" t="str">
            <v>CJD114</v>
          </cell>
          <cell r="F1627" t="str">
            <v>Pinedo Miranda Fernando Kevin</v>
          </cell>
          <cell r="G1627" t="str">
            <v>Pinedo Miranda Fernando Kevin</v>
          </cell>
          <cell r="H1627">
            <v>75185510</v>
          </cell>
          <cell r="I1627" t="str">
            <v>BCP</v>
          </cell>
          <cell r="J1627" t="str">
            <v>19236679069062</v>
          </cell>
          <cell r="K1627" t="str">
            <v>DNI</v>
          </cell>
          <cell r="L1627">
            <v>10751855104</v>
          </cell>
          <cell r="M1627" t="str">
            <v>AEROLINEAS</v>
          </cell>
          <cell r="N1627">
            <v>45337</v>
          </cell>
          <cell r="O1627">
            <v>0</v>
          </cell>
          <cell r="P1627" t="str">
            <v>LITE</v>
          </cell>
        </row>
        <row r="1628">
          <cell r="A1628">
            <v>3723</v>
          </cell>
          <cell r="B1628">
            <v>3723</v>
          </cell>
          <cell r="C1628" t="str">
            <v>CERO MATRICULA</v>
          </cell>
          <cell r="D1628" t="str">
            <v>ACTIVO</v>
          </cell>
          <cell r="E1628" t="str">
            <v>Cfr574</v>
          </cell>
          <cell r="F1628" t="str">
            <v>Luperdi Tafur Carlos Josafat</v>
          </cell>
          <cell r="G1628" t="str">
            <v>Luperdi Tafur Carlos Josafat</v>
          </cell>
          <cell r="H1628">
            <v>70505510</v>
          </cell>
          <cell r="I1628" t="str">
            <v>BBVA</v>
          </cell>
          <cell r="J1628" t="str">
            <v>001108140230694440</v>
          </cell>
          <cell r="K1628" t="str">
            <v>DNI</v>
          </cell>
          <cell r="L1628">
            <v>10705055101</v>
          </cell>
          <cell r="M1628" t="str">
            <v>AEROLINEAS</v>
          </cell>
          <cell r="N1628">
            <v>45337</v>
          </cell>
          <cell r="O1628">
            <v>0</v>
          </cell>
          <cell r="P1628" t="str">
            <v>COMFORT</v>
          </cell>
        </row>
        <row r="1629">
          <cell r="A1629">
            <v>3800</v>
          </cell>
          <cell r="B1629">
            <v>3800</v>
          </cell>
          <cell r="C1629" t="str">
            <v>CERO MATRICULA</v>
          </cell>
          <cell r="D1629" t="str">
            <v>ACTIVO</v>
          </cell>
          <cell r="E1629" t="str">
            <v>Brq608</v>
          </cell>
          <cell r="F1629" t="str">
            <v xml:space="preserve">Licon Zapata Daniel Alejandro </v>
          </cell>
          <cell r="G1629" t="str">
            <v xml:space="preserve">Licon Zapata Daniel Alejandro </v>
          </cell>
          <cell r="H1629" t="str">
            <v>002885572</v>
          </cell>
          <cell r="I1629" t="str">
            <v>BCP</v>
          </cell>
          <cell r="J1629" t="str">
            <v>19498442808078</v>
          </cell>
          <cell r="K1629" t="str">
            <v>CE</v>
          </cell>
          <cell r="L1629">
            <v>15606156861</v>
          </cell>
          <cell r="M1629" t="str">
            <v>AEROLINEAS</v>
          </cell>
          <cell r="N1629">
            <v>45289</v>
          </cell>
          <cell r="O1629">
            <v>0</v>
          </cell>
          <cell r="P1629" t="str">
            <v>COMFORT XL</v>
          </cell>
        </row>
        <row r="1630">
          <cell r="A1630">
            <v>5002</v>
          </cell>
          <cell r="B1630">
            <v>5002</v>
          </cell>
          <cell r="C1630" t="str">
            <v>CERO MATRICULA</v>
          </cell>
          <cell r="D1630" t="str">
            <v>ACTIVO</v>
          </cell>
          <cell r="E1630" t="str">
            <v>ART184</v>
          </cell>
          <cell r="F1630" t="str">
            <v>GUTIERREZ NIÑO CARLOS ALBERTO</v>
          </cell>
          <cell r="G1630" t="str">
            <v>GUTIERREZ NIÑO CARLOS ALBERTO</v>
          </cell>
          <cell r="H1630" t="str">
            <v>42452255</v>
          </cell>
          <cell r="I1630" t="str">
            <v>BCP</v>
          </cell>
          <cell r="J1630" t="str">
            <v>194-96221995-0-32</v>
          </cell>
          <cell r="K1630" t="str">
            <v>DNI</v>
          </cell>
          <cell r="L1630">
            <v>10424522550</v>
          </cell>
          <cell r="M1630" t="str">
            <v>URBANO</v>
          </cell>
          <cell r="N1630">
            <v>44928</v>
          </cell>
          <cell r="O1630">
            <v>0</v>
          </cell>
          <cell r="P1630" t="str">
            <v>LITE</v>
          </cell>
        </row>
        <row r="1631">
          <cell r="A1631">
            <v>5013</v>
          </cell>
          <cell r="B1631">
            <v>5013</v>
          </cell>
          <cell r="C1631" t="str">
            <v>CERO MATRICULA</v>
          </cell>
          <cell r="D1631" t="str">
            <v>ACTIVO</v>
          </cell>
          <cell r="E1631" t="str">
            <v>BLG364</v>
          </cell>
          <cell r="F1631" t="str">
            <v>DAVILA GARCIA ANTONIO</v>
          </cell>
          <cell r="G1631" t="str">
            <v>DAVILA GARCIA CARLA JULISSA</v>
          </cell>
          <cell r="H1631" t="str">
            <v>48332401</v>
          </cell>
          <cell r="I1631" t="str">
            <v>INTERBANK</v>
          </cell>
          <cell r="J1631" t="str">
            <v>8983411063986</v>
          </cell>
          <cell r="K1631" t="str">
            <v>DNI</v>
          </cell>
          <cell r="L1631">
            <v>10483324010</v>
          </cell>
          <cell r="M1631" t="str">
            <v>URBANO</v>
          </cell>
          <cell r="N1631" t="str">
            <v>PENDIENTE</v>
          </cell>
          <cell r="O1631">
            <v>0</v>
          </cell>
          <cell r="P1631" t="str">
            <v>COMFORT</v>
          </cell>
        </row>
        <row r="1632">
          <cell r="A1632">
            <v>5023</v>
          </cell>
          <cell r="B1632">
            <v>5023</v>
          </cell>
          <cell r="C1632" t="str">
            <v>CERO MATRICULA</v>
          </cell>
          <cell r="D1632" t="str">
            <v>ACTIVO</v>
          </cell>
          <cell r="E1632" t="str">
            <v>BNA210</v>
          </cell>
          <cell r="F1632" t="str">
            <v>HUARIS BENDEZU SAUL</v>
          </cell>
          <cell r="G1632" t="str">
            <v>HUARIS BENDEZU SAUL</v>
          </cell>
          <cell r="H1632" t="str">
            <v>47726168</v>
          </cell>
          <cell r="I1632" t="str">
            <v>BCP</v>
          </cell>
          <cell r="J1632" t="str">
            <v>193-02991573-0-89</v>
          </cell>
          <cell r="K1632" t="str">
            <v>DNI</v>
          </cell>
          <cell r="L1632">
            <v>10477261685</v>
          </cell>
          <cell r="M1632" t="str">
            <v>MEMBRESÍA URBANO</v>
          </cell>
          <cell r="N1632" t="str">
            <v>PENDIENTE</v>
          </cell>
          <cell r="O1632">
            <v>280</v>
          </cell>
          <cell r="P1632" t="str">
            <v>LITE</v>
          </cell>
        </row>
        <row r="1633">
          <cell r="A1633">
            <v>5032</v>
          </cell>
          <cell r="B1633">
            <v>5032</v>
          </cell>
          <cell r="C1633" t="str">
            <v>CERO MATRICULA</v>
          </cell>
          <cell r="D1633" t="str">
            <v>ACTIVO</v>
          </cell>
          <cell r="E1633" t="str">
            <v>BLT440</v>
          </cell>
          <cell r="F1633" t="str">
            <v>GOMEZ GARAYAR ALFREDO</v>
          </cell>
          <cell r="G1633" t="str">
            <v>GOMEZ GARAYAR ALFREDO</v>
          </cell>
          <cell r="H1633" t="str">
            <v>40378255</v>
          </cell>
          <cell r="I1633" t="str">
            <v>BCP</v>
          </cell>
          <cell r="J1633" t="str">
            <v>19295811308097</v>
          </cell>
          <cell r="K1633" t="str">
            <v>DNI</v>
          </cell>
          <cell r="L1633">
            <v>10403782551</v>
          </cell>
          <cell r="M1633" t="str">
            <v>MEMBRESÍA URBANO</v>
          </cell>
          <cell r="N1633" t="str">
            <v>PENDIENTE</v>
          </cell>
          <cell r="O1633">
            <v>280</v>
          </cell>
          <cell r="P1633" t="str">
            <v>COMFORT</v>
          </cell>
        </row>
        <row r="1634">
          <cell r="A1634">
            <v>5059</v>
          </cell>
          <cell r="B1634">
            <v>9435</v>
          </cell>
          <cell r="C1634" t="str">
            <v>CERO MATRICULA</v>
          </cell>
          <cell r="D1634" t="str">
            <v>ACTIVO</v>
          </cell>
          <cell r="E1634" t="str">
            <v>ACE042</v>
          </cell>
          <cell r="F1634" t="str">
            <v>Tejada Valdera Miguel eloy</v>
          </cell>
          <cell r="G1634" t="str">
            <v>TEJADA VALDERA MIGUEL ELOY</v>
          </cell>
          <cell r="H1634" t="str">
            <v>41856800</v>
          </cell>
          <cell r="I1634" t="str">
            <v>BCP</v>
          </cell>
          <cell r="J1634" t="str">
            <v>19195623587079</v>
          </cell>
          <cell r="K1634" t="str">
            <v>DNI</v>
          </cell>
          <cell r="L1634">
            <v>10418568009</v>
          </cell>
          <cell r="M1634" t="str">
            <v>URBANO</v>
          </cell>
          <cell r="N1634">
            <v>45498.416666666664</v>
          </cell>
          <cell r="O1634">
            <v>0</v>
          </cell>
          <cell r="P1634" t="str">
            <v>COMFORT</v>
          </cell>
        </row>
        <row r="1635">
          <cell r="A1635">
            <v>5062</v>
          </cell>
          <cell r="B1635">
            <v>5062</v>
          </cell>
          <cell r="C1635" t="str">
            <v>CERO MATRICULA</v>
          </cell>
          <cell r="D1635" t="str">
            <v>ACTIVO</v>
          </cell>
          <cell r="E1635" t="str">
            <v>BKP517</v>
          </cell>
          <cell r="F1635" t="str">
            <v xml:space="preserve">PEÑA DELGADO DAVID FROYLAN </v>
          </cell>
          <cell r="G1635" t="str">
            <v xml:space="preserve">PEÑA DELGADO DAVID FROYLAN </v>
          </cell>
          <cell r="H1635" t="str">
            <v>06541808</v>
          </cell>
          <cell r="I1635" t="str">
            <v>BANBIF</v>
          </cell>
          <cell r="J1635" t="str">
            <v>038-51110801968576629</v>
          </cell>
          <cell r="K1635" t="str">
            <v>DNI</v>
          </cell>
          <cell r="L1635">
            <v>10065418083</v>
          </cell>
          <cell r="M1635" t="str">
            <v>URBANO</v>
          </cell>
          <cell r="N1635" t="str">
            <v>PENDIENTE</v>
          </cell>
          <cell r="O1635">
            <v>0</v>
          </cell>
          <cell r="P1635" t="str">
            <v>COMFORT XL</v>
          </cell>
        </row>
        <row r="1636">
          <cell r="A1636">
            <v>5093</v>
          </cell>
          <cell r="B1636">
            <v>5093</v>
          </cell>
          <cell r="C1636" t="str">
            <v>CERO MATRICULA</v>
          </cell>
          <cell r="D1636" t="str">
            <v>ACTIVO</v>
          </cell>
          <cell r="E1636" t="str">
            <v>ASH556</v>
          </cell>
          <cell r="F1636" t="str">
            <v>HUATUCO RAMOS LEAO HUMBERTO</v>
          </cell>
          <cell r="G1636" t="str">
            <v>HUATUCO RAMOS LEAO HUMBERTO</v>
          </cell>
          <cell r="H1636" t="str">
            <v>43319547</v>
          </cell>
          <cell r="I1636" t="str">
            <v>BCP</v>
          </cell>
          <cell r="J1636" t="str">
            <v>19398948278052</v>
          </cell>
          <cell r="K1636" t="str">
            <v>DNI</v>
          </cell>
          <cell r="L1636">
            <v>10433195472</v>
          </cell>
          <cell r="M1636" t="str">
            <v>URBANO</v>
          </cell>
          <cell r="N1636" t="str">
            <v>PENDIENTE</v>
          </cell>
          <cell r="O1636">
            <v>0</v>
          </cell>
          <cell r="P1636" t="str">
            <v>LITE</v>
          </cell>
        </row>
        <row r="1637">
          <cell r="A1637">
            <v>5096</v>
          </cell>
          <cell r="B1637">
            <v>5096</v>
          </cell>
          <cell r="C1637" t="str">
            <v>CERO MATRICULA</v>
          </cell>
          <cell r="D1637" t="str">
            <v>ACTIVO</v>
          </cell>
          <cell r="E1637" t="str">
            <v>BPP687</v>
          </cell>
          <cell r="F1637" t="str">
            <v>ORTEGA PERLECHE RICARDO MAX</v>
          </cell>
          <cell r="G1637" t="str">
            <v>GONZALES PEREZ ELIZABETH BEATRIZ</v>
          </cell>
          <cell r="H1637" t="str">
            <v>10074476</v>
          </cell>
          <cell r="I1637" t="str">
            <v>SCOTIABANK</v>
          </cell>
          <cell r="J1637" t="str">
            <v>0820201424</v>
          </cell>
          <cell r="K1637" t="str">
            <v>DNI</v>
          </cell>
          <cell r="L1637">
            <v>10100744762</v>
          </cell>
          <cell r="M1637" t="str">
            <v>URBANO</v>
          </cell>
          <cell r="N1637">
            <v>44774</v>
          </cell>
          <cell r="O1637">
            <v>0</v>
          </cell>
          <cell r="P1637" t="str">
            <v>COMFORT XL</v>
          </cell>
        </row>
        <row r="1638">
          <cell r="A1638">
            <v>5115</v>
          </cell>
          <cell r="B1638">
            <v>5115</v>
          </cell>
          <cell r="C1638" t="str">
            <v>CERO MATRICULA</v>
          </cell>
          <cell r="D1638" t="str">
            <v>ACTIVO</v>
          </cell>
          <cell r="E1638" t="str">
            <v>BSC664</v>
          </cell>
          <cell r="F1638" t="str">
            <v>URBINA REGALADO GEORGE AUGUSTO</v>
          </cell>
          <cell r="G1638" t="str">
            <v>URBINA REGALADO GEORGE AUGUSTO</v>
          </cell>
          <cell r="H1638" t="str">
            <v>003210158</v>
          </cell>
          <cell r="I1638" t="str">
            <v>BBVA</v>
          </cell>
          <cell r="J1638" t="str">
            <v>0011-0876-0200155711</v>
          </cell>
          <cell r="K1638" t="str">
            <v>CE</v>
          </cell>
          <cell r="L1638">
            <v>15607009705</v>
          </cell>
          <cell r="M1638" t="str">
            <v>URBANO PARTNER</v>
          </cell>
          <cell r="N1638">
            <v>44949</v>
          </cell>
          <cell r="O1638">
            <v>0</v>
          </cell>
          <cell r="P1638" t="str">
            <v>LITE</v>
          </cell>
        </row>
        <row r="1639">
          <cell r="A1639">
            <v>5116</v>
          </cell>
          <cell r="B1639">
            <v>5116</v>
          </cell>
          <cell r="C1639" t="str">
            <v>CERO MATRICULA</v>
          </cell>
          <cell r="D1639" t="str">
            <v>ACTIVO</v>
          </cell>
          <cell r="E1639" t="str">
            <v>BRW217</v>
          </cell>
          <cell r="F1639" t="str">
            <v>CARRILLO CHACON ELIZABETH</v>
          </cell>
          <cell r="G1639" t="str">
            <v>CARRILLO CHACON ELIZABETH</v>
          </cell>
          <cell r="H1639" t="str">
            <v>002431032</v>
          </cell>
          <cell r="I1639" t="str">
            <v>BCP</v>
          </cell>
          <cell r="J1639" t="str">
            <v>192-90335605-0-84</v>
          </cell>
          <cell r="K1639" t="str">
            <v>CE</v>
          </cell>
          <cell r="L1639">
            <v>15603451217</v>
          </cell>
          <cell r="M1639" t="str">
            <v>URBANO</v>
          </cell>
          <cell r="N1639" t="str">
            <v>PENDIENTE</v>
          </cell>
          <cell r="O1639">
            <v>0</v>
          </cell>
          <cell r="P1639" t="str">
            <v>XL</v>
          </cell>
        </row>
        <row r="1640">
          <cell r="A1640">
            <v>5129</v>
          </cell>
          <cell r="B1640">
            <v>5129</v>
          </cell>
          <cell r="C1640" t="str">
            <v>CERO MATRICULA</v>
          </cell>
          <cell r="D1640" t="str">
            <v>ACTIVO</v>
          </cell>
          <cell r="E1640" t="str">
            <v>BNN683</v>
          </cell>
          <cell r="F1640" t="str">
            <v>PRADO CARDENAS WALTER</v>
          </cell>
          <cell r="G1640" t="str">
            <v>PRADO VALDERRAMA MARIA AURORA</v>
          </cell>
          <cell r="H1640" t="str">
            <v>71198913</v>
          </cell>
          <cell r="I1640" t="str">
            <v>BCP</v>
          </cell>
          <cell r="J1640" t="str">
            <v>192-37590401-0-01</v>
          </cell>
          <cell r="K1640" t="str">
            <v>DNI</v>
          </cell>
          <cell r="L1640">
            <v>10711989132</v>
          </cell>
          <cell r="M1640" t="str">
            <v>URBANO</v>
          </cell>
          <cell r="N1640" t="str">
            <v>PENDIENTE</v>
          </cell>
          <cell r="O1640">
            <v>0</v>
          </cell>
          <cell r="P1640" t="str">
            <v>COMFORT XL</v>
          </cell>
        </row>
        <row r="1641">
          <cell r="A1641">
            <v>5130</v>
          </cell>
          <cell r="B1641">
            <v>5130</v>
          </cell>
          <cell r="C1641" t="str">
            <v>CERO MATRICULA</v>
          </cell>
          <cell r="D1641" t="str">
            <v>ACTIVO</v>
          </cell>
          <cell r="E1641" t="str">
            <v>BEX391</v>
          </cell>
          <cell r="F1641" t="str">
            <v>DIAZ MUNDACA EINER</v>
          </cell>
          <cell r="G1641" t="str">
            <v>DIAZ MUNDACA EINER</v>
          </cell>
          <cell r="H1641" t="str">
            <v>44618500</v>
          </cell>
          <cell r="I1641" t="str">
            <v>BCP</v>
          </cell>
          <cell r="J1641" t="str">
            <v>191-98014074-0-13</v>
          </cell>
          <cell r="K1641" t="str">
            <v>DNI</v>
          </cell>
          <cell r="L1641">
            <v>10446185000</v>
          </cell>
          <cell r="M1641" t="str">
            <v>URBANO</v>
          </cell>
          <cell r="N1641" t="str">
            <v>PENDIENTE</v>
          </cell>
          <cell r="O1641">
            <v>0</v>
          </cell>
          <cell r="P1641" t="str">
            <v>COMFORT XL</v>
          </cell>
        </row>
        <row r="1642">
          <cell r="A1642">
            <v>5134</v>
          </cell>
          <cell r="B1642">
            <v>5134</v>
          </cell>
          <cell r="C1642" t="str">
            <v>CERO MATRICULA</v>
          </cell>
          <cell r="D1642" t="str">
            <v>ACTIVO</v>
          </cell>
          <cell r="E1642" t="str">
            <v>F6R633</v>
          </cell>
          <cell r="F1642" t="str">
            <v>ROQUE ORE DENIS JESUS</v>
          </cell>
          <cell r="G1642" t="str">
            <v>ROQUE ORE DENIS JESUS</v>
          </cell>
          <cell r="H1642" t="str">
            <v>71225465</v>
          </cell>
          <cell r="I1642" t="str">
            <v>BCP</v>
          </cell>
          <cell r="J1642" t="str">
            <v>194-34333797-0-01</v>
          </cell>
          <cell r="K1642" t="str">
            <v>DNI</v>
          </cell>
          <cell r="L1642">
            <v>10712254659</v>
          </cell>
          <cell r="M1642" t="str">
            <v>URBANO</v>
          </cell>
          <cell r="N1642" t="str">
            <v>PENDIENTE</v>
          </cell>
          <cell r="O1642">
            <v>0</v>
          </cell>
          <cell r="P1642" t="str">
            <v>LITE</v>
          </cell>
        </row>
        <row r="1643">
          <cell r="A1643">
            <v>5137</v>
          </cell>
          <cell r="B1643">
            <v>5137</v>
          </cell>
          <cell r="C1643" t="str">
            <v>CERO MATRICULA</v>
          </cell>
          <cell r="D1643" t="str">
            <v>ACTIVO</v>
          </cell>
          <cell r="E1643" t="str">
            <v>BJK123</v>
          </cell>
          <cell r="F1643" t="str">
            <v>AURIS PIRCA FREDY EFRAIN</v>
          </cell>
          <cell r="G1643" t="str">
            <v>AURIS PIRCA FREDY EFRAIN</v>
          </cell>
          <cell r="H1643" t="str">
            <v>10204476</v>
          </cell>
          <cell r="I1643" t="str">
            <v>BCP</v>
          </cell>
          <cell r="J1643" t="str">
            <v>191-90281956-0-93</v>
          </cell>
          <cell r="K1643" t="str">
            <v>DNI</v>
          </cell>
          <cell r="L1643">
            <v>10102044768</v>
          </cell>
          <cell r="M1643" t="str">
            <v>URBANO</v>
          </cell>
          <cell r="N1643" t="str">
            <v>PENDIENTE</v>
          </cell>
          <cell r="O1643">
            <v>0</v>
          </cell>
          <cell r="P1643" t="str">
            <v>LITE</v>
          </cell>
        </row>
        <row r="1644">
          <cell r="A1644">
            <v>5141</v>
          </cell>
          <cell r="B1644">
            <v>5141</v>
          </cell>
          <cell r="C1644" t="str">
            <v>CERO MATRICULA</v>
          </cell>
          <cell r="D1644" t="str">
            <v>ACTIVO</v>
          </cell>
          <cell r="E1644" t="str">
            <v>BNC184</v>
          </cell>
          <cell r="F1644" t="str">
            <v>SALAZAR CHIRINOS JESUS ANTONIO</v>
          </cell>
          <cell r="G1644" t="str">
            <v>SALAZAR CHIRINOS JESUS ANTONIO</v>
          </cell>
          <cell r="H1644" t="str">
            <v>002386310</v>
          </cell>
          <cell r="I1644" t="str">
            <v>BCP</v>
          </cell>
          <cell r="J1644" t="str">
            <v>194-39667362-0-40</v>
          </cell>
          <cell r="K1644" t="str">
            <v>CE</v>
          </cell>
          <cell r="L1644">
            <v>15603623999</v>
          </cell>
          <cell r="M1644" t="str">
            <v>URBANO</v>
          </cell>
          <cell r="N1644" t="str">
            <v>PENDIENTE</v>
          </cell>
          <cell r="O1644">
            <v>0</v>
          </cell>
          <cell r="P1644" t="str">
            <v>LITE</v>
          </cell>
        </row>
        <row r="1645">
          <cell r="A1645">
            <v>5142</v>
          </cell>
          <cell r="B1645">
            <v>5142</v>
          </cell>
          <cell r="C1645" t="str">
            <v>CERO MATRICULA</v>
          </cell>
          <cell r="D1645" t="str">
            <v>ACTIVO</v>
          </cell>
          <cell r="E1645" t="str">
            <v>BBG585</v>
          </cell>
          <cell r="F1645" t="str">
            <v>MARQUEZ PEREZ AGUSTIN</v>
          </cell>
          <cell r="G1645" t="str">
            <v>MARQUEZ PEREZ AGUSTIN</v>
          </cell>
          <cell r="H1645" t="str">
            <v>43160185</v>
          </cell>
          <cell r="I1645" t="str">
            <v>BCP</v>
          </cell>
          <cell r="J1645" t="str">
            <v>194-40089194-0-33</v>
          </cell>
          <cell r="K1645" t="str">
            <v>DNI</v>
          </cell>
          <cell r="L1645">
            <v>10431601856</v>
          </cell>
          <cell r="M1645" t="str">
            <v>URBANO</v>
          </cell>
          <cell r="N1645" t="str">
            <v>PENDIENTE</v>
          </cell>
          <cell r="O1645">
            <v>0</v>
          </cell>
          <cell r="P1645" t="str">
            <v>XL</v>
          </cell>
        </row>
        <row r="1646">
          <cell r="A1646">
            <v>5144</v>
          </cell>
          <cell r="B1646">
            <v>5144</v>
          </cell>
          <cell r="C1646" t="str">
            <v>CERO MATRICULA</v>
          </cell>
          <cell r="D1646" t="str">
            <v>ACTIVO</v>
          </cell>
          <cell r="E1646" t="str">
            <v>ATP065</v>
          </cell>
          <cell r="F1646" t="str">
            <v>QUISPE CIRIACO ADAN MINYER</v>
          </cell>
          <cell r="G1646" t="str">
            <v>QUISPE CIRIACO ADAN MINYER</v>
          </cell>
          <cell r="H1646" t="str">
            <v>48230630</v>
          </cell>
          <cell r="I1646" t="str">
            <v>BCP</v>
          </cell>
          <cell r="J1646" t="str">
            <v>193-99955031-0-75</v>
          </cell>
          <cell r="K1646" t="str">
            <v>DNI</v>
          </cell>
          <cell r="L1646">
            <v>10482306301</v>
          </cell>
          <cell r="M1646" t="str">
            <v>URBANO</v>
          </cell>
          <cell r="N1646" t="str">
            <v>PENDIENTE</v>
          </cell>
          <cell r="O1646">
            <v>0</v>
          </cell>
          <cell r="P1646" t="str">
            <v>COMFORT</v>
          </cell>
        </row>
        <row r="1647">
          <cell r="A1647">
            <v>5146</v>
          </cell>
          <cell r="B1647">
            <v>5146</v>
          </cell>
          <cell r="C1647" t="str">
            <v>CERO MATRICULA</v>
          </cell>
          <cell r="D1647" t="str">
            <v>ACTIVO</v>
          </cell>
          <cell r="E1647" t="str">
            <v>BNM579</v>
          </cell>
          <cell r="F1647" t="str">
            <v>GUTIERREZ  JOSE FELIPE</v>
          </cell>
          <cell r="G1647" t="str">
            <v>GUTIERREZ JOSE FELIPE</v>
          </cell>
          <cell r="H1647" t="str">
            <v>002592690</v>
          </cell>
          <cell r="I1647" t="str">
            <v>BCP</v>
          </cell>
          <cell r="J1647" t="str">
            <v>191-94925835-0-79</v>
          </cell>
          <cell r="K1647" t="str">
            <v>CE</v>
          </cell>
          <cell r="L1647">
            <v>15603049966</v>
          </cell>
          <cell r="M1647" t="str">
            <v>URBANO</v>
          </cell>
          <cell r="N1647" t="str">
            <v>PENDIENTE</v>
          </cell>
          <cell r="O1647">
            <v>0</v>
          </cell>
          <cell r="P1647" t="str">
            <v>COMFORT</v>
          </cell>
        </row>
        <row r="1648">
          <cell r="A1648">
            <v>5162</v>
          </cell>
          <cell r="B1648">
            <v>5162</v>
          </cell>
          <cell r="C1648" t="str">
            <v>CERO MATRICULA</v>
          </cell>
          <cell r="D1648" t="str">
            <v>ACTIVO</v>
          </cell>
          <cell r="E1648" t="str">
            <v>AXC501</v>
          </cell>
          <cell r="F1648" t="str">
            <v>MALLQUI BAYLON VICTOR RAUL</v>
          </cell>
          <cell r="G1648" t="str">
            <v>MALLQUI BAYLON VICTOR RAUL</v>
          </cell>
          <cell r="H1648" t="str">
            <v>45168287</v>
          </cell>
          <cell r="I1648" t="str">
            <v>BBVA</v>
          </cell>
          <cell r="J1648" t="str">
            <v>001108140280801726</v>
          </cell>
          <cell r="K1648" t="str">
            <v>DNI</v>
          </cell>
          <cell r="L1648">
            <v>10451682879</v>
          </cell>
          <cell r="M1648" t="str">
            <v>AEROLINEAS</v>
          </cell>
          <cell r="N1648" t="str">
            <v>PENDIENTE</v>
          </cell>
          <cell r="O1648">
            <v>0</v>
          </cell>
          <cell r="P1648" t="str">
            <v>COMFORT</v>
          </cell>
        </row>
        <row r="1649">
          <cell r="A1649">
            <v>5164</v>
          </cell>
          <cell r="B1649">
            <v>5164</v>
          </cell>
          <cell r="C1649" t="str">
            <v>CERO MATRICULA</v>
          </cell>
          <cell r="D1649" t="str">
            <v>ACTIVO</v>
          </cell>
          <cell r="E1649" t="str">
            <v>BST360</v>
          </cell>
          <cell r="F1649" t="str">
            <v>FONTANA LEON CARLOS JOSE</v>
          </cell>
          <cell r="G1649" t="str">
            <v>GONZALES FERNANDEZ MAYLIN LISBETH</v>
          </cell>
          <cell r="H1649" t="str">
            <v>002930938</v>
          </cell>
          <cell r="I1649" t="str">
            <v>BCP</v>
          </cell>
          <cell r="J1649" t="str">
            <v>191-90632805-0-86</v>
          </cell>
          <cell r="K1649" t="str">
            <v>CE</v>
          </cell>
          <cell r="L1649">
            <v>15606412514</v>
          </cell>
          <cell r="M1649" t="str">
            <v>URBANO</v>
          </cell>
          <cell r="N1649">
            <v>45124</v>
          </cell>
          <cell r="O1649">
            <v>0</v>
          </cell>
          <cell r="P1649" t="str">
            <v>LITE</v>
          </cell>
        </row>
        <row r="1650">
          <cell r="A1650">
            <v>7015</v>
          </cell>
          <cell r="B1650">
            <v>7015</v>
          </cell>
          <cell r="C1650" t="str">
            <v>CERO MATRICULA</v>
          </cell>
          <cell r="D1650" t="str">
            <v>ACTIVO</v>
          </cell>
          <cell r="E1650">
            <v>0</v>
          </cell>
          <cell r="F1650" t="str">
            <v>LLAUCE DAMIAN SEGUNDO ANTONIO</v>
          </cell>
          <cell r="G1650" t="str">
            <v>LLAUCE DAMIAN SEGUNDO ANTONIO</v>
          </cell>
          <cell r="H1650" t="str">
            <v>17621533</v>
          </cell>
          <cell r="I1650" t="str">
            <v>BCP</v>
          </cell>
          <cell r="J1650" t="str">
            <v>193-04496468085</v>
          </cell>
          <cell r="K1650" t="str">
            <v>DNI</v>
          </cell>
          <cell r="L1650">
            <v>10176215335</v>
          </cell>
          <cell r="M1650" t="str">
            <v>URBANO PARTNER</v>
          </cell>
          <cell r="N1650">
            <v>45362</v>
          </cell>
          <cell r="O1650">
            <v>0</v>
          </cell>
          <cell r="P1650" t="str">
            <v>COMFORT</v>
          </cell>
        </row>
        <row r="1651">
          <cell r="A1651">
            <v>7016</v>
          </cell>
          <cell r="B1651">
            <v>7016</v>
          </cell>
          <cell r="C1651" t="str">
            <v>CERO MATRICULA</v>
          </cell>
          <cell r="D1651" t="str">
            <v>ACTIVO</v>
          </cell>
          <cell r="E1651">
            <v>0</v>
          </cell>
          <cell r="F1651" t="str">
            <v>TAFUR TADEO RODOLFO REYNALDO</v>
          </cell>
          <cell r="G1651" t="str">
            <v>TAFUR TADEO RODOLFO REYNALDO</v>
          </cell>
          <cell r="H1651">
            <v>41218554</v>
          </cell>
          <cell r="I1651" t="str">
            <v>BCP</v>
          </cell>
          <cell r="J1651">
            <v>19335337477019</v>
          </cell>
          <cell r="K1651" t="str">
            <v>DNI</v>
          </cell>
          <cell r="L1651">
            <v>10412185540</v>
          </cell>
          <cell r="M1651" t="str">
            <v>URBANO</v>
          </cell>
          <cell r="N1651">
            <v>45236</v>
          </cell>
          <cell r="O1651">
            <v>0</v>
          </cell>
          <cell r="P1651" t="str">
            <v>LITE</v>
          </cell>
        </row>
        <row r="1652">
          <cell r="A1652">
            <v>7027</v>
          </cell>
          <cell r="B1652">
            <v>7027</v>
          </cell>
          <cell r="C1652" t="str">
            <v>CERO MATRICULA</v>
          </cell>
          <cell r="D1652" t="str">
            <v>ACTIVO</v>
          </cell>
          <cell r="E1652" t="str">
            <v>F7Z009</v>
          </cell>
          <cell r="F1652" t="str">
            <v>TERRONES QUISPE JHONN ROBERT</v>
          </cell>
          <cell r="G1652" t="str">
            <v>TERRONES QUISPE JHONN ROBERT</v>
          </cell>
          <cell r="H1652" t="str">
            <v>41551896</v>
          </cell>
          <cell r="I1652" t="str">
            <v>BCP</v>
          </cell>
          <cell r="J1652" t="str">
            <v>193-30713843-0-82</v>
          </cell>
          <cell r="K1652" t="str">
            <v>DNI</v>
          </cell>
          <cell r="L1652">
            <v>10415518965</v>
          </cell>
          <cell r="M1652" t="str">
            <v>URBANO</v>
          </cell>
          <cell r="N1652">
            <v>45061</v>
          </cell>
          <cell r="O1652">
            <v>0</v>
          </cell>
          <cell r="P1652" t="str">
            <v>COMFORT</v>
          </cell>
        </row>
        <row r="1653">
          <cell r="A1653">
            <v>7028</v>
          </cell>
          <cell r="B1653">
            <v>7028</v>
          </cell>
          <cell r="C1653" t="str">
            <v>CERO MATRICULA</v>
          </cell>
          <cell r="D1653" t="str">
            <v>ACTIVO</v>
          </cell>
          <cell r="E1653">
            <v>0</v>
          </cell>
          <cell r="F1653" t="str">
            <v>JAVIER HUARI SAMUEL</v>
          </cell>
          <cell r="G1653" t="str">
            <v>JAVIER HUARI SAMUEL ROBERTO</v>
          </cell>
          <cell r="H1653" t="str">
            <v>15215807</v>
          </cell>
          <cell r="I1653" t="str">
            <v>BCP</v>
          </cell>
          <cell r="J1653" t="str">
            <v>194-29729955-0-55</v>
          </cell>
          <cell r="K1653" t="str">
            <v>DNI</v>
          </cell>
          <cell r="L1653">
            <v>10152158071</v>
          </cell>
          <cell r="M1653" t="str">
            <v>AEROPUERTO</v>
          </cell>
          <cell r="N1653">
            <v>45159</v>
          </cell>
          <cell r="O1653">
            <v>240</v>
          </cell>
          <cell r="P1653" t="str">
            <v>XL</v>
          </cell>
        </row>
        <row r="1654">
          <cell r="A1654">
            <v>7065</v>
          </cell>
          <cell r="B1654">
            <v>7065</v>
          </cell>
          <cell r="C1654" t="str">
            <v>CERO MATRICULA</v>
          </cell>
          <cell r="D1654" t="str">
            <v>ACTIVO</v>
          </cell>
          <cell r="E1654" t="str">
            <v>AMF659</v>
          </cell>
          <cell r="F1654" t="str">
            <v>ALCANTARA  CARRION  JEFFERSON DEIVID</v>
          </cell>
          <cell r="G1654" t="str">
            <v>ALCANTARA  CARRION  JEFFERSON DEIVID</v>
          </cell>
          <cell r="H1654" t="str">
            <v>74103906</v>
          </cell>
          <cell r="I1654" t="str">
            <v>INTERBANK</v>
          </cell>
          <cell r="J1654" t="str">
            <v>8983378945285</v>
          </cell>
          <cell r="K1654" t="str">
            <v>DNI</v>
          </cell>
          <cell r="L1654">
            <v>10741039066</v>
          </cell>
          <cell r="M1654" t="str">
            <v>MEMBRESÍA URBANO</v>
          </cell>
          <cell r="N1654">
            <v>45239</v>
          </cell>
          <cell r="O1654">
            <v>280</v>
          </cell>
          <cell r="P1654" t="str">
            <v>LITE</v>
          </cell>
        </row>
        <row r="1655">
          <cell r="A1655">
            <v>7088</v>
          </cell>
          <cell r="B1655">
            <v>7088</v>
          </cell>
          <cell r="C1655" t="str">
            <v>CERO MATRICULA</v>
          </cell>
          <cell r="D1655" t="str">
            <v>ACTIVO</v>
          </cell>
          <cell r="E1655" t="str">
            <v>BKV445</v>
          </cell>
          <cell r="F1655" t="str">
            <v>ARANGUREN  JESUS ARGENIS</v>
          </cell>
          <cell r="G1655" t="str">
            <v>ARANGUREN  JESUS ARGENIS</v>
          </cell>
          <cell r="H1655" t="str">
            <v>002116770</v>
          </cell>
          <cell r="I1655" t="str">
            <v>SCOTIABANK</v>
          </cell>
          <cell r="J1655" t="str">
            <v>038-8420887</v>
          </cell>
          <cell r="K1655" t="str">
            <v>CPP</v>
          </cell>
          <cell r="L1655">
            <v>15610291811</v>
          </cell>
          <cell r="M1655" t="str">
            <v>URBANO</v>
          </cell>
          <cell r="N1655">
            <v>44895</v>
          </cell>
          <cell r="O1655">
            <v>0</v>
          </cell>
          <cell r="P1655" t="str">
            <v>XL</v>
          </cell>
        </row>
        <row r="1656">
          <cell r="A1656">
            <v>7102</v>
          </cell>
          <cell r="B1656">
            <v>7102</v>
          </cell>
          <cell r="C1656" t="str">
            <v>CERO MATRICULA</v>
          </cell>
          <cell r="D1656" t="str">
            <v>ACTIVO</v>
          </cell>
          <cell r="E1656" t="str">
            <v>BTB362</v>
          </cell>
          <cell r="F1656" t="str">
            <v>DE LA CRUZ CONDORI FREDERIC EDINSON</v>
          </cell>
          <cell r="G1656" t="str">
            <v>DE LA CRUZ CONDORI FREDERIC EDINSON</v>
          </cell>
          <cell r="H1656" t="str">
            <v>42592006</v>
          </cell>
          <cell r="I1656" t="str">
            <v>BCP</v>
          </cell>
          <cell r="J1656" t="str">
            <v>191-20174978-0-64</v>
          </cell>
          <cell r="K1656" t="str">
            <v>DNI</v>
          </cell>
          <cell r="L1656">
            <v>10425920061</v>
          </cell>
          <cell r="M1656" t="str">
            <v>URBANO</v>
          </cell>
          <cell r="N1656">
            <v>44767</v>
          </cell>
          <cell r="O1656">
            <v>0</v>
          </cell>
          <cell r="P1656" t="str">
            <v>XL</v>
          </cell>
        </row>
        <row r="1657">
          <cell r="A1657">
            <v>7107</v>
          </cell>
          <cell r="B1657">
            <v>7107</v>
          </cell>
          <cell r="C1657" t="str">
            <v>CERO MATRICULA</v>
          </cell>
          <cell r="D1657" t="str">
            <v>ACTIVO</v>
          </cell>
          <cell r="E1657" t="str">
            <v>CCO287</v>
          </cell>
          <cell r="F1657" t="str">
            <v>PALOMINO LANDA CARLOS ENRIQUE</v>
          </cell>
          <cell r="G1657" t="str">
            <v>PALOMINO LANDA CARLOS ENRIQUE</v>
          </cell>
          <cell r="H1657" t="str">
            <v>76268345</v>
          </cell>
          <cell r="I1657" t="str">
            <v>BCP</v>
          </cell>
          <cell r="J1657" t="str">
            <v>191-75820152-0-10</v>
          </cell>
          <cell r="K1657" t="str">
            <v>DNI</v>
          </cell>
          <cell r="L1657">
            <v>10762683453</v>
          </cell>
          <cell r="M1657" t="str">
            <v>AEROLINEAS</v>
          </cell>
          <cell r="N1657">
            <v>44965</v>
          </cell>
          <cell r="O1657">
            <v>0</v>
          </cell>
          <cell r="P1657" t="str">
            <v>XL</v>
          </cell>
        </row>
        <row r="1658">
          <cell r="A1658">
            <v>7110</v>
          </cell>
          <cell r="B1658">
            <v>7110</v>
          </cell>
          <cell r="C1658" t="str">
            <v>CERO MATRICULA</v>
          </cell>
          <cell r="D1658" t="str">
            <v>ACTIVO</v>
          </cell>
          <cell r="E1658" t="str">
            <v>CDN520</v>
          </cell>
          <cell r="F1658" t="str">
            <v>PINTO JUSTINIANO LUIS FERNANDO</v>
          </cell>
          <cell r="G1658" t="str">
            <v>PINTO JUSTINIANO LUIS FERNANDO</v>
          </cell>
          <cell r="H1658" t="str">
            <v>004568196</v>
          </cell>
          <cell r="I1658" t="str">
            <v>BCP</v>
          </cell>
          <cell r="J1658" t="str">
            <v>192-0308-7725-0-13</v>
          </cell>
          <cell r="K1658" t="str">
            <v>CE</v>
          </cell>
          <cell r="L1658">
            <v>15608544680</v>
          </cell>
          <cell r="M1658" t="str">
            <v>AEROPUERTO</v>
          </cell>
          <cell r="N1658">
            <v>44974</v>
          </cell>
          <cell r="O1658">
            <v>265</v>
          </cell>
          <cell r="P1658" t="str">
            <v>LITE</v>
          </cell>
        </row>
        <row r="1659">
          <cell r="A1659">
            <v>7389</v>
          </cell>
          <cell r="B1659">
            <v>7389</v>
          </cell>
          <cell r="C1659" t="str">
            <v>CERO MATRICULA</v>
          </cell>
          <cell r="D1659" t="str">
            <v>ACTIVO</v>
          </cell>
          <cell r="E1659" t="str">
            <v>ANZ359</v>
          </cell>
          <cell r="F1659" t="str">
            <v>GUTIERREZ ROJAS CLAUDIO</v>
          </cell>
          <cell r="G1659" t="str">
            <v>GUTIERREZ ROJAS CLAUDIO</v>
          </cell>
          <cell r="H1659" t="str">
            <v>40644783</v>
          </cell>
          <cell r="I1659" t="str">
            <v>BCP</v>
          </cell>
          <cell r="J1659" t="str">
            <v>19425747736012</v>
          </cell>
          <cell r="K1659" t="str">
            <v>DNI</v>
          </cell>
          <cell r="L1659">
            <v>10406447834</v>
          </cell>
          <cell r="M1659" t="str">
            <v>URBANO</v>
          </cell>
          <cell r="N1659">
            <v>45428</v>
          </cell>
          <cell r="O1659">
            <v>0</v>
          </cell>
          <cell r="P1659" t="str">
            <v>COMFORT XL</v>
          </cell>
        </row>
        <row r="1660">
          <cell r="A1660">
            <v>7571</v>
          </cell>
          <cell r="B1660">
            <v>7571</v>
          </cell>
          <cell r="C1660" t="str">
            <v>CERO MATRICULA</v>
          </cell>
          <cell r="D1660" t="str">
            <v>ACTIVO</v>
          </cell>
          <cell r="E1660" t="str">
            <v>BNG168</v>
          </cell>
          <cell r="F1660" t="str">
            <v>BUENO PARRA ALLAN ALBERTO</v>
          </cell>
          <cell r="G1660" t="str">
            <v>BUENO PARRA ALLAN ALBERTO</v>
          </cell>
          <cell r="H1660" t="str">
            <v>002093616</v>
          </cell>
          <cell r="I1660" t="str">
            <v>INTERBANK</v>
          </cell>
          <cell r="J1660" t="str">
            <v>254-3155908387</v>
          </cell>
          <cell r="K1660" t="str">
            <v>CE</v>
          </cell>
          <cell r="L1660">
            <v>15605733627</v>
          </cell>
          <cell r="M1660" t="str">
            <v>URBANO PARTNER</v>
          </cell>
          <cell r="N1660">
            <v>44874</v>
          </cell>
          <cell r="O1660">
            <v>0</v>
          </cell>
          <cell r="P1660" t="str">
            <v>LITE</v>
          </cell>
        </row>
        <row r="1661">
          <cell r="A1661">
            <v>7594</v>
          </cell>
          <cell r="B1661">
            <v>7594</v>
          </cell>
          <cell r="C1661" t="str">
            <v>CERO MATRICULA</v>
          </cell>
          <cell r="D1661" t="str">
            <v>ACTIVO</v>
          </cell>
          <cell r="E1661" t="str">
            <v>BPB100</v>
          </cell>
          <cell r="F1661" t="str">
            <v>MARCATOMA ALACHE MARCO ANTONIO</v>
          </cell>
          <cell r="G1661" t="str">
            <v>MARCATOMA ALACHE MARCO ANTONIO</v>
          </cell>
          <cell r="H1661" t="str">
            <v>75606558</v>
          </cell>
          <cell r="I1661" t="str">
            <v>BCP</v>
          </cell>
          <cell r="J1661" t="str">
            <v>19195253097047</v>
          </cell>
          <cell r="K1661" t="str">
            <v>DNI</v>
          </cell>
          <cell r="L1661">
            <v>10756065586</v>
          </cell>
          <cell r="M1661" t="str">
            <v>URBANO</v>
          </cell>
          <cell r="N1661">
            <v>44862</v>
          </cell>
          <cell r="O1661">
            <v>0</v>
          </cell>
          <cell r="P1661" t="str">
            <v>XL</v>
          </cell>
        </row>
        <row r="1662">
          <cell r="A1662">
            <v>7595</v>
          </cell>
          <cell r="B1662">
            <v>7595</v>
          </cell>
          <cell r="C1662" t="str">
            <v>CERO MATRICULA</v>
          </cell>
          <cell r="D1662" t="str">
            <v>ACTIVO</v>
          </cell>
          <cell r="E1662" t="str">
            <v>BNT654</v>
          </cell>
          <cell r="F1662" t="str">
            <v>HERRERA MOGHAWECH DANIEL ENRIQUE</v>
          </cell>
          <cell r="G1662" t="str">
            <v>HERRERA MOGHAWECH DANIEL ENRIQUE</v>
          </cell>
          <cell r="H1662" t="str">
            <v>49077543</v>
          </cell>
          <cell r="I1662" t="str">
            <v>BCP</v>
          </cell>
          <cell r="J1662" t="str">
            <v>191-94750613088</v>
          </cell>
          <cell r="K1662" t="str">
            <v>PASAPORTE</v>
          </cell>
          <cell r="L1662">
            <v>15605472041</v>
          </cell>
          <cell r="M1662" t="str">
            <v>URBANO PARTNER</v>
          </cell>
          <cell r="N1662">
            <v>44760</v>
          </cell>
          <cell r="O1662">
            <v>0</v>
          </cell>
          <cell r="P1662" t="str">
            <v>LITE</v>
          </cell>
        </row>
        <row r="1663">
          <cell r="A1663">
            <v>7603</v>
          </cell>
          <cell r="B1663">
            <v>7603</v>
          </cell>
          <cell r="C1663" t="str">
            <v>CERO MATRICULA</v>
          </cell>
          <cell r="D1663" t="str">
            <v>ACTIVO</v>
          </cell>
          <cell r="E1663" t="str">
            <v>BFG619</v>
          </cell>
          <cell r="F1663" t="str">
            <v>MEDINA AZUAJE WALTER JESUS</v>
          </cell>
          <cell r="G1663" t="str">
            <v>MEDINA AZUAJE WALTER JESUS</v>
          </cell>
          <cell r="H1663" t="str">
            <v>005319885</v>
          </cell>
          <cell r="I1663" t="str">
            <v>INTERBANK</v>
          </cell>
          <cell r="J1663" t="str">
            <v>126-3315907612</v>
          </cell>
          <cell r="K1663" t="str">
            <v>CE</v>
          </cell>
          <cell r="L1663">
            <v>15605874611</v>
          </cell>
          <cell r="M1663" t="str">
            <v>URBANO</v>
          </cell>
          <cell r="N1663">
            <v>44872</v>
          </cell>
          <cell r="O1663">
            <v>0</v>
          </cell>
          <cell r="P1663" t="str">
            <v>COMFORT</v>
          </cell>
        </row>
        <row r="1664">
          <cell r="A1664">
            <v>7620</v>
          </cell>
          <cell r="B1664">
            <v>7620</v>
          </cell>
          <cell r="C1664" t="str">
            <v>CERO MATRICULA</v>
          </cell>
          <cell r="D1664" t="str">
            <v>ACTIVO</v>
          </cell>
          <cell r="E1664">
            <v>0</v>
          </cell>
          <cell r="F1664" t="str">
            <v>CASTILLO LOZANO JUAN FRANCISCO</v>
          </cell>
          <cell r="G1664" t="str">
            <v>CASTILLO LOZANO JUAN FRANCISCO</v>
          </cell>
          <cell r="H1664" t="str">
            <v>002189301</v>
          </cell>
          <cell r="I1664" t="str">
            <v>BBVA</v>
          </cell>
          <cell r="J1664" t="str">
            <v>0011-0518-0200121135</v>
          </cell>
          <cell r="K1664" t="str">
            <v>CE</v>
          </cell>
          <cell r="L1664">
            <v>15603226639</v>
          </cell>
          <cell r="M1664" t="str">
            <v>URBANO PARTNER</v>
          </cell>
          <cell r="N1664" t="str">
            <v>PENDIENTE</v>
          </cell>
          <cell r="O1664">
            <v>0</v>
          </cell>
          <cell r="P1664" t="str">
            <v>LITE</v>
          </cell>
        </row>
        <row r="1665">
          <cell r="A1665">
            <v>8000</v>
          </cell>
          <cell r="B1665">
            <v>8000</v>
          </cell>
          <cell r="C1665" t="str">
            <v>CERO MATRICULA</v>
          </cell>
          <cell r="D1665" t="str">
            <v>ACTIVO</v>
          </cell>
          <cell r="E1665" t="str">
            <v>0679KB</v>
          </cell>
          <cell r="F1665" t="str">
            <v>ZUBIATE TAPULLIMA GEORGE ANDERSSON</v>
          </cell>
          <cell r="G1665" t="str">
            <v>ZUBIATE TAPULLIMA GEORGE ANDERSSON</v>
          </cell>
          <cell r="H1665" t="str">
            <v>75678596</v>
          </cell>
          <cell r="I1665" t="str">
            <v>BCP</v>
          </cell>
          <cell r="J1665" t="str">
            <v>194-96725613-0-37</v>
          </cell>
          <cell r="K1665" t="str">
            <v>DNI</v>
          </cell>
          <cell r="L1665">
            <v>10756785961</v>
          </cell>
          <cell r="M1665" t="str">
            <v>URBANO</v>
          </cell>
          <cell r="N1665">
            <v>44816</v>
          </cell>
          <cell r="O1665">
            <v>0</v>
          </cell>
          <cell r="P1665" t="str">
            <v>MOTO</v>
          </cell>
        </row>
        <row r="1666">
          <cell r="A1666">
            <v>8003</v>
          </cell>
          <cell r="B1666">
            <v>8003</v>
          </cell>
          <cell r="C1666" t="str">
            <v>CERO MATRICULA</v>
          </cell>
          <cell r="D1666" t="str">
            <v>ACTIVO</v>
          </cell>
          <cell r="E1666" t="str">
            <v>4015-AB</v>
          </cell>
          <cell r="F1666" t="str">
            <v>PEREZ YEPEZ BELKYS YAJAIRA</v>
          </cell>
          <cell r="G1666" t="str">
            <v>PEREZ YEPEZ BELKYS YAJAIRA</v>
          </cell>
          <cell r="H1666" t="str">
            <v>003420913</v>
          </cell>
          <cell r="I1666" t="str">
            <v>BBVA</v>
          </cell>
          <cell r="J1666" t="str">
            <v>0011-0284-0200816272</v>
          </cell>
          <cell r="K1666" t="str">
            <v>CE</v>
          </cell>
          <cell r="L1666">
            <v>15604200251</v>
          </cell>
          <cell r="M1666" t="str">
            <v>URBANO</v>
          </cell>
          <cell r="N1666">
            <v>44965</v>
          </cell>
          <cell r="O1666">
            <v>0</v>
          </cell>
          <cell r="P1666" t="str">
            <v>MOTO</v>
          </cell>
        </row>
        <row r="1667">
          <cell r="A1667">
            <v>8004</v>
          </cell>
          <cell r="B1667">
            <v>8004</v>
          </cell>
          <cell r="C1667" t="str">
            <v>CERO MATRICULA</v>
          </cell>
          <cell r="D1667" t="str">
            <v>ACTIVO</v>
          </cell>
          <cell r="E1667" t="str">
            <v>7499MB</v>
          </cell>
          <cell r="F1667" t="str">
            <v>TORRES  BERNAL BRUNO OMAR</v>
          </cell>
          <cell r="G1667" t="str">
            <v>TORRES  BERNAL BRUNO OMAR</v>
          </cell>
          <cell r="H1667" t="str">
            <v>10783230</v>
          </cell>
          <cell r="I1667" t="str">
            <v>BCP</v>
          </cell>
          <cell r="J1667" t="str">
            <v>191-92301600-0-38</v>
          </cell>
          <cell r="K1667" t="str">
            <v>DNI</v>
          </cell>
          <cell r="L1667">
            <v>10107832306</v>
          </cell>
          <cell r="M1667" t="str">
            <v>URBANO</v>
          </cell>
          <cell r="N1667">
            <v>44804</v>
          </cell>
          <cell r="O1667">
            <v>0</v>
          </cell>
          <cell r="P1667" t="str">
            <v>MOTO</v>
          </cell>
        </row>
        <row r="1668">
          <cell r="A1668">
            <v>8008</v>
          </cell>
          <cell r="B1668">
            <v>8008</v>
          </cell>
          <cell r="C1668" t="str">
            <v>CERO MATRICULA</v>
          </cell>
          <cell r="D1668" t="str">
            <v>ACTIVO</v>
          </cell>
          <cell r="E1668" t="str">
            <v>2444-SB</v>
          </cell>
          <cell r="F1668" t="str">
            <v>PARRA MIQUILENA ROBERT JESUS</v>
          </cell>
          <cell r="G1668" t="str">
            <v>PARRA MIQUILENA ROBERT JESUS</v>
          </cell>
          <cell r="H1668" t="str">
            <v>003303530</v>
          </cell>
          <cell r="I1668" t="str">
            <v>BCP</v>
          </cell>
          <cell r="J1668" t="str">
            <v>194-97941889-0-98</v>
          </cell>
          <cell r="K1668" t="str">
            <v>CE</v>
          </cell>
          <cell r="L1668">
            <v>15606935673</v>
          </cell>
          <cell r="M1668" t="str">
            <v>URBANO</v>
          </cell>
          <cell r="N1668">
            <v>44812</v>
          </cell>
          <cell r="O1668">
            <v>0</v>
          </cell>
          <cell r="P1668" t="str">
            <v>MOTO</v>
          </cell>
        </row>
        <row r="1669">
          <cell r="A1669">
            <v>8009</v>
          </cell>
          <cell r="B1669">
            <v>8009</v>
          </cell>
          <cell r="C1669" t="str">
            <v>CERO MATRICULA</v>
          </cell>
          <cell r="D1669" t="str">
            <v>ACTIVO</v>
          </cell>
          <cell r="E1669" t="str">
            <v>1286-1A</v>
          </cell>
          <cell r="F1669" t="str">
            <v>OLAZABAL LLANOS JUAN MARTIN</v>
          </cell>
          <cell r="G1669" t="str">
            <v>OLAZABAL LLANOS JUAN MARTIN</v>
          </cell>
          <cell r="H1669" t="str">
            <v>42978704</v>
          </cell>
          <cell r="I1669" t="str">
            <v>SCOTIABANK</v>
          </cell>
          <cell r="J1669">
            <v>8231783070</v>
          </cell>
          <cell r="K1669" t="str">
            <v>DNI</v>
          </cell>
          <cell r="L1669">
            <v>10429787047</v>
          </cell>
          <cell r="M1669" t="str">
            <v>URBANO</v>
          </cell>
          <cell r="N1669">
            <v>44839</v>
          </cell>
          <cell r="O1669">
            <v>0</v>
          </cell>
          <cell r="P1669" t="str">
            <v>MOTO</v>
          </cell>
        </row>
        <row r="1670">
          <cell r="A1670">
            <v>8011</v>
          </cell>
          <cell r="B1670">
            <v>8011</v>
          </cell>
          <cell r="C1670" t="str">
            <v>CERO MATRICULA</v>
          </cell>
          <cell r="D1670" t="str">
            <v>ACTIVO</v>
          </cell>
          <cell r="E1670" t="str">
            <v>5163PB</v>
          </cell>
          <cell r="F1670" t="str">
            <v>ALCALA DELFIN GUSTAVO ADOLFO</v>
          </cell>
          <cell r="G1670" t="str">
            <v>ALCALA DELFIN GUSTAVO ADOLFO</v>
          </cell>
          <cell r="H1670" t="str">
            <v>004363906</v>
          </cell>
          <cell r="I1670" t="str">
            <v>INTERBANK</v>
          </cell>
          <cell r="J1670" t="str">
            <v>270-3281264519</v>
          </cell>
          <cell r="K1670" t="str">
            <v>CE</v>
          </cell>
          <cell r="L1670">
            <v>15608473421</v>
          </cell>
          <cell r="M1670" t="str">
            <v>URBANO</v>
          </cell>
          <cell r="N1670">
            <v>44832</v>
          </cell>
          <cell r="O1670">
            <v>0</v>
          </cell>
          <cell r="P1670" t="str">
            <v>MOTO</v>
          </cell>
        </row>
        <row r="1671">
          <cell r="A1671">
            <v>8012</v>
          </cell>
          <cell r="B1671">
            <v>8012</v>
          </cell>
          <cell r="C1671" t="str">
            <v>CERO MATRICULA</v>
          </cell>
          <cell r="D1671" t="str">
            <v>ACTIVO</v>
          </cell>
          <cell r="E1671" t="str">
            <v>9379FB</v>
          </cell>
          <cell r="F1671" t="str">
            <v>FLORES MEDINA LEE YASMIN</v>
          </cell>
          <cell r="G1671" t="str">
            <v>FLORES MEDINA LEE YASMIN</v>
          </cell>
          <cell r="H1671" t="str">
            <v>45136219</v>
          </cell>
          <cell r="I1671" t="str">
            <v>SCOTIABANK</v>
          </cell>
          <cell r="J1671" t="str">
            <v>027-7821229</v>
          </cell>
          <cell r="K1671" t="str">
            <v>DNI</v>
          </cell>
          <cell r="L1671">
            <v>10451362190</v>
          </cell>
          <cell r="M1671" t="str">
            <v>URBANO</v>
          </cell>
          <cell r="N1671">
            <v>44833</v>
          </cell>
          <cell r="O1671">
            <v>0</v>
          </cell>
          <cell r="P1671" t="str">
            <v>MOTO</v>
          </cell>
        </row>
        <row r="1672">
          <cell r="A1672">
            <v>8104</v>
          </cell>
          <cell r="B1672">
            <v>8104</v>
          </cell>
          <cell r="C1672" t="str">
            <v>CERO MATRICULA</v>
          </cell>
          <cell r="D1672" t="str">
            <v>ACTIVO</v>
          </cell>
          <cell r="E1672" t="str">
            <v>4697-NA</v>
          </cell>
          <cell r="F1672" t="str">
            <v>MARTINEZ SALAZAR JORGE ANDRES</v>
          </cell>
          <cell r="G1672" t="str">
            <v>MARTINEZ SALAZAR JORGE ANDRES</v>
          </cell>
          <cell r="H1672" t="str">
            <v>002881478</v>
          </cell>
          <cell r="I1672" t="str">
            <v>BCP</v>
          </cell>
          <cell r="J1672" t="str">
            <v>19193078445029</v>
          </cell>
          <cell r="K1672" t="str">
            <v>CE</v>
          </cell>
          <cell r="L1672">
            <v>15604113404</v>
          </cell>
          <cell r="M1672" t="str">
            <v>URBANO</v>
          </cell>
          <cell r="N1672">
            <v>44522</v>
          </cell>
          <cell r="O1672">
            <v>0</v>
          </cell>
          <cell r="P1672" t="str">
            <v>MOTO</v>
          </cell>
        </row>
        <row r="1673">
          <cell r="A1673">
            <v>8105</v>
          </cell>
          <cell r="B1673">
            <v>8105</v>
          </cell>
          <cell r="C1673" t="str">
            <v>CERO MATRICULA</v>
          </cell>
          <cell r="D1673" t="str">
            <v>ACTIVO</v>
          </cell>
          <cell r="E1673" t="str">
            <v>1209-RB</v>
          </cell>
          <cell r="F1673" t="str">
            <v>CARVAJAL CABELLO JOSE ALBERTO</v>
          </cell>
          <cell r="G1673" t="str">
            <v>CARVAJAL CABELLO JOSE ALBERTO</v>
          </cell>
          <cell r="H1673" t="str">
            <v>003376063</v>
          </cell>
          <cell r="I1673" t="str">
            <v>BCP</v>
          </cell>
          <cell r="J1673" t="str">
            <v>19197553585072</v>
          </cell>
          <cell r="K1673" t="str">
            <v>CE</v>
          </cell>
          <cell r="L1673">
            <v>15604446381</v>
          </cell>
          <cell r="M1673" t="str">
            <v>URBANO</v>
          </cell>
          <cell r="N1673">
            <v>44592</v>
          </cell>
          <cell r="O1673">
            <v>0</v>
          </cell>
          <cell r="P1673" t="str">
            <v>MOTO</v>
          </cell>
        </row>
        <row r="1674">
          <cell r="A1674">
            <v>8107</v>
          </cell>
          <cell r="B1674">
            <v>8107</v>
          </cell>
          <cell r="C1674" t="str">
            <v>CERO MATRICULA</v>
          </cell>
          <cell r="D1674" t="str">
            <v>ACTIVO</v>
          </cell>
          <cell r="E1674" t="str">
            <v>8853-TB</v>
          </cell>
          <cell r="F1674" t="str">
            <v>DELGADO IZURRIETA BRIAN ULISES</v>
          </cell>
          <cell r="G1674" t="str">
            <v>DELGADO IZURRIETA BRIAN ULISES</v>
          </cell>
          <cell r="H1674" t="str">
            <v>73322729</v>
          </cell>
          <cell r="I1674" t="str">
            <v>BCP</v>
          </cell>
          <cell r="J1674" t="str">
            <v>19102151177005</v>
          </cell>
          <cell r="K1674" t="str">
            <v>DNI</v>
          </cell>
          <cell r="L1674">
            <v>10733227295</v>
          </cell>
          <cell r="M1674" t="str">
            <v>URBANO</v>
          </cell>
          <cell r="N1674">
            <v>44608</v>
          </cell>
          <cell r="O1674">
            <v>0</v>
          </cell>
          <cell r="P1674" t="str">
            <v>MOTO</v>
          </cell>
        </row>
        <row r="1675">
          <cell r="A1675">
            <v>8109</v>
          </cell>
          <cell r="B1675">
            <v>8109</v>
          </cell>
          <cell r="C1675" t="str">
            <v>CERO MATRICULA</v>
          </cell>
          <cell r="D1675" t="str">
            <v>ACTIVO</v>
          </cell>
          <cell r="E1675" t="str">
            <v>2139-CB</v>
          </cell>
          <cell r="F1675" t="str">
            <v>EVARISTO CHAVEZ ANHYER JESUS</v>
          </cell>
          <cell r="G1675" t="str">
            <v>EVARISTO CHAVEZ ANHYER JESUS</v>
          </cell>
          <cell r="H1675" t="str">
            <v>002258071</v>
          </cell>
          <cell r="I1675" t="str">
            <v>BCP</v>
          </cell>
          <cell r="J1675" t="str">
            <v>19300275418099</v>
          </cell>
          <cell r="K1675" t="str">
            <v>CE</v>
          </cell>
          <cell r="L1675">
            <v>15606682601</v>
          </cell>
          <cell r="M1675" t="str">
            <v>URBANO</v>
          </cell>
          <cell r="N1675">
            <v>44611</v>
          </cell>
          <cell r="O1675">
            <v>0</v>
          </cell>
          <cell r="P1675" t="str">
            <v>MOTO</v>
          </cell>
        </row>
        <row r="1676">
          <cell r="A1676">
            <v>8110</v>
          </cell>
          <cell r="B1676">
            <v>8110</v>
          </cell>
          <cell r="C1676" t="str">
            <v>CERO MATRICULA</v>
          </cell>
          <cell r="D1676" t="str">
            <v>ACTIVO</v>
          </cell>
          <cell r="E1676" t="str">
            <v>2089WA</v>
          </cell>
          <cell r="F1676" t="str">
            <v>BARRIOS AFANADOR MIGUEL ANGEL</v>
          </cell>
          <cell r="G1676" t="str">
            <v>BARRIOS AFANADOR MIGUEL ANGEL</v>
          </cell>
          <cell r="H1676" t="str">
            <v>004041368</v>
          </cell>
          <cell r="I1676" t="str">
            <v>INTERBANK</v>
          </cell>
          <cell r="J1676" t="str">
            <v>1083154534692</v>
          </cell>
          <cell r="K1676" t="str">
            <v>CE</v>
          </cell>
          <cell r="L1676">
            <v>15605227292</v>
          </cell>
          <cell r="M1676" t="str">
            <v>URBANO</v>
          </cell>
          <cell r="N1676">
            <v>44627</v>
          </cell>
          <cell r="O1676">
            <v>0</v>
          </cell>
          <cell r="P1676" t="str">
            <v>MOTO</v>
          </cell>
        </row>
        <row r="1677">
          <cell r="A1677">
            <v>8111</v>
          </cell>
          <cell r="B1677">
            <v>8111</v>
          </cell>
          <cell r="C1677" t="str">
            <v>CERO MATRICULA</v>
          </cell>
          <cell r="D1677" t="str">
            <v>ACTIVO</v>
          </cell>
          <cell r="E1677" t="str">
            <v>9208DA</v>
          </cell>
          <cell r="F1677" t="str">
            <v>GASCON ASCANIO TOMAS ALEJANDRO</v>
          </cell>
          <cell r="G1677" t="str">
            <v>GASCON ASCANIO TOMAS ALEJANDRO</v>
          </cell>
          <cell r="H1677" t="str">
            <v>004630948</v>
          </cell>
          <cell r="I1677" t="str">
            <v>BCP</v>
          </cell>
          <cell r="J1677" t="str">
            <v>19493716320047</v>
          </cell>
          <cell r="K1677" t="str">
            <v>CE</v>
          </cell>
          <cell r="L1677">
            <v>15607796693</v>
          </cell>
          <cell r="M1677" t="str">
            <v>URBANO</v>
          </cell>
          <cell r="N1677">
            <v>44711</v>
          </cell>
          <cell r="O1677">
            <v>0</v>
          </cell>
          <cell r="P1677" t="str">
            <v>MOTO</v>
          </cell>
        </row>
        <row r="1678">
          <cell r="A1678">
            <v>8112</v>
          </cell>
          <cell r="B1678">
            <v>8112</v>
          </cell>
          <cell r="C1678" t="str">
            <v>CERO MATRICULA</v>
          </cell>
          <cell r="D1678" t="str">
            <v>ACTIVO</v>
          </cell>
          <cell r="E1678" t="str">
            <v>0931NB</v>
          </cell>
          <cell r="F1678" t="str">
            <v>BRITO RODRIGUEZ JONATHAN DANIEL</v>
          </cell>
          <cell r="G1678" t="str">
            <v>BRITO RODRIGUE JONATHAN DANIEL</v>
          </cell>
          <cell r="H1678" t="str">
            <v>003680783</v>
          </cell>
          <cell r="I1678" t="str">
            <v>SCOTIABANK</v>
          </cell>
          <cell r="J1678">
            <v>8246422953</v>
          </cell>
          <cell r="K1678" t="str">
            <v>CE</v>
          </cell>
          <cell r="L1678">
            <v>15604543638</v>
          </cell>
          <cell r="M1678" t="str">
            <v>URBANO</v>
          </cell>
          <cell r="N1678">
            <v>44711</v>
          </cell>
          <cell r="O1678">
            <v>0</v>
          </cell>
          <cell r="P1678" t="str">
            <v>MOTO</v>
          </cell>
        </row>
        <row r="1679">
          <cell r="A1679">
            <v>8115</v>
          </cell>
          <cell r="B1679">
            <v>8115</v>
          </cell>
          <cell r="C1679" t="str">
            <v>CERO MATRICULA</v>
          </cell>
          <cell r="D1679" t="str">
            <v>ACTIVO</v>
          </cell>
          <cell r="E1679" t="str">
            <v>9854BA</v>
          </cell>
          <cell r="F1679" t="str">
            <v>PABLO DIONISIO  JHUNIOR AXEL</v>
          </cell>
          <cell r="G1679" t="str">
            <v>PABLO DIONISIO  JHUNIOR AXEL</v>
          </cell>
          <cell r="H1679" t="str">
            <v>47502539</v>
          </cell>
          <cell r="I1679" t="str">
            <v>INTERBANK</v>
          </cell>
          <cell r="J1679" t="str">
            <v>898-3314865059</v>
          </cell>
          <cell r="K1679" t="str">
            <v>DNI</v>
          </cell>
          <cell r="L1679">
            <v>10475025399</v>
          </cell>
          <cell r="M1679" t="str">
            <v>URBANO</v>
          </cell>
          <cell r="N1679">
            <v>44891</v>
          </cell>
          <cell r="O1679">
            <v>0</v>
          </cell>
          <cell r="P1679" t="str">
            <v>MOTO</v>
          </cell>
        </row>
        <row r="1680">
          <cell r="A1680">
            <v>8116</v>
          </cell>
          <cell r="B1680">
            <v>8116</v>
          </cell>
          <cell r="C1680" t="str">
            <v>CERO MATRICULA</v>
          </cell>
          <cell r="D1680" t="str">
            <v>ACTIVO</v>
          </cell>
          <cell r="E1680" t="str">
            <v>2423CC</v>
          </cell>
          <cell r="F1680" t="str">
            <v>MISTRETTA RANGEL EMILY JHOSELING</v>
          </cell>
          <cell r="G1680" t="str">
            <v>MISTRETTA RANGEL EMILY JHOSELING</v>
          </cell>
          <cell r="H1680" t="str">
            <v>005158537</v>
          </cell>
          <cell r="I1680" t="str">
            <v>BCP</v>
          </cell>
          <cell r="J1680" t="str">
            <v>192-79207273-0-44</v>
          </cell>
          <cell r="K1680" t="str">
            <v>CE</v>
          </cell>
          <cell r="L1680">
            <v>15608061999</v>
          </cell>
          <cell r="M1680" t="str">
            <v>URBANO</v>
          </cell>
          <cell r="N1680">
            <v>45091</v>
          </cell>
          <cell r="O1680">
            <v>0</v>
          </cell>
          <cell r="P1680" t="str">
            <v>MOTO</v>
          </cell>
        </row>
        <row r="1681">
          <cell r="A1681">
            <v>8117</v>
          </cell>
          <cell r="B1681">
            <v>8117</v>
          </cell>
          <cell r="C1681" t="str">
            <v>CERO MATRICULA</v>
          </cell>
          <cell r="D1681" t="str">
            <v>ACTIVO</v>
          </cell>
          <cell r="E1681" t="str">
            <v>3610 PB</v>
          </cell>
          <cell r="F1681" t="str">
            <v>FLEITAS RAMIREZ LUIS EDGARDO</v>
          </cell>
          <cell r="G1681" t="str">
            <v>FLEITAS RAMIREZ LUIS EDGARDO</v>
          </cell>
          <cell r="H1681" t="str">
            <v>002933225</v>
          </cell>
          <cell r="I1681" t="str">
            <v>BCP</v>
          </cell>
          <cell r="J1681" t="str">
            <v>192-97077295071</v>
          </cell>
          <cell r="K1681" t="str">
            <v>CE</v>
          </cell>
          <cell r="L1681">
            <v>15606804552</v>
          </cell>
          <cell r="M1681" t="str">
            <v>URBANO</v>
          </cell>
          <cell r="N1681">
            <v>45147</v>
          </cell>
          <cell r="O1681">
            <v>0</v>
          </cell>
          <cell r="P1681" t="str">
            <v>MOTO</v>
          </cell>
        </row>
        <row r="1682">
          <cell r="A1682">
            <v>8118</v>
          </cell>
          <cell r="B1682">
            <v>8118</v>
          </cell>
          <cell r="C1682" t="str">
            <v>CERO MATRICULA</v>
          </cell>
          <cell r="D1682" t="str">
            <v>ACTIVO</v>
          </cell>
          <cell r="E1682" t="str">
            <v>9512IC</v>
          </cell>
          <cell r="F1682" t="str">
            <v>FLORES ESTACIO JOEL JOSUE</v>
          </cell>
          <cell r="G1682" t="str">
            <v>FLORES ESTACIO JOEL JOSUE</v>
          </cell>
          <cell r="H1682" t="str">
            <v>003368035</v>
          </cell>
          <cell r="I1682" t="str">
            <v>BCP</v>
          </cell>
          <cell r="J1682" t="str">
            <v>19103880642039</v>
          </cell>
          <cell r="K1682" t="str">
            <v>CE</v>
          </cell>
          <cell r="L1682">
            <v>15607428449</v>
          </cell>
          <cell r="M1682" t="str">
            <v>URBANO</v>
          </cell>
          <cell r="N1682">
            <v>45236</v>
          </cell>
          <cell r="O1682">
            <v>0</v>
          </cell>
          <cell r="P1682" t="str">
            <v>MOTO</v>
          </cell>
        </row>
        <row r="1683">
          <cell r="A1683">
            <v>9000</v>
          </cell>
          <cell r="B1683">
            <v>9000</v>
          </cell>
          <cell r="C1683" t="str">
            <v>CERO MATRICULA</v>
          </cell>
          <cell r="D1683" t="str">
            <v>ACTIVO</v>
          </cell>
          <cell r="E1683" t="str">
            <v>BTM442</v>
          </cell>
          <cell r="F1683" t="str">
            <v>MEDINA CARPAZ NELVIS JOSE</v>
          </cell>
          <cell r="G1683" t="str">
            <v>MEDINA CARPAZ NELVIS JOSE</v>
          </cell>
          <cell r="H1683" t="str">
            <v>003774925</v>
          </cell>
          <cell r="I1683" t="str">
            <v>BCP</v>
          </cell>
          <cell r="J1683" t="str">
            <v>191-02633930034</v>
          </cell>
          <cell r="K1683" t="str">
            <v>CE</v>
          </cell>
          <cell r="L1683">
            <v>15608674583</v>
          </cell>
          <cell r="M1683" t="str">
            <v>URBANO</v>
          </cell>
          <cell r="N1683">
            <v>45180</v>
          </cell>
          <cell r="O1683">
            <v>0</v>
          </cell>
          <cell r="P1683" t="str">
            <v>XL</v>
          </cell>
        </row>
        <row r="1684">
          <cell r="A1684">
            <v>9002</v>
          </cell>
          <cell r="B1684">
            <v>9002</v>
          </cell>
          <cell r="C1684" t="str">
            <v>CERO MATRICULA</v>
          </cell>
          <cell r="D1684" t="str">
            <v>ACTIVO</v>
          </cell>
          <cell r="E1684" t="str">
            <v>AYT634</v>
          </cell>
          <cell r="F1684" t="str">
            <v>CAMPOS  PALACIOS JOSE ANGEL</v>
          </cell>
          <cell r="G1684" t="str">
            <v>MORALES GUIZADO JOHN ROBERT</v>
          </cell>
          <cell r="H1684" t="str">
            <v>43097405</v>
          </cell>
          <cell r="I1684" t="str">
            <v>BBVA</v>
          </cell>
          <cell r="J1684" t="str">
            <v>0011-0184-0200531452</v>
          </cell>
          <cell r="K1684" t="str">
            <v>DNI</v>
          </cell>
          <cell r="L1684">
            <v>10430974055</v>
          </cell>
          <cell r="M1684" t="str">
            <v>AEROPUERTO VAN</v>
          </cell>
          <cell r="N1684">
            <v>45196</v>
          </cell>
          <cell r="O1684">
            <v>240</v>
          </cell>
          <cell r="P1684" t="str">
            <v>VAN</v>
          </cell>
        </row>
        <row r="1685">
          <cell r="A1685">
            <v>9003</v>
          </cell>
          <cell r="B1685">
            <v>9003</v>
          </cell>
          <cell r="C1685" t="str">
            <v>CERO MATRICULA</v>
          </cell>
          <cell r="D1685" t="str">
            <v>ACTIVO</v>
          </cell>
          <cell r="E1685" t="str">
            <v>BTO546</v>
          </cell>
          <cell r="F1685" t="str">
            <v>BRAVO VENTURI EFREN ALEJANDRO</v>
          </cell>
          <cell r="G1685" t="str">
            <v>GÜERE CASTRO LUZ BETHY</v>
          </cell>
          <cell r="H1685" t="str">
            <v>40029457</v>
          </cell>
          <cell r="I1685" t="str">
            <v>BCP</v>
          </cell>
          <cell r="J1685">
            <v>1913512996006</v>
          </cell>
          <cell r="K1685" t="str">
            <v>DNI</v>
          </cell>
          <cell r="L1685">
            <v>10400294572</v>
          </cell>
          <cell r="M1685" t="str">
            <v>AEROPUERTO</v>
          </cell>
          <cell r="N1685">
            <v>45222</v>
          </cell>
          <cell r="O1685">
            <v>265</v>
          </cell>
          <cell r="P1685" t="str">
            <v>LITE</v>
          </cell>
        </row>
        <row r="1686">
          <cell r="A1686">
            <v>9004</v>
          </cell>
          <cell r="B1686">
            <v>9004</v>
          </cell>
          <cell r="C1686" t="str">
            <v>CERO MATRICULA</v>
          </cell>
          <cell r="D1686" t="str">
            <v>ACTIVO</v>
          </cell>
          <cell r="E1686" t="str">
            <v>F5Q 958</v>
          </cell>
          <cell r="F1686" t="str">
            <v>AZALDE  JIMENEZ ANDRES FABLICIANO</v>
          </cell>
          <cell r="G1686" t="str">
            <v>TRANSPORTE CRISTINA E.I.R.L.</v>
          </cell>
          <cell r="H1686" t="str">
            <v>20608154885</v>
          </cell>
          <cell r="I1686" t="str">
            <v>BCP</v>
          </cell>
          <cell r="J1686">
            <v>1949856696083</v>
          </cell>
          <cell r="K1686" t="str">
            <v>RUC</v>
          </cell>
          <cell r="L1686">
            <v>20608154885</v>
          </cell>
          <cell r="M1686" t="str">
            <v>AEROPUERTO VAN</v>
          </cell>
          <cell r="N1686">
            <v>45210</v>
          </cell>
          <cell r="O1686">
            <v>240</v>
          </cell>
          <cell r="P1686" t="str">
            <v>VAN</v>
          </cell>
        </row>
        <row r="1687">
          <cell r="A1687">
            <v>9008</v>
          </cell>
          <cell r="B1687">
            <v>9008</v>
          </cell>
          <cell r="C1687" t="str">
            <v>CERO MATRICULA</v>
          </cell>
          <cell r="D1687" t="str">
            <v>ACTIVO</v>
          </cell>
          <cell r="E1687" t="str">
            <v>CJF 133</v>
          </cell>
          <cell r="F1687" t="str">
            <v>LOPEZ PINTO LEONARDO ANTONIO</v>
          </cell>
          <cell r="G1687" t="str">
            <v>LOPEZ PINTO LEONARDO ANTONIO</v>
          </cell>
          <cell r="H1687" t="str">
            <v>41966395</v>
          </cell>
          <cell r="I1687" t="str">
            <v>BBVA</v>
          </cell>
          <cell r="J1687" t="str">
            <v>001102840200678724</v>
          </cell>
          <cell r="K1687" t="str">
            <v>DNI</v>
          </cell>
          <cell r="L1687">
            <v>10419663951</v>
          </cell>
          <cell r="M1687" t="str">
            <v>AEROPUERTO</v>
          </cell>
          <cell r="N1687">
            <v>45238</v>
          </cell>
          <cell r="O1687">
            <v>235</v>
          </cell>
          <cell r="P1687" t="str">
            <v>COMFORT XL</v>
          </cell>
        </row>
        <row r="1688">
          <cell r="A1688">
            <v>9010</v>
          </cell>
          <cell r="B1688">
            <v>9010</v>
          </cell>
          <cell r="C1688" t="str">
            <v>CERO MATRICULA</v>
          </cell>
          <cell r="D1688" t="str">
            <v>ACTIVO</v>
          </cell>
          <cell r="E1688" t="str">
            <v>BJN 217</v>
          </cell>
          <cell r="F1688" t="str">
            <v>LORETO RENGIFO EDIMAR</v>
          </cell>
          <cell r="G1688" t="str">
            <v>LORETO RENGIFO EDIMAR</v>
          </cell>
          <cell r="H1688" t="str">
            <v>002661670</v>
          </cell>
          <cell r="I1688" t="str">
            <v>BCP</v>
          </cell>
          <cell r="J1688" t="str">
            <v>19291914823053</v>
          </cell>
          <cell r="K1688" t="str">
            <v>CE</v>
          </cell>
          <cell r="L1688">
            <v>15604918011</v>
          </cell>
          <cell r="M1688" t="str">
            <v>AEROPUERTO</v>
          </cell>
          <cell r="N1688">
            <v>45238</v>
          </cell>
          <cell r="O1688">
            <v>240</v>
          </cell>
          <cell r="P1688" t="str">
            <v>XL</v>
          </cell>
        </row>
        <row r="1689">
          <cell r="A1689">
            <v>9011</v>
          </cell>
          <cell r="B1689">
            <v>9011</v>
          </cell>
          <cell r="C1689" t="str">
            <v>CERO MATRICULA</v>
          </cell>
          <cell r="D1689" t="str">
            <v>ACTIVO</v>
          </cell>
          <cell r="E1689" t="str">
            <v>CDJ 654</v>
          </cell>
          <cell r="F1689" t="str">
            <v>HINOSTROZA MENDOZA MARTIN VICENTE</v>
          </cell>
          <cell r="G1689" t="str">
            <v>HUAMANI HUAMAN LUIS ALBERTO</v>
          </cell>
          <cell r="H1689" t="str">
            <v>41002567</v>
          </cell>
          <cell r="I1689" t="str">
            <v>BCP</v>
          </cell>
          <cell r="J1689" t="str">
            <v>19278964303020</v>
          </cell>
          <cell r="K1689" t="str">
            <v>DNI</v>
          </cell>
          <cell r="L1689">
            <v>10410025677</v>
          </cell>
          <cell r="M1689" t="str">
            <v>AEROPUERTO</v>
          </cell>
          <cell r="N1689">
            <v>45258</v>
          </cell>
          <cell r="O1689">
            <v>235</v>
          </cell>
          <cell r="P1689" t="str">
            <v>COMFORT XL</v>
          </cell>
        </row>
        <row r="1690">
          <cell r="A1690">
            <v>9012</v>
          </cell>
          <cell r="B1690">
            <v>9012</v>
          </cell>
          <cell r="C1690" t="str">
            <v>CERO MATRICULA</v>
          </cell>
          <cell r="D1690" t="str">
            <v>ACTIVO</v>
          </cell>
          <cell r="E1690" t="str">
            <v>CHX 065</v>
          </cell>
          <cell r="F1690" t="str">
            <v>TARAZONA VILLAORDUÑA JINMER EDUARDO</v>
          </cell>
          <cell r="G1690" t="str">
            <v>VENEGAS ALARCON DINA ISABEL</v>
          </cell>
          <cell r="H1690" t="str">
            <v>10673398</v>
          </cell>
          <cell r="I1690" t="str">
            <v>BCP</v>
          </cell>
          <cell r="J1690" t="str">
            <v>19393559321062</v>
          </cell>
          <cell r="K1690" t="str">
            <v>DNI</v>
          </cell>
          <cell r="L1690">
            <v>10106733983</v>
          </cell>
          <cell r="M1690" t="str">
            <v>URBANO</v>
          </cell>
          <cell r="N1690">
            <v>45257</v>
          </cell>
          <cell r="O1690">
            <v>0</v>
          </cell>
          <cell r="P1690" t="str">
            <v>COMFORT XL</v>
          </cell>
        </row>
        <row r="1691">
          <cell r="A1691">
            <v>9013</v>
          </cell>
          <cell r="B1691">
            <v>9013</v>
          </cell>
          <cell r="C1691" t="str">
            <v>CERO MATRICULA</v>
          </cell>
          <cell r="D1691" t="str">
            <v>ACTIVO</v>
          </cell>
          <cell r="E1691" t="str">
            <v>CEO 056</v>
          </cell>
          <cell r="F1691" t="str">
            <v>OYARCE AMASIFUEN MANUEL ROMEL</v>
          </cell>
          <cell r="G1691" t="str">
            <v>OYARCE AMASIFUEN MANUEL ROMEL</v>
          </cell>
          <cell r="H1691" t="str">
            <v>09470332</v>
          </cell>
          <cell r="I1691" t="str">
            <v>INTERBANK</v>
          </cell>
          <cell r="J1691" t="str">
            <v>1003145296615</v>
          </cell>
          <cell r="K1691" t="str">
            <v>DNI</v>
          </cell>
          <cell r="L1691">
            <v>10094703323</v>
          </cell>
          <cell r="M1691" t="str">
            <v>URBANO</v>
          </cell>
          <cell r="N1691">
            <v>45257</v>
          </cell>
          <cell r="O1691">
            <v>0</v>
          </cell>
          <cell r="P1691" t="str">
            <v>COMFORT XL</v>
          </cell>
        </row>
        <row r="1692">
          <cell r="A1692">
            <v>9014</v>
          </cell>
          <cell r="B1692">
            <v>9014</v>
          </cell>
          <cell r="C1692" t="str">
            <v>CERO MATRICULA</v>
          </cell>
          <cell r="D1692" t="str">
            <v>ACTIVO</v>
          </cell>
          <cell r="E1692" t="str">
            <v>CCH603</v>
          </cell>
          <cell r="F1692" t="str">
            <v>MONTAÑO ROMERO</v>
          </cell>
          <cell r="G1692" t="str">
            <v>MONTAÑO ROMERO JULIO CESAR</v>
          </cell>
          <cell r="H1692" t="str">
            <v>003453220</v>
          </cell>
          <cell r="I1692" t="str">
            <v>BCP</v>
          </cell>
          <cell r="J1692" t="str">
            <v>19190181122041</v>
          </cell>
          <cell r="K1692" t="str">
            <v>CE</v>
          </cell>
          <cell r="L1692">
            <v>15604760205</v>
          </cell>
          <cell r="M1692" t="str">
            <v>AEROPUERTO</v>
          </cell>
          <cell r="N1692">
            <v>45264</v>
          </cell>
          <cell r="O1692">
            <v>240</v>
          </cell>
          <cell r="P1692" t="str">
            <v>XL</v>
          </cell>
        </row>
        <row r="1693">
          <cell r="A1693">
            <v>9016</v>
          </cell>
          <cell r="B1693">
            <v>9016</v>
          </cell>
          <cell r="C1693" t="str">
            <v>CERO MATRICULA</v>
          </cell>
          <cell r="D1693" t="str">
            <v>ACTIVO</v>
          </cell>
          <cell r="E1693" t="str">
            <v>Z7H613</v>
          </cell>
          <cell r="F1693" t="str">
            <v>PALOMINO PEREZ</v>
          </cell>
          <cell r="G1693" t="str">
            <v>PALOMINO PEREZ JOSE ALFREDO</v>
          </cell>
          <cell r="H1693" t="str">
            <v>09571955</v>
          </cell>
          <cell r="I1693" t="str">
            <v>BCP</v>
          </cell>
          <cell r="J1693" t="str">
            <v>19199004566010</v>
          </cell>
          <cell r="K1693" t="str">
            <v>DNI</v>
          </cell>
          <cell r="L1693">
            <v>10095719550</v>
          </cell>
          <cell r="M1693" t="str">
            <v>AEROPUERTO</v>
          </cell>
          <cell r="N1693">
            <v>45264</v>
          </cell>
          <cell r="O1693">
            <v>240</v>
          </cell>
          <cell r="P1693" t="str">
            <v>COMFORT</v>
          </cell>
        </row>
        <row r="1694">
          <cell r="A1694">
            <v>9017</v>
          </cell>
          <cell r="B1694">
            <v>9017</v>
          </cell>
          <cell r="C1694" t="str">
            <v>CERO MATRICULA</v>
          </cell>
          <cell r="D1694" t="str">
            <v>ACTIVO</v>
          </cell>
          <cell r="E1694" t="str">
            <v>BUE615</v>
          </cell>
          <cell r="F1694" t="str">
            <v>MIRANDA SILVA MARIEL</v>
          </cell>
          <cell r="G1694" t="str">
            <v>Lucy Esther Farroñan Suclupe</v>
          </cell>
          <cell r="H1694" t="str">
            <v>44866738</v>
          </cell>
          <cell r="I1694" t="str">
            <v>BCP</v>
          </cell>
          <cell r="J1694" t="str">
            <v>19198855500038</v>
          </cell>
          <cell r="K1694" t="str">
            <v>DNI</v>
          </cell>
          <cell r="L1694">
            <v>10448667389</v>
          </cell>
          <cell r="M1694" t="str">
            <v>AEROPUERTO</v>
          </cell>
          <cell r="N1694">
            <v>45264</v>
          </cell>
          <cell r="O1694">
            <v>235</v>
          </cell>
          <cell r="P1694" t="str">
            <v>COMFORT XL</v>
          </cell>
        </row>
        <row r="1695">
          <cell r="A1695">
            <v>9020</v>
          </cell>
          <cell r="B1695">
            <v>9020</v>
          </cell>
          <cell r="C1695" t="str">
            <v>CERO MATRICULA</v>
          </cell>
          <cell r="D1695" t="str">
            <v>ACTIVO</v>
          </cell>
          <cell r="E1695" t="str">
            <v>AAI176</v>
          </cell>
          <cell r="F1695" t="str">
            <v>VILLALTA REÁTEGUI GREGORY EDUARDO</v>
          </cell>
          <cell r="G1695" t="str">
            <v>VILLALTA REÁTEGUI GREGORY EDUARDO</v>
          </cell>
          <cell r="H1695" t="str">
            <v>45381469</v>
          </cell>
          <cell r="I1695" t="str">
            <v>INTERBANK</v>
          </cell>
          <cell r="J1695" t="str">
            <v>2003118746770</v>
          </cell>
          <cell r="K1695" t="str">
            <v>DNI</v>
          </cell>
          <cell r="L1695">
            <v>10453814691</v>
          </cell>
          <cell r="M1695" t="str">
            <v>AEROPUERTO</v>
          </cell>
          <cell r="N1695">
            <v>45271</v>
          </cell>
          <cell r="O1695">
            <v>235</v>
          </cell>
          <cell r="P1695" t="str">
            <v>COMFORT XL</v>
          </cell>
        </row>
        <row r="1696">
          <cell r="A1696">
            <v>9022</v>
          </cell>
          <cell r="B1696">
            <v>9022</v>
          </cell>
          <cell r="C1696" t="str">
            <v>CERO MATRICULA</v>
          </cell>
          <cell r="D1696" t="str">
            <v>ACTIVO</v>
          </cell>
          <cell r="E1696" t="str">
            <v>BNE491</v>
          </cell>
          <cell r="F1696" t="str">
            <v>MEDRANO MATOS PABLO</v>
          </cell>
          <cell r="G1696" t="str">
            <v>MEDRANO MATOS PABLO</v>
          </cell>
          <cell r="H1696" t="str">
            <v>10065706</v>
          </cell>
          <cell r="I1696" t="str">
            <v>BCP</v>
          </cell>
          <cell r="J1696" t="str">
            <v>19328871235062</v>
          </cell>
          <cell r="K1696" t="str">
            <v>DNI</v>
          </cell>
          <cell r="L1696">
            <v>10100657061</v>
          </cell>
          <cell r="M1696" t="str">
            <v>URBANO PARTNER</v>
          </cell>
          <cell r="N1696">
            <v>45271</v>
          </cell>
          <cell r="O1696">
            <v>0</v>
          </cell>
          <cell r="P1696" t="str">
            <v>XL</v>
          </cell>
        </row>
        <row r="1697">
          <cell r="A1697">
            <v>9023</v>
          </cell>
          <cell r="B1697">
            <v>9023</v>
          </cell>
          <cell r="C1697" t="str">
            <v>CERO MATRICULA</v>
          </cell>
          <cell r="D1697" t="str">
            <v>ACTIVO</v>
          </cell>
          <cell r="E1697" t="str">
            <v>CJT060</v>
          </cell>
          <cell r="F1697" t="str">
            <v>SALAZAR BORJA MANUEL ORLANDO</v>
          </cell>
          <cell r="G1697" t="str">
            <v>SALAZAR BORJA MANUEL ORLANDO</v>
          </cell>
          <cell r="H1697" t="str">
            <v>42637620</v>
          </cell>
          <cell r="I1697" t="str">
            <v>BBVA</v>
          </cell>
          <cell r="J1697" t="str">
            <v>1108140246765070</v>
          </cell>
          <cell r="K1697" t="str">
            <v>DNI</v>
          </cell>
          <cell r="L1697">
            <v>10426376208</v>
          </cell>
          <cell r="M1697" t="str">
            <v>URBANO</v>
          </cell>
          <cell r="N1697">
            <v>45271</v>
          </cell>
          <cell r="O1697">
            <v>0</v>
          </cell>
          <cell r="P1697" t="str">
            <v>COMFORT XL</v>
          </cell>
        </row>
        <row r="1698">
          <cell r="A1698">
            <v>9024</v>
          </cell>
          <cell r="B1698">
            <v>9024</v>
          </cell>
          <cell r="C1698" t="str">
            <v>CERO MATRICULA</v>
          </cell>
          <cell r="D1698" t="str">
            <v>ACTIVO</v>
          </cell>
          <cell r="E1698" t="str">
            <v>BSG554</v>
          </cell>
          <cell r="F1698" t="str">
            <v>VILLACORTA SOLIGNAC GUILLERMO</v>
          </cell>
          <cell r="G1698" t="str">
            <v>VILLACORTA SOLIGNAC GUILLERMO</v>
          </cell>
          <cell r="H1698" t="str">
            <v>09277230</v>
          </cell>
          <cell r="I1698" t="str">
            <v>BCP</v>
          </cell>
          <cell r="J1698">
            <v>19301885820067</v>
          </cell>
          <cell r="K1698" t="str">
            <v>DNI</v>
          </cell>
          <cell r="L1698">
            <v>10092772301</v>
          </cell>
          <cell r="M1698" t="str">
            <v>AEROLINEAS</v>
          </cell>
          <cell r="N1698">
            <v>45276</v>
          </cell>
          <cell r="O1698">
            <v>0</v>
          </cell>
          <cell r="P1698" t="str">
            <v>LITE</v>
          </cell>
        </row>
        <row r="1699">
          <cell r="A1699">
            <v>9025</v>
          </cell>
          <cell r="B1699">
            <v>9025</v>
          </cell>
          <cell r="C1699" t="str">
            <v>CERO MATRICULA</v>
          </cell>
          <cell r="D1699" t="str">
            <v>ACTIVO</v>
          </cell>
          <cell r="E1699" t="str">
            <v>CAV153</v>
          </cell>
          <cell r="F1699" t="str">
            <v>Espinoza Chavez Jesús Angel</v>
          </cell>
          <cell r="G1699" t="str">
            <v>Espinoza Chavez Jesús Angel</v>
          </cell>
          <cell r="H1699" t="str">
            <v>47022559</v>
          </cell>
          <cell r="I1699" t="str">
            <v>BCP</v>
          </cell>
          <cell r="J1699" t="str">
            <v>19202326811013</v>
          </cell>
          <cell r="K1699" t="str">
            <v>DNI</v>
          </cell>
          <cell r="L1699">
            <v>10470225594</v>
          </cell>
          <cell r="M1699" t="str">
            <v>AEROLINEAS</v>
          </cell>
          <cell r="N1699">
            <v>45282</v>
          </cell>
          <cell r="O1699">
            <v>0</v>
          </cell>
          <cell r="P1699" t="str">
            <v>LITE</v>
          </cell>
        </row>
        <row r="1700">
          <cell r="A1700">
            <v>9026</v>
          </cell>
          <cell r="B1700">
            <v>9026</v>
          </cell>
          <cell r="C1700" t="str">
            <v>CERO MATRICULA</v>
          </cell>
          <cell r="D1700" t="str">
            <v>ACTIVO</v>
          </cell>
          <cell r="E1700" t="str">
            <v>CEL199</v>
          </cell>
          <cell r="F1700" t="str">
            <v>Nomberto Espinoza Alexander David</v>
          </cell>
          <cell r="G1700" t="str">
            <v>Nomberto Espinoza Alexander David</v>
          </cell>
          <cell r="H1700" t="str">
            <v>43552739</v>
          </cell>
          <cell r="I1700" t="str">
            <v>BCP</v>
          </cell>
          <cell r="J1700" t="str">
            <v>19297558899039</v>
          </cell>
          <cell r="K1700" t="str">
            <v>DNI</v>
          </cell>
          <cell r="L1700">
            <v>10435527391</v>
          </cell>
          <cell r="M1700" t="str">
            <v>URBANO PARTNER</v>
          </cell>
          <cell r="N1700">
            <v>45282</v>
          </cell>
          <cell r="O1700">
            <v>0</v>
          </cell>
          <cell r="P1700" t="str">
            <v>COMFORT XL</v>
          </cell>
        </row>
        <row r="1701">
          <cell r="A1701">
            <v>9027</v>
          </cell>
          <cell r="B1701">
            <v>9027</v>
          </cell>
          <cell r="C1701" t="str">
            <v>CERO MATRICULA</v>
          </cell>
          <cell r="D1701" t="str">
            <v>ACTIVO</v>
          </cell>
          <cell r="E1701" t="str">
            <v>B5O577</v>
          </cell>
          <cell r="F1701" t="str">
            <v>Barreda Gómez Wolfgang Alexander</v>
          </cell>
          <cell r="G1701" t="str">
            <v>Barreda Gómez Wolfgang Alexander</v>
          </cell>
          <cell r="H1701" t="str">
            <v>40679641</v>
          </cell>
          <cell r="I1701" t="str">
            <v>BCP</v>
          </cell>
          <cell r="J1701" t="str">
            <v>19106564467073</v>
          </cell>
          <cell r="K1701" t="str">
            <v>DNI</v>
          </cell>
          <cell r="L1701">
            <v>10406796413</v>
          </cell>
          <cell r="M1701" t="str">
            <v>AEROLINEAS</v>
          </cell>
          <cell r="N1701">
            <v>45280</v>
          </cell>
          <cell r="O1701">
            <v>0</v>
          </cell>
          <cell r="P1701" t="str">
            <v>LITE</v>
          </cell>
        </row>
        <row r="1702">
          <cell r="A1702">
            <v>9029</v>
          </cell>
          <cell r="B1702">
            <v>9029</v>
          </cell>
          <cell r="C1702" t="str">
            <v>CERO MATRICULA</v>
          </cell>
          <cell r="D1702" t="str">
            <v>ACTIVO</v>
          </cell>
          <cell r="E1702" t="str">
            <v>BCC088</v>
          </cell>
          <cell r="F1702" t="str">
            <v>VELÁSQUEZ GARCÍA JESÚS ALBERTO</v>
          </cell>
          <cell r="G1702" t="str">
            <v>VELÁSQUEZ GARCÍA JESÚS ALBERTO</v>
          </cell>
          <cell r="H1702" t="str">
            <v>47333025</v>
          </cell>
          <cell r="I1702" t="str">
            <v>BCP</v>
          </cell>
          <cell r="J1702" t="str">
            <v>19190763055051</v>
          </cell>
          <cell r="K1702" t="str">
            <v>DNI</v>
          </cell>
          <cell r="L1702">
            <v>10473330259</v>
          </cell>
          <cell r="M1702" t="str">
            <v>AEROLINEAS</v>
          </cell>
          <cell r="N1702">
            <v>45273</v>
          </cell>
          <cell r="O1702">
            <v>0</v>
          </cell>
          <cell r="P1702" t="str">
            <v>COMFORT</v>
          </cell>
        </row>
        <row r="1703">
          <cell r="A1703">
            <v>9031</v>
          </cell>
          <cell r="B1703">
            <v>9031</v>
          </cell>
          <cell r="C1703" t="str">
            <v>CERO MATRICULA</v>
          </cell>
          <cell r="D1703" t="str">
            <v>ACTIVO</v>
          </cell>
          <cell r="E1703" t="str">
            <v>APF607</v>
          </cell>
          <cell r="F1703" t="str">
            <v>Abel Salomón Gallardo Caqui</v>
          </cell>
          <cell r="G1703" t="str">
            <v>Abel Salomón Gallardo Caqui</v>
          </cell>
          <cell r="H1703" t="str">
            <v>09327814</v>
          </cell>
          <cell r="I1703" t="str">
            <v>BCP</v>
          </cell>
          <cell r="J1703" t="str">
            <v>19402710318094</v>
          </cell>
          <cell r="K1703" t="str">
            <v>DNI</v>
          </cell>
          <cell r="L1703">
            <v>10093278149</v>
          </cell>
          <cell r="M1703" t="str">
            <v>URBANO</v>
          </cell>
          <cell r="N1703">
            <v>45299</v>
          </cell>
          <cell r="O1703">
            <v>0</v>
          </cell>
          <cell r="P1703" t="str">
            <v>LITE</v>
          </cell>
        </row>
        <row r="1704">
          <cell r="A1704">
            <v>9035</v>
          </cell>
          <cell r="B1704">
            <v>9035</v>
          </cell>
          <cell r="C1704" t="str">
            <v>CERO MATRICULA</v>
          </cell>
          <cell r="D1704" t="str">
            <v>ACTIVO</v>
          </cell>
          <cell r="E1704" t="str">
            <v>CKN347</v>
          </cell>
          <cell r="F1704" t="str">
            <v>Ramon LAVERIANO JOARDAN YGNACIO</v>
          </cell>
          <cell r="G1704" t="str">
            <v>Ramon LAVERIANO JOARDAN YGNACIO</v>
          </cell>
          <cell r="H1704">
            <v>45556900</v>
          </cell>
          <cell r="I1704" t="str">
            <v>BCP</v>
          </cell>
          <cell r="J1704" t="str">
            <v>19137587956030</v>
          </cell>
          <cell r="K1704" t="str">
            <v>DNI</v>
          </cell>
          <cell r="L1704">
            <v>10455569007</v>
          </cell>
          <cell r="M1704" t="str">
            <v>AEROPUERTO</v>
          </cell>
          <cell r="N1704">
            <v>45343</v>
          </cell>
          <cell r="O1704">
            <v>235</v>
          </cell>
          <cell r="P1704" t="str">
            <v>COMFORT XL</v>
          </cell>
        </row>
        <row r="1705">
          <cell r="A1705">
            <v>9037</v>
          </cell>
          <cell r="B1705">
            <v>9037</v>
          </cell>
          <cell r="C1705" t="str">
            <v>CERO MATRICULA</v>
          </cell>
          <cell r="D1705" t="str">
            <v>ACTIVO</v>
          </cell>
          <cell r="E1705" t="str">
            <v>BMT504</v>
          </cell>
          <cell r="F1705" t="str">
            <v>Villegas Moreno RICHARD JAVIER</v>
          </cell>
          <cell r="G1705" t="str">
            <v>Villegas Moreno RICHARD JAVIER</v>
          </cell>
          <cell r="H1705" t="str">
            <v>006058305</v>
          </cell>
          <cell r="I1705" t="str">
            <v>INTERBANK</v>
          </cell>
          <cell r="J1705" t="str">
            <v>1513405178799</v>
          </cell>
          <cell r="K1705" t="str">
            <v>CE</v>
          </cell>
          <cell r="L1705">
            <v>15612115769</v>
          </cell>
          <cell r="M1705" t="str">
            <v>URBANO</v>
          </cell>
          <cell r="N1705">
            <v>45344</v>
          </cell>
          <cell r="O1705">
            <v>0</v>
          </cell>
          <cell r="P1705" t="str">
            <v>LITE</v>
          </cell>
        </row>
        <row r="1706">
          <cell r="A1706">
            <v>9038</v>
          </cell>
          <cell r="B1706">
            <v>9038</v>
          </cell>
          <cell r="C1706" t="str">
            <v>CERO MATRICULA</v>
          </cell>
          <cell r="D1706" t="str">
            <v>ACTIVO</v>
          </cell>
          <cell r="E1706" t="str">
            <v>CBZ249</v>
          </cell>
          <cell r="F1706" t="str">
            <v>SALAZAR APESTEGUIA ENRIQUE ALBERTO</v>
          </cell>
          <cell r="G1706" t="str">
            <v>SALAZAR APESTEGUIA ENRIQUE ALBERTO</v>
          </cell>
          <cell r="H1706">
            <v>40930416</v>
          </cell>
          <cell r="I1706" t="str">
            <v>BCP</v>
          </cell>
          <cell r="J1706" t="str">
            <v>19433659732027</v>
          </cell>
          <cell r="K1706" t="str">
            <v>DNI</v>
          </cell>
          <cell r="L1706">
            <v>10409304163</v>
          </cell>
          <cell r="M1706" t="str">
            <v>URBANO</v>
          </cell>
          <cell r="N1706">
            <v>45344</v>
          </cell>
          <cell r="O1706">
            <v>0</v>
          </cell>
          <cell r="P1706" t="str">
            <v>COMFORT XL</v>
          </cell>
        </row>
        <row r="1707">
          <cell r="A1707">
            <v>9041</v>
          </cell>
          <cell r="B1707">
            <v>9041</v>
          </cell>
          <cell r="C1707" t="str">
            <v>CERO MATRICULA</v>
          </cell>
          <cell r="D1707" t="str">
            <v>ACTIVO</v>
          </cell>
          <cell r="E1707" t="str">
            <v>CKQ638</v>
          </cell>
          <cell r="F1707" t="str">
            <v>Clement Vidal Feliber smith</v>
          </cell>
          <cell r="G1707" t="str">
            <v>Clement Vidal Feliber smith</v>
          </cell>
          <cell r="H1707">
            <v>76942645</v>
          </cell>
          <cell r="I1707" t="str">
            <v>INTERBANK</v>
          </cell>
          <cell r="J1707" t="str">
            <v>2003250055876</v>
          </cell>
          <cell r="K1707" t="str">
            <v>DNI</v>
          </cell>
          <cell r="L1707">
            <v>10769426456</v>
          </cell>
          <cell r="M1707" t="str">
            <v>URBANO</v>
          </cell>
          <cell r="N1707">
            <v>45351</v>
          </cell>
          <cell r="O1707">
            <v>0</v>
          </cell>
          <cell r="P1707" t="str">
            <v>LITE</v>
          </cell>
        </row>
        <row r="1708">
          <cell r="A1708">
            <v>9042</v>
          </cell>
          <cell r="B1708">
            <v>9042</v>
          </cell>
          <cell r="C1708" t="str">
            <v>CERO MATRICULA</v>
          </cell>
          <cell r="D1708" t="str">
            <v>ACTIVO</v>
          </cell>
          <cell r="E1708" t="str">
            <v>APF164</v>
          </cell>
          <cell r="F1708" t="str">
            <v>Cuno Cañari Manuel</v>
          </cell>
          <cell r="G1708" t="str">
            <v>Cuno Cañari Manuel</v>
          </cell>
          <cell r="H1708">
            <v>41992778</v>
          </cell>
          <cell r="I1708" t="str">
            <v>BCP</v>
          </cell>
          <cell r="J1708" t="str">
            <v>19124526524065</v>
          </cell>
          <cell r="K1708" t="str">
            <v>DNI</v>
          </cell>
          <cell r="L1708">
            <v>10419927789</v>
          </cell>
          <cell r="M1708" t="str">
            <v>URBANO</v>
          </cell>
          <cell r="N1708">
            <v>45350</v>
          </cell>
          <cell r="O1708">
            <v>0</v>
          </cell>
          <cell r="P1708" t="str">
            <v>COMFORT XL</v>
          </cell>
        </row>
        <row r="1709">
          <cell r="A1709">
            <v>9043</v>
          </cell>
          <cell r="B1709">
            <v>9043</v>
          </cell>
          <cell r="C1709" t="str">
            <v>CERO MATRICULA</v>
          </cell>
          <cell r="D1709" t="str">
            <v>ACTIVO</v>
          </cell>
          <cell r="E1709" t="str">
            <v>CKI221</v>
          </cell>
          <cell r="F1709" t="str">
            <v>De la cruz Quispe José Antonio</v>
          </cell>
          <cell r="G1709" t="str">
            <v>De la cruz Quispe José Antonio</v>
          </cell>
          <cell r="H1709" t="str">
            <v>06783571</v>
          </cell>
          <cell r="I1709" t="str">
            <v>BCP</v>
          </cell>
          <cell r="J1709" t="str">
            <v>19494882109012</v>
          </cell>
          <cell r="K1709" t="str">
            <v>DNI</v>
          </cell>
          <cell r="L1709">
            <v>10067835714</v>
          </cell>
          <cell r="M1709" t="str">
            <v>URBANO</v>
          </cell>
          <cell r="N1709">
            <v>45350</v>
          </cell>
          <cell r="O1709">
            <v>0</v>
          </cell>
          <cell r="P1709" t="str">
            <v>XL</v>
          </cell>
        </row>
        <row r="1710">
          <cell r="A1710">
            <v>9044</v>
          </cell>
          <cell r="B1710">
            <v>9044</v>
          </cell>
          <cell r="C1710" t="str">
            <v>CERO MATRICULA</v>
          </cell>
          <cell r="D1710" t="str">
            <v>ACTIVO</v>
          </cell>
          <cell r="E1710" t="str">
            <v>BTE019</v>
          </cell>
          <cell r="F1710" t="str">
            <v>Mendez Morales KELVIN JOSE</v>
          </cell>
          <cell r="G1710" t="str">
            <v>MENDEZ MORALES KELVIN JOSE</v>
          </cell>
          <cell r="H1710" t="str">
            <v>006342405</v>
          </cell>
          <cell r="I1710" t="str">
            <v>BCP</v>
          </cell>
          <cell r="J1710" t="str">
            <v>19294394296071</v>
          </cell>
          <cell r="K1710" t="str">
            <v>CE</v>
          </cell>
          <cell r="L1710">
            <v>15612329645</v>
          </cell>
          <cell r="M1710" t="str">
            <v>AEROPUERTO</v>
          </cell>
          <cell r="N1710">
            <v>45377</v>
          </cell>
          <cell r="O1710">
            <v>265</v>
          </cell>
          <cell r="P1710" t="str">
            <v>LITE</v>
          </cell>
        </row>
        <row r="1711">
          <cell r="A1711">
            <v>9045</v>
          </cell>
          <cell r="B1711">
            <v>9045</v>
          </cell>
          <cell r="C1711" t="str">
            <v>CERO MATRICULA</v>
          </cell>
          <cell r="D1711" t="str">
            <v>ACTIVO</v>
          </cell>
          <cell r="E1711" t="str">
            <v>Z7J196</v>
          </cell>
          <cell r="F1711" t="str">
            <v>Rubin Gonzales Luis Eleodoro</v>
          </cell>
          <cell r="G1711" t="str">
            <v>RUBIN  GUTIERREZ LUIS ANGEL</v>
          </cell>
          <cell r="H1711" t="str">
            <v>73074432</v>
          </cell>
          <cell r="I1711" t="str">
            <v>INTERBANK</v>
          </cell>
          <cell r="J1711" t="str">
            <v>3783350494617</v>
          </cell>
          <cell r="K1711" t="str">
            <v>DNI</v>
          </cell>
          <cell r="L1711">
            <v>10730744329</v>
          </cell>
          <cell r="M1711" t="str">
            <v>AEROLINEAS</v>
          </cell>
          <cell r="N1711">
            <v>45351</v>
          </cell>
          <cell r="O1711">
            <v>0</v>
          </cell>
          <cell r="P1711" t="str">
            <v>COMFORT</v>
          </cell>
        </row>
        <row r="1712">
          <cell r="A1712">
            <v>9046</v>
          </cell>
          <cell r="B1712">
            <v>9046</v>
          </cell>
          <cell r="C1712" t="str">
            <v>CERO MATRICULA</v>
          </cell>
          <cell r="D1712" t="str">
            <v>ACTIVO</v>
          </cell>
          <cell r="E1712" t="str">
            <v>BYE 472</v>
          </cell>
          <cell r="F1712" t="str">
            <v>ANTAURCO OBREGON MELVIN OBEL</v>
          </cell>
          <cell r="G1712" t="str">
            <v>ANTAURCO OBREGON MELVIN OBEL</v>
          </cell>
          <cell r="H1712">
            <v>31934718</v>
          </cell>
          <cell r="I1712" t="str">
            <v>BCP</v>
          </cell>
          <cell r="J1712" t="str">
            <v>19495423177045</v>
          </cell>
          <cell r="K1712" t="str">
            <v>DNI</v>
          </cell>
          <cell r="L1712">
            <v>10319347181</v>
          </cell>
          <cell r="M1712" t="str">
            <v>AEROLINEAS</v>
          </cell>
          <cell r="N1712">
            <v>45351</v>
          </cell>
          <cell r="O1712">
            <v>0</v>
          </cell>
          <cell r="P1712" t="str">
            <v>COMFORT XL</v>
          </cell>
        </row>
        <row r="1713">
          <cell r="A1713">
            <v>9047</v>
          </cell>
          <cell r="B1713">
            <v>9047</v>
          </cell>
          <cell r="C1713" t="str">
            <v>CERO MATRICULA</v>
          </cell>
          <cell r="D1713" t="str">
            <v>ACTIVO</v>
          </cell>
          <cell r="E1713" t="str">
            <v>Ceq115</v>
          </cell>
          <cell r="F1713" t="str">
            <v>Requejo Alvarez Nilton adrian</v>
          </cell>
          <cell r="G1713" t="str">
            <v>Requejo Alvarez Nilton adrian</v>
          </cell>
          <cell r="H1713">
            <v>70972641</v>
          </cell>
          <cell r="I1713" t="str">
            <v>BCP</v>
          </cell>
          <cell r="J1713" t="str">
            <v>19473317607087</v>
          </cell>
          <cell r="K1713" t="str">
            <v>DNI</v>
          </cell>
          <cell r="L1713">
            <v>10709726418</v>
          </cell>
          <cell r="M1713" t="str">
            <v>URBANO</v>
          </cell>
          <cell r="N1713">
            <v>45351</v>
          </cell>
          <cell r="O1713">
            <v>0</v>
          </cell>
          <cell r="P1713" t="str">
            <v>COMFORT XL</v>
          </cell>
        </row>
        <row r="1714">
          <cell r="A1714">
            <v>9048</v>
          </cell>
          <cell r="B1714">
            <v>9048</v>
          </cell>
          <cell r="C1714" t="str">
            <v>CERO MATRICULA</v>
          </cell>
          <cell r="D1714" t="str">
            <v>ACTIVO</v>
          </cell>
          <cell r="E1714" t="str">
            <v>CEH018</v>
          </cell>
          <cell r="F1714" t="str">
            <v>Colina Barrios Pablo Jose</v>
          </cell>
          <cell r="G1714" t="str">
            <v>Colina Barrios Pablo Jose</v>
          </cell>
          <cell r="H1714" t="str">
            <v>002545967</v>
          </cell>
          <cell r="I1714" t="str">
            <v>BCP</v>
          </cell>
          <cell r="J1714" t="str">
            <v>19196332302054</v>
          </cell>
          <cell r="K1714" t="str">
            <v>CE</v>
          </cell>
          <cell r="L1714">
            <v>15609159348</v>
          </cell>
          <cell r="M1714" t="str">
            <v>URBANO</v>
          </cell>
          <cell r="N1714">
            <v>45351</v>
          </cell>
          <cell r="O1714">
            <v>0</v>
          </cell>
          <cell r="P1714" t="str">
            <v>LITE</v>
          </cell>
        </row>
        <row r="1715">
          <cell r="A1715">
            <v>9049</v>
          </cell>
          <cell r="B1715">
            <v>9049</v>
          </cell>
          <cell r="C1715" t="str">
            <v>CERO MATRICULA</v>
          </cell>
          <cell r="D1715" t="str">
            <v>ACTIVO</v>
          </cell>
          <cell r="E1715" t="str">
            <v>CEJ145</v>
          </cell>
          <cell r="F1715" t="str">
            <v>Díaz Apaza Raúl Edgardo</v>
          </cell>
          <cell r="G1715" t="str">
            <v>Díaz Apaza Raúl Edgardo</v>
          </cell>
          <cell r="H1715">
            <v>20590323</v>
          </cell>
          <cell r="I1715" t="str">
            <v>BCP</v>
          </cell>
          <cell r="J1715" t="str">
            <v>19195989862053</v>
          </cell>
          <cell r="K1715" t="str">
            <v>DNI</v>
          </cell>
          <cell r="L1715">
            <v>10205903238</v>
          </cell>
          <cell r="M1715" t="str">
            <v>URBANO</v>
          </cell>
          <cell r="N1715">
            <v>45351</v>
          </cell>
          <cell r="O1715">
            <v>0</v>
          </cell>
          <cell r="P1715" t="str">
            <v>LITE</v>
          </cell>
        </row>
        <row r="1716">
          <cell r="A1716">
            <v>9052</v>
          </cell>
          <cell r="B1716">
            <v>9052</v>
          </cell>
          <cell r="C1716" t="str">
            <v>CERO MATRICULA</v>
          </cell>
          <cell r="D1716" t="str">
            <v>ACTIVO</v>
          </cell>
          <cell r="E1716" t="str">
            <v>CKM362</v>
          </cell>
          <cell r="F1716" t="str">
            <v>PEÑA DAVILA JOEL ANGEL</v>
          </cell>
          <cell r="G1716" t="str">
            <v>PEÑA DAVILA JOEL ANGEL</v>
          </cell>
          <cell r="H1716" t="str">
            <v>46262353</v>
          </cell>
          <cell r="I1716" t="str">
            <v>INTERBANK</v>
          </cell>
          <cell r="J1716" t="str">
            <v>1673135750460</v>
          </cell>
          <cell r="K1716" t="str">
            <v>DNI</v>
          </cell>
          <cell r="L1716">
            <v>10462623530</v>
          </cell>
          <cell r="M1716" t="str">
            <v>URBANO</v>
          </cell>
          <cell r="N1716">
            <v>45376</v>
          </cell>
          <cell r="O1716">
            <v>0</v>
          </cell>
          <cell r="P1716" t="str">
            <v>XL</v>
          </cell>
        </row>
        <row r="1717">
          <cell r="A1717">
            <v>9053</v>
          </cell>
          <cell r="B1717">
            <v>9053</v>
          </cell>
          <cell r="C1717" t="str">
            <v>CERO MATRICULA</v>
          </cell>
          <cell r="D1717" t="str">
            <v>ACTIVO</v>
          </cell>
          <cell r="E1717" t="str">
            <v>CKV063</v>
          </cell>
          <cell r="F1717" t="str">
            <v>Osorio Villanueva Juan Miguel</v>
          </cell>
          <cell r="G1717" t="str">
            <v>Osorio Villanueva Juan Miguel</v>
          </cell>
          <cell r="H1717" t="str">
            <v>45800376</v>
          </cell>
          <cell r="I1717" t="str">
            <v>BBVA</v>
          </cell>
          <cell r="J1717" t="str">
            <v>01105700020631163179</v>
          </cell>
          <cell r="K1717" t="str">
            <v>DNI</v>
          </cell>
          <cell r="L1717">
            <v>10458003764</v>
          </cell>
          <cell r="M1717" t="str">
            <v>MEMBRESÍA NOCTURNA - APTO</v>
          </cell>
          <cell r="N1717">
            <v>45357</v>
          </cell>
          <cell r="O1717">
            <v>235</v>
          </cell>
          <cell r="P1717" t="str">
            <v>COMFORT XL</v>
          </cell>
        </row>
        <row r="1718">
          <cell r="A1718">
            <v>9054</v>
          </cell>
          <cell r="B1718">
            <v>9054</v>
          </cell>
          <cell r="C1718" t="str">
            <v>CERO MATRICULA</v>
          </cell>
          <cell r="D1718" t="str">
            <v>ACTIVO</v>
          </cell>
          <cell r="E1718" t="str">
            <v>CCX575</v>
          </cell>
          <cell r="F1718" t="str">
            <v xml:space="preserve">Azuaje Castillo Yorvy José </v>
          </cell>
          <cell r="G1718" t="str">
            <v xml:space="preserve">Azuaje Castillo Yorvy José </v>
          </cell>
          <cell r="H1718" t="str">
            <v>003146867</v>
          </cell>
          <cell r="I1718" t="str">
            <v>BCP</v>
          </cell>
          <cell r="J1718" t="str">
            <v>19396493873056</v>
          </cell>
          <cell r="K1718" t="str">
            <v>CE</v>
          </cell>
          <cell r="L1718">
            <v>15605754012</v>
          </cell>
          <cell r="M1718" t="str">
            <v>URBANO</v>
          </cell>
          <cell r="N1718">
            <v>45357</v>
          </cell>
          <cell r="O1718">
            <v>0</v>
          </cell>
          <cell r="P1718" t="str">
            <v>LITE</v>
          </cell>
        </row>
        <row r="1719">
          <cell r="A1719">
            <v>9055</v>
          </cell>
          <cell r="B1719">
            <v>9055</v>
          </cell>
          <cell r="C1719" t="str">
            <v>CERO MATRICULA</v>
          </cell>
          <cell r="D1719" t="str">
            <v>ACTIVO</v>
          </cell>
          <cell r="E1719" t="str">
            <v>CEE391</v>
          </cell>
          <cell r="F1719" t="str">
            <v>Ugaz Espinoza Luis Rafael</v>
          </cell>
          <cell r="G1719" t="str">
            <v>Ugaz Espinoza Luis Rafael</v>
          </cell>
          <cell r="H1719" t="str">
            <v>41476262</v>
          </cell>
          <cell r="I1719" t="str">
            <v>BCP</v>
          </cell>
          <cell r="J1719" t="str">
            <v>19476264456002</v>
          </cell>
          <cell r="K1719" t="str">
            <v>DNI</v>
          </cell>
          <cell r="L1719">
            <v>10414762625</v>
          </cell>
          <cell r="M1719" t="str">
            <v>URBANO PARTNER</v>
          </cell>
          <cell r="N1719">
            <v>45357</v>
          </cell>
          <cell r="O1719">
            <v>0</v>
          </cell>
          <cell r="P1719" t="str">
            <v>LITE</v>
          </cell>
        </row>
        <row r="1720">
          <cell r="A1720">
            <v>9056</v>
          </cell>
          <cell r="B1720">
            <v>9056</v>
          </cell>
          <cell r="C1720" t="str">
            <v>CERO MATRICULA</v>
          </cell>
          <cell r="D1720" t="str">
            <v>ACTIVO</v>
          </cell>
          <cell r="E1720" t="str">
            <v>Bps147</v>
          </cell>
          <cell r="F1720" t="str">
            <v>ALTAMIRANO Dominguez  JORGE LUIS</v>
          </cell>
          <cell r="G1720" t="str">
            <v>ALTAMIRANO Dominguez  JORGE LUIS</v>
          </cell>
          <cell r="H1720" t="str">
            <v>41378803</v>
          </cell>
          <cell r="I1720" t="str">
            <v>BBVA</v>
          </cell>
          <cell r="J1720" t="str">
            <v>001101740200448480</v>
          </cell>
          <cell r="K1720" t="str">
            <v>DNI</v>
          </cell>
          <cell r="L1720">
            <v>10413788035</v>
          </cell>
          <cell r="M1720" t="str">
            <v>URBANO</v>
          </cell>
          <cell r="N1720">
            <v>45357</v>
          </cell>
          <cell r="O1720">
            <v>0</v>
          </cell>
          <cell r="P1720" t="str">
            <v>COMFORT</v>
          </cell>
        </row>
        <row r="1721">
          <cell r="A1721">
            <v>9057</v>
          </cell>
          <cell r="B1721">
            <v>9057</v>
          </cell>
          <cell r="C1721" t="str">
            <v>CERO MATRICULA</v>
          </cell>
          <cell r="D1721" t="str">
            <v>ACTIVO</v>
          </cell>
          <cell r="E1721" t="str">
            <v>Bzh277</v>
          </cell>
          <cell r="F1721" t="str">
            <v>Enriquez García SELIM FRANKIN</v>
          </cell>
          <cell r="G1721" t="str">
            <v>Enriquez García SELIM FRANKIN</v>
          </cell>
          <cell r="H1721" t="str">
            <v>41852300</v>
          </cell>
          <cell r="I1721" t="str">
            <v>BCP</v>
          </cell>
          <cell r="J1721" t="str">
            <v>19300799669044</v>
          </cell>
          <cell r="K1721" t="str">
            <v>DNI</v>
          </cell>
          <cell r="L1721">
            <v>10418523005</v>
          </cell>
          <cell r="M1721" t="str">
            <v>URBANO</v>
          </cell>
          <cell r="N1721">
            <v>45357</v>
          </cell>
          <cell r="O1721">
            <v>0</v>
          </cell>
          <cell r="P1721" t="str">
            <v>COMFORT XL</v>
          </cell>
        </row>
        <row r="1722">
          <cell r="A1722">
            <v>9058</v>
          </cell>
          <cell r="B1722">
            <v>9058</v>
          </cell>
          <cell r="C1722" t="str">
            <v>CERO MATRICULA</v>
          </cell>
          <cell r="D1722" t="str">
            <v>ACTIVO</v>
          </cell>
          <cell r="E1722" t="str">
            <v>CAY529</v>
          </cell>
          <cell r="F1722" t="str">
            <v>Trujillo Rojas Jimmy Omar</v>
          </cell>
          <cell r="G1722" t="str">
            <v>Trujillo Rojas Jimmy Omar</v>
          </cell>
          <cell r="H1722" t="str">
            <v>25835076</v>
          </cell>
          <cell r="I1722" t="str">
            <v>BBVA</v>
          </cell>
          <cell r="J1722" t="str">
            <v>001100570277540350</v>
          </cell>
          <cell r="K1722" t="str">
            <v>DNI</v>
          </cell>
          <cell r="L1722">
            <v>10258350761</v>
          </cell>
          <cell r="M1722" t="str">
            <v>AEROLINEAS</v>
          </cell>
          <cell r="N1722">
            <v>45358</v>
          </cell>
          <cell r="O1722">
            <v>0</v>
          </cell>
          <cell r="P1722" t="str">
            <v>COMFORT</v>
          </cell>
        </row>
        <row r="1723">
          <cell r="A1723">
            <v>9059</v>
          </cell>
          <cell r="B1723">
            <v>9059</v>
          </cell>
          <cell r="C1723" t="str">
            <v>CERO MATRICULA</v>
          </cell>
          <cell r="D1723" t="str">
            <v>ACTIVO</v>
          </cell>
          <cell r="E1723" t="str">
            <v>CJO483</v>
          </cell>
          <cell r="F1723" t="str">
            <v>Cubas Arias Javier Humberto</v>
          </cell>
          <cell r="G1723" t="str">
            <v>Cubas Arias Javier Humberto</v>
          </cell>
          <cell r="H1723" t="str">
            <v>16567570</v>
          </cell>
          <cell r="I1723" t="str">
            <v>INTERBANK</v>
          </cell>
          <cell r="J1723" t="str">
            <v>3453164357035</v>
          </cell>
          <cell r="K1723" t="str">
            <v>DNI</v>
          </cell>
          <cell r="L1723">
            <v>10165675709</v>
          </cell>
          <cell r="M1723" t="str">
            <v>URBANO PARTNER</v>
          </cell>
          <cell r="N1723">
            <v>45358</v>
          </cell>
          <cell r="O1723">
            <v>0</v>
          </cell>
          <cell r="P1723" t="str">
            <v>COMFORT XL</v>
          </cell>
        </row>
        <row r="1724">
          <cell r="A1724">
            <v>9060</v>
          </cell>
          <cell r="B1724">
            <v>9060</v>
          </cell>
          <cell r="C1724" t="str">
            <v>CERO MATRICULA</v>
          </cell>
          <cell r="D1724" t="str">
            <v>ACTIVO</v>
          </cell>
          <cell r="E1724" t="str">
            <v>BUJ151</v>
          </cell>
          <cell r="F1724" t="str">
            <v>Torres Palomino Jhon Anthony</v>
          </cell>
          <cell r="G1724" t="str">
            <v>Torres Palomino Jhon Anthony</v>
          </cell>
          <cell r="H1724" t="str">
            <v>48488645</v>
          </cell>
          <cell r="I1724" t="str">
            <v>INTERBANK</v>
          </cell>
          <cell r="J1724" t="str">
            <v>8983231740670</v>
          </cell>
          <cell r="K1724" t="str">
            <v>DNI</v>
          </cell>
          <cell r="L1724">
            <v>10484886453</v>
          </cell>
          <cell r="M1724" t="str">
            <v>URBANO PARTNER</v>
          </cell>
          <cell r="N1724">
            <v>45358</v>
          </cell>
          <cell r="O1724">
            <v>0</v>
          </cell>
          <cell r="P1724" t="str">
            <v>LITE</v>
          </cell>
        </row>
        <row r="1725">
          <cell r="A1725">
            <v>9061</v>
          </cell>
          <cell r="B1725">
            <v>9061</v>
          </cell>
          <cell r="C1725" t="str">
            <v>CERO MATRICULA</v>
          </cell>
          <cell r="D1725" t="str">
            <v>ACTIVO</v>
          </cell>
          <cell r="E1725" t="str">
            <v>BNH690</v>
          </cell>
          <cell r="F1725" t="str">
            <v>ESPINOZA HUERTA JUAN EDUARDO</v>
          </cell>
          <cell r="G1725" t="str">
            <v>ESPINOZA HUERTA JUAN EDUARDO</v>
          </cell>
          <cell r="H1725" t="str">
            <v>07626318</v>
          </cell>
          <cell r="I1725" t="str">
            <v>BCP</v>
          </cell>
          <cell r="J1725" t="str">
            <v>19210281027075</v>
          </cell>
          <cell r="K1725" t="str">
            <v>DNI</v>
          </cell>
          <cell r="L1725">
            <v>10076263189</v>
          </cell>
          <cell r="M1725" t="str">
            <v>AEROPUERTO</v>
          </cell>
          <cell r="N1725">
            <v>45358</v>
          </cell>
          <cell r="O1725">
            <v>235</v>
          </cell>
          <cell r="P1725" t="str">
            <v>COMFORT XL</v>
          </cell>
        </row>
        <row r="1726">
          <cell r="A1726">
            <v>9062</v>
          </cell>
          <cell r="B1726">
            <v>9062</v>
          </cell>
          <cell r="C1726" t="str">
            <v>CERO MATRICULA</v>
          </cell>
          <cell r="D1726" t="str">
            <v>ACTIVO</v>
          </cell>
          <cell r="E1726" t="str">
            <v>AYX612</v>
          </cell>
          <cell r="F1726" t="str">
            <v>CHUQUIYURI CASTILLO EDGARD JAVIER</v>
          </cell>
          <cell r="G1726" t="str">
            <v>CHUQUIYURI CASTILLO EDGARD JAVIER</v>
          </cell>
          <cell r="H1726" t="str">
            <v>72112180</v>
          </cell>
          <cell r="I1726" t="str">
            <v>INTERBANK</v>
          </cell>
          <cell r="J1726" t="str">
            <v>0753285629582</v>
          </cell>
          <cell r="K1726" t="str">
            <v>DNI</v>
          </cell>
          <cell r="L1726">
            <v>10721121807</v>
          </cell>
          <cell r="M1726" t="str">
            <v>AEROPUERTO</v>
          </cell>
          <cell r="N1726">
            <v>45358</v>
          </cell>
          <cell r="O1726">
            <v>235</v>
          </cell>
          <cell r="P1726" t="str">
            <v>COMFORT XL</v>
          </cell>
        </row>
        <row r="1727">
          <cell r="A1727">
            <v>9064</v>
          </cell>
          <cell r="B1727">
            <v>9064</v>
          </cell>
          <cell r="C1727" t="str">
            <v>CERO MATRICULA</v>
          </cell>
          <cell r="D1727" t="str">
            <v>ACTIVO</v>
          </cell>
          <cell r="E1727" t="str">
            <v>CFB217</v>
          </cell>
          <cell r="F1727" t="str">
            <v>Arana Villarreal Edgar de Jesus</v>
          </cell>
          <cell r="G1727" t="str">
            <v>Arana Villarreal Edgar de Jesus</v>
          </cell>
          <cell r="H1727" t="str">
            <v>002879906</v>
          </cell>
          <cell r="I1727" t="str">
            <v>BCP</v>
          </cell>
          <cell r="J1727" t="str">
            <v>19291730112077</v>
          </cell>
          <cell r="K1727" t="str">
            <v>CE</v>
          </cell>
          <cell r="L1727">
            <v>15604010320</v>
          </cell>
          <cell r="M1727" t="str">
            <v>AEROLINEAS</v>
          </cell>
          <cell r="N1727">
            <v>45358</v>
          </cell>
          <cell r="O1727">
            <v>0</v>
          </cell>
          <cell r="P1727" t="str">
            <v>LITE</v>
          </cell>
        </row>
        <row r="1728">
          <cell r="A1728">
            <v>9065</v>
          </cell>
          <cell r="B1728">
            <v>9065</v>
          </cell>
          <cell r="C1728" t="str">
            <v>CERO MATRICULA</v>
          </cell>
          <cell r="D1728" t="str">
            <v>ACTIVO</v>
          </cell>
          <cell r="E1728" t="str">
            <v>CAC385</v>
          </cell>
          <cell r="F1728" t="str">
            <v>Amable Ancasi Miguel augusto</v>
          </cell>
          <cell r="G1728" t="str">
            <v>Amable Ancasi Miguel augusto</v>
          </cell>
          <cell r="H1728" t="str">
            <v>40670164</v>
          </cell>
          <cell r="I1728" t="str">
            <v>BCP</v>
          </cell>
          <cell r="J1728" t="str">
            <v>19493940466057</v>
          </cell>
          <cell r="K1728" t="str">
            <v>DNI</v>
          </cell>
          <cell r="L1728">
            <v>10406701641</v>
          </cell>
          <cell r="M1728" t="str">
            <v>URBANO</v>
          </cell>
          <cell r="N1728">
            <v>45363</v>
          </cell>
          <cell r="O1728">
            <v>0</v>
          </cell>
          <cell r="P1728" t="str">
            <v>LITE</v>
          </cell>
        </row>
        <row r="1729">
          <cell r="A1729">
            <v>9066</v>
          </cell>
          <cell r="B1729">
            <v>9066</v>
          </cell>
          <cell r="C1729" t="str">
            <v>CERO MATRICULA</v>
          </cell>
          <cell r="D1729" t="str">
            <v>ACTIVO</v>
          </cell>
          <cell r="E1729" t="str">
            <v>C4P250</v>
          </cell>
          <cell r="F1729" t="str">
            <v>Muje Memenza Elmer</v>
          </cell>
          <cell r="G1729" t="str">
            <v>Muje Memenza Elmer</v>
          </cell>
          <cell r="H1729">
            <v>47516276</v>
          </cell>
          <cell r="I1729" t="str">
            <v>BCP</v>
          </cell>
          <cell r="J1729" t="str">
            <v>19496638446089</v>
          </cell>
          <cell r="K1729" t="str">
            <v>DNI</v>
          </cell>
          <cell r="L1729">
            <v>10475162761</v>
          </cell>
          <cell r="M1729" t="str">
            <v>URBANO</v>
          </cell>
          <cell r="N1729">
            <v>45342</v>
          </cell>
          <cell r="O1729">
            <v>0</v>
          </cell>
          <cell r="P1729" t="str">
            <v>COMFORT</v>
          </cell>
        </row>
        <row r="1730">
          <cell r="A1730">
            <v>9067</v>
          </cell>
          <cell r="B1730">
            <v>9067</v>
          </cell>
          <cell r="C1730" t="str">
            <v>CERO MATRICULA</v>
          </cell>
          <cell r="D1730" t="str">
            <v>ACTIVO</v>
          </cell>
          <cell r="E1730" t="str">
            <v>CKP184</v>
          </cell>
          <cell r="F1730" t="str">
            <v>CHAMORRO MARTINEZ David Arturo</v>
          </cell>
          <cell r="G1730" t="str">
            <v>CHAMORRO MARTINEZ David Arturo</v>
          </cell>
          <cell r="H1730" t="str">
            <v>10148528</v>
          </cell>
          <cell r="I1730" t="str">
            <v>BCP</v>
          </cell>
          <cell r="J1730" t="str">
            <v>19494476705013</v>
          </cell>
          <cell r="K1730" t="str">
            <v>DNI</v>
          </cell>
          <cell r="L1730">
            <v>10101485281</v>
          </cell>
          <cell r="M1730" t="str">
            <v>URBANO</v>
          </cell>
          <cell r="N1730">
            <v>45363</v>
          </cell>
          <cell r="O1730">
            <v>0</v>
          </cell>
          <cell r="P1730" t="str">
            <v>COMFORT XL</v>
          </cell>
        </row>
        <row r="1731">
          <cell r="A1731">
            <v>9068</v>
          </cell>
          <cell r="B1731">
            <v>9068</v>
          </cell>
          <cell r="C1731" t="str">
            <v>CERO MATRICULA</v>
          </cell>
          <cell r="D1731" t="str">
            <v>ACTIVO</v>
          </cell>
          <cell r="E1731" t="str">
            <v>Bvx209</v>
          </cell>
          <cell r="F1731" t="str">
            <v>Diaz Lorenzo Luis</v>
          </cell>
          <cell r="G1731" t="str">
            <v>Diaz Lorenzo Luis</v>
          </cell>
          <cell r="H1731" t="str">
            <v>001202058</v>
          </cell>
          <cell r="I1731" t="str">
            <v>BBVA</v>
          </cell>
          <cell r="J1731" t="str">
            <v>0011087202000691</v>
          </cell>
          <cell r="K1731" t="str">
            <v>CE</v>
          </cell>
          <cell r="L1731">
            <v>15602558701</v>
          </cell>
          <cell r="M1731" t="str">
            <v>AEROLINEAS</v>
          </cell>
          <cell r="N1731">
            <v>45363</v>
          </cell>
          <cell r="O1731">
            <v>0</v>
          </cell>
          <cell r="P1731" t="str">
            <v>LITE</v>
          </cell>
        </row>
        <row r="1732">
          <cell r="A1732">
            <v>9069</v>
          </cell>
          <cell r="B1732">
            <v>9069</v>
          </cell>
          <cell r="C1732" t="str">
            <v>CERO MATRICULA</v>
          </cell>
          <cell r="D1732" t="str">
            <v>ACTIVO</v>
          </cell>
          <cell r="E1732" t="str">
            <v>BNQ406</v>
          </cell>
          <cell r="F1732" t="str">
            <v>De la cruz Zevallos Mario Edson</v>
          </cell>
          <cell r="G1732" t="str">
            <v>De la cruz Zevallos Mario Edson</v>
          </cell>
          <cell r="H1732" t="str">
            <v>45139139</v>
          </cell>
          <cell r="I1732" t="str">
            <v>BCP</v>
          </cell>
          <cell r="J1732" t="str">
            <v>19470055054079</v>
          </cell>
          <cell r="K1732" t="str">
            <v>DNI</v>
          </cell>
          <cell r="L1732">
            <v>10451391394</v>
          </cell>
          <cell r="M1732" t="str">
            <v>URBANO</v>
          </cell>
          <cell r="N1732">
            <v>45363</v>
          </cell>
          <cell r="O1732">
            <v>0</v>
          </cell>
          <cell r="P1732" t="str">
            <v>LITE</v>
          </cell>
        </row>
        <row r="1733">
          <cell r="A1733">
            <v>9071</v>
          </cell>
          <cell r="B1733">
            <v>9071</v>
          </cell>
          <cell r="C1733" t="str">
            <v>CERO MATRICULA</v>
          </cell>
          <cell r="D1733" t="str">
            <v>ACTIVO</v>
          </cell>
          <cell r="E1733" t="str">
            <v>CAE-633</v>
          </cell>
          <cell r="F1733" t="str">
            <v>Bescanza Arguello José Miguel</v>
          </cell>
          <cell r="G1733" t="str">
            <v>Bescanza Arguello José Miguel</v>
          </cell>
          <cell r="H1733" t="str">
            <v>003412252</v>
          </cell>
          <cell r="I1733" t="str">
            <v>BCP</v>
          </cell>
          <cell r="J1733" t="str">
            <v>19101740660041</v>
          </cell>
          <cell r="K1733" t="str">
            <v>CE</v>
          </cell>
          <cell r="L1733">
            <v>15606796185</v>
          </cell>
          <cell r="M1733" t="str">
            <v>URBANO</v>
          </cell>
          <cell r="N1733">
            <v>45365</v>
          </cell>
          <cell r="O1733">
            <v>0</v>
          </cell>
          <cell r="P1733" t="str">
            <v>COMFORT XL</v>
          </cell>
        </row>
        <row r="1734">
          <cell r="A1734">
            <v>9072</v>
          </cell>
          <cell r="B1734">
            <v>9072</v>
          </cell>
          <cell r="C1734" t="str">
            <v>CERO MATRICULA</v>
          </cell>
          <cell r="D1734" t="str">
            <v>ACTIVO</v>
          </cell>
          <cell r="E1734" t="str">
            <v>BRM364</v>
          </cell>
          <cell r="F1734" t="str">
            <v xml:space="preserve">Sandonás Moreno Elmer Samuel </v>
          </cell>
          <cell r="G1734" t="str">
            <v xml:space="preserve">Sandonás Moreno Elmer Samuel </v>
          </cell>
          <cell r="H1734" t="str">
            <v>41281074</v>
          </cell>
          <cell r="I1734" t="str">
            <v>INTERBANK</v>
          </cell>
          <cell r="J1734" t="str">
            <v>1443150985221</v>
          </cell>
          <cell r="K1734" t="str">
            <v>DNI</v>
          </cell>
          <cell r="L1734">
            <v>10412810746</v>
          </cell>
          <cell r="M1734" t="str">
            <v>URBANO PARTNER</v>
          </cell>
          <cell r="N1734">
            <v>45365</v>
          </cell>
          <cell r="O1734">
            <v>0</v>
          </cell>
          <cell r="P1734" t="str">
            <v>LITE</v>
          </cell>
        </row>
        <row r="1735">
          <cell r="A1735">
            <v>9073</v>
          </cell>
          <cell r="B1735">
            <v>9073</v>
          </cell>
          <cell r="C1735" t="str">
            <v>CERO MATRICULA</v>
          </cell>
          <cell r="D1735" t="str">
            <v>ACTIVO</v>
          </cell>
          <cell r="E1735" t="str">
            <v>CKB103</v>
          </cell>
          <cell r="F1735" t="str">
            <v>Aspauzo Meiggs José Antonio</v>
          </cell>
          <cell r="G1735" t="str">
            <v>Aspauzo Meiggs José Antonio</v>
          </cell>
          <cell r="H1735" t="str">
            <v>71254540</v>
          </cell>
          <cell r="I1735" t="str">
            <v>BBVA</v>
          </cell>
          <cell r="J1735" t="str">
            <v>001108140248628890</v>
          </cell>
          <cell r="K1735" t="str">
            <v>DNI</v>
          </cell>
          <cell r="L1735">
            <v>10712545408</v>
          </cell>
          <cell r="M1735" t="str">
            <v>URBANO</v>
          </cell>
          <cell r="N1735">
            <v>45365</v>
          </cell>
          <cell r="O1735">
            <v>0</v>
          </cell>
          <cell r="P1735" t="str">
            <v>COMFORT XL</v>
          </cell>
        </row>
        <row r="1736">
          <cell r="A1736">
            <v>9074</v>
          </cell>
          <cell r="B1736">
            <v>9074</v>
          </cell>
          <cell r="C1736" t="str">
            <v>CERO MATRICULA</v>
          </cell>
          <cell r="D1736" t="str">
            <v>ACTIVO</v>
          </cell>
          <cell r="E1736" t="str">
            <v>Cfe500</v>
          </cell>
          <cell r="F1736" t="str">
            <v>Duran valera Valera Luis José</v>
          </cell>
          <cell r="G1736" t="str">
            <v>Aldison Vera Linares</v>
          </cell>
          <cell r="H1736" t="str">
            <v>003392145</v>
          </cell>
          <cell r="I1736" t="str">
            <v>BCP</v>
          </cell>
          <cell r="J1736" t="str">
            <v>19100611920000</v>
          </cell>
          <cell r="K1736" t="str">
            <v>CE</v>
          </cell>
          <cell r="L1736">
            <v>15604759363</v>
          </cell>
          <cell r="M1736" t="str">
            <v>MEMBRESÍA URBANO</v>
          </cell>
          <cell r="N1736">
            <v>45365</v>
          </cell>
          <cell r="O1736">
            <v>280</v>
          </cell>
          <cell r="P1736" t="str">
            <v>COMFORT XL</v>
          </cell>
        </row>
        <row r="1737">
          <cell r="A1737">
            <v>9075</v>
          </cell>
          <cell r="B1737">
            <v>9075</v>
          </cell>
          <cell r="C1737" t="str">
            <v>CERO MATRICULA</v>
          </cell>
          <cell r="D1737" t="str">
            <v>ACTIVO</v>
          </cell>
          <cell r="E1737" t="str">
            <v>CJA35O</v>
          </cell>
          <cell r="F1737" t="str">
            <v>Felipino Obispo Edin Ernesto</v>
          </cell>
          <cell r="G1737" t="str">
            <v>Felipino Obispo Edin Ernesto</v>
          </cell>
          <cell r="H1737" t="str">
            <v>003145407</v>
          </cell>
          <cell r="I1737" t="str">
            <v>BCP</v>
          </cell>
          <cell r="J1737" t="str">
            <v>19195431517070</v>
          </cell>
          <cell r="K1737" t="str">
            <v>CE</v>
          </cell>
          <cell r="L1737">
            <v>15607608790</v>
          </cell>
          <cell r="M1737" t="str">
            <v>AEROPUERTO</v>
          </cell>
          <cell r="N1737">
            <v>45341</v>
          </cell>
          <cell r="O1737">
            <v>235</v>
          </cell>
          <cell r="P1737" t="str">
            <v>COMFORT XL</v>
          </cell>
        </row>
        <row r="1738">
          <cell r="A1738">
            <v>9076</v>
          </cell>
          <cell r="B1738">
            <v>9076</v>
          </cell>
          <cell r="C1738" t="str">
            <v>CERO MATRICULA</v>
          </cell>
          <cell r="D1738" t="str">
            <v>ACTIVO</v>
          </cell>
          <cell r="E1738" t="str">
            <v>CHN650</v>
          </cell>
          <cell r="F1738" t="str">
            <v>Sotero Toledo Juan David</v>
          </cell>
          <cell r="G1738" t="str">
            <v>Sotero Toledo Juan David</v>
          </cell>
          <cell r="H1738" t="str">
            <v>72729434</v>
          </cell>
          <cell r="I1738" t="str">
            <v>BCP</v>
          </cell>
          <cell r="J1738" t="str">
            <v>19396163281025</v>
          </cell>
          <cell r="K1738" t="str">
            <v>DNI</v>
          </cell>
          <cell r="L1738">
            <v>10727294347</v>
          </cell>
          <cell r="M1738" t="str">
            <v>URBANO</v>
          </cell>
          <cell r="N1738">
            <v>45341</v>
          </cell>
          <cell r="O1738">
            <v>0</v>
          </cell>
          <cell r="P1738" t="str">
            <v>LITE</v>
          </cell>
        </row>
        <row r="1739">
          <cell r="A1739">
            <v>9077</v>
          </cell>
          <cell r="B1739">
            <v>9077</v>
          </cell>
          <cell r="C1739" t="str">
            <v>CERO MATRICULA</v>
          </cell>
          <cell r="D1739" t="str">
            <v>ACTIVO</v>
          </cell>
          <cell r="E1739" t="str">
            <v>BHL409</v>
          </cell>
          <cell r="F1739" t="str">
            <v>Serrano Olivar José Ramón</v>
          </cell>
          <cell r="G1739" t="str">
            <v>Serrano Olivar José Ramón</v>
          </cell>
          <cell r="H1739" t="str">
            <v>004214662</v>
          </cell>
          <cell r="I1739" t="str">
            <v>INTERBANK</v>
          </cell>
          <cell r="J1739" t="str">
            <v>2683383758908</v>
          </cell>
          <cell r="K1739" t="str">
            <v>CE</v>
          </cell>
          <cell r="L1739">
            <v>15607693096</v>
          </cell>
          <cell r="M1739" t="str">
            <v>URBANO</v>
          </cell>
          <cell r="N1739">
            <v>45341</v>
          </cell>
          <cell r="O1739">
            <v>0</v>
          </cell>
          <cell r="P1739" t="str">
            <v>LITE</v>
          </cell>
        </row>
        <row r="1740">
          <cell r="A1740">
            <v>9078</v>
          </cell>
          <cell r="B1740">
            <v>9078</v>
          </cell>
          <cell r="C1740" t="str">
            <v>CERO MATRICULA</v>
          </cell>
          <cell r="D1740" t="str">
            <v>ACTIVO</v>
          </cell>
          <cell r="E1740" t="str">
            <v>BXQ140</v>
          </cell>
          <cell r="F1740" t="str">
            <v>Altamirano Apaza PEDRO DANIEL</v>
          </cell>
          <cell r="G1740" t="str">
            <v>Altamirano Apaza PEDRO DANIEL</v>
          </cell>
          <cell r="H1740" t="str">
            <v>43108272</v>
          </cell>
          <cell r="I1740" t="str">
            <v>BBVA</v>
          </cell>
          <cell r="J1740" t="str">
            <v>001106160200272063</v>
          </cell>
          <cell r="K1740" t="str">
            <v>DNI</v>
          </cell>
          <cell r="L1740">
            <v>10431082727</v>
          </cell>
          <cell r="M1740" t="str">
            <v>URBANO</v>
          </cell>
          <cell r="N1740">
            <v>45341</v>
          </cell>
          <cell r="O1740">
            <v>0</v>
          </cell>
          <cell r="P1740" t="str">
            <v>LITE</v>
          </cell>
        </row>
        <row r="1741">
          <cell r="A1741">
            <v>9079</v>
          </cell>
          <cell r="B1741">
            <v>9079</v>
          </cell>
          <cell r="C1741" t="str">
            <v>CERO MATRICULA</v>
          </cell>
          <cell r="D1741" t="str">
            <v>ACTIVO</v>
          </cell>
          <cell r="E1741" t="str">
            <v>CCP086</v>
          </cell>
          <cell r="F1741" t="str">
            <v>QUISPE PISCO RONALD ANDERSON</v>
          </cell>
          <cell r="G1741" t="str">
            <v>QUISPE PISCO RONALD ANDERSON</v>
          </cell>
          <cell r="H1741" t="str">
            <v>47034056</v>
          </cell>
          <cell r="I1741" t="str">
            <v>BCP</v>
          </cell>
          <cell r="J1741" t="str">
            <v>19102855825070</v>
          </cell>
          <cell r="K1741" t="str">
            <v>DNI</v>
          </cell>
          <cell r="L1741">
            <v>10470340563</v>
          </cell>
          <cell r="M1741" t="str">
            <v>URBANO</v>
          </cell>
          <cell r="N1741">
            <v>45341</v>
          </cell>
          <cell r="O1741">
            <v>0</v>
          </cell>
          <cell r="P1741" t="str">
            <v>XL</v>
          </cell>
        </row>
        <row r="1742">
          <cell r="A1742">
            <v>9080</v>
          </cell>
          <cell r="B1742">
            <v>9080</v>
          </cell>
          <cell r="C1742" t="str">
            <v>CERO MATRICULA</v>
          </cell>
          <cell r="D1742" t="str">
            <v>ACTIVO</v>
          </cell>
          <cell r="E1742" t="str">
            <v>CCU249</v>
          </cell>
          <cell r="F1742" t="str">
            <v>Huaycochea Rivera Edith</v>
          </cell>
          <cell r="G1742" t="str">
            <v>Huaycochea Rivera Edith</v>
          </cell>
          <cell r="H1742" t="str">
            <v>10740950</v>
          </cell>
          <cell r="I1742" t="str">
            <v>BBVA</v>
          </cell>
          <cell r="J1742" t="str">
            <v>001108140203713938</v>
          </cell>
          <cell r="K1742" t="str">
            <v>DNI</v>
          </cell>
          <cell r="L1742">
            <v>10107409501</v>
          </cell>
          <cell r="M1742" t="str">
            <v>URBANO</v>
          </cell>
          <cell r="N1742">
            <v>45342</v>
          </cell>
          <cell r="O1742">
            <v>0</v>
          </cell>
          <cell r="P1742" t="str">
            <v>COMFORT</v>
          </cell>
        </row>
        <row r="1743">
          <cell r="A1743">
            <v>9081</v>
          </cell>
          <cell r="B1743">
            <v>9081</v>
          </cell>
          <cell r="C1743" t="str">
            <v>CERO MATRICULA</v>
          </cell>
          <cell r="D1743" t="str">
            <v>ACTIVO</v>
          </cell>
          <cell r="E1743" t="str">
            <v>CCO154</v>
          </cell>
          <cell r="F1743" t="str">
            <v>Mautino Rayo Raul Enrique</v>
          </cell>
          <cell r="G1743" t="str">
            <v>INVERSIONES ELANDAR E.I.R.L.</v>
          </cell>
          <cell r="H1743" t="str">
            <v>20608693433</v>
          </cell>
          <cell r="I1743" t="str">
            <v>BBVA</v>
          </cell>
          <cell r="J1743" t="str">
            <v>001101090100097934</v>
          </cell>
          <cell r="K1743" t="str">
            <v>RUC</v>
          </cell>
          <cell r="L1743">
            <v>20608693433</v>
          </cell>
          <cell r="M1743" t="str">
            <v>URBANO</v>
          </cell>
          <cell r="N1743">
            <v>45342</v>
          </cell>
          <cell r="O1743">
            <v>0</v>
          </cell>
          <cell r="P1743" t="str">
            <v>LITE</v>
          </cell>
        </row>
        <row r="1744">
          <cell r="A1744">
            <v>9082</v>
          </cell>
          <cell r="B1744">
            <v>9082</v>
          </cell>
          <cell r="C1744" t="str">
            <v>CERO MATRICULA</v>
          </cell>
          <cell r="D1744" t="str">
            <v>ACTIVO</v>
          </cell>
          <cell r="E1744" t="str">
            <v>CKP199</v>
          </cell>
          <cell r="F1744" t="str">
            <v>GOMEZ GOMEZ CLELIA TERESA</v>
          </cell>
          <cell r="G1744" t="str">
            <v>GOMEZ GOMEZ ROSALIA GLADYS</v>
          </cell>
          <cell r="H1744" t="str">
            <v>08870396</v>
          </cell>
          <cell r="I1744" t="str">
            <v>BBVA</v>
          </cell>
          <cell r="J1744" t="str">
            <v>001108140255175640</v>
          </cell>
          <cell r="K1744" t="str">
            <v>DNI</v>
          </cell>
          <cell r="L1744">
            <v>10088703966</v>
          </cell>
          <cell r="M1744" t="str">
            <v>URBANO</v>
          </cell>
          <cell r="N1744">
            <v>45376</v>
          </cell>
          <cell r="O1744">
            <v>0</v>
          </cell>
          <cell r="P1744" t="str">
            <v>LITE</v>
          </cell>
        </row>
        <row r="1745">
          <cell r="A1745">
            <v>9084</v>
          </cell>
          <cell r="B1745">
            <v>9084</v>
          </cell>
          <cell r="C1745" t="str">
            <v>CERO MATRICULA</v>
          </cell>
          <cell r="D1745" t="str">
            <v>ACTIVO</v>
          </cell>
          <cell r="E1745" t="str">
            <v>BXK391</v>
          </cell>
          <cell r="F1745" t="str">
            <v>Briceño Leonardo Michael Eladio</v>
          </cell>
          <cell r="G1745" t="str">
            <v>Briceño Leonardo Michael Eladio</v>
          </cell>
          <cell r="H1745">
            <v>10881861</v>
          </cell>
          <cell r="I1745" t="str">
            <v>BCP</v>
          </cell>
          <cell r="J1745" t="str">
            <v>19292218143037</v>
          </cell>
          <cell r="K1745" t="str">
            <v>DNI</v>
          </cell>
          <cell r="L1745">
            <v>10108818617</v>
          </cell>
          <cell r="M1745" t="str">
            <v>AEROLINEAS</v>
          </cell>
          <cell r="N1745">
            <v>45372</v>
          </cell>
          <cell r="O1745">
            <v>0</v>
          </cell>
          <cell r="P1745" t="str">
            <v>LITE</v>
          </cell>
        </row>
        <row r="1746">
          <cell r="A1746">
            <v>9085</v>
          </cell>
          <cell r="B1746">
            <v>9085</v>
          </cell>
          <cell r="C1746" t="str">
            <v>CERO MATRICULA</v>
          </cell>
          <cell r="D1746" t="str">
            <v>ACTIVO</v>
          </cell>
          <cell r="E1746" t="str">
            <v>T7I211</v>
          </cell>
          <cell r="F1746" t="str">
            <v>Gonzales Tantachuco Manuel Angel</v>
          </cell>
          <cell r="G1746" t="str">
            <v xml:space="preserve">Nelly Vasquez Alvarado </v>
          </cell>
          <cell r="H1746" t="str">
            <v xml:space="preserve"> 43127738</v>
          </cell>
          <cell r="I1746" t="str">
            <v>BBVA</v>
          </cell>
          <cell r="J1746" t="str">
            <v>001108140230958187</v>
          </cell>
          <cell r="K1746" t="str">
            <v>DNI</v>
          </cell>
          <cell r="L1746">
            <v>10431277382</v>
          </cell>
          <cell r="M1746" t="str">
            <v>AEROLINEAS</v>
          </cell>
          <cell r="N1746">
            <v>45343</v>
          </cell>
          <cell r="O1746">
            <v>0</v>
          </cell>
          <cell r="P1746" t="str">
            <v>COMFORT XL</v>
          </cell>
        </row>
        <row r="1747">
          <cell r="A1747">
            <v>9086</v>
          </cell>
          <cell r="B1747">
            <v>9086</v>
          </cell>
          <cell r="C1747" t="str">
            <v>CERO MATRICULA</v>
          </cell>
          <cell r="D1747" t="str">
            <v>ACTIVO</v>
          </cell>
          <cell r="E1747" t="str">
            <v>CKZ140</v>
          </cell>
          <cell r="F1747" t="str">
            <v>Orosco Torrelio Peter Jordan</v>
          </cell>
          <cell r="G1747" t="str">
            <v>Orosco Torrelio Peter Jordan</v>
          </cell>
          <cell r="H1747" t="str">
            <v>70676051</v>
          </cell>
          <cell r="I1747" t="str">
            <v>BBVA</v>
          </cell>
          <cell r="J1747" t="str">
            <v>001108140255064083</v>
          </cell>
          <cell r="K1747" t="str">
            <v>DNI</v>
          </cell>
          <cell r="L1747">
            <v>10706760518</v>
          </cell>
          <cell r="M1747" t="str">
            <v>URBANO</v>
          </cell>
          <cell r="N1747">
            <v>45343</v>
          </cell>
          <cell r="O1747">
            <v>0</v>
          </cell>
          <cell r="P1747" t="str">
            <v>LITE</v>
          </cell>
        </row>
        <row r="1748">
          <cell r="A1748">
            <v>9087</v>
          </cell>
          <cell r="B1748">
            <v>9087</v>
          </cell>
          <cell r="C1748" t="str">
            <v>CERO MATRICULA</v>
          </cell>
          <cell r="D1748" t="str">
            <v>ACTIVO</v>
          </cell>
          <cell r="E1748" t="str">
            <v>ACH456</v>
          </cell>
          <cell r="F1748" t="str">
            <v>CAMACHO PACCOSONCCO WILFREDO RAFAEL</v>
          </cell>
          <cell r="G1748" t="str">
            <v>CAMACHO PACCOSONCCO WILFREDO RAFAEL</v>
          </cell>
          <cell r="H1748" t="str">
            <v>41663011</v>
          </cell>
          <cell r="I1748" t="str">
            <v>BCP</v>
          </cell>
          <cell r="J1748" t="str">
            <v>19179522766024</v>
          </cell>
          <cell r="K1748" t="str">
            <v>DNI</v>
          </cell>
          <cell r="L1748">
            <v>10416630114</v>
          </cell>
          <cell r="M1748" t="str">
            <v>URBANO</v>
          </cell>
          <cell r="N1748">
            <v>45343</v>
          </cell>
          <cell r="O1748">
            <v>0</v>
          </cell>
          <cell r="P1748" t="str">
            <v>COMFORT</v>
          </cell>
        </row>
        <row r="1749">
          <cell r="A1749">
            <v>9088</v>
          </cell>
          <cell r="B1749">
            <v>9088</v>
          </cell>
          <cell r="C1749" t="str">
            <v>CERO MATRICULA</v>
          </cell>
          <cell r="D1749" t="str">
            <v>ACTIVO</v>
          </cell>
          <cell r="E1749" t="str">
            <v>CBE016</v>
          </cell>
          <cell r="F1749" t="str">
            <v>Carbajal Rodríguez Johan</v>
          </cell>
          <cell r="G1749" t="str">
            <v>CARBAJAL RODRIGUEZ JOHAN YAMILL</v>
          </cell>
          <cell r="H1749" t="str">
            <v>10766971</v>
          </cell>
          <cell r="I1749" t="str">
            <v>INTERBANK</v>
          </cell>
          <cell r="J1749" t="str">
            <v>1593398279931</v>
          </cell>
          <cell r="K1749" t="str">
            <v>DNI</v>
          </cell>
          <cell r="L1749">
            <v>10107669715</v>
          </cell>
          <cell r="M1749" t="str">
            <v>URBANO</v>
          </cell>
          <cell r="N1749">
            <v>45376</v>
          </cell>
          <cell r="O1749">
            <v>0</v>
          </cell>
          <cell r="P1749" t="str">
            <v>COMFORT XL</v>
          </cell>
        </row>
        <row r="1750">
          <cell r="A1750">
            <v>9089</v>
          </cell>
          <cell r="B1750">
            <v>9089</v>
          </cell>
          <cell r="C1750" t="str">
            <v>CERO MATRICULA</v>
          </cell>
          <cell r="D1750" t="str">
            <v>ACTIVO</v>
          </cell>
          <cell r="E1750" t="str">
            <v>W4C240</v>
          </cell>
          <cell r="F1750" t="str">
            <v>Serrano Olivar Yanderson Antonio</v>
          </cell>
          <cell r="G1750" t="str">
            <v>Serrano Olivar Yanderson Antonio</v>
          </cell>
          <cell r="H1750" t="str">
            <v>004211066</v>
          </cell>
          <cell r="I1750" t="str">
            <v>INTERBANK</v>
          </cell>
          <cell r="J1750" t="str">
            <v>2683383759629</v>
          </cell>
          <cell r="K1750" t="str">
            <v>CE</v>
          </cell>
          <cell r="L1750">
            <v>15607696851</v>
          </cell>
          <cell r="M1750" t="str">
            <v>URBANO</v>
          </cell>
          <cell r="N1750">
            <v>45372</v>
          </cell>
          <cell r="O1750">
            <v>0</v>
          </cell>
          <cell r="P1750" t="str">
            <v>LITE</v>
          </cell>
        </row>
        <row r="1751">
          <cell r="A1751">
            <v>9090</v>
          </cell>
          <cell r="B1751">
            <v>9090</v>
          </cell>
          <cell r="C1751" t="str">
            <v>CERO MATRICULA</v>
          </cell>
          <cell r="D1751" t="str">
            <v>ACTIVO</v>
          </cell>
          <cell r="E1751" t="str">
            <v>C3W402</v>
          </cell>
          <cell r="F1751" t="str">
            <v>ANAYA FIGUEROA RAFAEL MARTIN</v>
          </cell>
          <cell r="G1751" t="str">
            <v>ANAYA FIGUEROA RAFAEL MARTIN</v>
          </cell>
          <cell r="H1751" t="str">
            <v>45573918</v>
          </cell>
          <cell r="I1751" t="str">
            <v>INTERBANK</v>
          </cell>
          <cell r="J1751" t="str">
            <v>1653112079268</v>
          </cell>
          <cell r="K1751" t="str">
            <v>DNI</v>
          </cell>
          <cell r="L1751">
            <v>10455739182</v>
          </cell>
          <cell r="M1751" t="str">
            <v>URBANO</v>
          </cell>
          <cell r="N1751">
            <v>45373</v>
          </cell>
          <cell r="O1751">
            <v>0</v>
          </cell>
          <cell r="P1751" t="str">
            <v>COMFORT</v>
          </cell>
        </row>
        <row r="1752">
          <cell r="A1752">
            <v>9091</v>
          </cell>
          <cell r="B1752">
            <v>9091</v>
          </cell>
          <cell r="C1752" t="str">
            <v>CERO MATRICULA</v>
          </cell>
          <cell r="D1752" t="str">
            <v>ACTIVO</v>
          </cell>
          <cell r="E1752" t="str">
            <v>CKV292</v>
          </cell>
          <cell r="F1752" t="str">
            <v>Papa Rodriguez Ruben Dario</v>
          </cell>
          <cell r="G1752" t="str">
            <v>PAPA RODRIGUEZ RUBEN DARIO</v>
          </cell>
          <cell r="H1752">
            <v>75265369</v>
          </cell>
          <cell r="I1752" t="str">
            <v>BCP</v>
          </cell>
          <cell r="J1752" t="str">
            <v>19339279553014</v>
          </cell>
          <cell r="K1752" t="str">
            <v>DNI</v>
          </cell>
          <cell r="L1752">
            <v>10752653696</v>
          </cell>
          <cell r="M1752" t="str">
            <v>URBANO</v>
          </cell>
          <cell r="N1752">
            <v>45376</v>
          </cell>
          <cell r="O1752">
            <v>0</v>
          </cell>
          <cell r="P1752" t="str">
            <v>XL</v>
          </cell>
        </row>
        <row r="1753">
          <cell r="A1753">
            <v>9092</v>
          </cell>
          <cell r="B1753">
            <v>9092</v>
          </cell>
          <cell r="C1753" t="str">
            <v>CERO MATRICULA</v>
          </cell>
          <cell r="D1753" t="str">
            <v>ACTIVO</v>
          </cell>
          <cell r="E1753" t="str">
            <v>A3Y294</v>
          </cell>
          <cell r="F1753" t="str">
            <v>BERROSPI AYALA JESUS LUIS</v>
          </cell>
          <cell r="G1753" t="str">
            <v>BERROSPI AYALA JESUS LUIS</v>
          </cell>
          <cell r="H1753" t="str">
            <v>10155014</v>
          </cell>
          <cell r="I1753" t="str">
            <v>BCP</v>
          </cell>
          <cell r="J1753" t="str">
            <v>19305286152046</v>
          </cell>
          <cell r="K1753" t="str">
            <v>DNI</v>
          </cell>
          <cell r="L1753">
            <v>10101550147</v>
          </cell>
          <cell r="M1753" t="str">
            <v>URBANO</v>
          </cell>
          <cell r="N1753">
            <v>45376</v>
          </cell>
          <cell r="O1753">
            <v>0</v>
          </cell>
          <cell r="P1753" t="str">
            <v>COMFORT XL</v>
          </cell>
        </row>
        <row r="1754">
          <cell r="A1754">
            <v>9093</v>
          </cell>
          <cell r="B1754">
            <v>9093</v>
          </cell>
          <cell r="C1754" t="str">
            <v>CERO MATRICULA</v>
          </cell>
          <cell r="D1754" t="str">
            <v>ACTIVO</v>
          </cell>
          <cell r="E1754" t="str">
            <v>CEI547</v>
          </cell>
          <cell r="F1754" t="str">
            <v xml:space="preserve">VASQUEZ Coral Marco Antonio </v>
          </cell>
          <cell r="G1754" t="str">
            <v>VASQUEZ CORAL MARCO ANTONIO</v>
          </cell>
          <cell r="H1754" t="str">
            <v>25752169</v>
          </cell>
          <cell r="I1754" t="str">
            <v>BCP</v>
          </cell>
          <cell r="J1754" t="str">
            <v>19271062936042</v>
          </cell>
          <cell r="K1754" t="str">
            <v>DNI</v>
          </cell>
          <cell r="L1754">
            <v>10257521694</v>
          </cell>
          <cell r="M1754" t="str">
            <v>URBANO</v>
          </cell>
          <cell r="N1754">
            <v>45376</v>
          </cell>
          <cell r="O1754">
            <v>0</v>
          </cell>
          <cell r="P1754" t="str">
            <v>LITE</v>
          </cell>
        </row>
        <row r="1755">
          <cell r="A1755">
            <v>9094</v>
          </cell>
          <cell r="B1755">
            <v>9094</v>
          </cell>
          <cell r="C1755" t="str">
            <v>CERO MATRICULA</v>
          </cell>
          <cell r="D1755" t="str">
            <v>ACTIVO</v>
          </cell>
          <cell r="E1755" t="str">
            <v>CHR311</v>
          </cell>
          <cell r="F1755" t="str">
            <v>Zapata Yarleque Edwin Milton</v>
          </cell>
          <cell r="G1755" t="str">
            <v>ZAPATA YARLEQUE EDWIN MILTON</v>
          </cell>
          <cell r="H1755" t="str">
            <v>41267158</v>
          </cell>
          <cell r="I1755" t="str">
            <v>INTERBANK</v>
          </cell>
          <cell r="J1755" t="str">
            <v>3653387419004</v>
          </cell>
          <cell r="K1755" t="str">
            <v>DNI</v>
          </cell>
          <cell r="L1755">
            <v>10412671584</v>
          </cell>
          <cell r="M1755" t="str">
            <v>URBANO</v>
          </cell>
          <cell r="N1755">
            <v>45376</v>
          </cell>
          <cell r="O1755">
            <v>0</v>
          </cell>
          <cell r="P1755" t="str">
            <v>LITE</v>
          </cell>
        </row>
        <row r="1756">
          <cell r="A1756">
            <v>9095</v>
          </cell>
          <cell r="B1756">
            <v>9095</v>
          </cell>
          <cell r="C1756" t="str">
            <v>CERO MATRICULA</v>
          </cell>
          <cell r="D1756" t="str">
            <v>ACTIVO</v>
          </cell>
          <cell r="E1756" t="str">
            <v>AVH560</v>
          </cell>
          <cell r="F1756" t="str">
            <v>DÍAZ RÍOS JUAN JOSÉ</v>
          </cell>
          <cell r="G1756" t="str">
            <v>DIAZ RIOS JUAN JOSE</v>
          </cell>
          <cell r="H1756" t="str">
            <v>43477191</v>
          </cell>
          <cell r="I1756" t="str">
            <v>INTERBANK</v>
          </cell>
          <cell r="J1756" t="str">
            <v>0893218026329</v>
          </cell>
          <cell r="K1756" t="str">
            <v>DNI</v>
          </cell>
          <cell r="L1756">
            <v>10434771914</v>
          </cell>
          <cell r="M1756" t="str">
            <v>URBANO</v>
          </cell>
          <cell r="N1756">
            <v>45384</v>
          </cell>
          <cell r="O1756">
            <v>0</v>
          </cell>
          <cell r="P1756" t="str">
            <v>LITE</v>
          </cell>
        </row>
        <row r="1757">
          <cell r="A1757">
            <v>9096</v>
          </cell>
          <cell r="B1757">
            <v>9096</v>
          </cell>
          <cell r="C1757" t="str">
            <v>CERO MATRICULA</v>
          </cell>
          <cell r="D1757" t="str">
            <v>ACTIVO</v>
          </cell>
          <cell r="E1757" t="str">
            <v>AWS428</v>
          </cell>
          <cell r="F1757" t="str">
            <v>Pazos Paiva Jorge Armando</v>
          </cell>
          <cell r="G1757" t="str">
            <v>PAZOS PAIVA JORGE ARMANDO</v>
          </cell>
          <cell r="H1757" t="str">
            <v>42625599</v>
          </cell>
          <cell r="I1757" t="str">
            <v>INTERBANK</v>
          </cell>
          <cell r="J1757" t="str">
            <v>5303347207979</v>
          </cell>
          <cell r="K1757" t="str">
            <v>DNI</v>
          </cell>
          <cell r="L1757">
            <v>10426255991</v>
          </cell>
          <cell r="M1757" t="str">
            <v>URBANO</v>
          </cell>
          <cell r="N1757">
            <v>45377</v>
          </cell>
          <cell r="O1757">
            <v>0</v>
          </cell>
          <cell r="P1757" t="str">
            <v>LITE</v>
          </cell>
        </row>
        <row r="1758">
          <cell r="A1758">
            <v>9097</v>
          </cell>
          <cell r="B1758">
            <v>9097</v>
          </cell>
          <cell r="C1758" t="str">
            <v>CERO MATRICULA</v>
          </cell>
          <cell r="D1758" t="str">
            <v>ACTIVO</v>
          </cell>
          <cell r="E1758" t="str">
            <v>CJW332</v>
          </cell>
          <cell r="F1758" t="str">
            <v xml:space="preserve">Carmona Gallardo Rismar marine </v>
          </cell>
          <cell r="G1758" t="str">
            <v>Luis fernando chavez torres</v>
          </cell>
          <cell r="H1758" t="str">
            <v>74224672</v>
          </cell>
          <cell r="I1758" t="str">
            <v>BBVA</v>
          </cell>
          <cell r="J1758" t="str">
            <v>0011-0057-0238589917</v>
          </cell>
          <cell r="K1758" t="str">
            <v>DNI</v>
          </cell>
          <cell r="L1758">
            <v>10742246723</v>
          </cell>
          <cell r="M1758" t="str">
            <v>AEROLINEAS</v>
          </cell>
          <cell r="N1758">
            <v>45377</v>
          </cell>
          <cell r="O1758">
            <v>0</v>
          </cell>
          <cell r="P1758" t="str">
            <v>XL</v>
          </cell>
        </row>
        <row r="1759">
          <cell r="A1759">
            <v>9099</v>
          </cell>
          <cell r="B1759">
            <v>9099</v>
          </cell>
          <cell r="C1759" t="str">
            <v>CERO MATRICULA</v>
          </cell>
          <cell r="D1759" t="str">
            <v>ACTIVO</v>
          </cell>
          <cell r="E1759" t="str">
            <v>CKR378</v>
          </cell>
          <cell r="F1759" t="str">
            <v>Ciro Pareja Guillermo</v>
          </cell>
          <cell r="G1759" t="str">
            <v>CIRO PAREJA GUILLERMO LEON</v>
          </cell>
          <cell r="H1759" t="str">
            <v>001603223</v>
          </cell>
          <cell r="I1759" t="str">
            <v>INTERBANK</v>
          </cell>
          <cell r="J1759" t="str">
            <v>2893329091620</v>
          </cell>
          <cell r="K1759" t="str">
            <v>CE</v>
          </cell>
          <cell r="L1759">
            <v>15603153232</v>
          </cell>
          <cell r="M1759" t="str">
            <v>AEROLINEAS</v>
          </cell>
          <cell r="N1759">
            <v>45378</v>
          </cell>
          <cell r="O1759">
            <v>0</v>
          </cell>
          <cell r="P1759" t="str">
            <v>XL</v>
          </cell>
        </row>
        <row r="1760">
          <cell r="A1760">
            <v>9101</v>
          </cell>
          <cell r="B1760">
            <v>9101</v>
          </cell>
          <cell r="C1760" t="str">
            <v>CERO MATRICULA</v>
          </cell>
          <cell r="D1760" t="str">
            <v>ACTIVO</v>
          </cell>
          <cell r="E1760" t="str">
            <v>BPL158</v>
          </cell>
          <cell r="F1760" t="str">
            <v>Nery Rodriguez Héctor Noel</v>
          </cell>
          <cell r="G1760" t="str">
            <v>NERY RODRIGUEZ HECTOR NOEL</v>
          </cell>
          <cell r="H1760" t="str">
            <v>40659793</v>
          </cell>
          <cell r="I1760" t="str">
            <v>INTERBANK</v>
          </cell>
          <cell r="J1760" t="str">
            <v>8983155931487</v>
          </cell>
          <cell r="K1760" t="str">
            <v>DNI</v>
          </cell>
          <cell r="L1760">
            <v>10406597933</v>
          </cell>
          <cell r="M1760" t="str">
            <v>AEROLINEAS</v>
          </cell>
          <cell r="N1760">
            <v>45378</v>
          </cell>
          <cell r="O1760">
            <v>0</v>
          </cell>
          <cell r="P1760" t="str">
            <v>COMFORT XL</v>
          </cell>
        </row>
        <row r="1761">
          <cell r="A1761">
            <v>9102</v>
          </cell>
          <cell r="B1761">
            <v>9102</v>
          </cell>
          <cell r="C1761" t="str">
            <v>CERO MATRICULA</v>
          </cell>
          <cell r="D1761" t="str">
            <v>ACTIVO</v>
          </cell>
          <cell r="E1761" t="str">
            <v>CLE353</v>
          </cell>
          <cell r="F1761" t="str">
            <v>Medrano Ruiz Omar Olaechea</v>
          </cell>
          <cell r="G1761" t="str">
            <v>MAMANI CRUZ CYNTHIA DEL PILAR</v>
          </cell>
          <cell r="H1761">
            <v>47003947</v>
          </cell>
          <cell r="I1761" t="str">
            <v>BCP</v>
          </cell>
          <cell r="J1761" t="str">
            <v>19496402707070</v>
          </cell>
          <cell r="K1761" t="str">
            <v>DNI</v>
          </cell>
          <cell r="L1761">
            <v>10470039472</v>
          </cell>
          <cell r="M1761" t="str">
            <v>AEROPUERTO</v>
          </cell>
          <cell r="N1761">
            <v>45378</v>
          </cell>
          <cell r="O1761">
            <v>240</v>
          </cell>
          <cell r="P1761" t="str">
            <v>XL</v>
          </cell>
        </row>
        <row r="1762">
          <cell r="A1762">
            <v>9105</v>
          </cell>
          <cell r="B1762">
            <v>9105</v>
          </cell>
          <cell r="C1762" t="str">
            <v>CERO MATRICULA</v>
          </cell>
          <cell r="D1762" t="str">
            <v>ACTIVO</v>
          </cell>
          <cell r="E1762" t="str">
            <v>Z7l226</v>
          </cell>
          <cell r="F1762" t="str">
            <v>Villasmil Lopez Alberth Sleiker</v>
          </cell>
          <cell r="G1762" t="str">
            <v>VILLASMIL LOPEZ ALBERTH SLEIKER</v>
          </cell>
          <cell r="H1762" t="str">
            <v>002105155</v>
          </cell>
          <cell r="I1762" t="str">
            <v>BCP</v>
          </cell>
          <cell r="J1762" t="str">
            <v>19294130519031</v>
          </cell>
          <cell r="K1762" t="str">
            <v>CE</v>
          </cell>
          <cell r="L1762">
            <v>15604788371</v>
          </cell>
          <cell r="M1762" t="str">
            <v>URBANO</v>
          </cell>
          <cell r="N1762">
            <v>45378</v>
          </cell>
          <cell r="O1762">
            <v>0</v>
          </cell>
          <cell r="P1762" t="str">
            <v>LITE</v>
          </cell>
        </row>
        <row r="1763">
          <cell r="A1763">
            <v>9106</v>
          </cell>
          <cell r="B1763">
            <v>9106</v>
          </cell>
          <cell r="C1763" t="str">
            <v>CERO MATRICULA</v>
          </cell>
          <cell r="D1763" t="str">
            <v>ACTIVO</v>
          </cell>
          <cell r="E1763" t="str">
            <v>BVO272</v>
          </cell>
          <cell r="F1763" t="str">
            <v>RAMIREZ BERMUDEZ ROBERT EDIMIR</v>
          </cell>
          <cell r="G1763" t="str">
            <v>RAMIREZ BERMUDEZ ROBERT EDIMIR</v>
          </cell>
          <cell r="H1763" t="str">
            <v>002950043</v>
          </cell>
          <cell r="I1763" t="str">
            <v>BCP</v>
          </cell>
          <cell r="J1763" t="str">
            <v>19190619344088</v>
          </cell>
          <cell r="K1763" t="str">
            <v>CE</v>
          </cell>
          <cell r="L1763">
            <v>15604825447</v>
          </cell>
          <cell r="M1763" t="str">
            <v>URBANO</v>
          </cell>
          <cell r="N1763">
            <v>45378</v>
          </cell>
          <cell r="O1763">
            <v>0</v>
          </cell>
          <cell r="P1763" t="str">
            <v>LITE</v>
          </cell>
        </row>
        <row r="1764">
          <cell r="A1764">
            <v>9107</v>
          </cell>
          <cell r="B1764">
            <v>9107</v>
          </cell>
          <cell r="C1764" t="str">
            <v>CERO MATRICULA</v>
          </cell>
          <cell r="D1764" t="str">
            <v>ACTIVO</v>
          </cell>
          <cell r="E1764" t="str">
            <v>CCB417</v>
          </cell>
          <cell r="F1764" t="str">
            <v>Araque Cruz Carlos Alberto</v>
          </cell>
          <cell r="G1764" t="str">
            <v>ARAQUE CRUZ CARLOS ALBERTO</v>
          </cell>
          <cell r="H1764" t="str">
            <v>005072758</v>
          </cell>
          <cell r="I1764" t="str">
            <v>BCP</v>
          </cell>
          <cell r="J1764" t="str">
            <v>19105500075030</v>
          </cell>
          <cell r="K1764" t="str">
            <v>CE</v>
          </cell>
          <cell r="L1764">
            <v>15609765124</v>
          </cell>
          <cell r="M1764" t="str">
            <v>URBANO</v>
          </cell>
          <cell r="N1764">
            <v>45378</v>
          </cell>
          <cell r="O1764">
            <v>0</v>
          </cell>
          <cell r="P1764" t="str">
            <v>LITE</v>
          </cell>
        </row>
        <row r="1765">
          <cell r="A1765">
            <v>9108</v>
          </cell>
          <cell r="B1765">
            <v>9108</v>
          </cell>
          <cell r="C1765" t="str">
            <v>CERO MATRICULA</v>
          </cell>
          <cell r="D1765" t="str">
            <v>ACTIVO</v>
          </cell>
          <cell r="E1765" t="str">
            <v>CCM300</v>
          </cell>
          <cell r="F1765" t="str">
            <v>Silva Sanchez Bill Christian</v>
          </cell>
          <cell r="G1765" t="str">
            <v>SILVA SANCHEZ BILL CHRISTIAN</v>
          </cell>
          <cell r="H1765" t="str">
            <v>43652255</v>
          </cell>
          <cell r="I1765" t="str">
            <v>INTERBANK</v>
          </cell>
          <cell r="J1765" t="str">
            <v>8983157484658</v>
          </cell>
          <cell r="K1765" t="str">
            <v>DNI</v>
          </cell>
          <cell r="L1765">
            <v>10436522555</v>
          </cell>
          <cell r="M1765" t="str">
            <v>URBANO</v>
          </cell>
          <cell r="N1765">
            <v>45378</v>
          </cell>
          <cell r="O1765">
            <v>0</v>
          </cell>
          <cell r="P1765" t="str">
            <v>XL</v>
          </cell>
        </row>
        <row r="1766">
          <cell r="A1766">
            <v>9109</v>
          </cell>
          <cell r="B1766">
            <v>9109</v>
          </cell>
          <cell r="C1766" t="str">
            <v>CERO MATRICULA</v>
          </cell>
          <cell r="D1766" t="str">
            <v>ACTIVO</v>
          </cell>
          <cell r="E1766" t="str">
            <v>AKE442</v>
          </cell>
          <cell r="F1766" t="str">
            <v>Espinoza Aquino Nel</v>
          </cell>
          <cell r="G1766" t="str">
            <v>ESPINOZA AQUINO NEL</v>
          </cell>
          <cell r="H1766">
            <v>42280047</v>
          </cell>
          <cell r="I1766" t="str">
            <v>BCP</v>
          </cell>
          <cell r="J1766" t="str">
            <v>19403620201068</v>
          </cell>
          <cell r="K1766" t="str">
            <v>DNI</v>
          </cell>
          <cell r="L1766">
            <v>10422800471</v>
          </cell>
          <cell r="M1766" t="str">
            <v>URBANO</v>
          </cell>
          <cell r="N1766">
            <v>45383</v>
          </cell>
          <cell r="O1766">
            <v>0</v>
          </cell>
          <cell r="P1766" t="str">
            <v>LITE</v>
          </cell>
        </row>
        <row r="1767">
          <cell r="A1767">
            <v>9112</v>
          </cell>
          <cell r="B1767">
            <v>9112</v>
          </cell>
          <cell r="C1767" t="str">
            <v>CERO MATRICULA</v>
          </cell>
          <cell r="D1767" t="str">
            <v>ACTIVO</v>
          </cell>
          <cell r="E1767" t="str">
            <v>CLD091</v>
          </cell>
          <cell r="F1767" t="str">
            <v>CERVANTES RONDON Enrique Daniel</v>
          </cell>
          <cell r="G1767" t="str">
            <v>CERVANTES RONDON ENRIQUE DANIEL</v>
          </cell>
          <cell r="H1767" t="str">
            <v>07561323</v>
          </cell>
          <cell r="I1767" t="str">
            <v>BCP</v>
          </cell>
          <cell r="J1767" t="str">
            <v>19394220355074</v>
          </cell>
          <cell r="K1767" t="str">
            <v>DNI</v>
          </cell>
          <cell r="L1767">
            <v>10075613232</v>
          </cell>
          <cell r="M1767" t="str">
            <v>URBANO</v>
          </cell>
          <cell r="N1767">
            <v>45386</v>
          </cell>
          <cell r="O1767">
            <v>0</v>
          </cell>
          <cell r="P1767" t="str">
            <v>COMFORT XL</v>
          </cell>
        </row>
        <row r="1768">
          <cell r="A1768">
            <v>9113</v>
          </cell>
          <cell r="B1768">
            <v>9113</v>
          </cell>
          <cell r="C1768" t="str">
            <v>CERO MATRICULA</v>
          </cell>
          <cell r="D1768" t="str">
            <v>ACTIVO</v>
          </cell>
          <cell r="E1768" t="str">
            <v>BXA640</v>
          </cell>
          <cell r="F1768" t="str">
            <v>Camargo Navarro Jorge Luis</v>
          </cell>
          <cell r="G1768" t="str">
            <v>CAMARGO NAVARRO JORGE LUIS</v>
          </cell>
          <cell r="H1768" t="str">
            <v>09983731</v>
          </cell>
          <cell r="I1768" t="str">
            <v>INTERBANK</v>
          </cell>
          <cell r="J1768" t="str">
            <v>8983156128807</v>
          </cell>
          <cell r="K1768" t="str">
            <v>DNI</v>
          </cell>
          <cell r="L1768">
            <v>10099837310</v>
          </cell>
          <cell r="M1768" t="str">
            <v>URBANO PARTNER</v>
          </cell>
          <cell r="N1768">
            <v>45386</v>
          </cell>
          <cell r="O1768">
            <v>0</v>
          </cell>
          <cell r="P1768" t="str">
            <v>LITE</v>
          </cell>
        </row>
        <row r="1769">
          <cell r="A1769">
            <v>9114</v>
          </cell>
          <cell r="B1769">
            <v>9114</v>
          </cell>
          <cell r="C1769" t="str">
            <v>CERO MATRICULA</v>
          </cell>
          <cell r="D1769" t="str">
            <v>ACTIVO</v>
          </cell>
          <cell r="E1769" t="str">
            <v>CHW037</v>
          </cell>
          <cell r="F1769" t="str">
            <v>Delgado de la Flor Cuya Luis Miguel</v>
          </cell>
          <cell r="G1769" t="str">
            <v>DELGADO DE LA FLOR CUYA LUIS MIGUEL</v>
          </cell>
          <cell r="H1769" t="str">
            <v>74243922</v>
          </cell>
          <cell r="I1769" t="str">
            <v>INTERBANK</v>
          </cell>
          <cell r="J1769" t="str">
            <v>0423413725080</v>
          </cell>
          <cell r="K1769" t="str">
            <v>DNI</v>
          </cell>
          <cell r="L1769">
            <v>10742439220</v>
          </cell>
          <cell r="M1769" t="str">
            <v>URBANO</v>
          </cell>
          <cell r="N1769">
            <v>45384</v>
          </cell>
          <cell r="O1769">
            <v>0</v>
          </cell>
          <cell r="P1769" t="str">
            <v>COMFORT</v>
          </cell>
        </row>
        <row r="1770">
          <cell r="A1770">
            <v>9115</v>
          </cell>
          <cell r="B1770">
            <v>9115</v>
          </cell>
          <cell r="C1770" t="str">
            <v>CERO MATRICULA</v>
          </cell>
          <cell r="D1770" t="str">
            <v>ACTIVO</v>
          </cell>
          <cell r="E1770" t="str">
            <v>BJA314</v>
          </cell>
          <cell r="F1770" t="str">
            <v>Quintana Figueroa Néstor Hernán Juan</v>
          </cell>
          <cell r="G1770" t="str">
            <v>QUINTANA FIGUEROA NESTOR HERNAN JUAN</v>
          </cell>
          <cell r="H1770" t="str">
            <v>06178859</v>
          </cell>
          <cell r="I1770" t="str">
            <v>INTERBANK</v>
          </cell>
          <cell r="J1770" t="str">
            <v>8983278777911</v>
          </cell>
          <cell r="K1770" t="str">
            <v>DNI</v>
          </cell>
          <cell r="L1770">
            <v>10061788595</v>
          </cell>
          <cell r="M1770" t="str">
            <v>URBANO</v>
          </cell>
          <cell r="N1770">
            <v>45384</v>
          </cell>
          <cell r="O1770">
            <v>0</v>
          </cell>
          <cell r="P1770" t="str">
            <v>COMFORT</v>
          </cell>
        </row>
        <row r="1771">
          <cell r="A1771">
            <v>9116</v>
          </cell>
          <cell r="B1771">
            <v>9116</v>
          </cell>
          <cell r="C1771" t="str">
            <v>CERO MATRICULA</v>
          </cell>
          <cell r="D1771" t="str">
            <v>ACTIVO</v>
          </cell>
          <cell r="E1771" t="str">
            <v>CAX573</v>
          </cell>
          <cell r="F1771" t="str">
            <v>Rivas Valenzuela Jonathan Raúl</v>
          </cell>
          <cell r="G1771" t="str">
            <v>RIVAS VALENZUELA JONATHAN RAUL</v>
          </cell>
          <cell r="H1771" t="str">
            <v>44019568</v>
          </cell>
          <cell r="I1771" t="str">
            <v>INTERBANK</v>
          </cell>
          <cell r="J1771" t="str">
            <v>2003106344065</v>
          </cell>
          <cell r="K1771" t="str">
            <v>DNI</v>
          </cell>
          <cell r="L1771">
            <v>10440195682</v>
          </cell>
          <cell r="M1771" t="str">
            <v>URBANO</v>
          </cell>
          <cell r="N1771">
            <v>45384</v>
          </cell>
          <cell r="O1771">
            <v>0</v>
          </cell>
          <cell r="P1771" t="str">
            <v>COMFORT XL</v>
          </cell>
        </row>
        <row r="1772">
          <cell r="A1772">
            <v>9117</v>
          </cell>
          <cell r="B1772">
            <v>9117</v>
          </cell>
          <cell r="C1772" t="str">
            <v>CERO MATRICULA</v>
          </cell>
          <cell r="D1772" t="str">
            <v>ACTIVO</v>
          </cell>
          <cell r="E1772" t="str">
            <v>BZP064</v>
          </cell>
          <cell r="F1772" t="str">
            <v>Chavez Espinoza Jimmy Jorge</v>
          </cell>
          <cell r="G1772" t="str">
            <v>CHAVEZ ESPINOZA JIMMY JORGE</v>
          </cell>
          <cell r="H1772" t="str">
            <v>42901934</v>
          </cell>
          <cell r="I1772" t="str">
            <v>BCP</v>
          </cell>
          <cell r="J1772" t="str">
            <v>19193106741011</v>
          </cell>
          <cell r="K1772" t="str">
            <v>DNI</v>
          </cell>
          <cell r="L1772">
            <v>10429019341</v>
          </cell>
          <cell r="M1772" t="str">
            <v>URBANO</v>
          </cell>
          <cell r="N1772">
            <v>45386</v>
          </cell>
          <cell r="O1772">
            <v>0</v>
          </cell>
          <cell r="P1772" t="str">
            <v>XL</v>
          </cell>
        </row>
        <row r="1773">
          <cell r="A1773">
            <v>9119</v>
          </cell>
          <cell r="B1773">
            <v>9119</v>
          </cell>
          <cell r="C1773" t="str">
            <v>CERO MATRICULA</v>
          </cell>
          <cell r="D1773" t="str">
            <v>ACTIVO</v>
          </cell>
          <cell r="E1773" t="str">
            <v>CDG514</v>
          </cell>
          <cell r="F1773" t="str">
            <v>BARRETO ALMONACID ELIAS AGUSTIN</v>
          </cell>
          <cell r="G1773" t="str">
            <v>BARRETO ALMONACID ELIAS AGUSTIN</v>
          </cell>
          <cell r="H1773">
            <v>16133760</v>
          </cell>
          <cell r="I1773" t="str">
            <v>BBVA</v>
          </cell>
          <cell r="J1773" t="str">
            <v>001108140240210776</v>
          </cell>
          <cell r="K1773" t="str">
            <v>DNI</v>
          </cell>
          <cell r="L1773">
            <v>10161337604</v>
          </cell>
          <cell r="M1773" t="str">
            <v>URBANO</v>
          </cell>
          <cell r="N1773">
            <v>45641</v>
          </cell>
          <cell r="O1773">
            <v>0</v>
          </cell>
          <cell r="P1773" t="str">
            <v>COMFORT XL</v>
          </cell>
        </row>
        <row r="1774">
          <cell r="A1774">
            <v>9121</v>
          </cell>
          <cell r="B1774">
            <v>9121</v>
          </cell>
          <cell r="C1774" t="str">
            <v>CERO MATRICULA</v>
          </cell>
          <cell r="D1774" t="str">
            <v>ACTIVO</v>
          </cell>
          <cell r="E1774" t="str">
            <v>CHV348</v>
          </cell>
          <cell r="F1774" t="str">
            <v>Quispe Osorio Jhon Alejandro</v>
          </cell>
          <cell r="G1774" t="str">
            <v>QUISPE OSORIO JHON ALEJANDRO</v>
          </cell>
          <cell r="H1774">
            <v>10740541</v>
          </cell>
          <cell r="I1774" t="str">
            <v>BCP</v>
          </cell>
          <cell r="J1774" t="str">
            <v>19413075764041</v>
          </cell>
          <cell r="K1774" t="str">
            <v>DNI</v>
          </cell>
          <cell r="L1774">
            <v>10107405416</v>
          </cell>
          <cell r="M1774" t="str">
            <v>URBANO</v>
          </cell>
          <cell r="N1774">
            <v>45386</v>
          </cell>
          <cell r="O1774">
            <v>0</v>
          </cell>
          <cell r="P1774" t="str">
            <v>LITE</v>
          </cell>
        </row>
        <row r="1775">
          <cell r="A1775">
            <v>9122</v>
          </cell>
          <cell r="B1775">
            <v>9122</v>
          </cell>
          <cell r="C1775" t="str">
            <v>CERO MATRICULA</v>
          </cell>
          <cell r="D1775" t="str">
            <v>ACTIVO</v>
          </cell>
          <cell r="E1775" t="str">
            <v>CKF006</v>
          </cell>
          <cell r="F1775" t="str">
            <v>Ormeño Rojas Leon Vicente</v>
          </cell>
          <cell r="G1775" t="str">
            <v>CORPORATIVOS E.I.R.L.</v>
          </cell>
          <cell r="H1775" t="str">
            <v>20612380792</v>
          </cell>
          <cell r="I1775" t="str">
            <v>BCP</v>
          </cell>
          <cell r="J1775" t="str">
            <v>1934199585048</v>
          </cell>
          <cell r="K1775" t="str">
            <v>RUC</v>
          </cell>
          <cell r="L1775">
            <v>20612380792</v>
          </cell>
          <cell r="M1775" t="str">
            <v>AEROLINEAS</v>
          </cell>
          <cell r="N1775">
            <v>45386</v>
          </cell>
          <cell r="O1775">
            <v>0</v>
          </cell>
          <cell r="P1775" t="str">
            <v>LITE</v>
          </cell>
        </row>
        <row r="1776">
          <cell r="A1776">
            <v>9123</v>
          </cell>
          <cell r="B1776">
            <v>9123</v>
          </cell>
          <cell r="C1776" t="str">
            <v>CERO MATRICULA</v>
          </cell>
          <cell r="D1776" t="str">
            <v>ACTIVO</v>
          </cell>
          <cell r="E1776" t="str">
            <v>CKF490</v>
          </cell>
          <cell r="F1776" t="str">
            <v>Hidalgo Zevallos BRYAM ROBERT</v>
          </cell>
          <cell r="G1776" t="str">
            <v>Francisca Zevallos Gomez</v>
          </cell>
          <cell r="H1776" t="str">
            <v>09434179</v>
          </cell>
          <cell r="I1776" t="str">
            <v>BCP</v>
          </cell>
          <cell r="J1776" t="str">
            <v>19101201588024</v>
          </cell>
          <cell r="K1776" t="str">
            <v>DNI</v>
          </cell>
          <cell r="L1776">
            <v>10094341791</v>
          </cell>
          <cell r="M1776" t="str">
            <v>URBANO</v>
          </cell>
          <cell r="N1776">
            <v>45386</v>
          </cell>
          <cell r="O1776">
            <v>0</v>
          </cell>
          <cell r="P1776" t="str">
            <v>LITE</v>
          </cell>
        </row>
        <row r="1777">
          <cell r="A1777">
            <v>9124</v>
          </cell>
          <cell r="B1777">
            <v>9124</v>
          </cell>
          <cell r="C1777" t="str">
            <v>CERO MATRICULA</v>
          </cell>
          <cell r="D1777" t="str">
            <v>ACTIVO</v>
          </cell>
          <cell r="E1777" t="str">
            <v>CEZ309</v>
          </cell>
          <cell r="F1777" t="str">
            <v>García Medina Jesús Joel</v>
          </cell>
          <cell r="G1777" t="str">
            <v>GARCIA MEDINA JESUS JOEL</v>
          </cell>
          <cell r="H1777">
            <v>45426943</v>
          </cell>
          <cell r="I1777" t="str">
            <v>INTERBANK</v>
          </cell>
          <cell r="J1777" t="str">
            <v>1183367334873</v>
          </cell>
          <cell r="K1777" t="str">
            <v>DNI</v>
          </cell>
          <cell r="L1777">
            <v>10454269433</v>
          </cell>
          <cell r="M1777" t="str">
            <v>URBANO</v>
          </cell>
          <cell r="N1777">
            <v>45386</v>
          </cell>
          <cell r="O1777">
            <v>0</v>
          </cell>
          <cell r="P1777" t="str">
            <v>XL</v>
          </cell>
        </row>
        <row r="1778">
          <cell r="A1778">
            <v>9125</v>
          </cell>
          <cell r="B1778">
            <v>9125</v>
          </cell>
          <cell r="C1778" t="str">
            <v>CERO MATRICULA</v>
          </cell>
          <cell r="D1778" t="str">
            <v>ACTIVO</v>
          </cell>
          <cell r="E1778" t="str">
            <v>CDQ219</v>
          </cell>
          <cell r="F1778" t="str">
            <v>Ayquipa Ramos Jesus roberto</v>
          </cell>
          <cell r="G1778" t="str">
            <v>INVERSIONES ELANDAR E.I.R.L.</v>
          </cell>
          <cell r="H1778" t="str">
            <v>20608693433</v>
          </cell>
          <cell r="I1778" t="str">
            <v>BBVA</v>
          </cell>
          <cell r="J1778" t="str">
            <v>0011-0109-0100097934</v>
          </cell>
          <cell r="K1778" t="str">
            <v>DNI</v>
          </cell>
          <cell r="L1778">
            <v>20608693433</v>
          </cell>
          <cell r="M1778" t="str">
            <v>URBANO</v>
          </cell>
          <cell r="N1778">
            <v>45386</v>
          </cell>
          <cell r="O1778">
            <v>0</v>
          </cell>
          <cell r="P1778" t="str">
            <v>LITE</v>
          </cell>
        </row>
        <row r="1779">
          <cell r="A1779">
            <v>9126</v>
          </cell>
          <cell r="B1779">
            <v>9126</v>
          </cell>
          <cell r="C1779" t="str">
            <v>CERO MATRICULA</v>
          </cell>
          <cell r="D1779" t="str">
            <v>ACTIVO</v>
          </cell>
          <cell r="E1779" t="str">
            <v>CF0173</v>
          </cell>
          <cell r="F1779" t="str">
            <v>Torrealba Blanco Willmer Alberto</v>
          </cell>
          <cell r="G1779" t="str">
            <v>TORREALBA BLANCO WILLMER ALBERTO</v>
          </cell>
          <cell r="H1779" t="str">
            <v>001740891</v>
          </cell>
          <cell r="I1779" t="str">
            <v>BBVA</v>
          </cell>
          <cell r="J1779" t="str">
            <v>001103120200285391</v>
          </cell>
          <cell r="K1779" t="str">
            <v>CE</v>
          </cell>
          <cell r="L1779">
            <v>15602065968</v>
          </cell>
          <cell r="M1779" t="str">
            <v>URBANO</v>
          </cell>
          <cell r="N1779">
            <v>45386</v>
          </cell>
          <cell r="O1779">
            <v>0</v>
          </cell>
          <cell r="P1779" t="str">
            <v>COMFORT</v>
          </cell>
        </row>
        <row r="1780">
          <cell r="A1780">
            <v>9127</v>
          </cell>
          <cell r="B1780">
            <v>9127</v>
          </cell>
          <cell r="C1780" t="str">
            <v>CERO MATRICULA</v>
          </cell>
          <cell r="D1780" t="str">
            <v>ACTIVO</v>
          </cell>
          <cell r="E1780" t="str">
            <v>BHB654</v>
          </cell>
          <cell r="F1780" t="str">
            <v xml:space="preserve">Allcca Ccorahua Franklin Michael </v>
          </cell>
          <cell r="G1780" t="str">
            <v>ALLCCA CCORAHUA FRANKLIN MICHAEL</v>
          </cell>
          <cell r="H1780">
            <v>48791851</v>
          </cell>
          <cell r="I1780" t="str">
            <v>BCP</v>
          </cell>
          <cell r="J1780" t="str">
            <v>19294671003074</v>
          </cell>
          <cell r="K1780" t="str">
            <v>DNI</v>
          </cell>
          <cell r="L1780">
            <v>10413344901</v>
          </cell>
          <cell r="M1780" t="str">
            <v>URBANO</v>
          </cell>
          <cell r="N1780">
            <v>45386</v>
          </cell>
          <cell r="O1780">
            <v>0</v>
          </cell>
          <cell r="P1780" t="str">
            <v>LITE</v>
          </cell>
        </row>
        <row r="1781">
          <cell r="A1781">
            <v>9128</v>
          </cell>
          <cell r="B1781">
            <v>9128</v>
          </cell>
          <cell r="C1781" t="str">
            <v>CERO MATRICULA</v>
          </cell>
          <cell r="D1781" t="str">
            <v>ACTIVO</v>
          </cell>
          <cell r="E1781" t="str">
            <v>CDE394</v>
          </cell>
          <cell r="F1781" t="str">
            <v>Padilla Burgos Juan Daniel</v>
          </cell>
          <cell r="G1781" t="str">
            <v>PADILLA BURGOS JUAN DANIEL</v>
          </cell>
          <cell r="H1781" t="str">
            <v>43502577</v>
          </cell>
          <cell r="I1781" t="str">
            <v>INTERBANK</v>
          </cell>
          <cell r="J1781" t="str">
            <v>0913370000172</v>
          </cell>
          <cell r="K1781" t="str">
            <v>DNI</v>
          </cell>
          <cell r="L1781">
            <v>10435025779</v>
          </cell>
          <cell r="M1781" t="str">
            <v>URBANO</v>
          </cell>
          <cell r="N1781">
            <v>45386</v>
          </cell>
          <cell r="O1781">
            <v>0</v>
          </cell>
          <cell r="P1781" t="str">
            <v>LITE</v>
          </cell>
        </row>
        <row r="1782">
          <cell r="A1782">
            <v>9129</v>
          </cell>
          <cell r="B1782">
            <v>9129</v>
          </cell>
          <cell r="C1782" t="str">
            <v>CERO MATRICULA</v>
          </cell>
          <cell r="D1782" t="str">
            <v>ACTIVO</v>
          </cell>
          <cell r="E1782" t="str">
            <v>Z7G508</v>
          </cell>
          <cell r="F1782" t="str">
            <v>Reyes Tapia Jaime Vicente</v>
          </cell>
          <cell r="G1782" t="str">
            <v>REYES TAPIA JAIME VICENTE</v>
          </cell>
          <cell r="H1782" t="str">
            <v>25452388</v>
          </cell>
          <cell r="I1782" t="str">
            <v>BBVA</v>
          </cell>
          <cell r="J1782" t="str">
            <v>0011-0814-0249179839</v>
          </cell>
          <cell r="K1782" t="str">
            <v>DNI</v>
          </cell>
          <cell r="L1782">
            <v>10254523882</v>
          </cell>
          <cell r="M1782" t="str">
            <v>AEROLINEAS</v>
          </cell>
          <cell r="N1782">
            <v>45387</v>
          </cell>
          <cell r="O1782">
            <v>0</v>
          </cell>
          <cell r="P1782" t="str">
            <v>LITE</v>
          </cell>
        </row>
        <row r="1783">
          <cell r="A1783">
            <v>9130</v>
          </cell>
          <cell r="B1783">
            <v>9130</v>
          </cell>
          <cell r="C1783" t="str">
            <v>CERO MATRICULA</v>
          </cell>
          <cell r="D1783" t="str">
            <v>ACTIVO</v>
          </cell>
          <cell r="E1783" t="str">
            <v>CJM290</v>
          </cell>
          <cell r="F1783" t="str">
            <v>Araoz Cordova Edith</v>
          </cell>
          <cell r="G1783" t="str">
            <v>ARAOZ CORDOVA EDITH</v>
          </cell>
          <cell r="H1783" t="str">
            <v>48057944</v>
          </cell>
          <cell r="I1783" t="str">
            <v>BCP</v>
          </cell>
          <cell r="J1783" t="str">
            <v>19499485787091</v>
          </cell>
          <cell r="K1783" t="str">
            <v>DNI</v>
          </cell>
          <cell r="L1783">
            <v>10480579441</v>
          </cell>
          <cell r="M1783" t="str">
            <v>URBANO</v>
          </cell>
          <cell r="N1783">
            <v>45387</v>
          </cell>
          <cell r="O1783">
            <v>0</v>
          </cell>
          <cell r="P1783" t="str">
            <v>LITE</v>
          </cell>
        </row>
        <row r="1784">
          <cell r="A1784">
            <v>9131</v>
          </cell>
          <cell r="B1784">
            <v>9131</v>
          </cell>
          <cell r="C1784" t="str">
            <v>CERO MATRICULA</v>
          </cell>
          <cell r="D1784" t="str">
            <v>ACTIVO</v>
          </cell>
          <cell r="E1784" t="str">
            <v>CKT367</v>
          </cell>
          <cell r="F1784" t="str">
            <v>CROUSILLAT RODRIGUEZ JORGE LUIS</v>
          </cell>
          <cell r="G1784" t="str">
            <v>CROUSILLAT RODRIGUEZ JORGE LUIS</v>
          </cell>
          <cell r="H1784" t="str">
            <v>42961789</v>
          </cell>
          <cell r="I1784" t="str">
            <v>BCP</v>
          </cell>
          <cell r="J1784" t="str">
            <v>19394847360011</v>
          </cell>
          <cell r="K1784" t="str">
            <v>DNI</v>
          </cell>
          <cell r="L1784">
            <v>10429617893</v>
          </cell>
          <cell r="M1784" t="str">
            <v>URBANO</v>
          </cell>
          <cell r="N1784">
            <v>45398</v>
          </cell>
          <cell r="O1784">
            <v>0</v>
          </cell>
          <cell r="P1784" t="str">
            <v>COMFORT XL</v>
          </cell>
        </row>
        <row r="1785">
          <cell r="A1785">
            <v>9132</v>
          </cell>
          <cell r="B1785">
            <v>9132</v>
          </cell>
          <cell r="C1785" t="str">
            <v>CERO MATRICULA</v>
          </cell>
          <cell r="D1785" t="str">
            <v>ACTIVO</v>
          </cell>
          <cell r="E1785" t="str">
            <v>CLG574</v>
          </cell>
          <cell r="F1785" t="str">
            <v>Quispe Leon Natali</v>
          </cell>
          <cell r="G1785" t="str">
            <v>QUISPE RAMOS HECTOR ELOY</v>
          </cell>
          <cell r="H1785" t="str">
            <v>07131281</v>
          </cell>
          <cell r="I1785" t="str">
            <v>BCP</v>
          </cell>
          <cell r="J1785" t="str">
            <v>19192462487049</v>
          </cell>
          <cell r="K1785" t="str">
            <v>DNI</v>
          </cell>
          <cell r="L1785">
            <v>10071312815</v>
          </cell>
          <cell r="M1785" t="str">
            <v>AEROPUERTO</v>
          </cell>
          <cell r="N1785">
            <v>45391</v>
          </cell>
          <cell r="O1785">
            <v>235</v>
          </cell>
          <cell r="P1785" t="str">
            <v>COMFORT XL</v>
          </cell>
        </row>
        <row r="1786">
          <cell r="A1786">
            <v>9133</v>
          </cell>
          <cell r="B1786">
            <v>9133</v>
          </cell>
          <cell r="C1786" t="str">
            <v>CERO MATRICULA</v>
          </cell>
          <cell r="D1786" t="str">
            <v>ACTIVO</v>
          </cell>
          <cell r="E1786" t="str">
            <v>CBQ595</v>
          </cell>
          <cell r="F1786" t="str">
            <v>Rios Venegas Alejandro Junior</v>
          </cell>
          <cell r="G1786" t="str">
            <v>RIOS VENEGAS ALEJANDRO JUNIOR</v>
          </cell>
          <cell r="H1786">
            <v>47706340</v>
          </cell>
          <cell r="I1786" t="str">
            <v>INTERBANK</v>
          </cell>
          <cell r="J1786" t="str">
            <v>3683117327400</v>
          </cell>
          <cell r="K1786" t="str">
            <v>DNI</v>
          </cell>
          <cell r="L1786">
            <v>10477063409</v>
          </cell>
          <cell r="M1786" t="str">
            <v>URBANO PARTNER</v>
          </cell>
          <cell r="N1786">
            <v>45391</v>
          </cell>
          <cell r="O1786">
            <v>0</v>
          </cell>
          <cell r="P1786" t="str">
            <v>COMFORT XL</v>
          </cell>
        </row>
        <row r="1787">
          <cell r="A1787">
            <v>9134</v>
          </cell>
          <cell r="B1787">
            <v>9134</v>
          </cell>
          <cell r="C1787" t="str">
            <v>CERO MATRICULA</v>
          </cell>
          <cell r="D1787" t="str">
            <v>ACTIVO</v>
          </cell>
          <cell r="E1787" t="str">
            <v>W5A135</v>
          </cell>
          <cell r="F1787" t="str">
            <v>Ramirez Bazan David pelayo</v>
          </cell>
          <cell r="G1787" t="str">
            <v>RAMIREZ BAZAN DAVID PELAYO</v>
          </cell>
          <cell r="H1787">
            <v>41737214</v>
          </cell>
          <cell r="I1787" t="str">
            <v>BCP</v>
          </cell>
          <cell r="J1787" t="str">
            <v>44501547241097</v>
          </cell>
          <cell r="K1787" t="str">
            <v>DNI</v>
          </cell>
          <cell r="L1787">
            <v>10417372143</v>
          </cell>
          <cell r="M1787" t="str">
            <v>AEROPUERTO</v>
          </cell>
          <cell r="N1787">
            <v>45391</v>
          </cell>
          <cell r="O1787">
            <v>240</v>
          </cell>
          <cell r="P1787" t="str">
            <v>XL</v>
          </cell>
        </row>
        <row r="1788">
          <cell r="A1788">
            <v>9138</v>
          </cell>
          <cell r="B1788">
            <v>9138</v>
          </cell>
          <cell r="C1788" t="str">
            <v>CERO MATRICULA</v>
          </cell>
          <cell r="D1788" t="str">
            <v>ACTIVO</v>
          </cell>
          <cell r="E1788" t="str">
            <v>ATZ520</v>
          </cell>
          <cell r="F1788" t="str">
            <v>Chipana Chirinos Andy</v>
          </cell>
          <cell r="G1788" t="str">
            <v>Chipana Chirinos Andy</v>
          </cell>
          <cell r="H1788" t="str">
            <v>45608397</v>
          </cell>
          <cell r="I1788" t="str">
            <v>INTERBANK</v>
          </cell>
          <cell r="J1788">
            <v>1443148112288</v>
          </cell>
          <cell r="K1788" t="str">
            <v>DNI</v>
          </cell>
          <cell r="L1788">
            <v>10456083973</v>
          </cell>
          <cell r="M1788" t="str">
            <v>AEROPUERTO</v>
          </cell>
          <cell r="N1788">
            <v>45328</v>
          </cell>
          <cell r="O1788">
            <v>265</v>
          </cell>
          <cell r="P1788" t="str">
            <v>LITE</v>
          </cell>
        </row>
        <row r="1789">
          <cell r="A1789">
            <v>9139</v>
          </cell>
          <cell r="B1789">
            <v>9139</v>
          </cell>
          <cell r="C1789" t="str">
            <v>CERO MATRICULA</v>
          </cell>
          <cell r="D1789" t="str">
            <v>ACTIVO</v>
          </cell>
          <cell r="E1789" t="str">
            <v>BZB560</v>
          </cell>
          <cell r="F1789" t="str">
            <v>Suclupe Sandoval Hellar Gabriel Omar</v>
          </cell>
          <cell r="G1789" t="str">
            <v>SUCLUPE SANDOVAL HELLAR GABRIEL OMAR</v>
          </cell>
          <cell r="H1789" t="str">
            <v>48338096</v>
          </cell>
          <cell r="I1789" t="str">
            <v>BCP</v>
          </cell>
          <cell r="J1789" t="str">
            <v>19304898211086</v>
          </cell>
          <cell r="K1789" t="str">
            <v>DNI</v>
          </cell>
          <cell r="L1789">
            <v>10483380963</v>
          </cell>
          <cell r="M1789" t="str">
            <v>URBANO</v>
          </cell>
          <cell r="N1789">
            <v>45391</v>
          </cell>
          <cell r="O1789">
            <v>0</v>
          </cell>
          <cell r="P1789" t="str">
            <v>LITE</v>
          </cell>
        </row>
        <row r="1790">
          <cell r="A1790">
            <v>9140</v>
          </cell>
          <cell r="B1790">
            <v>9140</v>
          </cell>
          <cell r="C1790" t="str">
            <v>CERO MATRICULA</v>
          </cell>
          <cell r="D1790" t="str">
            <v>ACTIVO</v>
          </cell>
          <cell r="E1790" t="str">
            <v>CFC288</v>
          </cell>
          <cell r="F1790" t="str">
            <v>Vidal Franco Marcelo Eduardo</v>
          </cell>
          <cell r="G1790" t="str">
            <v>VIDAL FRANCO MARCELO EDUARDO</v>
          </cell>
          <cell r="H1790" t="str">
            <v>73946436</v>
          </cell>
          <cell r="I1790" t="str">
            <v>BCP</v>
          </cell>
          <cell r="J1790" t="str">
            <v>19301124613072</v>
          </cell>
          <cell r="K1790" t="str">
            <v>DNI</v>
          </cell>
          <cell r="L1790">
            <v>10739464361</v>
          </cell>
          <cell r="M1790" t="str">
            <v>URBANO</v>
          </cell>
          <cell r="N1790">
            <v>45391</v>
          </cell>
          <cell r="O1790">
            <v>0</v>
          </cell>
          <cell r="P1790" t="str">
            <v>LITE</v>
          </cell>
        </row>
        <row r="1791">
          <cell r="A1791">
            <v>9141</v>
          </cell>
          <cell r="B1791">
            <v>9141</v>
          </cell>
          <cell r="C1791" t="str">
            <v>CERO MATRICULA</v>
          </cell>
          <cell r="D1791" t="str">
            <v>ACTIVO</v>
          </cell>
          <cell r="E1791" t="str">
            <v>BNP596</v>
          </cell>
          <cell r="F1791" t="str">
            <v xml:space="preserve">Ayala Andrade Mirella Carina </v>
          </cell>
          <cell r="G1791" t="str">
            <v>AYALA ANDRADE MIRELLA CARINA</v>
          </cell>
          <cell r="H1791" t="str">
            <v>10355638</v>
          </cell>
          <cell r="I1791" t="str">
            <v>BCP</v>
          </cell>
          <cell r="J1791" t="str">
            <v>19118536598034</v>
          </cell>
          <cell r="K1791" t="str">
            <v>DNI</v>
          </cell>
          <cell r="L1791">
            <v>10103556380</v>
          </cell>
          <cell r="M1791" t="str">
            <v>URBANO</v>
          </cell>
          <cell r="N1791">
            <v>45391</v>
          </cell>
          <cell r="O1791">
            <v>0</v>
          </cell>
          <cell r="P1791" t="str">
            <v>COMFORT XL</v>
          </cell>
        </row>
        <row r="1792">
          <cell r="A1792">
            <v>9142</v>
          </cell>
          <cell r="B1792">
            <v>9142</v>
          </cell>
          <cell r="C1792" t="str">
            <v>CERO MATRICULA</v>
          </cell>
          <cell r="D1792" t="str">
            <v>ACTIVO</v>
          </cell>
          <cell r="E1792" t="str">
            <v>CJR009</v>
          </cell>
          <cell r="F1792" t="str">
            <v>Peraza Bitriago Alexander cecilio</v>
          </cell>
          <cell r="G1792" t="str">
            <v>PERAZA BITRIAGO ALEXANDER CECILIO</v>
          </cell>
          <cell r="H1792" t="str">
            <v>003542955</v>
          </cell>
          <cell r="I1792" t="str">
            <v>INTERBANK</v>
          </cell>
          <cell r="J1792" t="str">
            <v>0913395301568</v>
          </cell>
          <cell r="K1792" t="str">
            <v>CE</v>
          </cell>
          <cell r="L1792">
            <v>15607221381</v>
          </cell>
          <cell r="M1792" t="str">
            <v>URBANO</v>
          </cell>
          <cell r="N1792">
            <v>45392</v>
          </cell>
          <cell r="O1792">
            <v>0</v>
          </cell>
          <cell r="P1792" t="str">
            <v>LITE</v>
          </cell>
        </row>
        <row r="1793">
          <cell r="A1793">
            <v>9143</v>
          </cell>
          <cell r="B1793">
            <v>9143</v>
          </cell>
          <cell r="C1793" t="str">
            <v>CERO MATRICULA</v>
          </cell>
          <cell r="D1793" t="str">
            <v>ACTIVO</v>
          </cell>
          <cell r="E1793" t="str">
            <v>AJN186</v>
          </cell>
          <cell r="F1793" t="str">
            <v>Hernandez Mendoza SEGUNDO FELICIANO</v>
          </cell>
          <cell r="G1793" t="str">
            <v>HERNANDEZ MENDOZA SEGUNDO FELICIANO</v>
          </cell>
          <cell r="H1793" t="str">
            <v>48023291</v>
          </cell>
          <cell r="I1793" t="str">
            <v>BBVA</v>
          </cell>
          <cell r="J1793" t="str">
            <v>001101840200541539</v>
          </cell>
          <cell r="K1793" t="str">
            <v>DNI</v>
          </cell>
          <cell r="L1793">
            <v>10480232912</v>
          </cell>
          <cell r="M1793" t="str">
            <v>URBANO</v>
          </cell>
          <cell r="N1793">
            <v>45391</v>
          </cell>
          <cell r="O1793">
            <v>0</v>
          </cell>
          <cell r="P1793" t="str">
            <v>COMFORT</v>
          </cell>
        </row>
        <row r="1794">
          <cell r="A1794">
            <v>9144</v>
          </cell>
          <cell r="B1794">
            <v>9144</v>
          </cell>
          <cell r="C1794" t="str">
            <v>CERO MATRICULA</v>
          </cell>
          <cell r="D1794" t="str">
            <v>ACTIVO</v>
          </cell>
          <cell r="E1794" t="str">
            <v>CJY660</v>
          </cell>
          <cell r="F1794" t="str">
            <v>Prieto Guillen Albert Alexander</v>
          </cell>
          <cell r="G1794" t="str">
            <v>PRIETO GUILLEN ALBERT ALEXANDER</v>
          </cell>
          <cell r="H1794" t="str">
            <v>003374947</v>
          </cell>
          <cell r="I1794" t="str">
            <v>BCP</v>
          </cell>
          <cell r="J1794" t="str">
            <v>19193449948084</v>
          </cell>
          <cell r="K1794" t="str">
            <v>CE</v>
          </cell>
          <cell r="L1794">
            <v>15607509597</v>
          </cell>
          <cell r="M1794" t="str">
            <v>URBANO</v>
          </cell>
          <cell r="N1794">
            <v>45392</v>
          </cell>
          <cell r="O1794">
            <v>0</v>
          </cell>
          <cell r="P1794" t="str">
            <v>LITE</v>
          </cell>
        </row>
        <row r="1795">
          <cell r="A1795">
            <v>9145</v>
          </cell>
          <cell r="B1795">
            <v>9145</v>
          </cell>
          <cell r="C1795" t="str">
            <v>CERO MATRICULA</v>
          </cell>
          <cell r="D1795" t="str">
            <v>ACTIVO</v>
          </cell>
          <cell r="E1795" t="str">
            <v>CFX385</v>
          </cell>
          <cell r="F1795" t="str">
            <v>Arredondo Zuñiga Hipólito Richard</v>
          </cell>
          <cell r="G1795" t="str">
            <v>ROLDAN ECHARRI ADRIANA</v>
          </cell>
          <cell r="H1795" t="str">
            <v>06797408</v>
          </cell>
          <cell r="I1795" t="str">
            <v>BBVA</v>
          </cell>
          <cell r="J1795" t="str">
            <v>001100570202700617</v>
          </cell>
          <cell r="K1795" t="str">
            <v>DNI</v>
          </cell>
          <cell r="L1795">
            <v>10067974081</v>
          </cell>
          <cell r="M1795" t="str">
            <v>URBANO</v>
          </cell>
          <cell r="N1795">
            <v>45392</v>
          </cell>
          <cell r="O1795">
            <v>0</v>
          </cell>
          <cell r="P1795" t="str">
            <v>COMFORT XL</v>
          </cell>
        </row>
        <row r="1796">
          <cell r="A1796">
            <v>9146</v>
          </cell>
          <cell r="B1796">
            <v>9146</v>
          </cell>
          <cell r="C1796" t="str">
            <v>CERO MATRICULA</v>
          </cell>
          <cell r="D1796" t="str">
            <v>ACTIVO</v>
          </cell>
          <cell r="E1796" t="str">
            <v>AMA699</v>
          </cell>
          <cell r="F1796" t="str">
            <v>Sánchez Valdez Ronald Freddy</v>
          </cell>
          <cell r="G1796" t="str">
            <v>SANCHEZ VALDEZ RONALD FREDDY</v>
          </cell>
          <cell r="H1796" t="str">
            <v>43532720</v>
          </cell>
          <cell r="I1796" t="str">
            <v>BBVA</v>
          </cell>
          <cell r="J1796" t="str">
            <v>001103220200189230</v>
          </cell>
          <cell r="K1796" t="str">
            <v>DNI</v>
          </cell>
          <cell r="L1796">
            <v>10435327201</v>
          </cell>
          <cell r="M1796" t="str">
            <v>URBANO</v>
          </cell>
          <cell r="N1796">
            <v>45392</v>
          </cell>
          <cell r="O1796">
            <v>0</v>
          </cell>
          <cell r="P1796" t="str">
            <v>LITE</v>
          </cell>
        </row>
        <row r="1797">
          <cell r="A1797">
            <v>9147</v>
          </cell>
          <cell r="B1797">
            <v>9147</v>
          </cell>
          <cell r="C1797" t="str">
            <v>CERO MATRICULA</v>
          </cell>
          <cell r="D1797" t="str">
            <v>ACTIVO</v>
          </cell>
          <cell r="E1797" t="str">
            <v>BCU609</v>
          </cell>
          <cell r="F1797" t="str">
            <v>PEÑA DABOIN WALTER JOSE</v>
          </cell>
          <cell r="G1797" t="str">
            <v>PEÑA DABOIN WALTER JOSE</v>
          </cell>
          <cell r="H1797" t="str">
            <v>005266684</v>
          </cell>
          <cell r="I1797" t="str">
            <v>BCP</v>
          </cell>
          <cell r="J1797" t="str">
            <v>19101580106066</v>
          </cell>
          <cell r="K1797" t="str">
            <v>CE</v>
          </cell>
          <cell r="L1797">
            <v>15612170191</v>
          </cell>
          <cell r="M1797" t="str">
            <v>URBANO</v>
          </cell>
          <cell r="N1797">
            <v>45400</v>
          </cell>
          <cell r="O1797">
            <v>0</v>
          </cell>
          <cell r="P1797" t="str">
            <v>COMFORT</v>
          </cell>
        </row>
        <row r="1798">
          <cell r="A1798">
            <v>9148</v>
          </cell>
          <cell r="B1798">
            <v>9148</v>
          </cell>
          <cell r="C1798" t="str">
            <v>CERO MATRICULA</v>
          </cell>
          <cell r="D1798" t="str">
            <v>ACTIVO</v>
          </cell>
          <cell r="E1798" t="str">
            <v>BXZ359</v>
          </cell>
          <cell r="F1798" t="str">
            <v>Bravo Castillo Jesus</v>
          </cell>
          <cell r="G1798" t="str">
            <v>BRAVO CASTILLO JESUS ANTONIO</v>
          </cell>
          <cell r="H1798" t="str">
            <v>003602074</v>
          </cell>
          <cell r="I1798" t="str">
            <v>BBVA</v>
          </cell>
          <cell r="J1798" t="str">
            <v>001106090200267479</v>
          </cell>
          <cell r="K1798" t="str">
            <v>CE</v>
          </cell>
          <cell r="L1798">
            <v>15607627468</v>
          </cell>
          <cell r="M1798" t="str">
            <v>AEROLINEAS</v>
          </cell>
          <cell r="N1798">
            <v>45393</v>
          </cell>
          <cell r="O1798">
            <v>0</v>
          </cell>
          <cell r="P1798" t="str">
            <v>LITE</v>
          </cell>
        </row>
        <row r="1799">
          <cell r="A1799">
            <v>9149</v>
          </cell>
          <cell r="B1799">
            <v>9149</v>
          </cell>
          <cell r="C1799" t="str">
            <v>CERO MATRICULA</v>
          </cell>
          <cell r="D1799" t="str">
            <v>ACTIVO</v>
          </cell>
          <cell r="E1799" t="str">
            <v>CKC314</v>
          </cell>
          <cell r="F1799" t="str">
            <v>Cruces Segura Jhony Walter</v>
          </cell>
          <cell r="G1799" t="str">
            <v>CRUCES SEGURA JHONY WALTER</v>
          </cell>
          <cell r="H1799">
            <v>40359258</v>
          </cell>
          <cell r="I1799" t="str">
            <v>INTERBANK</v>
          </cell>
          <cell r="J1799" t="str">
            <v>8983413131121</v>
          </cell>
          <cell r="K1799" t="str">
            <v>DNI</v>
          </cell>
          <cell r="L1799">
            <v>10403592582</v>
          </cell>
          <cell r="M1799" t="str">
            <v>AEROLINEAS</v>
          </cell>
          <cell r="N1799">
            <v>45393</v>
          </cell>
          <cell r="O1799">
            <v>0</v>
          </cell>
          <cell r="P1799" t="str">
            <v>COMFORT XL</v>
          </cell>
        </row>
        <row r="1800">
          <cell r="A1800">
            <v>9150</v>
          </cell>
          <cell r="B1800">
            <v>9150</v>
          </cell>
          <cell r="C1800" t="str">
            <v>CERO MATRICULA</v>
          </cell>
          <cell r="D1800" t="str">
            <v>ACTIVO</v>
          </cell>
          <cell r="E1800" t="str">
            <v>CDJ553</v>
          </cell>
          <cell r="F1800" t="str">
            <v>KENNEDY RODRIGUEZ VARGAS</v>
          </cell>
          <cell r="G1800" t="str">
            <v>KENNEDY RODRIGUEZ VARGAS</v>
          </cell>
          <cell r="H1800" t="str">
            <v>45512570</v>
          </cell>
          <cell r="I1800" t="str">
            <v>BCP</v>
          </cell>
          <cell r="J1800" t="str">
            <v>19394220677099</v>
          </cell>
          <cell r="K1800" t="str">
            <v>DNI</v>
          </cell>
          <cell r="L1800">
            <v>10455125702</v>
          </cell>
          <cell r="M1800" t="str">
            <v>AEROPUERTO</v>
          </cell>
          <cell r="N1800">
            <v>45307</v>
          </cell>
          <cell r="O1800">
            <v>235</v>
          </cell>
          <cell r="P1800" t="str">
            <v>COMFORT XL</v>
          </cell>
        </row>
        <row r="1801">
          <cell r="A1801">
            <v>9151</v>
          </cell>
          <cell r="B1801">
            <v>9151</v>
          </cell>
          <cell r="C1801" t="str">
            <v>CERO MATRICULA</v>
          </cell>
          <cell r="D1801" t="str">
            <v>ACTIVO</v>
          </cell>
          <cell r="E1801" t="str">
            <v>CBP271</v>
          </cell>
          <cell r="F1801" t="str">
            <v>ROSA ARGENTINA  DUEÑAS GUERRERO</v>
          </cell>
          <cell r="G1801" t="str">
            <v>ROSA ARGENTINA  DUEÑAS GUERRERO</v>
          </cell>
          <cell r="H1801" t="str">
            <v>002715780</v>
          </cell>
          <cell r="I1801" t="str">
            <v>INTERBANK</v>
          </cell>
          <cell r="J1801" t="str">
            <v>7443153465818</v>
          </cell>
          <cell r="K1801" t="str">
            <v>CE</v>
          </cell>
          <cell r="L1801">
            <v>15606281487</v>
          </cell>
          <cell r="M1801" t="str">
            <v>AEROPUERTO</v>
          </cell>
          <cell r="N1801">
            <v>45307</v>
          </cell>
          <cell r="O1801">
            <v>240</v>
          </cell>
          <cell r="P1801" t="str">
            <v>COMFORT</v>
          </cell>
        </row>
        <row r="1802">
          <cell r="A1802">
            <v>9153</v>
          </cell>
          <cell r="B1802">
            <v>9153</v>
          </cell>
          <cell r="C1802" t="str">
            <v>CERO MATRICULA</v>
          </cell>
          <cell r="D1802" t="str">
            <v>ACTIVO</v>
          </cell>
          <cell r="E1802" t="str">
            <v>T6O-480</v>
          </cell>
          <cell r="F1802" t="str">
            <v>Olivares Renquifo Camilo Lelis</v>
          </cell>
          <cell r="G1802" t="str">
            <v>Camilo Lelis Olivares Renquifo</v>
          </cell>
          <cell r="H1802">
            <v>27572849</v>
          </cell>
          <cell r="I1802" t="str">
            <v>INTERBANK</v>
          </cell>
          <cell r="J1802">
            <v>8983421254631</v>
          </cell>
          <cell r="K1802" t="str">
            <v>DNI</v>
          </cell>
          <cell r="L1802">
            <v>10275728492</v>
          </cell>
          <cell r="M1802" t="str">
            <v>AEROPUERTO</v>
          </cell>
          <cell r="N1802">
            <v>45315</v>
          </cell>
          <cell r="O1802">
            <v>235</v>
          </cell>
          <cell r="P1802" t="str">
            <v>COMFORT XL</v>
          </cell>
        </row>
        <row r="1803">
          <cell r="A1803">
            <v>9154</v>
          </cell>
          <cell r="B1803">
            <v>9154</v>
          </cell>
          <cell r="C1803" t="str">
            <v>CERO MATRICULA</v>
          </cell>
          <cell r="D1803" t="str">
            <v>ACTIVO</v>
          </cell>
          <cell r="E1803" t="str">
            <v>BTE258</v>
          </cell>
          <cell r="F1803" t="str">
            <v>Matos Caceres Edwin Cesar</v>
          </cell>
          <cell r="G1803" t="str">
            <v>Edwin Cesar Matos Caceres</v>
          </cell>
          <cell r="H1803" t="str">
            <v>08501836</v>
          </cell>
          <cell r="I1803" t="str">
            <v>BCP</v>
          </cell>
          <cell r="J1803" t="str">
            <v>19317149310034</v>
          </cell>
          <cell r="K1803" t="str">
            <v>DNI</v>
          </cell>
          <cell r="L1803">
            <v>10085018367</v>
          </cell>
          <cell r="M1803" t="str">
            <v>AEROPUERTO</v>
          </cell>
          <cell r="N1803">
            <v>45315</v>
          </cell>
          <cell r="O1803">
            <v>240</v>
          </cell>
          <cell r="P1803" t="str">
            <v>COMFORT</v>
          </cell>
        </row>
        <row r="1804">
          <cell r="A1804">
            <v>9155</v>
          </cell>
          <cell r="B1804">
            <v>9155</v>
          </cell>
          <cell r="C1804" t="str">
            <v>CERO MATRICULA</v>
          </cell>
          <cell r="D1804" t="str">
            <v>ACTIVO</v>
          </cell>
          <cell r="E1804" t="str">
            <v>CKF228</v>
          </cell>
          <cell r="F1804" t="str">
            <v>TORRES SANTAMARÍA ABELINO</v>
          </cell>
          <cell r="G1804" t="str">
            <v>TORRES SANTAMARÍA ABELINO</v>
          </cell>
          <cell r="H1804" t="str">
            <v>08921749</v>
          </cell>
          <cell r="I1804" t="str">
            <v>BCP</v>
          </cell>
          <cell r="J1804" t="str">
            <v>19411397029049</v>
          </cell>
          <cell r="K1804" t="str">
            <v>DNI</v>
          </cell>
          <cell r="L1804">
            <v>10089217496</v>
          </cell>
          <cell r="M1804" t="str">
            <v>AEROPUERTO</v>
          </cell>
          <cell r="N1804">
            <v>45322</v>
          </cell>
          <cell r="O1804">
            <v>235</v>
          </cell>
          <cell r="P1804" t="str">
            <v>COMFORT XL</v>
          </cell>
        </row>
        <row r="1805">
          <cell r="A1805">
            <v>9156</v>
          </cell>
          <cell r="B1805">
            <v>9156</v>
          </cell>
          <cell r="C1805" t="str">
            <v>CERO MATRICULA</v>
          </cell>
          <cell r="D1805" t="str">
            <v>ACTIVO</v>
          </cell>
          <cell r="E1805" t="str">
            <v>BZZ-371</v>
          </cell>
          <cell r="F1805" t="str">
            <v>CHIRA ROSPIGLIOSI CESAR ARTURO</v>
          </cell>
          <cell r="G1805" t="str">
            <v>CHIRA ROSPIGLIOSI CESAR ARTURO</v>
          </cell>
          <cell r="H1805" t="str">
            <v>07637592</v>
          </cell>
          <cell r="I1805" t="str">
            <v>BCP</v>
          </cell>
          <cell r="J1805" t="str">
            <v>19398360984027</v>
          </cell>
          <cell r="K1805" t="str">
            <v>DNI</v>
          </cell>
          <cell r="L1805">
            <v>10076375921</v>
          </cell>
          <cell r="M1805" t="str">
            <v>AEROPUERTO</v>
          </cell>
          <cell r="N1805">
            <v>45322</v>
          </cell>
          <cell r="O1805">
            <v>240</v>
          </cell>
          <cell r="P1805" t="str">
            <v>XL</v>
          </cell>
        </row>
        <row r="1806">
          <cell r="A1806">
            <v>9158</v>
          </cell>
          <cell r="B1806">
            <v>9158</v>
          </cell>
          <cell r="C1806" t="str">
            <v>CERO MATRICULA</v>
          </cell>
          <cell r="D1806" t="str">
            <v>ACTIVO</v>
          </cell>
          <cell r="E1806" t="str">
            <v>M5F170</v>
          </cell>
          <cell r="F1806" t="str">
            <v>Mogollon Fernandez Elvis fredy</v>
          </cell>
          <cell r="G1806" t="str">
            <v>TRANSPORTES MOGOLLON CASTELLARES SAC</v>
          </cell>
          <cell r="H1806">
            <v>20613942786</v>
          </cell>
          <cell r="I1806" t="str">
            <v xml:space="preserve">BBVA </v>
          </cell>
          <cell r="J1806" t="str">
            <v>001101410200759920</v>
          </cell>
          <cell r="K1806" t="str">
            <v>RUC</v>
          </cell>
          <cell r="L1806">
            <v>20613942786</v>
          </cell>
          <cell r="M1806" t="str">
            <v>AEROPUERTO VAN</v>
          </cell>
          <cell r="N1806">
            <v>45336</v>
          </cell>
          <cell r="O1806">
            <v>240</v>
          </cell>
          <cell r="P1806" t="str">
            <v>VAN</v>
          </cell>
        </row>
        <row r="1807">
          <cell r="A1807">
            <v>9159</v>
          </cell>
          <cell r="B1807">
            <v>9159</v>
          </cell>
          <cell r="C1807" t="str">
            <v>CERO MATRICULA</v>
          </cell>
          <cell r="D1807" t="str">
            <v>ACTIVO</v>
          </cell>
          <cell r="E1807"/>
          <cell r="F1807" t="str">
            <v>TRAVEZAÑO BOZA JOBANY</v>
          </cell>
          <cell r="G1807" t="str">
            <v>TRAVEZAÑO BOZA JOBANY</v>
          </cell>
          <cell r="H1807" t="str">
            <v>08949763</v>
          </cell>
          <cell r="I1807" t="str">
            <v>INTERBANK</v>
          </cell>
          <cell r="J1807" t="str">
            <v>898 3480575271</v>
          </cell>
          <cell r="K1807" t="str">
            <v>DNI</v>
          </cell>
          <cell r="L1807">
            <v>10089497634</v>
          </cell>
          <cell r="M1807" t="str">
            <v>URBANO</v>
          </cell>
          <cell r="N1807">
            <v>45339</v>
          </cell>
          <cell r="O1807">
            <v>0</v>
          </cell>
          <cell r="P1807" t="str">
            <v>COMFORT XL</v>
          </cell>
        </row>
        <row r="1808">
          <cell r="A1808">
            <v>9160</v>
          </cell>
          <cell r="B1808">
            <v>9160</v>
          </cell>
          <cell r="C1808" t="str">
            <v>CERO MATRICULA</v>
          </cell>
          <cell r="D1808" t="str">
            <v>ACTIVO</v>
          </cell>
          <cell r="E1808" t="str">
            <v>BWG152</v>
          </cell>
          <cell r="F1808" t="str">
            <v>Murillo Garavito Luis Wildemar</v>
          </cell>
          <cell r="G1808" t="str">
            <v>Murillo Garavito Luis Wildemar</v>
          </cell>
          <cell r="H1808" t="str">
            <v>001003231</v>
          </cell>
          <cell r="I1808" t="str">
            <v>BCP</v>
          </cell>
          <cell r="J1808" t="str">
            <v>19136841606042</v>
          </cell>
          <cell r="K1808" t="str">
            <v>CE</v>
          </cell>
          <cell r="L1808">
            <v>15555850325</v>
          </cell>
          <cell r="M1808" t="str">
            <v>AEROPUERTO</v>
          </cell>
          <cell r="N1808">
            <v>45336</v>
          </cell>
          <cell r="O1808">
            <v>240</v>
          </cell>
          <cell r="P1808" t="str">
            <v>XL</v>
          </cell>
        </row>
        <row r="1809">
          <cell r="A1809">
            <v>9161</v>
          </cell>
          <cell r="B1809">
            <v>9161</v>
          </cell>
          <cell r="C1809" t="str">
            <v>CERO MATRICULA</v>
          </cell>
          <cell r="D1809" t="str">
            <v>ACTIVO</v>
          </cell>
          <cell r="E1809" t="str">
            <v>BDL178</v>
          </cell>
          <cell r="F1809" t="str">
            <v>Masuda Chamorro José Junior</v>
          </cell>
          <cell r="G1809" t="str">
            <v>Masuda Chamorro José Junior</v>
          </cell>
          <cell r="H1809">
            <v>42867758</v>
          </cell>
          <cell r="I1809" t="str">
            <v>BCP</v>
          </cell>
          <cell r="J1809" t="str">
            <v>19138104000088</v>
          </cell>
          <cell r="K1809" t="str">
            <v>DNI</v>
          </cell>
          <cell r="L1809">
            <v>10428677582</v>
          </cell>
          <cell r="M1809" t="str">
            <v>URBANO</v>
          </cell>
          <cell r="N1809">
            <v>45336</v>
          </cell>
          <cell r="O1809">
            <v>0</v>
          </cell>
          <cell r="P1809" t="str">
            <v>COMFORT XL</v>
          </cell>
        </row>
        <row r="1810">
          <cell r="A1810">
            <v>9162</v>
          </cell>
          <cell r="B1810">
            <v>9162</v>
          </cell>
          <cell r="C1810" t="str">
            <v>CERO MATRICULA</v>
          </cell>
          <cell r="D1810" t="str">
            <v>ACTIVO</v>
          </cell>
          <cell r="E1810" t="str">
            <v>CKD529</v>
          </cell>
          <cell r="F1810" t="str">
            <v>DIAZ   GABRIEL MANUEL</v>
          </cell>
          <cell r="G1810" t="str">
            <v xml:space="preserve"> Díaz  Salazar Yubrielis del Valle</v>
          </cell>
          <cell r="H1810" t="str">
            <v>003087313</v>
          </cell>
          <cell r="I1810" t="str">
            <v>BCP</v>
          </cell>
          <cell r="J1810" t="str">
            <v>19195925419060</v>
          </cell>
          <cell r="K1810" t="str">
            <v>CE</v>
          </cell>
          <cell r="L1810">
            <v>15612180480</v>
          </cell>
          <cell r="M1810" t="str">
            <v>URBANO</v>
          </cell>
          <cell r="N1810">
            <v>45337</v>
          </cell>
          <cell r="O1810">
            <v>0</v>
          </cell>
          <cell r="P1810" t="str">
            <v>LITE</v>
          </cell>
        </row>
        <row r="1811">
          <cell r="A1811">
            <v>9164</v>
          </cell>
          <cell r="B1811">
            <v>9164</v>
          </cell>
          <cell r="C1811" t="str">
            <v>CERO MATRICULA</v>
          </cell>
          <cell r="D1811" t="str">
            <v>ACTIVO</v>
          </cell>
          <cell r="E1811" t="str">
            <v>CEG665</v>
          </cell>
          <cell r="F1811" t="str">
            <v xml:space="preserve">Tasaico Loayza Francisco Rodolfo </v>
          </cell>
          <cell r="G1811" t="str">
            <v>TASAICO LOAYZA FRANCISCO RODOLFO</v>
          </cell>
          <cell r="H1811">
            <v>10266352</v>
          </cell>
          <cell r="I1811" t="str">
            <v>BCP</v>
          </cell>
          <cell r="J1811" t="str">
            <v>19294546094002</v>
          </cell>
          <cell r="K1811" t="str">
            <v>DNI</v>
          </cell>
          <cell r="L1811">
            <v>10256731458</v>
          </cell>
          <cell r="M1811" t="str">
            <v>AEROLINEAS</v>
          </cell>
          <cell r="N1811">
            <v>45393</v>
          </cell>
          <cell r="O1811">
            <v>0</v>
          </cell>
          <cell r="P1811" t="str">
            <v>COMFORT XL</v>
          </cell>
        </row>
        <row r="1812">
          <cell r="A1812">
            <v>9166</v>
          </cell>
          <cell r="B1812">
            <v>9166</v>
          </cell>
          <cell r="C1812" t="str">
            <v>CERO MATRICULA</v>
          </cell>
          <cell r="D1812" t="str">
            <v>ACTIVO</v>
          </cell>
          <cell r="E1812" t="str">
            <v>BCA085</v>
          </cell>
          <cell r="F1812" t="str">
            <v>Jeronimo Huamanlazo Jhonatan jheyson</v>
          </cell>
          <cell r="G1812" t="str">
            <v>JERONIMO HUAMANLAZO JHONATAN JHEYSON</v>
          </cell>
          <cell r="H1812" t="str">
            <v>70770760</v>
          </cell>
          <cell r="I1812" t="str">
            <v>BBVA</v>
          </cell>
          <cell r="J1812" t="str">
            <v>001108140218142589</v>
          </cell>
          <cell r="K1812" t="str">
            <v>DNI</v>
          </cell>
          <cell r="L1812">
            <v>10707707602</v>
          </cell>
          <cell r="M1812" t="str">
            <v>URBANO</v>
          </cell>
          <cell r="N1812">
            <v>45393</v>
          </cell>
          <cell r="O1812">
            <v>0</v>
          </cell>
          <cell r="P1812" t="str">
            <v>XL</v>
          </cell>
        </row>
        <row r="1813">
          <cell r="A1813">
            <v>9168</v>
          </cell>
          <cell r="B1813">
            <v>9168</v>
          </cell>
          <cell r="C1813" t="str">
            <v>CERO MATRICULA</v>
          </cell>
          <cell r="D1813" t="str">
            <v>ACTIVO</v>
          </cell>
          <cell r="E1813" t="str">
            <v>CkG036</v>
          </cell>
          <cell r="F1813" t="str">
            <v>VENTURA JIMENEZ LUIS FERNANDO</v>
          </cell>
          <cell r="G1813" t="str">
            <v>VENTURA JIMENEZ LUIS FERNANDO</v>
          </cell>
          <cell r="H1813" t="str">
            <v>43953503</v>
          </cell>
          <cell r="I1813" t="str">
            <v>BCP</v>
          </cell>
          <cell r="J1813" t="str">
            <v>19103086140012</v>
          </cell>
          <cell r="K1813" t="str">
            <v>DNI</v>
          </cell>
          <cell r="L1813">
            <v>10439535038</v>
          </cell>
          <cell r="M1813" t="str">
            <v>URBANO PARTNER</v>
          </cell>
          <cell r="N1813">
            <v>45398</v>
          </cell>
          <cell r="O1813">
            <v>0</v>
          </cell>
          <cell r="P1813" t="str">
            <v>COMFORT XL</v>
          </cell>
        </row>
        <row r="1814">
          <cell r="A1814">
            <v>9169</v>
          </cell>
          <cell r="B1814">
            <v>9169</v>
          </cell>
          <cell r="C1814" t="str">
            <v>CERO MATRICULA</v>
          </cell>
          <cell r="D1814" t="str">
            <v>ACTIVO</v>
          </cell>
          <cell r="E1814"/>
          <cell r="F1814" t="str">
            <v>FLOTA PROPIA</v>
          </cell>
          <cell r="G1814" t="str">
            <v>FLOTA PROPIA</v>
          </cell>
          <cell r="H1814" t="str">
            <v>FLOTA PROPIA</v>
          </cell>
          <cell r="I1814" t="str">
            <v>FLOTA PROPIA</v>
          </cell>
          <cell r="J1814" t="str">
            <v>FLOTA PROPIA</v>
          </cell>
          <cell r="K1814" t="str">
            <v>FLOTA PROPIA</v>
          </cell>
          <cell r="L1814" t="str">
            <v>FLOTA PROPIA</v>
          </cell>
          <cell r="M1814" t="str">
            <v>MOVIL CONTINGENCIA</v>
          </cell>
          <cell r="N1814">
            <v>45411</v>
          </cell>
          <cell r="O1814">
            <v>0</v>
          </cell>
          <cell r="P1814" t="str">
            <v>LITE</v>
          </cell>
        </row>
        <row r="1815">
          <cell r="A1815">
            <v>9170</v>
          </cell>
          <cell r="B1815">
            <v>9170</v>
          </cell>
          <cell r="C1815" t="str">
            <v>CERO MATRICULA</v>
          </cell>
          <cell r="D1815" t="str">
            <v>ACTIVO</v>
          </cell>
          <cell r="E1815" t="str">
            <v>BPH502</v>
          </cell>
          <cell r="F1815" t="str">
            <v>VENTURA DAVILA ALEJANDRO GENARO</v>
          </cell>
          <cell r="G1815" t="str">
            <v>VENTURA DAVILA ALEJANDRO GENARO</v>
          </cell>
          <cell r="H1815" t="str">
            <v>70370751</v>
          </cell>
          <cell r="I1815" t="str">
            <v>BBVA</v>
          </cell>
          <cell r="J1815" t="str">
            <v>001103010201658280</v>
          </cell>
          <cell r="K1815" t="str">
            <v>DNI</v>
          </cell>
          <cell r="L1815">
            <v>10703707519</v>
          </cell>
          <cell r="M1815" t="str">
            <v>URBANO</v>
          </cell>
          <cell r="N1815">
            <v>45398</v>
          </cell>
          <cell r="O1815">
            <v>0</v>
          </cell>
          <cell r="P1815" t="str">
            <v>XL</v>
          </cell>
        </row>
        <row r="1816">
          <cell r="A1816">
            <v>9171</v>
          </cell>
          <cell r="B1816">
            <v>9171</v>
          </cell>
          <cell r="C1816" t="str">
            <v>CERO MATRICULA</v>
          </cell>
          <cell r="D1816" t="str">
            <v>ACTIVO</v>
          </cell>
          <cell r="E1816" t="str">
            <v>AZT546</v>
          </cell>
          <cell r="F1816" t="str">
            <v>TACHINAMO FLORES JEFERSON GABRIEL</v>
          </cell>
          <cell r="G1816" t="str">
            <v>DELGADO CAMPOS KERBIN DE JESUS</v>
          </cell>
          <cell r="H1816" t="str">
            <v>005407223</v>
          </cell>
          <cell r="I1816" t="str">
            <v>BCP</v>
          </cell>
          <cell r="J1816" t="str">
            <v>19399511324087</v>
          </cell>
          <cell r="K1816" t="str">
            <v>CE</v>
          </cell>
          <cell r="L1816">
            <v>15609708015</v>
          </cell>
          <cell r="M1816" t="str">
            <v>URBANO</v>
          </cell>
          <cell r="N1816">
            <v>45398</v>
          </cell>
          <cell r="O1816">
            <v>0</v>
          </cell>
          <cell r="P1816" t="str">
            <v>LITE</v>
          </cell>
        </row>
        <row r="1817">
          <cell r="A1817">
            <v>9173</v>
          </cell>
          <cell r="B1817">
            <v>9173</v>
          </cell>
          <cell r="C1817" t="str">
            <v>CERO MATRICULA</v>
          </cell>
          <cell r="D1817" t="str">
            <v>ACTIVO</v>
          </cell>
          <cell r="E1817" t="str">
            <v>AYI016</v>
          </cell>
          <cell r="F1817" t="str">
            <v>COSTILLA TEJADA LUIS PAULINO</v>
          </cell>
          <cell r="G1817" t="str">
            <v>COSTILLA TEJADA LUIS PAULINO</v>
          </cell>
          <cell r="H1817" t="str">
            <v>09519413</v>
          </cell>
          <cell r="I1817" t="str">
            <v>BCP</v>
          </cell>
          <cell r="J1817" t="str">
            <v>19134794930092</v>
          </cell>
          <cell r="K1817" t="str">
            <v>DNI</v>
          </cell>
          <cell r="L1817">
            <v>10095194139</v>
          </cell>
          <cell r="M1817" t="str">
            <v>URBANO</v>
          </cell>
          <cell r="N1817">
            <v>45405</v>
          </cell>
          <cell r="O1817">
            <v>0</v>
          </cell>
          <cell r="P1817" t="str">
            <v>COMFORT</v>
          </cell>
        </row>
        <row r="1818">
          <cell r="A1818">
            <v>9174</v>
          </cell>
          <cell r="B1818">
            <v>9174</v>
          </cell>
          <cell r="C1818" t="str">
            <v>CERO MATRICULA</v>
          </cell>
          <cell r="D1818" t="str">
            <v>ACTIVO</v>
          </cell>
          <cell r="E1818" t="str">
            <v>BWL296</v>
          </cell>
          <cell r="F1818" t="str">
            <v>PEÑA CARLIN ALEXIS HENRY</v>
          </cell>
          <cell r="G1818" t="str">
            <v>PEÑA CARLIN ALEXIS HENRY</v>
          </cell>
          <cell r="H1818" t="str">
            <v>72483369</v>
          </cell>
          <cell r="I1818" t="str">
            <v>INTERBANK</v>
          </cell>
          <cell r="J1818" t="str">
            <v>8983310170110</v>
          </cell>
          <cell r="K1818" t="str">
            <v>DNI</v>
          </cell>
          <cell r="L1818">
            <v>10724833697</v>
          </cell>
          <cell r="M1818" t="str">
            <v>AEROLINEAS</v>
          </cell>
          <cell r="N1818">
            <v>45407</v>
          </cell>
          <cell r="O1818">
            <v>0</v>
          </cell>
          <cell r="P1818" t="str">
            <v>LITE</v>
          </cell>
        </row>
        <row r="1819">
          <cell r="A1819">
            <v>9176</v>
          </cell>
          <cell r="B1819">
            <v>9176</v>
          </cell>
          <cell r="C1819" t="str">
            <v>CERO MATRICULA</v>
          </cell>
          <cell r="D1819" t="str">
            <v>ACTIVO</v>
          </cell>
          <cell r="E1819" t="str">
            <v>BJH292</v>
          </cell>
          <cell r="F1819" t="str">
            <v>CAMPOS CRUZ VICTOR HUGO</v>
          </cell>
          <cell r="G1819" t="str">
            <v>CAMPOS CRUZ VICTOR HUGO</v>
          </cell>
          <cell r="H1819" t="str">
            <v>09534019</v>
          </cell>
          <cell r="I1819" t="str">
            <v>BCP</v>
          </cell>
          <cell r="J1819" t="str">
            <v>19104699559027</v>
          </cell>
          <cell r="K1819" t="str">
            <v>DNI</v>
          </cell>
          <cell r="L1819">
            <v>10095340194</v>
          </cell>
          <cell r="M1819" t="str">
            <v>URBANO</v>
          </cell>
          <cell r="N1819">
            <v>45405</v>
          </cell>
          <cell r="O1819">
            <v>0</v>
          </cell>
          <cell r="P1819" t="str">
            <v>COMFORT</v>
          </cell>
        </row>
        <row r="1820">
          <cell r="A1820">
            <v>9177</v>
          </cell>
          <cell r="B1820">
            <v>9177</v>
          </cell>
          <cell r="C1820" t="str">
            <v>CERO MATRICULA</v>
          </cell>
          <cell r="D1820" t="str">
            <v>ACTIVO</v>
          </cell>
          <cell r="E1820" t="str">
            <v>BCY042</v>
          </cell>
          <cell r="F1820" t="str">
            <v>RIVERA GARCIA OBER LEODAN</v>
          </cell>
          <cell r="G1820" t="str">
            <v>RIVERA GARCIA OBER LEODAN</v>
          </cell>
          <cell r="H1820" t="str">
            <v>45277079</v>
          </cell>
          <cell r="I1820" t="str">
            <v>BBVA</v>
          </cell>
          <cell r="J1820" t="str">
            <v>001108140211853021</v>
          </cell>
          <cell r="K1820" t="str">
            <v>DNI</v>
          </cell>
          <cell r="L1820">
            <v>10452770798</v>
          </cell>
          <cell r="M1820" t="str">
            <v>URBANO</v>
          </cell>
          <cell r="N1820">
            <v>45407</v>
          </cell>
          <cell r="O1820">
            <v>0</v>
          </cell>
          <cell r="P1820" t="str">
            <v>LITE</v>
          </cell>
        </row>
        <row r="1821">
          <cell r="A1821">
            <v>9178</v>
          </cell>
          <cell r="B1821">
            <v>9178</v>
          </cell>
          <cell r="C1821" t="str">
            <v>CERO MATRICULA</v>
          </cell>
          <cell r="D1821" t="str">
            <v>ACTIVO</v>
          </cell>
          <cell r="E1821" t="str">
            <v>AAT207</v>
          </cell>
          <cell r="F1821" t="str">
            <v>ESPEJO OROZCO JACK SABEL</v>
          </cell>
          <cell r="G1821" t="str">
            <v>ESPEJO OROZCO JACK SABEL</v>
          </cell>
          <cell r="H1821" t="str">
            <v>09828657</v>
          </cell>
          <cell r="I1821" t="str">
            <v>BCP</v>
          </cell>
          <cell r="J1821" t="str">
            <v>19302524489087</v>
          </cell>
          <cell r="K1821" t="str">
            <v>DNI</v>
          </cell>
          <cell r="L1821">
            <v>10098286573</v>
          </cell>
          <cell r="M1821" t="str">
            <v>URBANO</v>
          </cell>
          <cell r="N1821">
            <v>45405</v>
          </cell>
          <cell r="O1821">
            <v>0</v>
          </cell>
          <cell r="P1821" t="str">
            <v>LITE</v>
          </cell>
        </row>
        <row r="1822">
          <cell r="A1822">
            <v>9179</v>
          </cell>
          <cell r="B1822">
            <v>9179</v>
          </cell>
          <cell r="C1822" t="str">
            <v>CERO MATRICULA</v>
          </cell>
          <cell r="D1822" t="str">
            <v>ACTIVO</v>
          </cell>
          <cell r="E1822" t="str">
            <v>Cfy115</v>
          </cell>
          <cell r="F1822" t="str">
            <v>CORDOVA PEVES RONAL</v>
          </cell>
          <cell r="G1822" t="str">
            <v>CASAS TANGOA RIVER ANDRES</v>
          </cell>
          <cell r="H1822" t="str">
            <v>47324025</v>
          </cell>
          <cell r="I1822" t="str">
            <v>BCP</v>
          </cell>
          <cell r="J1822" t="str">
            <v>19404530962028</v>
          </cell>
          <cell r="K1822" t="str">
            <v>DNI</v>
          </cell>
          <cell r="L1822">
            <v>10473240250</v>
          </cell>
          <cell r="M1822" t="str">
            <v>URBANO</v>
          </cell>
          <cell r="N1822">
            <v>45405</v>
          </cell>
          <cell r="O1822">
            <v>0</v>
          </cell>
          <cell r="P1822" t="str">
            <v>COMFORT XL</v>
          </cell>
        </row>
        <row r="1823">
          <cell r="A1823">
            <v>9180</v>
          </cell>
          <cell r="B1823">
            <v>9180</v>
          </cell>
          <cell r="C1823" t="str">
            <v>CERO MATRICULA</v>
          </cell>
          <cell r="D1823" t="str">
            <v>ACTIVO</v>
          </cell>
          <cell r="E1823" t="str">
            <v>T5V346</v>
          </cell>
          <cell r="F1823" t="str">
            <v>DE LOS SANTOS DIAZ ANDERSON DANIEL</v>
          </cell>
          <cell r="G1823" t="str">
            <v>DE LOS SANTOS DIAZ ANDERSON DANIEL</v>
          </cell>
          <cell r="H1823" t="str">
            <v>002696967</v>
          </cell>
          <cell r="I1823" t="str">
            <v>INTERBANK</v>
          </cell>
          <cell r="J1823" t="str">
            <v>3763351893097</v>
          </cell>
          <cell r="K1823" t="str">
            <v>CPP</v>
          </cell>
          <cell r="L1823">
            <v>15612505036</v>
          </cell>
          <cell r="M1823" t="str">
            <v>URBANO</v>
          </cell>
          <cell r="N1823">
            <v>45405</v>
          </cell>
          <cell r="O1823">
            <v>0</v>
          </cell>
          <cell r="P1823" t="str">
            <v>COMFORT XL</v>
          </cell>
        </row>
        <row r="1824">
          <cell r="A1824">
            <v>9181</v>
          </cell>
          <cell r="B1824">
            <v>9181</v>
          </cell>
          <cell r="C1824" t="str">
            <v>CERO MATRICULA</v>
          </cell>
          <cell r="D1824" t="str">
            <v>ACTIVO</v>
          </cell>
          <cell r="E1824" t="str">
            <v>Clk135</v>
          </cell>
          <cell r="F1824" t="str">
            <v>HUAYNA ESPINOZA ELVIS ALEXIS</v>
          </cell>
          <cell r="G1824" t="str">
            <v>HUAYNA ESPINOZA ELVIS ALEXIS</v>
          </cell>
          <cell r="H1824" t="str">
            <v>46736494</v>
          </cell>
          <cell r="I1824" t="str">
            <v>BCP</v>
          </cell>
          <cell r="J1824" t="str">
            <v>19292726350077</v>
          </cell>
          <cell r="K1824" t="str">
            <v>DNI</v>
          </cell>
          <cell r="L1824">
            <v>10467364940</v>
          </cell>
          <cell r="M1824" t="str">
            <v>URBANO</v>
          </cell>
          <cell r="N1824">
            <v>45407</v>
          </cell>
          <cell r="O1824">
            <v>0</v>
          </cell>
          <cell r="P1824" t="str">
            <v>LITE</v>
          </cell>
        </row>
        <row r="1825">
          <cell r="A1825">
            <v>9182</v>
          </cell>
          <cell r="B1825">
            <v>9182</v>
          </cell>
          <cell r="C1825" t="str">
            <v>CERO MATRICULA</v>
          </cell>
          <cell r="D1825" t="str">
            <v>ACTIVO</v>
          </cell>
          <cell r="E1825" t="str">
            <v>Bdu625</v>
          </cell>
          <cell r="F1825" t="str">
            <v>HUARINGA VILLANUEVA FRANCIS</v>
          </cell>
          <cell r="G1825" t="str">
            <v>HUARINGA VILLANUEVA FRANCIS</v>
          </cell>
          <cell r="H1825" t="str">
            <v>42135088</v>
          </cell>
          <cell r="I1825" t="str">
            <v>BCP</v>
          </cell>
          <cell r="J1825" t="str">
            <v>19170481915052</v>
          </cell>
          <cell r="K1825" t="str">
            <v>DNI</v>
          </cell>
          <cell r="L1825">
            <v>10421350880</v>
          </cell>
          <cell r="M1825" t="str">
            <v>URBANO</v>
          </cell>
          <cell r="N1825">
            <v>45407</v>
          </cell>
          <cell r="O1825">
            <v>0</v>
          </cell>
          <cell r="P1825" t="str">
            <v>LITE</v>
          </cell>
        </row>
        <row r="1826">
          <cell r="A1826">
            <v>9183</v>
          </cell>
          <cell r="B1826">
            <v>9183</v>
          </cell>
          <cell r="C1826" t="str">
            <v>CERO MATRICULA</v>
          </cell>
          <cell r="D1826" t="str">
            <v>ACTIVO</v>
          </cell>
          <cell r="E1826" t="str">
            <v>CKN167</v>
          </cell>
          <cell r="F1826" t="str">
            <v>OBREGON TUYA JUNIOR ALEJANDRO</v>
          </cell>
          <cell r="G1826" t="str">
            <v>OBREGON TUYA JUNIOR ALEJANDRO</v>
          </cell>
          <cell r="H1826" t="str">
            <v>76510828</v>
          </cell>
          <cell r="I1826" t="str">
            <v>BCP</v>
          </cell>
          <cell r="J1826" t="str">
            <v>19138855994076</v>
          </cell>
          <cell r="K1826" t="str">
            <v>DNI</v>
          </cell>
          <cell r="L1826">
            <v>10765108280</v>
          </cell>
          <cell r="M1826" t="str">
            <v>URBANO PARTNER</v>
          </cell>
          <cell r="N1826">
            <v>45421</v>
          </cell>
          <cell r="O1826">
            <v>0</v>
          </cell>
          <cell r="P1826" t="str">
            <v>COMFORT</v>
          </cell>
        </row>
        <row r="1827">
          <cell r="A1827">
            <v>9184</v>
          </cell>
          <cell r="B1827">
            <v>9184</v>
          </cell>
          <cell r="C1827" t="str">
            <v>CERO MATRICULA</v>
          </cell>
          <cell r="D1827" t="str">
            <v>ACTIVO</v>
          </cell>
          <cell r="E1827" t="str">
            <v>BEP111</v>
          </cell>
          <cell r="F1827" t="str">
            <v>GOYCOCHEA CAMPOS ARTURO GERMAN</v>
          </cell>
          <cell r="G1827" t="str">
            <v>GOYCOCHEA CAMPOS ARTURO GERMAN</v>
          </cell>
          <cell r="H1827" t="str">
            <v>08124755</v>
          </cell>
          <cell r="I1827" t="str">
            <v>BCP</v>
          </cell>
          <cell r="J1827" t="str">
            <v>19104625293011</v>
          </cell>
          <cell r="K1827" t="str">
            <v>DNI</v>
          </cell>
          <cell r="L1827">
            <v>10081247558</v>
          </cell>
          <cell r="M1827" t="str">
            <v>URBANO</v>
          </cell>
          <cell r="N1827">
            <v>45412</v>
          </cell>
          <cell r="O1827">
            <v>0</v>
          </cell>
          <cell r="P1827" t="str">
            <v>COMFORT XL</v>
          </cell>
        </row>
        <row r="1828">
          <cell r="A1828">
            <v>9185</v>
          </cell>
          <cell r="B1828">
            <v>9185</v>
          </cell>
          <cell r="C1828" t="str">
            <v>CERO MATRICULA</v>
          </cell>
          <cell r="D1828" t="str">
            <v>ACTIVO</v>
          </cell>
          <cell r="E1828" t="str">
            <v>CHL376</v>
          </cell>
          <cell r="F1828" t="str">
            <v>MORENO CASTILLO JAGLEEL</v>
          </cell>
          <cell r="G1828" t="str">
            <v>MORENO CASTILLO JAGLEEL</v>
          </cell>
          <cell r="H1828" t="str">
            <v>76866415</v>
          </cell>
          <cell r="I1828" t="str">
            <v>BCP</v>
          </cell>
          <cell r="J1828" t="str">
            <v>19305526800025</v>
          </cell>
          <cell r="K1828" t="str">
            <v>DNI</v>
          </cell>
          <cell r="L1828">
            <v>10768664159</v>
          </cell>
          <cell r="M1828" t="str">
            <v>URBANO</v>
          </cell>
          <cell r="N1828">
            <v>45412</v>
          </cell>
          <cell r="O1828">
            <v>0</v>
          </cell>
          <cell r="P1828" t="str">
            <v>XL</v>
          </cell>
        </row>
        <row r="1829">
          <cell r="A1829">
            <v>9186</v>
          </cell>
          <cell r="B1829">
            <v>9186</v>
          </cell>
          <cell r="C1829" t="str">
            <v>CERO MATRICULA</v>
          </cell>
          <cell r="D1829" t="str">
            <v>ACTIVO</v>
          </cell>
          <cell r="E1829" t="str">
            <v>CLB210</v>
          </cell>
          <cell r="F1829" t="str">
            <v>BARRENECHEA BARRUTIA ENRIQUE MANUEL</v>
          </cell>
          <cell r="G1829" t="str">
            <v>BARRENECHEA BARRUTIA ENRIQUE MANUEL</v>
          </cell>
          <cell r="H1829" t="str">
            <v>42504175</v>
          </cell>
          <cell r="I1829" t="str">
            <v>BBVA</v>
          </cell>
          <cell r="J1829" t="str">
            <v>001101830201047338</v>
          </cell>
          <cell r="K1829" t="str">
            <v>DNI</v>
          </cell>
          <cell r="L1829">
            <v>10425041750</v>
          </cell>
          <cell r="M1829" t="str">
            <v>URBANO</v>
          </cell>
          <cell r="N1829">
            <v>45412</v>
          </cell>
          <cell r="O1829">
            <v>0</v>
          </cell>
          <cell r="P1829" t="str">
            <v>LITE</v>
          </cell>
        </row>
        <row r="1830">
          <cell r="A1830">
            <v>9187</v>
          </cell>
          <cell r="B1830">
            <v>9187</v>
          </cell>
          <cell r="C1830" t="str">
            <v>CERO MATRICULA</v>
          </cell>
          <cell r="D1830" t="str">
            <v>ACTIVO</v>
          </cell>
          <cell r="E1830" t="str">
            <v>CKL464</v>
          </cell>
          <cell r="F1830" t="str">
            <v>BERUTI ESTRADA JEAN PIERRE JOSE</v>
          </cell>
          <cell r="G1830" t="str">
            <v>BERUTI ESTRADA JEAN PIERRE JOSE</v>
          </cell>
          <cell r="H1830" t="str">
            <v>003384200</v>
          </cell>
          <cell r="I1830" t="str">
            <v>BCP</v>
          </cell>
          <cell r="J1830" t="str">
            <v>19240204845053</v>
          </cell>
          <cell r="K1830" t="str">
            <v>CE</v>
          </cell>
          <cell r="L1830">
            <v>15607047275</v>
          </cell>
          <cell r="M1830" t="str">
            <v>URBANO</v>
          </cell>
          <cell r="N1830">
            <v>45419</v>
          </cell>
          <cell r="O1830">
            <v>0</v>
          </cell>
          <cell r="P1830" t="str">
            <v>COMFORT XL</v>
          </cell>
        </row>
        <row r="1831">
          <cell r="A1831">
            <v>9188</v>
          </cell>
          <cell r="B1831">
            <v>9188</v>
          </cell>
          <cell r="C1831" t="str">
            <v>CERO MATRICULA</v>
          </cell>
          <cell r="D1831" t="str">
            <v>ACTIVO</v>
          </cell>
          <cell r="E1831" t="str">
            <v>BNF058</v>
          </cell>
          <cell r="F1831" t="str">
            <v>YANEZ VILLALOBOS JAIRO ALEJANDRO</v>
          </cell>
          <cell r="G1831" t="str">
            <v>YANEZ VILLALOBOS JAIRO ALEJANDRO</v>
          </cell>
          <cell r="H1831" t="str">
            <v>003440424</v>
          </cell>
          <cell r="I1831" t="str">
            <v>BCP</v>
          </cell>
          <cell r="J1831" t="str">
            <v>19193414951034</v>
          </cell>
          <cell r="K1831" t="str">
            <v>CE</v>
          </cell>
          <cell r="L1831">
            <v>15604010010</v>
          </cell>
          <cell r="M1831" t="str">
            <v>URBANO</v>
          </cell>
          <cell r="N1831">
            <v>45412</v>
          </cell>
          <cell r="O1831">
            <v>0</v>
          </cell>
          <cell r="P1831" t="str">
            <v>LITE</v>
          </cell>
        </row>
        <row r="1832">
          <cell r="A1832">
            <v>9189</v>
          </cell>
          <cell r="B1832">
            <v>9189</v>
          </cell>
          <cell r="C1832" t="str">
            <v>CERO MATRICULA</v>
          </cell>
          <cell r="D1832" t="str">
            <v>ACTIVO</v>
          </cell>
          <cell r="E1832" t="str">
            <v>CJM103</v>
          </cell>
          <cell r="F1832" t="str">
            <v>PARRA MONCADA EUTIMIO GREGORIO</v>
          </cell>
          <cell r="G1832" t="str">
            <v>PARRA MONCADA EUTIMIO GREGORIO</v>
          </cell>
          <cell r="H1832" t="str">
            <v>003610356</v>
          </cell>
          <cell r="I1832" t="str">
            <v>BCP</v>
          </cell>
          <cell r="J1832" t="str">
            <v>19199850483071</v>
          </cell>
          <cell r="K1832" t="str">
            <v>CE</v>
          </cell>
          <cell r="L1832">
            <v>15604615531</v>
          </cell>
          <cell r="M1832" t="str">
            <v>URBANO</v>
          </cell>
          <cell r="N1832">
            <v>45412</v>
          </cell>
          <cell r="O1832">
            <v>0</v>
          </cell>
          <cell r="P1832" t="str">
            <v>LITE</v>
          </cell>
        </row>
        <row r="1833">
          <cell r="A1833">
            <v>9190</v>
          </cell>
          <cell r="B1833">
            <v>9190</v>
          </cell>
          <cell r="C1833" t="str">
            <v>CERO MATRICULA</v>
          </cell>
          <cell r="D1833" t="str">
            <v>ACTIVO</v>
          </cell>
          <cell r="E1833" t="str">
            <v>Z7K151</v>
          </cell>
          <cell r="F1833" t="str">
            <v>SILVA PANDURO EDGAR SAUL</v>
          </cell>
          <cell r="G1833" t="str">
            <v>SILVA PANDURO EDGAR SAUL</v>
          </cell>
          <cell r="H1833" t="str">
            <v>40393333</v>
          </cell>
          <cell r="I1833" t="str">
            <v>BCP</v>
          </cell>
          <cell r="J1833" t="str">
            <v>19171128500068</v>
          </cell>
          <cell r="K1833" t="str">
            <v>DNI</v>
          </cell>
          <cell r="L1833">
            <v>10403933339</v>
          </cell>
          <cell r="M1833" t="str">
            <v>URBANO</v>
          </cell>
          <cell r="N1833">
            <v>45419</v>
          </cell>
          <cell r="O1833">
            <v>0</v>
          </cell>
          <cell r="P1833" t="str">
            <v>LITE</v>
          </cell>
        </row>
        <row r="1834">
          <cell r="A1834">
            <v>9192</v>
          </cell>
          <cell r="B1834">
            <v>9192</v>
          </cell>
          <cell r="C1834" t="str">
            <v>CERO MATRICULA</v>
          </cell>
          <cell r="D1834" t="str">
            <v>ACTIVO</v>
          </cell>
          <cell r="E1834" t="str">
            <v>CKJ573</v>
          </cell>
          <cell r="F1834" t="str">
            <v>CORDOVA DIOCIS SHEILA ISIRA</v>
          </cell>
          <cell r="G1834" t="str">
            <v>CORDOVA DIOCIS SHEILA ISIRA</v>
          </cell>
          <cell r="H1834" t="str">
            <v>41883049</v>
          </cell>
          <cell r="I1834" t="str">
            <v>BCP</v>
          </cell>
          <cell r="J1834" t="str">
            <v>19495058243025</v>
          </cell>
          <cell r="K1834" t="str">
            <v>DNI</v>
          </cell>
          <cell r="L1834">
            <v>10418830498</v>
          </cell>
          <cell r="M1834" t="str">
            <v>URBANO</v>
          </cell>
          <cell r="N1834">
            <v>45419</v>
          </cell>
          <cell r="O1834">
            <v>0</v>
          </cell>
          <cell r="P1834" t="str">
            <v>COMFORT XL</v>
          </cell>
        </row>
        <row r="1835">
          <cell r="A1835">
            <v>9193</v>
          </cell>
          <cell r="B1835">
            <v>9193</v>
          </cell>
          <cell r="C1835" t="str">
            <v>CERO MATRICULA</v>
          </cell>
          <cell r="D1835" t="str">
            <v>ACTIVO</v>
          </cell>
          <cell r="E1835" t="str">
            <v>CJI011</v>
          </cell>
          <cell r="F1835" t="str">
            <v>MANCHEGO ESCAJADILLO KAREM ISABEL</v>
          </cell>
          <cell r="G1835" t="str">
            <v>MANCHEGO ESCAJADILLO KAREM ISABEL</v>
          </cell>
          <cell r="H1835" t="str">
            <v>40914910</v>
          </cell>
          <cell r="I1835" t="str">
            <v>INTERBANK</v>
          </cell>
          <cell r="J1835" t="str">
            <v>1583162294189</v>
          </cell>
          <cell r="K1835" t="str">
            <v>DNI</v>
          </cell>
          <cell r="L1835">
            <v>10409149109</v>
          </cell>
          <cell r="M1835" t="str">
            <v>URBANO</v>
          </cell>
          <cell r="N1835">
            <v>45419</v>
          </cell>
          <cell r="O1835">
            <v>0</v>
          </cell>
          <cell r="P1835" t="str">
            <v>LITE</v>
          </cell>
        </row>
        <row r="1836">
          <cell r="A1836">
            <v>9194</v>
          </cell>
          <cell r="B1836">
            <v>9194</v>
          </cell>
          <cell r="C1836" t="str">
            <v>CERO MATRICULA</v>
          </cell>
          <cell r="D1836" t="str">
            <v>ACTIVO</v>
          </cell>
          <cell r="E1836" t="str">
            <v>CHK388</v>
          </cell>
          <cell r="F1836" t="str">
            <v>SOLORZANO PEREZ JUAN ERNESTO</v>
          </cell>
          <cell r="G1836" t="str">
            <v>SOLORZANO PEREZ JUAN ERNESTO</v>
          </cell>
          <cell r="H1836" t="str">
            <v>005416226</v>
          </cell>
          <cell r="I1836" t="str">
            <v>BBVA</v>
          </cell>
          <cell r="J1836" t="str">
            <v>001105640200351727</v>
          </cell>
          <cell r="K1836" t="str">
            <v>CE</v>
          </cell>
          <cell r="L1836">
            <v>15604061838</v>
          </cell>
          <cell r="M1836" t="str">
            <v>AEROLINEAS</v>
          </cell>
          <cell r="N1836">
            <v>45421</v>
          </cell>
          <cell r="O1836">
            <v>0</v>
          </cell>
          <cell r="P1836" t="str">
            <v>LITE</v>
          </cell>
        </row>
        <row r="1837">
          <cell r="A1837">
            <v>9195</v>
          </cell>
          <cell r="B1837">
            <v>9195</v>
          </cell>
          <cell r="C1837" t="str">
            <v>CERO MATRICULA</v>
          </cell>
          <cell r="D1837" t="str">
            <v>ACTIVO</v>
          </cell>
          <cell r="E1837" t="str">
            <v>CJH446</v>
          </cell>
          <cell r="F1837" t="str">
            <v>DELGADO CARPIO ROLANDO JOSE</v>
          </cell>
          <cell r="G1837" t="str">
            <v>DELGADO CARPIO ROLANDO JOSE</v>
          </cell>
          <cell r="H1837" t="str">
            <v>74086110</v>
          </cell>
          <cell r="I1837" t="str">
            <v>BCP</v>
          </cell>
          <cell r="J1837" t="str">
            <v>19193037576047</v>
          </cell>
          <cell r="K1837" t="str">
            <v>DNI</v>
          </cell>
          <cell r="L1837">
            <v>10740861102</v>
          </cell>
          <cell r="M1837" t="str">
            <v>AEROLINEAS</v>
          </cell>
          <cell r="N1837">
            <v>45421</v>
          </cell>
          <cell r="O1837">
            <v>0</v>
          </cell>
          <cell r="P1837" t="str">
            <v>LITE</v>
          </cell>
        </row>
        <row r="1838">
          <cell r="A1838">
            <v>9196</v>
          </cell>
          <cell r="B1838">
            <v>9196</v>
          </cell>
          <cell r="C1838" t="str">
            <v>CERO MATRICULA</v>
          </cell>
          <cell r="D1838" t="str">
            <v>ACTIVO</v>
          </cell>
          <cell r="E1838" t="str">
            <v>CFW008</v>
          </cell>
          <cell r="F1838" t="str">
            <v>MIRANDA OLIDEN JESUS ALBERTO</v>
          </cell>
          <cell r="G1838" t="str">
            <v>JESUS ALBERTO MIRANDA OLDEN</v>
          </cell>
          <cell r="H1838" t="str">
            <v>47937260</v>
          </cell>
          <cell r="I1838" t="str">
            <v>BBVA</v>
          </cell>
          <cell r="J1838" t="str">
            <v>01181400025669883319</v>
          </cell>
          <cell r="K1838" t="str">
            <v>DNI</v>
          </cell>
          <cell r="L1838">
            <v>10479372603</v>
          </cell>
          <cell r="M1838" t="str">
            <v>AEROLINEAS</v>
          </cell>
          <cell r="N1838">
            <v>45421</v>
          </cell>
          <cell r="O1838">
            <v>0</v>
          </cell>
          <cell r="P1838" t="str">
            <v>LITE</v>
          </cell>
        </row>
        <row r="1839">
          <cell r="A1839">
            <v>9197</v>
          </cell>
          <cell r="B1839">
            <v>9197</v>
          </cell>
          <cell r="C1839" t="str">
            <v>CERO MATRICULA</v>
          </cell>
          <cell r="D1839" t="str">
            <v>ACTIVO</v>
          </cell>
          <cell r="E1839" t="str">
            <v>BLA091</v>
          </cell>
          <cell r="F1839" t="str">
            <v>CHOQUEHUANCA DIAZ CRISTIAN DAVID</v>
          </cell>
          <cell r="G1839" t="str">
            <v>CHOQUEHUANCA DIAZ CRISTIAN DAVID</v>
          </cell>
          <cell r="H1839" t="str">
            <v>47539572</v>
          </cell>
          <cell r="I1839" t="str">
            <v>BCP</v>
          </cell>
          <cell r="J1839" t="str">
            <v>19106751659056</v>
          </cell>
          <cell r="K1839" t="str">
            <v>DNI</v>
          </cell>
          <cell r="L1839">
            <v>10475395722</v>
          </cell>
          <cell r="M1839" t="str">
            <v>URBANO</v>
          </cell>
          <cell r="N1839">
            <v>45421</v>
          </cell>
          <cell r="O1839">
            <v>0</v>
          </cell>
          <cell r="P1839" t="str">
            <v>COMFORT XL</v>
          </cell>
        </row>
        <row r="1840">
          <cell r="A1840">
            <v>9198</v>
          </cell>
          <cell r="B1840">
            <v>9198</v>
          </cell>
          <cell r="C1840" t="str">
            <v>CERO MATRICULA</v>
          </cell>
          <cell r="D1840" t="str">
            <v>ACTIVO</v>
          </cell>
          <cell r="E1840" t="str">
            <v>CAB457</v>
          </cell>
          <cell r="F1840" t="str">
            <v>NIMA NAVARRO GERSON ANTONIO</v>
          </cell>
          <cell r="G1840" t="str">
            <v>NIMA NAVARRO GERSON ANTONIO</v>
          </cell>
          <cell r="H1840" t="str">
            <v>72404095</v>
          </cell>
          <cell r="I1840" t="str">
            <v>BCP</v>
          </cell>
          <cell r="J1840" t="str">
            <v>19202523815007</v>
          </cell>
          <cell r="K1840" t="str">
            <v>DNI</v>
          </cell>
          <cell r="L1840">
            <v>10724040956</v>
          </cell>
          <cell r="M1840" t="str">
            <v>URBANO</v>
          </cell>
          <cell r="N1840">
            <v>45421</v>
          </cell>
          <cell r="O1840">
            <v>0</v>
          </cell>
          <cell r="P1840" t="str">
            <v>LITE</v>
          </cell>
        </row>
        <row r="1841">
          <cell r="A1841">
            <v>9200</v>
          </cell>
          <cell r="B1841">
            <v>9200</v>
          </cell>
          <cell r="C1841" t="str">
            <v>CERO MATRICULA</v>
          </cell>
          <cell r="D1841" t="str">
            <v>ACTIVO</v>
          </cell>
          <cell r="E1841" t="str">
            <v>BUG148</v>
          </cell>
          <cell r="F1841" t="str">
            <v>REYNOSO CHAVEZ GIULIANA VANESSA</v>
          </cell>
          <cell r="G1841" t="str">
            <v>REYNOSO CHAVEZ GIULIANA VANESSA</v>
          </cell>
          <cell r="H1841" t="str">
            <v>29471136</v>
          </cell>
          <cell r="I1841" t="str">
            <v>BCP</v>
          </cell>
          <cell r="J1841" t="str">
            <v>19397572413091</v>
          </cell>
          <cell r="K1841" t="str">
            <v>DNI</v>
          </cell>
          <cell r="L1841">
            <v>10294711363</v>
          </cell>
          <cell r="M1841" t="str">
            <v>AEROLINEAS</v>
          </cell>
          <cell r="N1841">
            <v>45421</v>
          </cell>
          <cell r="O1841">
            <v>0</v>
          </cell>
          <cell r="P1841" t="str">
            <v>LITE</v>
          </cell>
        </row>
        <row r="1842">
          <cell r="A1842">
            <v>9201</v>
          </cell>
          <cell r="B1842">
            <v>9201</v>
          </cell>
          <cell r="C1842" t="str">
            <v>CERO MATRICULA</v>
          </cell>
          <cell r="D1842" t="str">
            <v>ACTIVO</v>
          </cell>
          <cell r="E1842" t="str">
            <v>BMJ390</v>
          </cell>
          <cell r="F1842" t="str">
            <v>BUTRON MORELLO RONNY FREDDY</v>
          </cell>
          <cell r="G1842" t="str">
            <v>BUTRON MORELLO RONNY FREDDY</v>
          </cell>
          <cell r="H1842" t="str">
            <v>25761415</v>
          </cell>
          <cell r="I1842" t="str">
            <v>BCP</v>
          </cell>
          <cell r="J1842" t="str">
            <v>19270232603022</v>
          </cell>
          <cell r="K1842" t="str">
            <v>DNI</v>
          </cell>
          <cell r="L1842">
            <v>10257614153</v>
          </cell>
          <cell r="M1842" t="str">
            <v>URBANO</v>
          </cell>
          <cell r="N1842">
            <v>45426</v>
          </cell>
          <cell r="O1842">
            <v>0</v>
          </cell>
          <cell r="P1842" t="str">
            <v>COMFORT XL</v>
          </cell>
        </row>
        <row r="1843">
          <cell r="A1843">
            <v>9202</v>
          </cell>
          <cell r="B1843">
            <v>9202</v>
          </cell>
          <cell r="C1843" t="str">
            <v>CERO MATRICULA</v>
          </cell>
          <cell r="D1843" t="str">
            <v>ACTIVO</v>
          </cell>
          <cell r="E1843" t="str">
            <v>CDY076</v>
          </cell>
          <cell r="F1843" t="str">
            <v>Moscoso Hualparimachi José Antonio</v>
          </cell>
          <cell r="G1843" t="str">
            <v>LOO IONG JESSIKA</v>
          </cell>
          <cell r="H1843" t="str">
            <v>47552853</v>
          </cell>
          <cell r="I1843" t="str">
            <v>BBVA</v>
          </cell>
          <cell r="J1843" t="str">
            <v>001108140241246560</v>
          </cell>
          <cell r="K1843" t="str">
            <v>DNI</v>
          </cell>
          <cell r="L1843">
            <v>10475528536</v>
          </cell>
          <cell r="M1843" t="str">
            <v>URBANO</v>
          </cell>
          <cell r="N1843">
            <v>45433</v>
          </cell>
          <cell r="O1843">
            <v>0</v>
          </cell>
          <cell r="P1843" t="str">
            <v>XL</v>
          </cell>
        </row>
        <row r="1844">
          <cell r="A1844">
            <v>9203</v>
          </cell>
          <cell r="B1844">
            <v>9203</v>
          </cell>
          <cell r="C1844" t="str">
            <v>CERO MATRICULA</v>
          </cell>
          <cell r="D1844" t="str">
            <v>ACTIVO</v>
          </cell>
          <cell r="E1844" t="str">
            <v>CDW660</v>
          </cell>
          <cell r="F1844" t="str">
            <v>MESIA SANEZ JAVIER JUAN CARLOS</v>
          </cell>
          <cell r="G1844" t="str">
            <v>LOAYZA LOPEZ GLADYS MERCEDES</v>
          </cell>
          <cell r="H1844" t="str">
            <v>73341707</v>
          </cell>
          <cell r="I1844" t="str">
            <v>BCP</v>
          </cell>
          <cell r="J1844" t="str">
            <v>19198267127022</v>
          </cell>
          <cell r="K1844" t="str">
            <v>DNI</v>
          </cell>
          <cell r="L1844">
            <v>10733417078</v>
          </cell>
          <cell r="M1844" t="str">
            <v>URBANO</v>
          </cell>
          <cell r="N1844">
            <v>45426</v>
          </cell>
          <cell r="O1844">
            <v>0</v>
          </cell>
          <cell r="P1844" t="str">
            <v>COMFORT</v>
          </cell>
        </row>
        <row r="1845">
          <cell r="A1845">
            <v>9204</v>
          </cell>
          <cell r="B1845">
            <v>9204</v>
          </cell>
          <cell r="C1845" t="str">
            <v>CERO MATRICULA</v>
          </cell>
          <cell r="D1845" t="str">
            <v>ACTIVO</v>
          </cell>
          <cell r="E1845" t="str">
            <v>CLR269</v>
          </cell>
          <cell r="F1845" t="str">
            <v>TORRES SALAZAR KENYI LEE</v>
          </cell>
          <cell r="G1845" t="str">
            <v>TORRES SALAZAR KENYI LEE</v>
          </cell>
          <cell r="H1845" t="str">
            <v>70447539</v>
          </cell>
          <cell r="I1845" t="str">
            <v>INTERBANK</v>
          </cell>
          <cell r="J1845" t="str">
            <v>898 3335914114</v>
          </cell>
          <cell r="K1845" t="str">
            <v>DNI</v>
          </cell>
          <cell r="L1845">
            <v>10704475395</v>
          </cell>
          <cell r="M1845" t="str">
            <v>URBANO</v>
          </cell>
          <cell r="N1845">
            <v>45426</v>
          </cell>
          <cell r="O1845">
            <v>0</v>
          </cell>
          <cell r="P1845" t="str">
            <v>COMFORT XL</v>
          </cell>
        </row>
        <row r="1846">
          <cell r="A1846">
            <v>9206</v>
          </cell>
          <cell r="B1846">
            <v>9206</v>
          </cell>
          <cell r="C1846" t="str">
            <v>CERO MATRICULA</v>
          </cell>
          <cell r="D1846" t="str">
            <v>ACTIVO</v>
          </cell>
          <cell r="E1846" t="str">
            <v>Z6k590</v>
          </cell>
          <cell r="F1846" t="str">
            <v>MARIANO ORTEGA VLADIMIR SANTOS</v>
          </cell>
          <cell r="G1846" t="str">
            <v>MARIANO ORTEGA VLADIMIR SANTOS</v>
          </cell>
          <cell r="H1846" t="str">
            <v>46716081</v>
          </cell>
          <cell r="I1846" t="str">
            <v>BCP</v>
          </cell>
          <cell r="J1846" t="str">
            <v>19196642104085</v>
          </cell>
          <cell r="K1846" t="str">
            <v>DNI</v>
          </cell>
          <cell r="L1846">
            <v>10467160813</v>
          </cell>
          <cell r="M1846" t="str">
            <v>URBANO</v>
          </cell>
          <cell r="N1846">
            <v>45426</v>
          </cell>
          <cell r="O1846">
            <v>0</v>
          </cell>
          <cell r="P1846" t="str">
            <v>COMFORT XL</v>
          </cell>
        </row>
        <row r="1847">
          <cell r="A1847">
            <v>9207</v>
          </cell>
          <cell r="B1847">
            <v>9207</v>
          </cell>
          <cell r="C1847" t="str">
            <v>CERO MATRICULA</v>
          </cell>
          <cell r="D1847" t="str">
            <v>ACTIVO</v>
          </cell>
          <cell r="E1847" t="str">
            <v>Z7H312</v>
          </cell>
          <cell r="F1847" t="str">
            <v>ARTICA MARIN JONATHAN</v>
          </cell>
          <cell r="G1847" t="str">
            <v>ARTICA MARIN JONATHAN</v>
          </cell>
          <cell r="H1847" t="str">
            <v>46333390</v>
          </cell>
          <cell r="I1847" t="str">
            <v>BCP</v>
          </cell>
          <cell r="J1847" t="str">
            <v>19101952985010</v>
          </cell>
          <cell r="K1847" t="str">
            <v>DNI</v>
          </cell>
          <cell r="L1847">
            <v>10463333900</v>
          </cell>
          <cell r="M1847" t="str">
            <v>URBANO</v>
          </cell>
          <cell r="N1847">
            <v>45426</v>
          </cell>
          <cell r="O1847">
            <v>0</v>
          </cell>
          <cell r="P1847" t="str">
            <v>COMFORT</v>
          </cell>
        </row>
        <row r="1848">
          <cell r="A1848">
            <v>9208</v>
          </cell>
          <cell r="B1848">
            <v>9208</v>
          </cell>
          <cell r="C1848" t="str">
            <v>CERO MATRICULA</v>
          </cell>
          <cell r="D1848" t="str">
            <v>ACTIVO</v>
          </cell>
          <cell r="E1848" t="str">
            <v>CKE106</v>
          </cell>
          <cell r="F1848" t="str">
            <v>VERA RIVERA YIMY AMABLE</v>
          </cell>
          <cell r="G1848" t="str">
            <v>MOGOLLON CORDOVA MAYRA PATRICIA</v>
          </cell>
          <cell r="H1848" t="str">
            <v>43332116</v>
          </cell>
          <cell r="I1848" t="str">
            <v>BBVA</v>
          </cell>
          <cell r="J1848" t="str">
            <v>001108140214673636</v>
          </cell>
          <cell r="K1848" t="str">
            <v>DNI</v>
          </cell>
          <cell r="L1848">
            <v>10433321168</v>
          </cell>
          <cell r="M1848" t="str">
            <v>URBANO</v>
          </cell>
          <cell r="N1848">
            <v>45428</v>
          </cell>
          <cell r="O1848">
            <v>0</v>
          </cell>
          <cell r="P1848" t="str">
            <v>COMFORT XL</v>
          </cell>
        </row>
        <row r="1849">
          <cell r="A1849">
            <v>9209</v>
          </cell>
          <cell r="B1849">
            <v>9209</v>
          </cell>
          <cell r="C1849" t="str">
            <v>CERO MATRICULA</v>
          </cell>
          <cell r="D1849" t="str">
            <v>ACTIVO</v>
          </cell>
          <cell r="E1849" t="str">
            <v>CFR162</v>
          </cell>
          <cell r="F1849" t="str">
            <v>ROMERO VALERIO CESAR AUGUSTO</v>
          </cell>
          <cell r="G1849" t="str">
            <v>ROMERO VALERIO CESAR AUGUSTO</v>
          </cell>
          <cell r="H1849" t="str">
            <v>006827534</v>
          </cell>
          <cell r="I1849" t="str">
            <v>BCP</v>
          </cell>
          <cell r="J1849" t="str">
            <v>19206779169043</v>
          </cell>
          <cell r="K1849" t="str">
            <v>CE</v>
          </cell>
          <cell r="L1849">
            <v>15611233342</v>
          </cell>
          <cell r="M1849" t="str">
            <v>URBANO</v>
          </cell>
          <cell r="N1849">
            <v>45428</v>
          </cell>
          <cell r="O1849">
            <v>0</v>
          </cell>
          <cell r="P1849" t="str">
            <v>LITE</v>
          </cell>
        </row>
        <row r="1850">
          <cell r="A1850">
            <v>9211</v>
          </cell>
          <cell r="B1850">
            <v>9211</v>
          </cell>
          <cell r="C1850" t="str">
            <v>CERO MATRICULA</v>
          </cell>
          <cell r="D1850" t="str">
            <v>ACTIVO</v>
          </cell>
          <cell r="E1850" t="str">
            <v>CLU103</v>
          </cell>
          <cell r="F1850" t="str">
            <v>CERDA CERON YONATAN</v>
          </cell>
          <cell r="G1850" t="str">
            <v>CERDA CERON YONATAN</v>
          </cell>
          <cell r="H1850" t="str">
            <v>45806537</v>
          </cell>
          <cell r="I1850" t="str">
            <v>BCP</v>
          </cell>
          <cell r="J1850" t="str">
            <v>19498349750079</v>
          </cell>
          <cell r="K1850" t="str">
            <v>DNI</v>
          </cell>
          <cell r="L1850">
            <v>10458065379</v>
          </cell>
          <cell r="M1850" t="str">
            <v>URBANO</v>
          </cell>
          <cell r="N1850">
            <v>45428</v>
          </cell>
          <cell r="O1850">
            <v>0</v>
          </cell>
          <cell r="P1850" t="str">
            <v>COMFORT XL</v>
          </cell>
        </row>
        <row r="1851">
          <cell r="A1851">
            <v>9213</v>
          </cell>
          <cell r="B1851">
            <v>9213</v>
          </cell>
          <cell r="C1851" t="str">
            <v>CERO MATRICULA</v>
          </cell>
          <cell r="D1851" t="str">
            <v>ACTIVO</v>
          </cell>
          <cell r="E1851" t="str">
            <v>BVS411</v>
          </cell>
          <cell r="F1851" t="str">
            <v>QUIVA BAPTISTA NICOLAS ANTONIO</v>
          </cell>
          <cell r="G1851" t="str">
            <v>QUIVA BAPTISTA NICOLAS ANTONIO</v>
          </cell>
          <cell r="H1851" t="str">
            <v>007605740</v>
          </cell>
          <cell r="I1851" t="str">
            <v>INTERBANK</v>
          </cell>
          <cell r="J1851" t="str">
            <v>6453359664287</v>
          </cell>
          <cell r="K1851" t="str">
            <v>CPP</v>
          </cell>
          <cell r="L1851">
            <v>15611445510</v>
          </cell>
          <cell r="M1851" t="str">
            <v>URBANO</v>
          </cell>
          <cell r="N1851">
            <v>45428</v>
          </cell>
          <cell r="O1851">
            <v>0</v>
          </cell>
          <cell r="P1851" t="str">
            <v>LITE</v>
          </cell>
        </row>
        <row r="1852">
          <cell r="A1852">
            <v>9214</v>
          </cell>
          <cell r="B1852">
            <v>9214</v>
          </cell>
          <cell r="C1852" t="str">
            <v>CERO MATRICULA</v>
          </cell>
          <cell r="D1852" t="str">
            <v>ACTIVO</v>
          </cell>
          <cell r="E1852" t="str">
            <v>AJN186</v>
          </cell>
          <cell r="F1852" t="str">
            <v>HERNANDEZ MENDOZA LUIS ALBERTO</v>
          </cell>
          <cell r="G1852" t="str">
            <v>CUBAS REVILLA FLOR YANET</v>
          </cell>
          <cell r="H1852" t="str">
            <v>46984028</v>
          </cell>
          <cell r="I1852" t="str">
            <v>BBVA</v>
          </cell>
          <cell r="J1852" t="str">
            <v>001108140257575956</v>
          </cell>
          <cell r="K1852" t="str">
            <v>DNI</v>
          </cell>
          <cell r="L1852">
            <v>10469840285</v>
          </cell>
          <cell r="M1852" t="str">
            <v>MEMBRESÍA URBANO</v>
          </cell>
          <cell r="N1852">
            <v>45428</v>
          </cell>
          <cell r="O1852">
            <v>280</v>
          </cell>
          <cell r="P1852" t="str">
            <v>COMFORT</v>
          </cell>
        </row>
        <row r="1853">
          <cell r="A1853">
            <v>9215</v>
          </cell>
          <cell r="B1853">
            <v>9215</v>
          </cell>
          <cell r="C1853" t="str">
            <v>CERO MATRICULA</v>
          </cell>
          <cell r="D1853" t="str">
            <v>ACTIVO</v>
          </cell>
          <cell r="E1853" t="str">
            <v>BLF474</v>
          </cell>
          <cell r="F1853" t="str">
            <v>Guerra Sandoval Sergio Raul</v>
          </cell>
          <cell r="G1853" t="str">
            <v>GUERRA SANDOVAL SERGIO RAÚL</v>
          </cell>
          <cell r="H1853" t="str">
            <v>49004107</v>
          </cell>
          <cell r="I1853" t="str">
            <v>BCP</v>
          </cell>
          <cell r="J1853" t="str">
            <v>19190635164068</v>
          </cell>
          <cell r="K1853" t="str">
            <v>DNI</v>
          </cell>
          <cell r="L1853">
            <v>10490041074</v>
          </cell>
          <cell r="M1853" t="str">
            <v>AEROPUERTO</v>
          </cell>
          <cell r="N1853">
            <v>45433</v>
          </cell>
          <cell r="O1853">
            <v>235</v>
          </cell>
          <cell r="P1853" t="str">
            <v>COMFORT XL</v>
          </cell>
        </row>
        <row r="1854">
          <cell r="A1854">
            <v>9216</v>
          </cell>
          <cell r="B1854">
            <v>9216</v>
          </cell>
          <cell r="C1854" t="str">
            <v>CERO MATRICULA</v>
          </cell>
          <cell r="D1854" t="str">
            <v>ACTIVO</v>
          </cell>
          <cell r="E1854" t="str">
            <v>CBL191</v>
          </cell>
          <cell r="F1854" t="str">
            <v>Sandoval Reyna José Bernardo</v>
          </cell>
          <cell r="G1854" t="str">
            <v>SANDOVAL REYNA JOSE BERNARDO</v>
          </cell>
          <cell r="H1854" t="str">
            <v>09377465</v>
          </cell>
          <cell r="I1854" t="str">
            <v>BCP</v>
          </cell>
          <cell r="J1854" t="str">
            <v>19195186254029</v>
          </cell>
          <cell r="K1854" t="str">
            <v>DNI</v>
          </cell>
          <cell r="L1854">
            <v>15433738206</v>
          </cell>
          <cell r="M1854" t="str">
            <v>URBANO</v>
          </cell>
          <cell r="N1854">
            <v>45433</v>
          </cell>
          <cell r="O1854">
            <v>0</v>
          </cell>
          <cell r="P1854" t="str">
            <v>COMFORT XL</v>
          </cell>
        </row>
        <row r="1855">
          <cell r="A1855">
            <v>9217</v>
          </cell>
          <cell r="B1855">
            <v>9217</v>
          </cell>
          <cell r="C1855" t="str">
            <v>CERO MATRICULA</v>
          </cell>
          <cell r="D1855" t="str">
            <v>ACTIVO</v>
          </cell>
          <cell r="E1855" t="str">
            <v>CDC170</v>
          </cell>
          <cell r="F1855" t="str">
            <v>Chaupis Tovar Esau</v>
          </cell>
          <cell r="G1855" t="str">
            <v>CHAUPIS TOVAR ESAU</v>
          </cell>
          <cell r="H1855" t="str">
            <v>07515038</v>
          </cell>
          <cell r="I1855" t="str">
            <v>BBVA</v>
          </cell>
          <cell r="J1855" t="str">
            <v>001101090200754622</v>
          </cell>
          <cell r="K1855" t="str">
            <v>DNI</v>
          </cell>
          <cell r="L1855">
            <v>10075150381</v>
          </cell>
          <cell r="M1855" t="str">
            <v>URBANO</v>
          </cell>
          <cell r="N1855">
            <v>45433</v>
          </cell>
          <cell r="O1855">
            <v>0</v>
          </cell>
          <cell r="P1855" t="str">
            <v>LITE</v>
          </cell>
        </row>
        <row r="1856">
          <cell r="A1856">
            <v>9218</v>
          </cell>
          <cell r="B1856">
            <v>9218</v>
          </cell>
          <cell r="C1856" t="str">
            <v>CERO MATRICULA</v>
          </cell>
          <cell r="D1856" t="str">
            <v>ACTIVO</v>
          </cell>
          <cell r="E1856" t="str">
            <v>BCL248</v>
          </cell>
          <cell r="F1856" t="str">
            <v>Alejos Rodas Jesús Alberto</v>
          </cell>
          <cell r="G1856" t="str">
            <v>ALEJOS RODAS JESUS ALBERTO</v>
          </cell>
          <cell r="H1856" t="str">
            <v>10815434</v>
          </cell>
          <cell r="I1856" t="str">
            <v>BBVA</v>
          </cell>
          <cell r="J1856" t="str">
            <v>0011-0342-0200563158</v>
          </cell>
          <cell r="K1856" t="str">
            <v>DNI</v>
          </cell>
          <cell r="L1856">
            <v>10108154344</v>
          </cell>
          <cell r="M1856" t="str">
            <v>URBANO</v>
          </cell>
          <cell r="N1856">
            <v>45433</v>
          </cell>
          <cell r="O1856">
            <v>0</v>
          </cell>
          <cell r="P1856" t="str">
            <v>LITE</v>
          </cell>
        </row>
        <row r="1857">
          <cell r="A1857">
            <v>9220</v>
          </cell>
          <cell r="B1857">
            <v>9220</v>
          </cell>
          <cell r="C1857" t="str">
            <v>CERO MATRICULA</v>
          </cell>
          <cell r="D1857" t="str">
            <v>ACTIVO</v>
          </cell>
          <cell r="E1857" t="str">
            <v>CLQ394</v>
          </cell>
          <cell r="F1857" t="str">
            <v>Reque Huanambal Eudes Kenty Martín</v>
          </cell>
          <cell r="G1857" t="str">
            <v>REQUE HUANAMBAL EUDES KENTY MARTIN</v>
          </cell>
          <cell r="H1857" t="str">
            <v>42906720</v>
          </cell>
          <cell r="I1857" t="str">
            <v>INTERBANK</v>
          </cell>
          <cell r="J1857" t="str">
            <v>8983233305458</v>
          </cell>
          <cell r="K1857" t="str">
            <v>DNI</v>
          </cell>
          <cell r="L1857">
            <v>10429067206</v>
          </cell>
          <cell r="M1857" t="str">
            <v>URBANO</v>
          </cell>
          <cell r="N1857">
            <v>45435</v>
          </cell>
          <cell r="O1857">
            <v>0</v>
          </cell>
          <cell r="P1857" t="str">
            <v>XL</v>
          </cell>
        </row>
        <row r="1858">
          <cell r="A1858">
            <v>9221</v>
          </cell>
          <cell r="B1858">
            <v>9221</v>
          </cell>
          <cell r="C1858" t="str">
            <v>CERO MATRICULA</v>
          </cell>
          <cell r="D1858" t="str">
            <v>ACTIVO</v>
          </cell>
          <cell r="E1858" t="str">
            <v>CLK630</v>
          </cell>
          <cell r="F1858" t="str">
            <v>Fernandez Sare Cesar</v>
          </cell>
          <cell r="G1858" t="str">
            <v>FERNANDEZ SARE CESAR</v>
          </cell>
          <cell r="H1858" t="str">
            <v>09969534</v>
          </cell>
          <cell r="I1858" t="str">
            <v>BBVA</v>
          </cell>
          <cell r="J1858" t="str">
            <v>001108140221538019</v>
          </cell>
          <cell r="K1858" t="str">
            <v>DNI</v>
          </cell>
          <cell r="L1858">
            <v>10099695345</v>
          </cell>
          <cell r="M1858" t="str">
            <v>URBANO</v>
          </cell>
          <cell r="N1858">
            <v>45435</v>
          </cell>
          <cell r="O1858">
            <v>0</v>
          </cell>
          <cell r="P1858" t="str">
            <v>XL</v>
          </cell>
        </row>
        <row r="1859">
          <cell r="A1859">
            <v>9222</v>
          </cell>
          <cell r="B1859">
            <v>9222</v>
          </cell>
          <cell r="C1859" t="str">
            <v>CERO MATRICULA</v>
          </cell>
          <cell r="D1859" t="str">
            <v>ACTIVO</v>
          </cell>
          <cell r="E1859" t="str">
            <v>CLW166</v>
          </cell>
          <cell r="F1859" t="str">
            <v>Loza Murrugarra Edwin Jesús</v>
          </cell>
          <cell r="G1859" t="str">
            <v>GAMBIRAZIO GARCIA GIOVANNA</v>
          </cell>
          <cell r="H1859" t="str">
            <v>41258683</v>
          </cell>
          <cell r="I1859" t="str">
            <v>BCP</v>
          </cell>
          <cell r="J1859" t="str">
            <v>19377854072074</v>
          </cell>
          <cell r="K1859" t="str">
            <v>DNI</v>
          </cell>
          <cell r="L1859">
            <v>10412586838</v>
          </cell>
          <cell r="M1859" t="str">
            <v>URBANO</v>
          </cell>
          <cell r="N1859">
            <v>45435</v>
          </cell>
          <cell r="O1859">
            <v>0</v>
          </cell>
          <cell r="P1859" t="str">
            <v>COMFORT</v>
          </cell>
        </row>
        <row r="1860">
          <cell r="A1860">
            <v>9223</v>
          </cell>
          <cell r="B1860">
            <v>9223</v>
          </cell>
          <cell r="C1860" t="str">
            <v>CERO MATRICULA</v>
          </cell>
          <cell r="D1860" t="str">
            <v>ACTIVO</v>
          </cell>
          <cell r="E1860" t="str">
            <v>BFU394</v>
          </cell>
          <cell r="F1860" t="str">
            <v>FIGUEROA RODRIGUEZ JULIO FRANK</v>
          </cell>
          <cell r="G1860" t="str">
            <v>FIGUEROA RODRIGUEZ JULIO FRANK</v>
          </cell>
          <cell r="H1860" t="str">
            <v>80185839</v>
          </cell>
          <cell r="I1860" t="str">
            <v>BBVA</v>
          </cell>
          <cell r="J1860" t="str">
            <v>001108140258057797</v>
          </cell>
          <cell r="K1860" t="str">
            <v>DNI</v>
          </cell>
          <cell r="L1860">
            <v>10801858398</v>
          </cell>
          <cell r="M1860" t="str">
            <v>URBANO</v>
          </cell>
          <cell r="N1860">
            <v>45435</v>
          </cell>
          <cell r="O1860">
            <v>0</v>
          </cell>
          <cell r="P1860" t="str">
            <v>COMFORT XL</v>
          </cell>
        </row>
        <row r="1861">
          <cell r="A1861">
            <v>9224</v>
          </cell>
          <cell r="B1861">
            <v>9224</v>
          </cell>
          <cell r="C1861" t="str">
            <v>CERO MATRICULA</v>
          </cell>
          <cell r="D1861" t="str">
            <v>ACTIVO</v>
          </cell>
          <cell r="E1861" t="str">
            <v>BNO052</v>
          </cell>
          <cell r="F1861" t="str">
            <v>Quispe Tipula Abraham</v>
          </cell>
          <cell r="G1861" t="str">
            <v>QUISPE TIPULA ABRAHAM</v>
          </cell>
          <cell r="H1861" t="str">
            <v>09418284</v>
          </cell>
          <cell r="I1861" t="str">
            <v>BCP</v>
          </cell>
          <cell r="J1861" t="str">
            <v>19194693726026</v>
          </cell>
          <cell r="K1861" t="str">
            <v>DNI</v>
          </cell>
          <cell r="L1861">
            <v>10094182846</v>
          </cell>
          <cell r="M1861" t="str">
            <v>URBANO</v>
          </cell>
          <cell r="N1861">
            <v>45435</v>
          </cell>
          <cell r="O1861">
            <v>0</v>
          </cell>
          <cell r="P1861" t="str">
            <v>LITE</v>
          </cell>
        </row>
        <row r="1862">
          <cell r="A1862">
            <v>9225</v>
          </cell>
          <cell r="B1862">
            <v>9225</v>
          </cell>
          <cell r="C1862" t="str">
            <v>CERO MATRICULA</v>
          </cell>
          <cell r="D1862" t="str">
            <v>ACTIVO</v>
          </cell>
          <cell r="E1862" t="str">
            <v>AUP072</v>
          </cell>
          <cell r="F1862" t="str">
            <v>Damas Sachún Percy Andy</v>
          </cell>
          <cell r="G1862" t="str">
            <v>DAMAS SACHUN PERCY ANDY</v>
          </cell>
          <cell r="H1862" t="str">
            <v>73102818</v>
          </cell>
          <cell r="I1862" t="str">
            <v>BBVA</v>
          </cell>
          <cell r="J1862" t="str">
            <v>001108140252018951</v>
          </cell>
          <cell r="K1862" t="str">
            <v>DNI</v>
          </cell>
          <cell r="L1862">
            <v>10731028180</v>
          </cell>
          <cell r="M1862" t="str">
            <v>URBANO</v>
          </cell>
          <cell r="N1862">
            <v>45435</v>
          </cell>
          <cell r="O1862">
            <v>0</v>
          </cell>
          <cell r="P1862" t="str">
            <v>LITE</v>
          </cell>
        </row>
        <row r="1863">
          <cell r="A1863">
            <v>9226</v>
          </cell>
          <cell r="B1863">
            <v>9226</v>
          </cell>
          <cell r="C1863" t="str">
            <v>CERO MATRICULA</v>
          </cell>
          <cell r="D1863" t="str">
            <v>ACTIVO</v>
          </cell>
          <cell r="E1863" t="str">
            <v>ATJ456</v>
          </cell>
          <cell r="F1863" t="str">
            <v>Rodríguez Casimiro Mauricio Marcelo</v>
          </cell>
          <cell r="G1863" t="str">
            <v>UCHUYPOMA POMA EDA</v>
          </cell>
          <cell r="H1863" t="str">
            <v>41464490</v>
          </cell>
          <cell r="I1863" t="str">
            <v>BBVA</v>
          </cell>
          <cell r="J1863" t="str">
            <v>001108140257608064</v>
          </cell>
          <cell r="K1863" t="str">
            <v>DNI</v>
          </cell>
          <cell r="L1863">
            <v>10414644908</v>
          </cell>
          <cell r="M1863" t="str">
            <v>MEMBRESÍA URBANO</v>
          </cell>
          <cell r="N1863">
            <v>45440</v>
          </cell>
          <cell r="O1863">
            <v>280</v>
          </cell>
          <cell r="P1863" t="str">
            <v>COMFORT</v>
          </cell>
        </row>
        <row r="1864">
          <cell r="A1864">
            <v>9227</v>
          </cell>
          <cell r="B1864">
            <v>9227</v>
          </cell>
          <cell r="C1864" t="str">
            <v>CERO MATRICULA</v>
          </cell>
          <cell r="D1864" t="str">
            <v>ACTIVO</v>
          </cell>
          <cell r="E1864" t="str">
            <v>CLD635</v>
          </cell>
          <cell r="F1864" t="str">
            <v>Torres Grados CARLOS ALFREDO</v>
          </cell>
          <cell r="G1864" t="str">
            <v>TORRES ASTO FRANCISCO ROBERTO</v>
          </cell>
          <cell r="H1864" t="str">
            <v>08954531</v>
          </cell>
          <cell r="I1864" t="str">
            <v>BCP</v>
          </cell>
          <cell r="J1864" t="str">
            <v>19198604541044</v>
          </cell>
          <cell r="K1864" t="str">
            <v>DNI</v>
          </cell>
          <cell r="L1864">
            <v>10089545311</v>
          </cell>
          <cell r="M1864" t="str">
            <v>URBANO</v>
          </cell>
          <cell r="N1864">
            <v>45440</v>
          </cell>
          <cell r="O1864">
            <v>0</v>
          </cell>
          <cell r="P1864" t="str">
            <v>COMFORT</v>
          </cell>
        </row>
        <row r="1865">
          <cell r="A1865">
            <v>9228</v>
          </cell>
          <cell r="B1865">
            <v>9228</v>
          </cell>
          <cell r="C1865" t="str">
            <v>CERO MATRICULA</v>
          </cell>
          <cell r="D1865" t="str">
            <v>ACTIVO</v>
          </cell>
          <cell r="E1865" t="str">
            <v>CET518</v>
          </cell>
          <cell r="F1865" t="str">
            <v>Castro Pérez Hammerly</v>
          </cell>
          <cell r="G1865" t="str">
            <v>Castro Pérez Hammerly</v>
          </cell>
          <cell r="H1865" t="str">
            <v>09466327</v>
          </cell>
          <cell r="I1865" t="str">
            <v>BBVA</v>
          </cell>
          <cell r="J1865" t="str">
            <v>0011 07600200052962</v>
          </cell>
          <cell r="K1865" t="str">
            <v>DNI</v>
          </cell>
          <cell r="L1865">
            <v>10466567464</v>
          </cell>
          <cell r="M1865" t="str">
            <v>URBANO</v>
          </cell>
          <cell r="N1865">
            <v>45440</v>
          </cell>
          <cell r="O1865">
            <v>0</v>
          </cell>
          <cell r="P1865" t="str">
            <v>COMFORT XL</v>
          </cell>
        </row>
        <row r="1866">
          <cell r="A1866">
            <v>9229</v>
          </cell>
          <cell r="B1866">
            <v>9229</v>
          </cell>
          <cell r="C1866" t="str">
            <v>CERO MATRICULA</v>
          </cell>
          <cell r="D1866" t="str">
            <v>ACTIVO</v>
          </cell>
          <cell r="E1866" t="str">
            <v>Clw020</v>
          </cell>
          <cell r="F1866" t="str">
            <v>Pulcha Amezaga José Alberto</v>
          </cell>
          <cell r="G1866" t="str">
            <v>PULCHA AMEZAGA JOSE ALBERTO</v>
          </cell>
          <cell r="H1866" t="str">
            <v>09881392</v>
          </cell>
          <cell r="I1866" t="str">
            <v>BCP</v>
          </cell>
          <cell r="J1866" t="str">
            <v>19130307131062</v>
          </cell>
          <cell r="K1866" t="str">
            <v>DNI</v>
          </cell>
          <cell r="L1866">
            <v>10098813921</v>
          </cell>
          <cell r="M1866" t="str">
            <v>URBANO</v>
          </cell>
          <cell r="N1866">
            <v>45440</v>
          </cell>
          <cell r="O1866">
            <v>0</v>
          </cell>
          <cell r="P1866" t="str">
            <v>LITE</v>
          </cell>
        </row>
        <row r="1867">
          <cell r="A1867">
            <v>9230</v>
          </cell>
          <cell r="B1867">
            <v>9230</v>
          </cell>
          <cell r="C1867" t="str">
            <v>CERO MATRICULA</v>
          </cell>
          <cell r="D1867" t="str">
            <v>ACTIVO</v>
          </cell>
          <cell r="E1867" t="str">
            <v>CKJ264</v>
          </cell>
          <cell r="F1867" t="str">
            <v>Aguinaga Marin Rinaldo Carlos</v>
          </cell>
          <cell r="G1867" t="str">
            <v>AGUINAGA MARIN RINALDO CARLOS</v>
          </cell>
          <cell r="H1867" t="str">
            <v>45698771</v>
          </cell>
          <cell r="I1867" t="str">
            <v xml:space="preserve">BanBif </v>
          </cell>
          <cell r="J1867" t="str">
            <v>03842410803018252085</v>
          </cell>
          <cell r="K1867" t="str">
            <v>DNI</v>
          </cell>
          <cell r="L1867">
            <v>10456987716</v>
          </cell>
          <cell r="M1867" t="str">
            <v>URBANO</v>
          </cell>
          <cell r="N1867">
            <v>45440</v>
          </cell>
          <cell r="O1867">
            <v>0</v>
          </cell>
          <cell r="P1867" t="str">
            <v>COMFORT</v>
          </cell>
        </row>
        <row r="1868">
          <cell r="A1868">
            <v>9231</v>
          </cell>
          <cell r="B1868">
            <v>9231</v>
          </cell>
          <cell r="C1868" t="str">
            <v>CERO MATRICULA</v>
          </cell>
          <cell r="D1868" t="str">
            <v>ACTIVO</v>
          </cell>
          <cell r="E1868" t="str">
            <v>BPI242</v>
          </cell>
          <cell r="F1868" t="str">
            <v>Moreno Lopez Licet Silvia</v>
          </cell>
          <cell r="G1868" t="str">
            <v>MORENO LOPEZ LICET SILVIA</v>
          </cell>
          <cell r="H1868" t="str">
            <v>41415463</v>
          </cell>
          <cell r="I1868" t="str">
            <v>INTERBANK</v>
          </cell>
          <cell r="J1868" t="str">
            <v>8983448559361</v>
          </cell>
          <cell r="K1868" t="str">
            <v>DNI</v>
          </cell>
          <cell r="L1868">
            <v>10414154633</v>
          </cell>
          <cell r="M1868" t="str">
            <v>URBANO</v>
          </cell>
          <cell r="N1868">
            <v>45440</v>
          </cell>
          <cell r="O1868">
            <v>0</v>
          </cell>
          <cell r="P1868" t="str">
            <v>COMFORT XL</v>
          </cell>
        </row>
        <row r="1869">
          <cell r="A1869">
            <v>9232</v>
          </cell>
          <cell r="B1869">
            <v>9232</v>
          </cell>
          <cell r="C1869" t="str">
            <v>CERO MATRICULA</v>
          </cell>
          <cell r="D1869" t="str">
            <v>ACTIVO</v>
          </cell>
          <cell r="E1869" t="str">
            <v>CLK006</v>
          </cell>
          <cell r="F1869" t="str">
            <v>Maravi Gutierrez Rosa Victoria</v>
          </cell>
          <cell r="G1869" t="str">
            <v>MARAVI GUTIERREZ ROSA VICTORIA</v>
          </cell>
          <cell r="H1869" t="str">
            <v>40392639</v>
          </cell>
          <cell r="I1869" t="str">
            <v>BCP</v>
          </cell>
          <cell r="J1869" t="str">
            <v>19103255883069</v>
          </cell>
          <cell r="K1869" t="str">
            <v>DNI</v>
          </cell>
          <cell r="L1869">
            <v>10403926391</v>
          </cell>
          <cell r="M1869" t="str">
            <v>URBANO</v>
          </cell>
          <cell r="N1869">
            <v>45446</v>
          </cell>
          <cell r="O1869">
            <v>0</v>
          </cell>
          <cell r="P1869" t="str">
            <v>COMFORT XL</v>
          </cell>
        </row>
        <row r="1870">
          <cell r="A1870">
            <v>9233</v>
          </cell>
          <cell r="B1870">
            <v>9233</v>
          </cell>
          <cell r="C1870" t="str">
            <v>CERO MATRICULA</v>
          </cell>
          <cell r="D1870" t="str">
            <v>ACTIVO</v>
          </cell>
          <cell r="E1870" t="str">
            <v>CKT460</v>
          </cell>
          <cell r="F1870" t="str">
            <v>HIDALGO MORA JUNIOR ENRIQUE</v>
          </cell>
          <cell r="G1870" t="str">
            <v>HIDALGO MORA JUNIOR ENRIQUE</v>
          </cell>
          <cell r="H1870" t="str">
            <v>003556125</v>
          </cell>
          <cell r="I1870" t="str">
            <v>PENDIENTE</v>
          </cell>
          <cell r="J1870" t="str">
            <v>PENDIENTE</v>
          </cell>
          <cell r="K1870" t="str">
            <v>CE</v>
          </cell>
          <cell r="L1870">
            <v>15607772123</v>
          </cell>
          <cell r="M1870" t="str">
            <v>URBANO</v>
          </cell>
          <cell r="N1870">
            <v>45441</v>
          </cell>
          <cell r="O1870">
            <v>0</v>
          </cell>
          <cell r="P1870" t="str">
            <v>COMFORT XL</v>
          </cell>
        </row>
        <row r="1871">
          <cell r="A1871">
            <v>9234</v>
          </cell>
          <cell r="B1871">
            <v>9234</v>
          </cell>
          <cell r="C1871" t="str">
            <v>CERO MATRICULA</v>
          </cell>
          <cell r="D1871" t="str">
            <v>ACTIVO</v>
          </cell>
          <cell r="E1871" t="str">
            <v>ALF329</v>
          </cell>
          <cell r="F1871" t="str">
            <v>Mendoza Diaz Wilder Francisco</v>
          </cell>
          <cell r="G1871" t="str">
            <v>MENDOZA DIAZ WILDER FRANCISCO</v>
          </cell>
          <cell r="H1871" t="str">
            <v>73313222</v>
          </cell>
          <cell r="I1871" t="str">
            <v>BCP</v>
          </cell>
          <cell r="J1871" t="str">
            <v>19103650156025</v>
          </cell>
          <cell r="K1871" t="str">
            <v>DNI</v>
          </cell>
          <cell r="L1871">
            <v>10733132227</v>
          </cell>
          <cell r="M1871" t="str">
            <v>URBANO PARTNER</v>
          </cell>
          <cell r="N1871">
            <v>45442</v>
          </cell>
          <cell r="O1871">
            <v>0</v>
          </cell>
          <cell r="P1871" t="str">
            <v>COMFORT XL</v>
          </cell>
        </row>
        <row r="1872">
          <cell r="A1872">
            <v>9235</v>
          </cell>
          <cell r="B1872">
            <v>9235</v>
          </cell>
          <cell r="C1872" t="str">
            <v>CERO MATRICULA</v>
          </cell>
          <cell r="D1872" t="str">
            <v>ACTIVO</v>
          </cell>
          <cell r="E1872" t="str">
            <v>CFE500</v>
          </cell>
          <cell r="F1872" t="str">
            <v>Rojas Angel Franwuir Antonio</v>
          </cell>
          <cell r="G1872" t="str">
            <v>DELGADO CAMPOS KERBIN DE JESUS</v>
          </cell>
          <cell r="H1872" t="str">
            <v>005407223</v>
          </cell>
          <cell r="I1872" t="str">
            <v>BCP</v>
          </cell>
          <cell r="J1872" t="str">
            <v>19399511324087</v>
          </cell>
          <cell r="K1872" t="str">
            <v>CE</v>
          </cell>
          <cell r="L1872">
            <v>15609708015</v>
          </cell>
          <cell r="M1872" t="str">
            <v>URBANO</v>
          </cell>
          <cell r="N1872">
            <v>45442</v>
          </cell>
          <cell r="O1872">
            <v>0</v>
          </cell>
          <cell r="P1872" t="str">
            <v>LITE</v>
          </cell>
        </row>
        <row r="1873">
          <cell r="A1873">
            <v>9236</v>
          </cell>
          <cell r="B1873">
            <v>9236</v>
          </cell>
          <cell r="C1873" t="str">
            <v>CERO MATRICULA</v>
          </cell>
          <cell r="D1873" t="str">
            <v>ACTIVO</v>
          </cell>
          <cell r="E1873" t="str">
            <v>CKR536</v>
          </cell>
          <cell r="F1873" t="str">
            <v>Moreno MALPARTIDA CESAR ALBERTO</v>
          </cell>
          <cell r="G1873" t="str">
            <v>MORENO MALPARTIDA CESAR ALBERTO</v>
          </cell>
          <cell r="H1873" t="str">
            <v>46417047</v>
          </cell>
          <cell r="I1873" t="str">
            <v>BCP</v>
          </cell>
          <cell r="J1873" t="str">
            <v>19171081582076</v>
          </cell>
          <cell r="K1873" t="str">
            <v>DNI</v>
          </cell>
          <cell r="L1873">
            <v>10464170478</v>
          </cell>
          <cell r="M1873" t="str">
            <v>URBANO</v>
          </cell>
          <cell r="N1873">
            <v>45447</v>
          </cell>
          <cell r="O1873">
            <v>0</v>
          </cell>
          <cell r="P1873" t="str">
            <v>COMFORT XL</v>
          </cell>
        </row>
        <row r="1874">
          <cell r="A1874">
            <v>9237</v>
          </cell>
          <cell r="B1874">
            <v>9237</v>
          </cell>
          <cell r="C1874" t="str">
            <v>CERO MATRICULA</v>
          </cell>
          <cell r="D1874" t="str">
            <v>ACTIVO</v>
          </cell>
          <cell r="E1874" t="str">
            <v>CLW127</v>
          </cell>
          <cell r="F1874" t="str">
            <v>Zumarán Nunura Carlos Alberto</v>
          </cell>
          <cell r="G1874" t="str">
            <v>ZUMARAN NUNURA CARLOS ALBERTO</v>
          </cell>
          <cell r="H1874" t="str">
            <v>07183346</v>
          </cell>
          <cell r="I1874" t="str">
            <v>BBVA</v>
          </cell>
          <cell r="J1874" t="str">
            <v>001101890200456946</v>
          </cell>
          <cell r="K1874" t="str">
            <v>DNI</v>
          </cell>
          <cell r="L1874">
            <v>10071833467</v>
          </cell>
          <cell r="M1874" t="str">
            <v>URBANO</v>
          </cell>
          <cell r="N1874">
            <v>45442</v>
          </cell>
          <cell r="O1874">
            <v>0</v>
          </cell>
          <cell r="P1874" t="str">
            <v>COMFORT</v>
          </cell>
        </row>
        <row r="1875">
          <cell r="A1875">
            <v>9238</v>
          </cell>
          <cell r="B1875">
            <v>9238</v>
          </cell>
          <cell r="C1875" t="str">
            <v>CERO MATRICULA</v>
          </cell>
          <cell r="D1875" t="str">
            <v>ACTIVO</v>
          </cell>
          <cell r="E1875" t="str">
            <v>CJI671</v>
          </cell>
          <cell r="F1875" t="str">
            <v xml:space="preserve">Mendoza Rojas César Augusto </v>
          </cell>
          <cell r="G1875" t="str">
            <v>MENDOZA ROJAS CESAR AUGUSTO</v>
          </cell>
          <cell r="H1875" t="str">
            <v>47965867</v>
          </cell>
          <cell r="I1875" t="str">
            <v>BCP</v>
          </cell>
          <cell r="J1875" t="str">
            <v>19195713548049</v>
          </cell>
          <cell r="K1875" t="str">
            <v>DNI</v>
          </cell>
          <cell r="L1875">
            <v>10479658671</v>
          </cell>
          <cell r="M1875" t="str">
            <v>URBANO</v>
          </cell>
          <cell r="N1875">
            <v>45442</v>
          </cell>
          <cell r="O1875">
            <v>0</v>
          </cell>
          <cell r="P1875" t="str">
            <v>LITE</v>
          </cell>
        </row>
        <row r="1876">
          <cell r="A1876">
            <v>9239</v>
          </cell>
          <cell r="B1876">
            <v>9239</v>
          </cell>
          <cell r="C1876" t="str">
            <v>CERO MATRICULA</v>
          </cell>
          <cell r="D1876" t="str">
            <v>ACTIVO</v>
          </cell>
          <cell r="E1876" t="str">
            <v>CHR480</v>
          </cell>
          <cell r="F1876" t="str">
            <v>Sulbaran Franco Henrry Manuel</v>
          </cell>
          <cell r="G1876" t="str">
            <v>SULBARAN FRANCO HENRRY MANUEL</v>
          </cell>
          <cell r="H1876" t="str">
            <v>003014374</v>
          </cell>
          <cell r="I1876" t="str">
            <v>BCP</v>
          </cell>
          <cell r="J1876" t="str">
            <v>19140342768069</v>
          </cell>
          <cell r="K1876" t="str">
            <v>CE</v>
          </cell>
          <cell r="L1876">
            <v>15612675918</v>
          </cell>
          <cell r="M1876" t="str">
            <v>URBANO</v>
          </cell>
          <cell r="N1876">
            <v>45442</v>
          </cell>
          <cell r="O1876">
            <v>0</v>
          </cell>
          <cell r="P1876" t="str">
            <v>COMFORT XL</v>
          </cell>
        </row>
        <row r="1877">
          <cell r="A1877">
            <v>9240</v>
          </cell>
          <cell r="B1877">
            <v>9240</v>
          </cell>
          <cell r="C1877" t="str">
            <v>CERO MATRICULA</v>
          </cell>
          <cell r="D1877" t="str">
            <v>ACTIVO</v>
          </cell>
          <cell r="E1877" t="str">
            <v>CHM596</v>
          </cell>
          <cell r="F1877" t="str">
            <v>Cornelio Benavides Angélica María</v>
          </cell>
          <cell r="G1877" t="str">
            <v>CORNELIO BENAVIDES ANGELICA MARIA</v>
          </cell>
          <cell r="H1877" t="str">
            <v>41478630</v>
          </cell>
          <cell r="I1877" t="str">
            <v>BCP</v>
          </cell>
          <cell r="J1877" t="str">
            <v>19398080646058</v>
          </cell>
          <cell r="K1877" t="str">
            <v>DNI</v>
          </cell>
          <cell r="L1877">
            <v>10414786303</v>
          </cell>
          <cell r="M1877" t="str">
            <v>URBANO</v>
          </cell>
          <cell r="N1877">
            <v>45446</v>
          </cell>
          <cell r="O1877">
            <v>0</v>
          </cell>
          <cell r="P1877" t="str">
            <v>COMFORT</v>
          </cell>
        </row>
        <row r="1878">
          <cell r="A1878">
            <v>9241</v>
          </cell>
          <cell r="B1878">
            <v>9241</v>
          </cell>
          <cell r="C1878" t="str">
            <v>CERO MATRICULA</v>
          </cell>
          <cell r="D1878" t="str">
            <v>ACTIVO</v>
          </cell>
          <cell r="E1878" t="str">
            <v>CLO288</v>
          </cell>
          <cell r="F1878" t="str">
            <v>Huamani Pineda Javier</v>
          </cell>
          <cell r="G1878" t="str">
            <v>CARRION RODRIGUEZ GLADYS ROSE</v>
          </cell>
          <cell r="H1878">
            <v>10612313</v>
          </cell>
          <cell r="I1878" t="str">
            <v>BCP</v>
          </cell>
          <cell r="J1878" t="str">
            <v>19324288699037</v>
          </cell>
          <cell r="K1878" t="str">
            <v>DNI</v>
          </cell>
          <cell r="L1878">
            <v>10106123131</v>
          </cell>
          <cell r="M1878" t="str">
            <v>URBANO</v>
          </cell>
          <cell r="N1878">
            <v>45446</v>
          </cell>
          <cell r="O1878">
            <v>0</v>
          </cell>
          <cell r="P1878" t="str">
            <v>COMFORT XL</v>
          </cell>
        </row>
        <row r="1879">
          <cell r="A1879">
            <v>9242</v>
          </cell>
          <cell r="B1879">
            <v>9242</v>
          </cell>
          <cell r="C1879" t="str">
            <v>CERO MATRICULA</v>
          </cell>
          <cell r="D1879" t="str">
            <v>ACTIVO</v>
          </cell>
          <cell r="E1879" t="str">
            <v>BSX071</v>
          </cell>
          <cell r="F1879" t="str">
            <v>MUÑOZ LOPEZ DANIEL MARTIN</v>
          </cell>
          <cell r="G1879" t="str">
            <v>MUÑOZ LOPEZ DANIEL MARTIN</v>
          </cell>
          <cell r="H1879" t="str">
            <v>40778316</v>
          </cell>
          <cell r="I1879" t="str">
            <v>BCP</v>
          </cell>
          <cell r="J1879" t="str">
            <v>19170148033097</v>
          </cell>
          <cell r="K1879" t="str">
            <v>DNI</v>
          </cell>
          <cell r="L1879">
            <v>10407783161</v>
          </cell>
          <cell r="M1879" t="str">
            <v>URBANO</v>
          </cell>
          <cell r="N1879">
            <v>45446</v>
          </cell>
          <cell r="O1879">
            <v>0</v>
          </cell>
          <cell r="P1879" t="str">
            <v>XL</v>
          </cell>
        </row>
        <row r="1880">
          <cell r="A1880">
            <v>9243</v>
          </cell>
          <cell r="B1880">
            <v>9243</v>
          </cell>
          <cell r="C1880" t="str">
            <v>CERO MATRICULA</v>
          </cell>
          <cell r="D1880" t="str">
            <v>ACTIVO</v>
          </cell>
          <cell r="E1880" t="str">
            <v>AVF280</v>
          </cell>
          <cell r="F1880" t="str">
            <v>Ayala Agama Carlos Elmer</v>
          </cell>
          <cell r="G1880" t="str">
            <v>AYALA AGAMA CARLOS ELMER</v>
          </cell>
          <cell r="H1880" t="str">
            <v>46096338</v>
          </cell>
          <cell r="I1880" t="str">
            <v>BCP</v>
          </cell>
          <cell r="J1880" t="str">
            <v>19104110697018</v>
          </cell>
          <cell r="K1880" t="str">
            <v>DNI</v>
          </cell>
          <cell r="L1880">
            <v>10460963384</v>
          </cell>
          <cell r="M1880" t="str">
            <v>AEROLINEAS</v>
          </cell>
          <cell r="N1880">
            <v>45447</v>
          </cell>
          <cell r="O1880">
            <v>0</v>
          </cell>
          <cell r="P1880" t="str">
            <v>COMFORT XL</v>
          </cell>
        </row>
        <row r="1881">
          <cell r="A1881">
            <v>9244</v>
          </cell>
          <cell r="B1881">
            <v>9244</v>
          </cell>
          <cell r="C1881" t="str">
            <v>CERO MATRICULA</v>
          </cell>
          <cell r="D1881" t="str">
            <v>ACTIVO</v>
          </cell>
          <cell r="E1881" t="str">
            <v>AWC222</v>
          </cell>
          <cell r="F1881" t="str">
            <v>Saravia Talla Juan José</v>
          </cell>
          <cell r="G1881" t="str">
            <v>SARAVIA TALLA JUAN JOSE</v>
          </cell>
          <cell r="H1881" t="str">
            <v>21854435</v>
          </cell>
          <cell r="I1881" t="str">
            <v>INTERBANK</v>
          </cell>
          <cell r="J1881" t="str">
            <v>6443119393584</v>
          </cell>
          <cell r="K1881" t="str">
            <v>DNI</v>
          </cell>
          <cell r="L1881">
            <v>10218544351</v>
          </cell>
          <cell r="M1881" t="str">
            <v>URBANO PARTNER</v>
          </cell>
          <cell r="N1881">
            <v>45447</v>
          </cell>
          <cell r="O1881">
            <v>0</v>
          </cell>
          <cell r="P1881" t="str">
            <v>COMFORT XL</v>
          </cell>
        </row>
        <row r="1882">
          <cell r="A1882">
            <v>9246</v>
          </cell>
          <cell r="B1882">
            <v>9246</v>
          </cell>
          <cell r="C1882" t="str">
            <v>CERO MATRICULA</v>
          </cell>
          <cell r="D1882" t="str">
            <v>ACTIVO</v>
          </cell>
          <cell r="E1882" t="str">
            <v>CKG245</v>
          </cell>
          <cell r="F1882" t="str">
            <v>GUEDEZ CASTILLO  JOSE RODOLFO</v>
          </cell>
          <cell r="G1882" t="str">
            <v>GUEDEZ CASTILLO JOSE RODOLFO</v>
          </cell>
          <cell r="H1882" t="str">
            <v>007760835</v>
          </cell>
          <cell r="I1882" t="str">
            <v>BCP</v>
          </cell>
          <cell r="J1882" t="str">
            <v>19198192890035</v>
          </cell>
          <cell r="K1882" t="str">
            <v>CE</v>
          </cell>
          <cell r="L1882">
            <v>15612685441</v>
          </cell>
          <cell r="M1882" t="str">
            <v>AEROPUERTO</v>
          </cell>
          <cell r="N1882">
            <v>45448</v>
          </cell>
          <cell r="O1882">
            <v>240</v>
          </cell>
          <cell r="P1882" t="str">
            <v>XL</v>
          </cell>
        </row>
        <row r="1883">
          <cell r="A1883">
            <v>9249</v>
          </cell>
          <cell r="B1883">
            <v>9249</v>
          </cell>
          <cell r="C1883" t="str">
            <v>CERO MATRICULA</v>
          </cell>
          <cell r="D1883" t="str">
            <v>ACTIVO</v>
          </cell>
          <cell r="E1883" t="str">
            <v>BDY609</v>
          </cell>
          <cell r="F1883" t="str">
            <v>Ramos Rojas Willian Enrique</v>
          </cell>
          <cell r="G1883" t="str">
            <v>RAMOS ROJAS WILLIAN ENRIQUE</v>
          </cell>
          <cell r="H1883" t="str">
            <v>001816778</v>
          </cell>
          <cell r="I1883" t="str">
            <v>BCP</v>
          </cell>
          <cell r="J1883" t="str">
            <v>19196072619048</v>
          </cell>
          <cell r="K1883" t="str">
            <v>CE</v>
          </cell>
          <cell r="L1883">
            <v>15603152511</v>
          </cell>
          <cell r="M1883" t="str">
            <v>AEROLINEAS</v>
          </cell>
          <cell r="N1883">
            <v>45455</v>
          </cell>
          <cell r="O1883">
            <v>0</v>
          </cell>
          <cell r="P1883" t="str">
            <v>COMFORT XL</v>
          </cell>
        </row>
        <row r="1884">
          <cell r="A1884">
            <v>9280</v>
          </cell>
          <cell r="B1884">
            <v>9280</v>
          </cell>
          <cell r="C1884" t="str">
            <v>CERO MATRICULA</v>
          </cell>
          <cell r="D1884" t="str">
            <v>ACTIVO</v>
          </cell>
          <cell r="E1884"/>
          <cell r="F1884" t="str">
            <v>Perez Palma Ponce Pierluigi</v>
          </cell>
          <cell r="G1884" t="str">
            <v>PEREZ PALMA PONCE PIERLUIGI</v>
          </cell>
          <cell r="H1884" t="str">
            <v>72506070</v>
          </cell>
          <cell r="I1884" t="str">
            <v>BCP</v>
          </cell>
          <cell r="J1884" t="str">
            <v>19177395316085</v>
          </cell>
          <cell r="K1884" t="str">
            <v>DNI</v>
          </cell>
          <cell r="L1884">
            <v>10725060705</v>
          </cell>
          <cell r="M1884" t="str">
            <v>AEROLINEAS</v>
          </cell>
          <cell r="N1884">
            <v>45462</v>
          </cell>
          <cell r="O1884">
            <v>0</v>
          </cell>
          <cell r="P1884" t="str">
            <v>COMFORT</v>
          </cell>
        </row>
        <row r="1885">
          <cell r="A1885">
            <v>9282</v>
          </cell>
          <cell r="B1885">
            <v>9282</v>
          </cell>
          <cell r="C1885" t="str">
            <v>CERO MATRICULA</v>
          </cell>
          <cell r="D1885" t="str">
            <v>ACTIVO</v>
          </cell>
          <cell r="E1885" t="str">
            <v>BYR228</v>
          </cell>
          <cell r="F1885" t="str">
            <v>Salas Valdivia Marco Antonio Angel</v>
          </cell>
          <cell r="G1885" t="str">
            <v>VALDIVIA SOLER DE SALAS CAROL CARMEN</v>
          </cell>
          <cell r="H1885" t="str">
            <v>07247482</v>
          </cell>
          <cell r="I1885" t="str">
            <v>BBVA</v>
          </cell>
          <cell r="J1885" t="str">
            <v>001108140259185888</v>
          </cell>
          <cell r="K1885" t="str">
            <v>DNI</v>
          </cell>
          <cell r="L1885">
            <v>10072474827</v>
          </cell>
          <cell r="M1885" t="str">
            <v>AEROLINEAS</v>
          </cell>
          <cell r="N1885">
            <v>45455</v>
          </cell>
          <cell r="O1885">
            <v>0</v>
          </cell>
          <cell r="P1885" t="str">
            <v>COMFORT XL</v>
          </cell>
        </row>
        <row r="1886">
          <cell r="A1886">
            <v>9283</v>
          </cell>
          <cell r="B1886">
            <v>9283</v>
          </cell>
          <cell r="C1886" t="str">
            <v>CERO MATRICULA</v>
          </cell>
          <cell r="D1886" t="str">
            <v>ACTIVO</v>
          </cell>
          <cell r="E1886" t="str">
            <v>CKG340</v>
          </cell>
          <cell r="F1886" t="str">
            <v>Mas Vásquez Julio cesar</v>
          </cell>
          <cell r="G1886" t="str">
            <v>Mas Vásquez Julio cesar</v>
          </cell>
          <cell r="H1886" t="str">
            <v>44600778</v>
          </cell>
          <cell r="I1886" t="str">
            <v>BBVA</v>
          </cell>
          <cell r="J1886" t="str">
            <v>001108140267503694</v>
          </cell>
          <cell r="K1886" t="str">
            <v>DNI</v>
          </cell>
          <cell r="L1886">
            <v>10446007781</v>
          </cell>
          <cell r="M1886" t="str">
            <v>URBANO PARTNER</v>
          </cell>
          <cell r="N1886">
            <v>45455</v>
          </cell>
          <cell r="O1886">
            <v>0</v>
          </cell>
          <cell r="P1886" t="str">
            <v>COMFORT XL</v>
          </cell>
        </row>
        <row r="1887">
          <cell r="A1887">
            <v>9284</v>
          </cell>
          <cell r="B1887">
            <v>9284</v>
          </cell>
          <cell r="C1887" t="str">
            <v>CERO MATRICULA</v>
          </cell>
          <cell r="D1887" t="str">
            <v>ACTIVO</v>
          </cell>
          <cell r="E1887" t="str">
            <v>CLD180</v>
          </cell>
          <cell r="F1887" t="str">
            <v>Arrieta Paredes Jorge Alberto</v>
          </cell>
          <cell r="G1887" t="str">
            <v>ARRIETA PAREDES JORGE ALBERTO</v>
          </cell>
          <cell r="H1887" t="str">
            <v>42799284</v>
          </cell>
          <cell r="I1887" t="str">
            <v>INTERBANK</v>
          </cell>
          <cell r="J1887" t="str">
            <v>1643259251445</v>
          </cell>
          <cell r="K1887" t="str">
            <v>DNI</v>
          </cell>
          <cell r="L1887">
            <v>10427992841</v>
          </cell>
          <cell r="M1887" t="str">
            <v>AEROLINEAS</v>
          </cell>
          <cell r="N1887">
            <v>45455</v>
          </cell>
          <cell r="O1887">
            <v>0</v>
          </cell>
          <cell r="P1887" t="str">
            <v>XL</v>
          </cell>
        </row>
        <row r="1888">
          <cell r="A1888">
            <v>9285</v>
          </cell>
          <cell r="B1888">
            <v>9285</v>
          </cell>
          <cell r="C1888" t="str">
            <v>CERO MATRICULA</v>
          </cell>
          <cell r="D1888" t="str">
            <v>ACTIVO</v>
          </cell>
          <cell r="E1888"/>
          <cell r="F1888" t="str">
            <v>De la cruz Paredes Harris Antonio</v>
          </cell>
          <cell r="G1888" t="str">
            <v>DE LA CRUZ PAREDES HARRIS ANTONIO</v>
          </cell>
          <cell r="H1888" t="str">
            <v>80278565</v>
          </cell>
          <cell r="I1888" t="str">
            <v>BCP</v>
          </cell>
          <cell r="J1888" t="str">
            <v>19199662423012</v>
          </cell>
          <cell r="K1888" t="str">
            <v>DNI</v>
          </cell>
          <cell r="L1888">
            <v>10802785653</v>
          </cell>
          <cell r="M1888" t="str">
            <v>AEROLINEAS</v>
          </cell>
          <cell r="N1888">
            <v>45460</v>
          </cell>
          <cell r="O1888">
            <v>0</v>
          </cell>
          <cell r="P1888" t="str">
            <v>LITE</v>
          </cell>
        </row>
        <row r="1889">
          <cell r="A1889">
            <v>9286</v>
          </cell>
          <cell r="B1889">
            <v>9286</v>
          </cell>
          <cell r="C1889" t="str">
            <v>CERO MATRICULA</v>
          </cell>
          <cell r="D1889" t="str">
            <v>ACTIVO</v>
          </cell>
          <cell r="E1889"/>
          <cell r="F1889" t="str">
            <v>Gil Vásquez Benito</v>
          </cell>
          <cell r="G1889" t="str">
            <v>GIL VASQUEZ BENITO</v>
          </cell>
          <cell r="H1889" t="str">
            <v>06672760</v>
          </cell>
          <cell r="I1889" t="str">
            <v>INTERBANK</v>
          </cell>
          <cell r="J1889" t="str">
            <v>8983384795236</v>
          </cell>
          <cell r="K1889" t="str">
            <v>DNI</v>
          </cell>
          <cell r="L1889">
            <v>15432008794</v>
          </cell>
          <cell r="M1889" t="str">
            <v>AEROLINEAS</v>
          </cell>
          <cell r="N1889">
            <v>45460</v>
          </cell>
          <cell r="O1889">
            <v>0</v>
          </cell>
          <cell r="P1889" t="str">
            <v>COMFORT XL</v>
          </cell>
        </row>
        <row r="1890">
          <cell r="A1890">
            <v>9290</v>
          </cell>
          <cell r="B1890">
            <v>9290</v>
          </cell>
          <cell r="C1890" t="str">
            <v>CERO MATRICULA</v>
          </cell>
          <cell r="D1890" t="str">
            <v>ACTIVO</v>
          </cell>
          <cell r="E1890"/>
          <cell r="F1890" t="str">
            <v>Salazar Rivas Carlos Enrique</v>
          </cell>
          <cell r="G1890" t="str">
            <v>KADENA GARATE KATIUSKA HIROMI</v>
          </cell>
          <cell r="H1890" t="str">
            <v>74694116</v>
          </cell>
          <cell r="I1890" t="str">
            <v>INTERBANK</v>
          </cell>
          <cell r="J1890" t="str">
            <v>3883147762876</v>
          </cell>
          <cell r="K1890" t="str">
            <v>DNI</v>
          </cell>
          <cell r="L1890">
            <v>10746941167</v>
          </cell>
          <cell r="M1890" t="str">
            <v>URBANO</v>
          </cell>
          <cell r="N1890">
            <v>45460</v>
          </cell>
          <cell r="O1890">
            <v>0</v>
          </cell>
          <cell r="P1890" t="str">
            <v>LITE</v>
          </cell>
        </row>
        <row r="1891">
          <cell r="A1891">
            <v>9291</v>
          </cell>
          <cell r="B1891">
            <v>9291</v>
          </cell>
          <cell r="C1891" t="str">
            <v>CERO MATRICULA</v>
          </cell>
          <cell r="D1891" t="str">
            <v>ACTIVO</v>
          </cell>
          <cell r="E1891"/>
          <cell r="F1891" t="str">
            <v xml:space="preserve">Yanqui Cosi Elias Daniel </v>
          </cell>
          <cell r="G1891" t="str">
            <v>YANQUI COSI ELIAS DANIEL</v>
          </cell>
          <cell r="H1891" t="str">
            <v>70887386</v>
          </cell>
          <cell r="I1891" t="str">
            <v>INTERBANK</v>
          </cell>
          <cell r="J1891" t="str">
            <v>4393119458398</v>
          </cell>
          <cell r="K1891" t="str">
            <v>DNI</v>
          </cell>
          <cell r="L1891">
            <v>10708873867</v>
          </cell>
          <cell r="M1891" t="str">
            <v>URBANO</v>
          </cell>
          <cell r="N1891">
            <v>45460</v>
          </cell>
          <cell r="O1891">
            <v>0</v>
          </cell>
          <cell r="P1891" t="str">
            <v>COMFORT</v>
          </cell>
        </row>
        <row r="1892">
          <cell r="A1892">
            <v>9292</v>
          </cell>
          <cell r="B1892">
            <v>9292</v>
          </cell>
          <cell r="C1892" t="str">
            <v>CERO MATRICULA</v>
          </cell>
          <cell r="D1892" t="str">
            <v>ACTIVO</v>
          </cell>
          <cell r="E1892" t="str">
            <v>BTA662</v>
          </cell>
          <cell r="F1892" t="str">
            <v>TAMPIS PEÑA ELIGOBERTO FERNANDO</v>
          </cell>
          <cell r="G1892" t="str">
            <v>TAMPIS PEÑA ELIGOBERTO FERNANDO</v>
          </cell>
          <cell r="H1892" t="str">
            <v>40594583</v>
          </cell>
          <cell r="I1892" t="str">
            <v>BCP</v>
          </cell>
          <cell r="J1892" t="str">
            <v xml:space="preserve">19134242035013 </v>
          </cell>
          <cell r="K1892" t="str">
            <v>DNI</v>
          </cell>
          <cell r="L1892">
            <v>10405945831</v>
          </cell>
          <cell r="M1892" t="str">
            <v>MEMBRESÍA DIURNA</v>
          </cell>
          <cell r="N1892">
            <v>45468</v>
          </cell>
          <cell r="O1892">
            <v>285</v>
          </cell>
          <cell r="P1892" t="str">
            <v>COMFORT XL</v>
          </cell>
        </row>
        <row r="1893">
          <cell r="A1893">
            <v>9294</v>
          </cell>
          <cell r="B1893">
            <v>9294</v>
          </cell>
          <cell r="C1893" t="str">
            <v>CERO MATRICULA</v>
          </cell>
          <cell r="D1893" t="str">
            <v>ACTIVO</v>
          </cell>
          <cell r="E1893" t="str">
            <v>BNR557</v>
          </cell>
          <cell r="F1893" t="str">
            <v>MILIANO  JORGE  JAIME EDUARDO</v>
          </cell>
          <cell r="G1893" t="str">
            <v>MILIANO JORGE JAIME EDUARDO</v>
          </cell>
          <cell r="H1893" t="str">
            <v>21286834</v>
          </cell>
          <cell r="I1893" t="str">
            <v>BCP</v>
          </cell>
          <cell r="J1893" t="str">
            <v>19176752390064</v>
          </cell>
          <cell r="K1893" t="str">
            <v>DNI</v>
          </cell>
          <cell r="L1893">
            <v>10212868341</v>
          </cell>
          <cell r="M1893" t="str">
            <v>URBANO</v>
          </cell>
          <cell r="N1893">
            <v>45468</v>
          </cell>
          <cell r="O1893">
            <v>0</v>
          </cell>
          <cell r="P1893" t="str">
            <v>LITE</v>
          </cell>
        </row>
        <row r="1894">
          <cell r="A1894">
            <v>9295</v>
          </cell>
          <cell r="B1894">
            <v>9295</v>
          </cell>
          <cell r="C1894" t="str">
            <v>CERO MATRICULA</v>
          </cell>
          <cell r="D1894" t="str">
            <v>ACTIVO</v>
          </cell>
          <cell r="E1894"/>
          <cell r="F1894" t="str">
            <v>Allemant Calderón Christian Alberto</v>
          </cell>
          <cell r="G1894" t="str">
            <v>Allemant Calderón Christian Alberto</v>
          </cell>
          <cell r="H1894" t="str">
            <v>10882707</v>
          </cell>
          <cell r="I1894" t="str">
            <v>BCP</v>
          </cell>
          <cell r="J1894" t="str">
            <v>19133489129001</v>
          </cell>
          <cell r="K1894" t="str">
            <v>DNI</v>
          </cell>
          <cell r="L1894">
            <v>10108827071</v>
          </cell>
          <cell r="M1894" t="str">
            <v>URBANO PARTNER</v>
          </cell>
          <cell r="N1894">
            <v>45461</v>
          </cell>
          <cell r="O1894">
            <v>0</v>
          </cell>
          <cell r="P1894" t="str">
            <v>COMFORT XL</v>
          </cell>
        </row>
        <row r="1895">
          <cell r="A1895">
            <v>9297</v>
          </cell>
          <cell r="B1895">
            <v>9297</v>
          </cell>
          <cell r="C1895" t="str">
            <v>CERO MATRICULA</v>
          </cell>
          <cell r="D1895" t="str">
            <v>ACTIVO</v>
          </cell>
          <cell r="E1895"/>
          <cell r="F1895" t="str">
            <v>DURAND  DURAND  JUAN ALONSO</v>
          </cell>
          <cell r="G1895" t="str">
            <v>DURAND DURAND JUAN ALONSO</v>
          </cell>
          <cell r="H1895" t="str">
            <v>41214567</v>
          </cell>
          <cell r="I1895" t="str">
            <v>BCP</v>
          </cell>
          <cell r="J1895" t="str">
            <v>19235723897042</v>
          </cell>
          <cell r="K1895" t="str">
            <v>DNI</v>
          </cell>
          <cell r="L1895">
            <v>10412145670</v>
          </cell>
          <cell r="M1895" t="str">
            <v>AEROPUERTO</v>
          </cell>
          <cell r="N1895">
            <v>45461</v>
          </cell>
          <cell r="O1895">
            <v>235</v>
          </cell>
          <cell r="P1895" t="str">
            <v>COMFORT XL</v>
          </cell>
        </row>
        <row r="1896">
          <cell r="A1896">
            <v>9298</v>
          </cell>
          <cell r="B1896">
            <v>9298</v>
          </cell>
          <cell r="C1896" t="str">
            <v>CERO MATRICULA</v>
          </cell>
          <cell r="D1896" t="str">
            <v>ACTIVO</v>
          </cell>
          <cell r="E1896"/>
          <cell r="F1896" t="str">
            <v>Sanchez Ramos Jhorks Luis</v>
          </cell>
          <cell r="G1896" t="str">
            <v>Johana Zeballos Flores</v>
          </cell>
          <cell r="H1896" t="str">
            <v>42040079</v>
          </cell>
          <cell r="I1896" t="str">
            <v>BCP</v>
          </cell>
          <cell r="J1896" t="str">
            <v>19397654223027</v>
          </cell>
          <cell r="K1896" t="str">
            <v>DNI</v>
          </cell>
          <cell r="L1896">
            <v>10420400794</v>
          </cell>
          <cell r="M1896" t="str">
            <v>AEROPUERTO</v>
          </cell>
          <cell r="N1896">
            <v>45461</v>
          </cell>
          <cell r="O1896">
            <v>240</v>
          </cell>
          <cell r="P1896" t="str">
            <v>COMFORT</v>
          </cell>
        </row>
        <row r="1897">
          <cell r="A1897">
            <v>9300</v>
          </cell>
          <cell r="B1897">
            <v>9300</v>
          </cell>
          <cell r="C1897" t="str">
            <v>CERO MATRICULA</v>
          </cell>
          <cell r="D1897" t="str">
            <v>ACTIVO</v>
          </cell>
          <cell r="E1897"/>
          <cell r="F1897" t="str">
            <v>Espinoza Rivera Francis Moisés</v>
          </cell>
          <cell r="G1897" t="str">
            <v>ESPINOZA RIVERA FRANCIS MOISES</v>
          </cell>
          <cell r="H1897" t="str">
            <v>72031197</v>
          </cell>
          <cell r="I1897" t="str">
            <v>BCP</v>
          </cell>
          <cell r="J1897" t="str">
            <v>35503982075034</v>
          </cell>
          <cell r="K1897" t="str">
            <v>DNI</v>
          </cell>
          <cell r="L1897">
            <v>10720311971</v>
          </cell>
          <cell r="M1897" t="str">
            <v>AEROPUERTO</v>
          </cell>
          <cell r="N1897">
            <v>45461</v>
          </cell>
          <cell r="O1897">
            <v>235</v>
          </cell>
          <cell r="P1897" t="str">
            <v>COMFORT XL</v>
          </cell>
        </row>
        <row r="1898">
          <cell r="A1898">
            <v>9301</v>
          </cell>
          <cell r="B1898">
            <v>9301</v>
          </cell>
          <cell r="C1898" t="str">
            <v>CERO MATRICULA</v>
          </cell>
          <cell r="D1898" t="str">
            <v>ACTIVO</v>
          </cell>
          <cell r="E1898"/>
          <cell r="F1898" t="str">
            <v>Untul GARIZA  Magno Gonzalo</v>
          </cell>
          <cell r="G1898" t="str">
            <v>UNTUL GARIZA MAGNO GONZALO</v>
          </cell>
          <cell r="H1898" t="str">
            <v>09910722</v>
          </cell>
          <cell r="I1898" t="str">
            <v>BCP</v>
          </cell>
          <cell r="J1898" t="str">
            <v>19194939366046</v>
          </cell>
          <cell r="K1898" t="str">
            <v>DNI</v>
          </cell>
          <cell r="L1898">
            <v>10099107222</v>
          </cell>
          <cell r="M1898" t="str">
            <v>AEROPUERTO</v>
          </cell>
          <cell r="N1898">
            <v>45461</v>
          </cell>
          <cell r="O1898">
            <v>235</v>
          </cell>
          <cell r="P1898" t="str">
            <v>COMFORT XL</v>
          </cell>
        </row>
        <row r="1899">
          <cell r="A1899">
            <v>9303</v>
          </cell>
          <cell r="B1899">
            <v>9303</v>
          </cell>
          <cell r="C1899" t="str">
            <v>CERO MATRICULA</v>
          </cell>
          <cell r="D1899" t="str">
            <v>ACTIVO</v>
          </cell>
          <cell r="E1899"/>
          <cell r="F1899" t="str">
            <v>Breña Angulo Horacio Victor</v>
          </cell>
          <cell r="G1899" t="str">
            <v>BREÑA ANGULO HORACIO VICTOR</v>
          </cell>
          <cell r="H1899" t="str">
            <v>42845221</v>
          </cell>
          <cell r="I1899" t="str">
            <v>INTERBANK</v>
          </cell>
          <cell r="J1899" t="str">
            <v>8983388802423</v>
          </cell>
          <cell r="K1899" t="str">
            <v>DNI</v>
          </cell>
          <cell r="L1899">
            <v>10428452211</v>
          </cell>
          <cell r="M1899" t="str">
            <v>URBANO</v>
          </cell>
          <cell r="N1899">
            <v>45461</v>
          </cell>
          <cell r="O1899">
            <v>0</v>
          </cell>
          <cell r="P1899" t="str">
            <v>COMFORT</v>
          </cell>
        </row>
        <row r="1900">
          <cell r="A1900">
            <v>9304</v>
          </cell>
          <cell r="B1900">
            <v>9304</v>
          </cell>
          <cell r="C1900" t="str">
            <v>CERO MATRICULA</v>
          </cell>
          <cell r="D1900" t="str">
            <v>ACTIVO</v>
          </cell>
          <cell r="E1900"/>
          <cell r="F1900" t="str">
            <v xml:space="preserve">reaño Lozano Julio cesar </v>
          </cell>
          <cell r="G1900" t="str">
            <v>REAÑO LOZANO JULIO CESAR</v>
          </cell>
          <cell r="H1900" t="str">
            <v>80517995</v>
          </cell>
          <cell r="I1900" t="str">
            <v>BBVA</v>
          </cell>
          <cell r="J1900" t="str">
            <v>001102820200233233</v>
          </cell>
          <cell r="K1900" t="str">
            <v>DNI</v>
          </cell>
          <cell r="L1900">
            <v>10805179959</v>
          </cell>
          <cell r="M1900" t="str">
            <v>URBANO</v>
          </cell>
          <cell r="N1900">
            <v>45461</v>
          </cell>
          <cell r="O1900">
            <v>0</v>
          </cell>
          <cell r="P1900" t="str">
            <v>LITE</v>
          </cell>
        </row>
        <row r="1901">
          <cell r="A1901">
            <v>9305</v>
          </cell>
          <cell r="B1901">
            <v>9305</v>
          </cell>
          <cell r="C1901" t="str">
            <v>CERO MATRICULA</v>
          </cell>
          <cell r="D1901" t="str">
            <v>ACTIVO</v>
          </cell>
          <cell r="E1901"/>
          <cell r="F1901" t="str">
            <v>Barrios Navarro Rayner Ramón</v>
          </cell>
          <cell r="G1901" t="str">
            <v>BARRIOS NAVARRO RAYNER RAMON</v>
          </cell>
          <cell r="H1901" t="str">
            <v>003701385</v>
          </cell>
          <cell r="I1901" t="str">
            <v>BBVA</v>
          </cell>
          <cell r="J1901" t="str">
            <v>001101170201338081</v>
          </cell>
          <cell r="K1901" t="str">
            <v>CE</v>
          </cell>
          <cell r="L1901">
            <v>15604185961</v>
          </cell>
          <cell r="M1901" t="str">
            <v>AEROLINEAS</v>
          </cell>
          <cell r="N1901">
            <v>45462</v>
          </cell>
          <cell r="O1901">
            <v>0</v>
          </cell>
          <cell r="P1901" t="str">
            <v>COMFORT XL</v>
          </cell>
        </row>
        <row r="1902">
          <cell r="A1902">
            <v>9306</v>
          </cell>
          <cell r="B1902">
            <v>9306</v>
          </cell>
          <cell r="C1902" t="str">
            <v>CERO MATRICULA</v>
          </cell>
          <cell r="D1902" t="str">
            <v>ACTIVO</v>
          </cell>
          <cell r="E1902"/>
          <cell r="F1902" t="str">
            <v>Escalante Meza Edgar Manuel</v>
          </cell>
          <cell r="G1902" t="str">
            <v>ESCALANTE FRANCO SEBASTIAN MANUEL</v>
          </cell>
          <cell r="H1902" t="str">
            <v>74394148</v>
          </cell>
          <cell r="I1902" t="str">
            <v>BCP</v>
          </cell>
          <cell r="J1902" t="str">
            <v>19271143658079</v>
          </cell>
          <cell r="K1902" t="str">
            <v>DNI</v>
          </cell>
          <cell r="L1902">
            <v>10743941484</v>
          </cell>
          <cell r="M1902" t="str">
            <v>AEROLINEAS</v>
          </cell>
          <cell r="N1902">
            <v>45462</v>
          </cell>
          <cell r="O1902">
            <v>0</v>
          </cell>
          <cell r="P1902" t="str">
            <v>XL</v>
          </cell>
        </row>
        <row r="1903">
          <cell r="A1903">
            <v>9307</v>
          </cell>
          <cell r="B1903">
            <v>9307</v>
          </cell>
          <cell r="C1903" t="str">
            <v>CERO MATRICULA</v>
          </cell>
          <cell r="D1903" t="str">
            <v>ACTIVO</v>
          </cell>
          <cell r="E1903"/>
          <cell r="F1903" t="str">
            <v>Santa María Valverde Bruno Adolfo</v>
          </cell>
          <cell r="G1903" t="str">
            <v>SANTA MARIA VALVERDE BRUNO ADOLFO</v>
          </cell>
          <cell r="H1903" t="str">
            <v>09888589</v>
          </cell>
          <cell r="I1903" t="str">
            <v>BCP</v>
          </cell>
          <cell r="J1903" t="str">
            <v>193973067030</v>
          </cell>
          <cell r="K1903" t="str">
            <v>DNI</v>
          </cell>
          <cell r="L1903">
            <v>10098885892</v>
          </cell>
          <cell r="M1903" t="str">
            <v>AEROLINEAS</v>
          </cell>
          <cell r="N1903">
            <v>45462</v>
          </cell>
          <cell r="O1903">
            <v>0</v>
          </cell>
          <cell r="P1903" t="str">
            <v>COMFORT</v>
          </cell>
        </row>
        <row r="1904">
          <cell r="A1904">
            <v>9308</v>
          </cell>
          <cell r="B1904">
            <v>9308</v>
          </cell>
          <cell r="C1904" t="str">
            <v>CERO MATRICULA</v>
          </cell>
          <cell r="D1904" t="str">
            <v>ACTIVO</v>
          </cell>
          <cell r="E1904"/>
          <cell r="F1904" t="str">
            <v>Trujillo Sarmiento Eduardo Javier</v>
          </cell>
          <cell r="G1904" t="str">
            <v>TRUJILLO SARMIENTO EDUARDO JAVIER</v>
          </cell>
          <cell r="H1904" t="str">
            <v>08491745</v>
          </cell>
          <cell r="I1904" t="str">
            <v>BCP</v>
          </cell>
          <cell r="J1904" t="str">
            <v>19311430898060</v>
          </cell>
          <cell r="K1904" t="str">
            <v>DNI</v>
          </cell>
          <cell r="L1904">
            <v>10084917457</v>
          </cell>
          <cell r="M1904" t="str">
            <v>AEROLINEAS</v>
          </cell>
          <cell r="N1904">
            <v>45462</v>
          </cell>
          <cell r="O1904">
            <v>0</v>
          </cell>
          <cell r="P1904" t="str">
            <v>COMFORT XL</v>
          </cell>
        </row>
        <row r="1905">
          <cell r="A1905">
            <v>9309</v>
          </cell>
          <cell r="B1905">
            <v>9309</v>
          </cell>
          <cell r="C1905" t="str">
            <v>CERO MATRICULA</v>
          </cell>
          <cell r="D1905" t="str">
            <v>ACTIVO</v>
          </cell>
          <cell r="E1905" t="str">
            <v>BZD218</v>
          </cell>
          <cell r="F1905" t="str">
            <v>González Lovera Alexander José</v>
          </cell>
          <cell r="G1905" t="str">
            <v>GONZALEZ LOVERA ALEXANDER JOSE</v>
          </cell>
          <cell r="H1905" t="str">
            <v>003390475</v>
          </cell>
          <cell r="I1905" t="str">
            <v>BCP</v>
          </cell>
          <cell r="J1905" t="str">
            <v>19400638824075</v>
          </cell>
          <cell r="K1905" t="str">
            <v>CE</v>
          </cell>
          <cell r="L1905">
            <v>15603872891</v>
          </cell>
          <cell r="M1905" t="str">
            <v>AEROLINEAS</v>
          </cell>
          <cell r="N1905">
            <v>45467</v>
          </cell>
          <cell r="O1905">
            <v>0</v>
          </cell>
          <cell r="P1905" t="str">
            <v>XL</v>
          </cell>
        </row>
        <row r="1906">
          <cell r="A1906">
            <v>9310</v>
          </cell>
          <cell r="B1906">
            <v>9310</v>
          </cell>
          <cell r="C1906" t="str">
            <v>CERO MATRICULA</v>
          </cell>
          <cell r="D1906" t="str">
            <v>ACTIVO</v>
          </cell>
          <cell r="E1906" t="str">
            <v>CKM488</v>
          </cell>
          <cell r="F1906" t="str">
            <v>CAMAN RAMOS JEAN PIERRE</v>
          </cell>
          <cell r="G1906" t="str">
            <v>CAMAN RAMOS JEAN PIERRE HUMBERTO</v>
          </cell>
          <cell r="H1906" t="str">
            <v>71463411</v>
          </cell>
          <cell r="I1906" t="str">
            <v>BCP</v>
          </cell>
          <cell r="J1906" t="str">
            <v>19190890746032</v>
          </cell>
          <cell r="K1906" t="str">
            <v>DNI</v>
          </cell>
          <cell r="L1906">
            <v>10714634114</v>
          </cell>
          <cell r="M1906" t="str">
            <v>AEROLINEAS</v>
          </cell>
          <cell r="N1906">
            <v>45467</v>
          </cell>
          <cell r="O1906">
            <v>0</v>
          </cell>
          <cell r="P1906" t="str">
            <v>COMFORT XL</v>
          </cell>
        </row>
        <row r="1907">
          <cell r="A1907">
            <v>9311</v>
          </cell>
          <cell r="B1907">
            <v>9311</v>
          </cell>
          <cell r="C1907" t="str">
            <v>CERO MATRICULA</v>
          </cell>
          <cell r="D1907" t="str">
            <v>ACTIVO</v>
          </cell>
          <cell r="E1907" t="str">
            <v>CKI160</v>
          </cell>
          <cell r="F1907" t="str">
            <v>Noguera Rondon Kervin Jose</v>
          </cell>
          <cell r="G1907" t="str">
            <v>NOGUERA RONDON KERVIN JOSE</v>
          </cell>
          <cell r="H1907" t="str">
            <v>003170288</v>
          </cell>
          <cell r="I1907" t="str">
            <v>BCP</v>
          </cell>
          <cell r="J1907" t="str">
            <v>19491870805091</v>
          </cell>
          <cell r="K1907" t="str">
            <v>CE</v>
          </cell>
          <cell r="L1907">
            <v>15604721650</v>
          </cell>
          <cell r="M1907" t="str">
            <v>URBANO</v>
          </cell>
          <cell r="N1907">
            <v>45467</v>
          </cell>
          <cell r="O1907">
            <v>0</v>
          </cell>
          <cell r="P1907" t="str">
            <v>LITE</v>
          </cell>
        </row>
        <row r="1908">
          <cell r="A1908">
            <v>9312</v>
          </cell>
          <cell r="B1908">
            <v>9312</v>
          </cell>
          <cell r="C1908" t="str">
            <v>CERO MATRICULA</v>
          </cell>
          <cell r="D1908" t="str">
            <v>ACTIVO</v>
          </cell>
          <cell r="E1908" t="str">
            <v>CLV654</v>
          </cell>
          <cell r="F1908" t="str">
            <v>Ore Lizana JAVIER LUIS</v>
          </cell>
          <cell r="G1908" t="str">
            <v>LAURA FLORES YOSSELYN</v>
          </cell>
          <cell r="H1908" t="str">
            <v>47498743</v>
          </cell>
          <cell r="I1908" t="str">
            <v>BCP</v>
          </cell>
          <cell r="J1908" t="str">
            <v>19105420601054</v>
          </cell>
          <cell r="K1908" t="str">
            <v>DNI</v>
          </cell>
          <cell r="L1908">
            <v>10474987430</v>
          </cell>
          <cell r="M1908" t="str">
            <v>AEROLINEAS</v>
          </cell>
          <cell r="N1908">
            <v>45467</v>
          </cell>
          <cell r="O1908">
            <v>0</v>
          </cell>
          <cell r="P1908" t="str">
            <v>XL</v>
          </cell>
        </row>
        <row r="1909">
          <cell r="A1909">
            <v>9313</v>
          </cell>
          <cell r="B1909">
            <v>9313</v>
          </cell>
          <cell r="C1909" t="str">
            <v>CERO MATRICULA</v>
          </cell>
          <cell r="D1909" t="str">
            <v>ACTIVO</v>
          </cell>
          <cell r="E1909" t="str">
            <v>CKD255</v>
          </cell>
          <cell r="F1909" t="str">
            <v>Vergara Jauregui William Smith</v>
          </cell>
          <cell r="G1909" t="str">
            <v>VERGARA JAUREGUI WILLIAM SMITH</v>
          </cell>
          <cell r="H1909" t="str">
            <v>41185525</v>
          </cell>
          <cell r="I1909" t="str">
            <v>BBVA</v>
          </cell>
          <cell r="J1909" t="str">
            <v>001104820200185902</v>
          </cell>
          <cell r="K1909" t="str">
            <v>DNI</v>
          </cell>
          <cell r="L1909">
            <v>10411855258</v>
          </cell>
          <cell r="M1909" t="str">
            <v>AEROLINEAS</v>
          </cell>
          <cell r="N1909">
            <v>45467</v>
          </cell>
          <cell r="O1909">
            <v>0</v>
          </cell>
          <cell r="P1909" t="str">
            <v>COMFORT XL</v>
          </cell>
        </row>
        <row r="1910">
          <cell r="A1910">
            <v>9314</v>
          </cell>
          <cell r="B1910">
            <v>9314</v>
          </cell>
          <cell r="C1910" t="str">
            <v>CERO MATRICULA</v>
          </cell>
          <cell r="D1910" t="str">
            <v>ACTIVO</v>
          </cell>
          <cell r="E1910" t="str">
            <v>CLR553</v>
          </cell>
          <cell r="F1910" t="str">
            <v>Zúñiga Torres Marco Antonio</v>
          </cell>
          <cell r="G1910" t="str">
            <v>ZUÑIGA TORRES MARCO ANTONIO</v>
          </cell>
          <cell r="H1910" t="str">
            <v>41812282</v>
          </cell>
          <cell r="I1910" t="str">
            <v>BCP</v>
          </cell>
          <cell r="J1910" t="str">
            <v>19107277595004</v>
          </cell>
          <cell r="K1910" t="str">
            <v>DNI</v>
          </cell>
          <cell r="L1910">
            <v>10418122825</v>
          </cell>
          <cell r="M1910" t="str">
            <v>AEROLINEAS</v>
          </cell>
          <cell r="N1910">
            <v>45467</v>
          </cell>
          <cell r="O1910">
            <v>0</v>
          </cell>
          <cell r="P1910" t="str">
            <v>LITE</v>
          </cell>
        </row>
        <row r="1911">
          <cell r="A1911">
            <v>9315</v>
          </cell>
          <cell r="B1911">
            <v>9315</v>
          </cell>
          <cell r="C1911" t="str">
            <v>CERO MATRICULA</v>
          </cell>
          <cell r="D1911" t="str">
            <v>ACTIVO</v>
          </cell>
          <cell r="E1911" t="str">
            <v>CLY149</v>
          </cell>
          <cell r="F1911" t="str">
            <v>Villacampa Acuña Pablo Alberto</v>
          </cell>
          <cell r="G1911" t="str">
            <v>VILLACAMPA ACUÑA PABLO ALBERTO</v>
          </cell>
          <cell r="H1911" t="str">
            <v>80575893</v>
          </cell>
          <cell r="I1911" t="str">
            <v>BCP</v>
          </cell>
          <cell r="J1911" t="str">
            <v>19395405709001</v>
          </cell>
          <cell r="K1911" t="str">
            <v>DNI</v>
          </cell>
          <cell r="L1911">
            <v>15337372462</v>
          </cell>
          <cell r="M1911" t="str">
            <v>URBANO</v>
          </cell>
          <cell r="N1911">
            <v>45467</v>
          </cell>
          <cell r="O1911">
            <v>0</v>
          </cell>
          <cell r="P1911" t="str">
            <v>LITE</v>
          </cell>
        </row>
        <row r="1912">
          <cell r="A1912">
            <v>9316</v>
          </cell>
          <cell r="B1912">
            <v>9316</v>
          </cell>
          <cell r="C1912" t="str">
            <v>CERO MATRICULA</v>
          </cell>
          <cell r="D1912" t="str">
            <v>ACTIVO</v>
          </cell>
          <cell r="E1912" t="str">
            <v>Byl163</v>
          </cell>
          <cell r="F1912" t="str">
            <v xml:space="preserve">Cachuan Huaraca Noriega Cayo </v>
          </cell>
          <cell r="G1912" t="str">
            <v>CACHUAN HUARACA NORIEGA CAYO</v>
          </cell>
          <cell r="H1912" t="str">
            <v>43577975</v>
          </cell>
          <cell r="I1912" t="str">
            <v>BCP</v>
          </cell>
          <cell r="J1912" t="str">
            <v>19120403260052</v>
          </cell>
          <cell r="K1912" t="str">
            <v>DNI</v>
          </cell>
          <cell r="L1912">
            <v>10435779757</v>
          </cell>
          <cell r="M1912" t="str">
            <v>URBANO</v>
          </cell>
          <cell r="N1912">
            <v>45467</v>
          </cell>
          <cell r="O1912">
            <v>0</v>
          </cell>
          <cell r="P1912" t="str">
            <v>LITE</v>
          </cell>
        </row>
        <row r="1913">
          <cell r="A1913">
            <v>9317</v>
          </cell>
          <cell r="B1913">
            <v>9317</v>
          </cell>
          <cell r="C1913" t="str">
            <v>CERO MATRICULA</v>
          </cell>
          <cell r="D1913" t="str">
            <v>ACTIVO</v>
          </cell>
          <cell r="E1913" t="str">
            <v>AYH668</v>
          </cell>
          <cell r="F1913" t="str">
            <v>Vidal Manuyama Abel Joel</v>
          </cell>
          <cell r="G1913" t="str">
            <v>VIDAL MANUYAMA ABEL JOEL</v>
          </cell>
          <cell r="H1913" t="str">
            <v>46151803</v>
          </cell>
          <cell r="I1913" t="str">
            <v>BCP</v>
          </cell>
          <cell r="J1913" t="str">
            <v>19478796788012</v>
          </cell>
          <cell r="K1913" t="str">
            <v>DNI</v>
          </cell>
          <cell r="L1913">
            <v>10461518031</v>
          </cell>
          <cell r="M1913" t="str">
            <v>URBANO PARTNER</v>
          </cell>
          <cell r="N1913">
            <v>45467</v>
          </cell>
          <cell r="O1913">
            <v>0</v>
          </cell>
          <cell r="P1913" t="str">
            <v>COMFORT XL</v>
          </cell>
        </row>
        <row r="1914">
          <cell r="A1914">
            <v>9318</v>
          </cell>
          <cell r="B1914">
            <v>9318</v>
          </cell>
          <cell r="C1914" t="str">
            <v>CERO MATRICULA</v>
          </cell>
          <cell r="D1914" t="str">
            <v>ACTIVO</v>
          </cell>
          <cell r="E1914" t="str">
            <v>CFR696</v>
          </cell>
          <cell r="F1914" t="str">
            <v>Ramos Marcelo Luis Alberto</v>
          </cell>
          <cell r="G1914" t="str">
            <v>RAMOS MARCELO LUIS ALBERTO</v>
          </cell>
          <cell r="H1914" t="str">
            <v>40615942</v>
          </cell>
          <cell r="I1914" t="str">
            <v>BCP</v>
          </cell>
          <cell r="J1914" t="str">
            <v>19137580169065</v>
          </cell>
          <cell r="K1914" t="str">
            <v>DNI</v>
          </cell>
          <cell r="L1914">
            <v>10406159421</v>
          </cell>
          <cell r="M1914" t="str">
            <v>AEROLINEAS</v>
          </cell>
          <cell r="N1914">
            <v>45467</v>
          </cell>
          <cell r="O1914">
            <v>0</v>
          </cell>
          <cell r="P1914" t="str">
            <v>COMFORT XL</v>
          </cell>
        </row>
        <row r="1915">
          <cell r="A1915">
            <v>9319</v>
          </cell>
          <cell r="B1915">
            <v>9319</v>
          </cell>
          <cell r="C1915" t="str">
            <v>CERO MATRICULA</v>
          </cell>
          <cell r="D1915" t="str">
            <v>ACTIVO</v>
          </cell>
          <cell r="E1915" t="str">
            <v>CLW164</v>
          </cell>
          <cell r="F1915" t="str">
            <v>zeña trujillo GEORGE ANDRIE</v>
          </cell>
          <cell r="G1915" t="str">
            <v>PALOMINO ARGUEDAS NANCY EVELYN</v>
          </cell>
          <cell r="H1915" t="str">
            <v>45074882</v>
          </cell>
          <cell r="I1915" t="str">
            <v>BCP</v>
          </cell>
          <cell r="J1915" t="str">
            <v>19192817465012</v>
          </cell>
          <cell r="K1915" t="str">
            <v>DNI</v>
          </cell>
          <cell r="L1915">
            <v>10450748825</v>
          </cell>
          <cell r="M1915" t="str">
            <v>URBANO</v>
          </cell>
          <cell r="N1915">
            <v>45474</v>
          </cell>
          <cell r="O1915">
            <v>0</v>
          </cell>
          <cell r="P1915" t="str">
            <v>COMFORT XL</v>
          </cell>
        </row>
        <row r="1916">
          <cell r="A1916">
            <v>9320</v>
          </cell>
          <cell r="B1916">
            <v>9320</v>
          </cell>
          <cell r="C1916" t="str">
            <v>CERO MATRICULA</v>
          </cell>
          <cell r="D1916" t="str">
            <v>ACTIVO</v>
          </cell>
          <cell r="E1916" t="str">
            <v>F0l678</v>
          </cell>
          <cell r="F1916" t="str">
            <v>Prado  Moreyra Jean carlos</v>
          </cell>
          <cell r="G1916" t="str">
            <v>PRADO MOREYRA JEAN CARLOS</v>
          </cell>
          <cell r="H1916" t="str">
            <v>43334317</v>
          </cell>
          <cell r="I1916" t="str">
            <v>BBVA</v>
          </cell>
          <cell r="J1916" t="str">
            <v>001108420200232982</v>
          </cell>
          <cell r="K1916" t="str">
            <v>DNI</v>
          </cell>
          <cell r="L1916">
            <v>10433343170</v>
          </cell>
          <cell r="M1916" t="str">
            <v>URBANO PARTNER</v>
          </cell>
          <cell r="N1916">
            <v>45468</v>
          </cell>
          <cell r="O1916">
            <v>0</v>
          </cell>
          <cell r="P1916" t="str">
            <v>XL</v>
          </cell>
        </row>
        <row r="1917">
          <cell r="A1917">
            <v>9321</v>
          </cell>
          <cell r="B1917">
            <v>9321</v>
          </cell>
          <cell r="C1917" t="str">
            <v>CERO MATRICULA</v>
          </cell>
          <cell r="D1917" t="str">
            <v>ACTIVO</v>
          </cell>
          <cell r="E1917" t="str">
            <v>CAA491</v>
          </cell>
          <cell r="F1917" t="str">
            <v>Centeno Pereira Elvin javier</v>
          </cell>
          <cell r="G1917" t="str">
            <v>CENTENO PEREIRA ELVIN JAVIER</v>
          </cell>
          <cell r="H1917" t="str">
            <v>006156036</v>
          </cell>
          <cell r="I1917" t="str">
            <v>BCP</v>
          </cell>
          <cell r="J1917">
            <v>19196800341020</v>
          </cell>
          <cell r="K1917" t="str">
            <v>CE</v>
          </cell>
          <cell r="L1917">
            <v>15607635339</v>
          </cell>
          <cell r="M1917" t="str">
            <v>URBANO</v>
          </cell>
          <cell r="N1917">
            <v>45468</v>
          </cell>
          <cell r="O1917">
            <v>0</v>
          </cell>
          <cell r="P1917" t="str">
            <v>LITE</v>
          </cell>
        </row>
        <row r="1918">
          <cell r="A1918">
            <v>9322</v>
          </cell>
          <cell r="B1918">
            <v>9322</v>
          </cell>
          <cell r="C1918" t="str">
            <v>CERO MATRICULA</v>
          </cell>
          <cell r="D1918" t="str">
            <v>ACTIVO</v>
          </cell>
          <cell r="E1918" t="str">
            <v>Z6I572</v>
          </cell>
          <cell r="F1918" t="str">
            <v>Najarro Aguilar Jhonnathan</v>
          </cell>
          <cell r="G1918" t="str">
            <v>NAJARRO AGUILAR JHONNATHAN SLEYTHER</v>
          </cell>
          <cell r="H1918" t="str">
            <v>74142422</v>
          </cell>
          <cell r="I1918" t="str">
            <v>BCP</v>
          </cell>
          <cell r="J1918" t="str">
            <v>19202769594067</v>
          </cell>
          <cell r="K1918" t="str">
            <v>DNI</v>
          </cell>
          <cell r="L1918">
            <v>10741424229</v>
          </cell>
          <cell r="M1918" t="str">
            <v>URBANO</v>
          </cell>
          <cell r="N1918">
            <v>45468</v>
          </cell>
          <cell r="O1918">
            <v>0</v>
          </cell>
          <cell r="P1918" t="str">
            <v>LITE</v>
          </cell>
        </row>
        <row r="1919">
          <cell r="A1919">
            <v>9324</v>
          </cell>
          <cell r="B1919">
            <v>9324</v>
          </cell>
          <cell r="C1919" t="str">
            <v>CERO MATRICULA</v>
          </cell>
          <cell r="D1919" t="str">
            <v>ACTIVO</v>
          </cell>
          <cell r="E1919" t="str">
            <v>CHB202</v>
          </cell>
          <cell r="F1919" t="str">
            <v xml:space="preserve">ROJAS QUISPE Félix Roberto </v>
          </cell>
          <cell r="G1919" t="str">
            <v>ROJAS QUISPE FELIX ROBERTO</v>
          </cell>
          <cell r="H1919" t="str">
            <v>08697527</v>
          </cell>
          <cell r="I1919" t="str">
            <v>BCP</v>
          </cell>
          <cell r="J1919" t="str">
            <v>19493933068084</v>
          </cell>
          <cell r="K1919" t="str">
            <v>DNI</v>
          </cell>
          <cell r="L1919">
            <v>10086975276</v>
          </cell>
          <cell r="M1919" t="str">
            <v>URBANO</v>
          </cell>
          <cell r="N1919">
            <v>45475</v>
          </cell>
          <cell r="O1919">
            <v>0</v>
          </cell>
          <cell r="P1919" t="str">
            <v>LITE</v>
          </cell>
        </row>
        <row r="1920">
          <cell r="A1920">
            <v>9325</v>
          </cell>
          <cell r="B1920">
            <v>9325</v>
          </cell>
          <cell r="C1920" t="str">
            <v>CERO MATRICULA</v>
          </cell>
          <cell r="D1920" t="str">
            <v>ACTIVO</v>
          </cell>
          <cell r="E1920" t="str">
            <v>CAB684</v>
          </cell>
          <cell r="F1920" t="str">
            <v>Chavez Dueñas Jhon carlos</v>
          </cell>
          <cell r="G1920" t="str">
            <v>CHAVEZ DUEÑAS JHON CARLOS</v>
          </cell>
          <cell r="H1920" t="str">
            <v>70229894</v>
          </cell>
          <cell r="I1920" t="str">
            <v>INTERBANK</v>
          </cell>
          <cell r="J1920" t="str">
            <v>00389801346370264245</v>
          </cell>
          <cell r="K1920" t="str">
            <v>DNI</v>
          </cell>
          <cell r="L1920">
            <v>10702298941</v>
          </cell>
          <cell r="M1920" t="str">
            <v>AEROLINEAS</v>
          </cell>
          <cell r="N1920">
            <v>45474</v>
          </cell>
          <cell r="O1920">
            <v>0</v>
          </cell>
          <cell r="P1920" t="str">
            <v>COMFORT XL</v>
          </cell>
        </row>
        <row r="1921">
          <cell r="A1921">
            <v>9326</v>
          </cell>
          <cell r="B1921">
            <v>9326</v>
          </cell>
          <cell r="C1921" t="str">
            <v>CERO MATRICULA</v>
          </cell>
          <cell r="D1921" t="str">
            <v>ACTIVO</v>
          </cell>
          <cell r="E1921" t="str">
            <v>CKU262</v>
          </cell>
          <cell r="F1921" t="str">
            <v>Monti Bustamante Katherina lissette</v>
          </cell>
          <cell r="G1921" t="str">
            <v>MONTI BUSTAMANTE KATHERINA LISSETTE</v>
          </cell>
          <cell r="H1921" t="str">
            <v>40511460</v>
          </cell>
          <cell r="I1921" t="str">
            <v>INTERBANK</v>
          </cell>
          <cell r="J1921" t="str">
            <v>8213335385143</v>
          </cell>
          <cell r="K1921" t="str">
            <v>DNI</v>
          </cell>
          <cell r="L1921">
            <v>10405114602</v>
          </cell>
          <cell r="M1921" t="str">
            <v>URBANO</v>
          </cell>
          <cell r="N1921">
            <v>45468</v>
          </cell>
          <cell r="O1921">
            <v>0</v>
          </cell>
          <cell r="P1921" t="str">
            <v>COMFORT</v>
          </cell>
        </row>
        <row r="1922">
          <cell r="A1922">
            <v>9327</v>
          </cell>
          <cell r="B1922">
            <v>9327</v>
          </cell>
          <cell r="C1922" t="str">
            <v>CERO MATRICULA</v>
          </cell>
          <cell r="D1922" t="str">
            <v>ACTIVO</v>
          </cell>
          <cell r="E1922" t="str">
            <v>CJC386</v>
          </cell>
          <cell r="F1922" t="str">
            <v>Diaz Morales Wilsem David</v>
          </cell>
          <cell r="G1922" t="str">
            <v>DIAZ MORALES WILSEM DAVID</v>
          </cell>
          <cell r="H1922" t="str">
            <v>004005093</v>
          </cell>
          <cell r="I1922" t="str">
            <v>INTERBANK</v>
          </cell>
          <cell r="J1922" t="str">
            <v>2883268686290</v>
          </cell>
          <cell r="K1922" t="str">
            <v>CE</v>
          </cell>
          <cell r="L1922">
            <v>15605535558</v>
          </cell>
          <cell r="M1922" t="str">
            <v>URBANO</v>
          </cell>
          <cell r="N1922">
            <v>45474</v>
          </cell>
          <cell r="O1922">
            <v>0</v>
          </cell>
          <cell r="P1922" t="str">
            <v>LITE</v>
          </cell>
        </row>
        <row r="1923">
          <cell r="A1923">
            <v>9328</v>
          </cell>
          <cell r="B1923">
            <v>9328</v>
          </cell>
          <cell r="C1923" t="str">
            <v>CERO MATRICULA</v>
          </cell>
          <cell r="D1923" t="str">
            <v>ACTIVO</v>
          </cell>
          <cell r="E1923" t="str">
            <v>CLK115</v>
          </cell>
          <cell r="F1923" t="str">
            <v>Fernández Sirlopú Manuel Enrique</v>
          </cell>
          <cell r="G1923" t="str">
            <v>FERNANDEZ SIRLOPU MANUEL ENRIQUE</v>
          </cell>
          <cell r="H1923" t="str">
            <v>42070915</v>
          </cell>
          <cell r="I1923" t="str">
            <v>BCP</v>
          </cell>
          <cell r="J1923" t="str">
            <v>19197805557089</v>
          </cell>
          <cell r="K1923" t="str">
            <v>DNI</v>
          </cell>
          <cell r="L1923">
            <v>10420709159</v>
          </cell>
          <cell r="M1923" t="str">
            <v>AEROLINEAS</v>
          </cell>
          <cell r="N1923">
            <v>45474</v>
          </cell>
          <cell r="O1923">
            <v>0</v>
          </cell>
          <cell r="P1923" t="str">
            <v>COMFORT</v>
          </cell>
        </row>
        <row r="1924">
          <cell r="A1924">
            <v>9329</v>
          </cell>
          <cell r="B1924">
            <v>9329</v>
          </cell>
          <cell r="C1924" t="str">
            <v>CERO MATRICULA</v>
          </cell>
          <cell r="D1924" t="str">
            <v>ACTIVO</v>
          </cell>
          <cell r="E1924" t="str">
            <v>CBS147</v>
          </cell>
          <cell r="F1924" t="str">
            <v>Vásquez Rimache Carlos Alberto</v>
          </cell>
          <cell r="G1924" t="str">
            <v>CARLOS ALBERTO VASQUEZ RIMACHE</v>
          </cell>
          <cell r="H1924" t="str">
            <v xml:space="preserve"> 40514568</v>
          </cell>
          <cell r="I1924" t="str">
            <v>BCP</v>
          </cell>
          <cell r="J1924" t="str">
            <v>19435418782045</v>
          </cell>
          <cell r="K1924" t="str">
            <v>DNI</v>
          </cell>
          <cell r="L1924">
            <v>10405145681</v>
          </cell>
          <cell r="M1924" t="str">
            <v>URBANO PARTNER</v>
          </cell>
          <cell r="N1924">
            <v>45474</v>
          </cell>
          <cell r="O1924">
            <v>0</v>
          </cell>
          <cell r="P1924" t="str">
            <v>LITE</v>
          </cell>
        </row>
        <row r="1925">
          <cell r="A1925">
            <v>9331</v>
          </cell>
          <cell r="B1925">
            <v>9331</v>
          </cell>
          <cell r="C1925" t="str">
            <v>CERO MATRICULA</v>
          </cell>
          <cell r="D1925" t="str">
            <v>ACTIVO</v>
          </cell>
          <cell r="E1925" t="str">
            <v>CLZ631</v>
          </cell>
          <cell r="F1925" t="str">
            <v>Zuñiga Benites Fredy Ronald</v>
          </cell>
          <cell r="G1925" t="str">
            <v>AGUILAR MALPARTIDA LUIS PAOLO</v>
          </cell>
          <cell r="H1925" t="str">
            <v>40843122</v>
          </cell>
          <cell r="I1925" t="str">
            <v>BBVA</v>
          </cell>
          <cell r="J1925" t="str">
            <v>001105660200086226</v>
          </cell>
          <cell r="K1925" t="str">
            <v>DNI</v>
          </cell>
          <cell r="L1925">
            <v>10727891400</v>
          </cell>
          <cell r="M1925" t="str">
            <v>AEROLINEAS</v>
          </cell>
          <cell r="N1925">
            <v>45474</v>
          </cell>
          <cell r="O1925">
            <v>0</v>
          </cell>
          <cell r="P1925" t="str">
            <v>COMFORT XL</v>
          </cell>
        </row>
        <row r="1926">
          <cell r="A1926">
            <v>9333</v>
          </cell>
          <cell r="B1926">
            <v>9333</v>
          </cell>
          <cell r="C1926" t="str">
            <v>CERO MATRICULA</v>
          </cell>
          <cell r="D1926" t="str">
            <v>ACTIVO</v>
          </cell>
          <cell r="E1926" t="str">
            <v>CLK127</v>
          </cell>
          <cell r="F1926" t="str">
            <v>Valverde Salinas Rox Alfonso</v>
          </cell>
          <cell r="G1926" t="str">
            <v>VALVERDE SALINAS ROX ALFONSO</v>
          </cell>
          <cell r="H1926" t="str">
            <v>09343244</v>
          </cell>
          <cell r="I1926" t="str">
            <v>INTERBANK</v>
          </cell>
          <cell r="J1926" t="str">
            <v>2443136804254</v>
          </cell>
          <cell r="K1926" t="str">
            <v>DNI</v>
          </cell>
          <cell r="L1926">
            <v>10093432440</v>
          </cell>
          <cell r="M1926" t="str">
            <v>AEROPUERTO</v>
          </cell>
          <cell r="N1926">
            <v>45474</v>
          </cell>
          <cell r="O1926">
            <v>240</v>
          </cell>
          <cell r="P1926" t="str">
            <v>XL</v>
          </cell>
        </row>
        <row r="1927">
          <cell r="A1927">
            <v>9335</v>
          </cell>
          <cell r="B1927">
            <v>9335</v>
          </cell>
          <cell r="C1927" t="str">
            <v>CERO MATRICULA</v>
          </cell>
          <cell r="D1927" t="str">
            <v>ACTIVO</v>
          </cell>
          <cell r="E1927" t="str">
            <v>BZM669</v>
          </cell>
          <cell r="F1927" t="str">
            <v>Chaupis Pahuachon André Anthony</v>
          </cell>
          <cell r="G1927" t="str">
            <v>CHAUPIS PAHUACHON ANDRE ANTHONY</v>
          </cell>
          <cell r="H1927" t="str">
            <v>48137813</v>
          </cell>
          <cell r="I1927" t="str">
            <v>BCP</v>
          </cell>
          <cell r="J1927" t="str">
            <v>19140238733083</v>
          </cell>
          <cell r="K1927" t="str">
            <v>DNI</v>
          </cell>
          <cell r="L1927">
            <v>10481378139</v>
          </cell>
          <cell r="M1927" t="str">
            <v>AEROPUERTO VAN</v>
          </cell>
          <cell r="N1927">
            <v>45474</v>
          </cell>
          <cell r="O1927">
            <v>240</v>
          </cell>
          <cell r="P1927" t="str">
            <v>VAN</v>
          </cell>
        </row>
        <row r="1928">
          <cell r="A1928">
            <v>9337</v>
          </cell>
          <cell r="B1928">
            <v>9337</v>
          </cell>
          <cell r="C1928" t="str">
            <v>CERO MATRICULA</v>
          </cell>
          <cell r="D1928" t="str">
            <v>ACTIVO</v>
          </cell>
          <cell r="E1928" t="str">
            <v>BCS047</v>
          </cell>
          <cell r="F1928" t="str">
            <v>Ramirez Condorchoa Patryck Anderson</v>
          </cell>
          <cell r="G1928" t="str">
            <v>CHUGDEN VASQUEZ MERELYN JASMIN</v>
          </cell>
          <cell r="H1928" t="str">
            <v>70342933</v>
          </cell>
          <cell r="I1928" t="str">
            <v>INTERBANK</v>
          </cell>
          <cell r="J1928" t="str">
            <v>8983346177863</v>
          </cell>
          <cell r="K1928" t="str">
            <v>DNI</v>
          </cell>
          <cell r="L1928">
            <v>10703429331</v>
          </cell>
          <cell r="M1928" t="str">
            <v>AEROLINEAS</v>
          </cell>
          <cell r="N1928">
            <v>45477</v>
          </cell>
          <cell r="O1928">
            <v>0</v>
          </cell>
          <cell r="P1928" t="str">
            <v>COMFORT XL</v>
          </cell>
        </row>
        <row r="1929">
          <cell r="A1929">
            <v>9338</v>
          </cell>
          <cell r="B1929">
            <v>9338</v>
          </cell>
          <cell r="C1929" t="str">
            <v>CERO MATRICULA</v>
          </cell>
          <cell r="D1929" t="str">
            <v>ACTIVO</v>
          </cell>
          <cell r="E1929" t="str">
            <v>Cjy072</v>
          </cell>
          <cell r="F1929" t="str">
            <v>Baez Riera Alejandra del Carmen</v>
          </cell>
          <cell r="G1929" t="str">
            <v>BAEZ RIERA ALEJANDRA DEL CARMEN</v>
          </cell>
          <cell r="H1929" t="str">
            <v>005278527</v>
          </cell>
          <cell r="I1929" t="str">
            <v>INTERBANK</v>
          </cell>
          <cell r="J1929" t="str">
            <v>1663407118935</v>
          </cell>
          <cell r="K1929" t="str">
            <v>CE</v>
          </cell>
          <cell r="L1929">
            <v>15612539003</v>
          </cell>
          <cell r="M1929" t="str">
            <v>URBANO</v>
          </cell>
          <cell r="N1929">
            <v>45474</v>
          </cell>
          <cell r="O1929">
            <v>0</v>
          </cell>
          <cell r="P1929" t="str">
            <v>LITE</v>
          </cell>
        </row>
        <row r="1930">
          <cell r="A1930">
            <v>9339</v>
          </cell>
          <cell r="B1930">
            <v>9339</v>
          </cell>
          <cell r="C1930" t="str">
            <v>CERO MATRICULA</v>
          </cell>
          <cell r="D1930" t="str">
            <v>ACTIVO</v>
          </cell>
          <cell r="E1930" t="str">
            <v>CFJ284</v>
          </cell>
          <cell r="F1930" t="str">
            <v>Toledo Gil Samuel Alfredo</v>
          </cell>
          <cell r="G1930" t="str">
            <v>TOLEDO GIL SAMUEL ALFREDO</v>
          </cell>
          <cell r="H1930" t="str">
            <v>003017595</v>
          </cell>
          <cell r="I1930" t="str">
            <v>INTERBANK</v>
          </cell>
          <cell r="J1930" t="str">
            <v>8983286692097</v>
          </cell>
          <cell r="K1930" t="str">
            <v>CE</v>
          </cell>
          <cell r="L1930">
            <v>15607812923</v>
          </cell>
          <cell r="M1930" t="str">
            <v>URBANO</v>
          </cell>
          <cell r="N1930">
            <v>45475</v>
          </cell>
          <cell r="O1930">
            <v>0</v>
          </cell>
          <cell r="P1930" t="str">
            <v>LITE</v>
          </cell>
        </row>
        <row r="1931">
          <cell r="A1931">
            <v>9340</v>
          </cell>
          <cell r="B1931">
            <v>9340</v>
          </cell>
          <cell r="C1931" t="str">
            <v>CERO MATRICULA</v>
          </cell>
          <cell r="D1931" t="str">
            <v>ACTIVO</v>
          </cell>
          <cell r="E1931" t="str">
            <v>CAQ383</v>
          </cell>
          <cell r="F1931" t="str">
            <v>CHIRINOS ARTEAGA MAX</v>
          </cell>
          <cell r="G1931" t="str">
            <v>CHIRINOS ARTEAGA MAX</v>
          </cell>
          <cell r="H1931" t="str">
            <v>08144686</v>
          </cell>
          <cell r="I1931" t="str">
            <v>BBVA</v>
          </cell>
          <cell r="J1931" t="str">
            <v>0011-0814-0230932242</v>
          </cell>
          <cell r="K1931" t="str">
            <v>DNI</v>
          </cell>
          <cell r="L1931">
            <v>10081446861</v>
          </cell>
          <cell r="M1931" t="str">
            <v>URBANO</v>
          </cell>
          <cell r="N1931">
            <v>44880</v>
          </cell>
          <cell r="O1931">
            <v>0</v>
          </cell>
          <cell r="P1931" t="str">
            <v>COMFORT</v>
          </cell>
        </row>
        <row r="1932">
          <cell r="A1932">
            <v>9342</v>
          </cell>
          <cell r="B1932">
            <v>9342</v>
          </cell>
          <cell r="C1932" t="str">
            <v>CERO MATRICULA</v>
          </cell>
          <cell r="D1932" t="str">
            <v>ACTIVO</v>
          </cell>
          <cell r="E1932" t="str">
            <v>A3C150</v>
          </cell>
          <cell r="F1932" t="str">
            <v>Matos Castillo Miguel Antonio</v>
          </cell>
          <cell r="G1932" t="str">
            <v>AREVALO GUTIERREZ ROXANA</v>
          </cell>
          <cell r="H1932" t="str">
            <v>43466826</v>
          </cell>
          <cell r="I1932" t="str">
            <v>BCP</v>
          </cell>
          <cell r="J1932" t="str">
            <v>19493311295031</v>
          </cell>
          <cell r="K1932" t="str">
            <v>DNI</v>
          </cell>
          <cell r="L1932">
            <v>10434668269</v>
          </cell>
          <cell r="M1932" t="str">
            <v>URBANO</v>
          </cell>
          <cell r="N1932">
            <v>45475</v>
          </cell>
          <cell r="O1932">
            <v>0</v>
          </cell>
          <cell r="P1932" t="str">
            <v>COMFORT XL</v>
          </cell>
        </row>
        <row r="1933">
          <cell r="A1933">
            <v>9343</v>
          </cell>
          <cell r="B1933">
            <v>9343</v>
          </cell>
          <cell r="C1933" t="str">
            <v>CERO MATRICULA</v>
          </cell>
          <cell r="D1933" t="str">
            <v>ACTIVO</v>
          </cell>
          <cell r="E1933" t="str">
            <v>CLJ387</v>
          </cell>
          <cell r="F1933" t="str">
            <v>ROQUE SAEZ RUBEN JACOBO</v>
          </cell>
          <cell r="G1933" t="str">
            <v>ROQUE SAEZ RUBEN JACOBO</v>
          </cell>
          <cell r="H1933" t="str">
            <v>41275493</v>
          </cell>
          <cell r="I1933" t="str">
            <v>INTERBANK</v>
          </cell>
          <cell r="J1933" t="str">
            <v>6303375731001</v>
          </cell>
          <cell r="K1933" t="str">
            <v>DNI</v>
          </cell>
          <cell r="L1933">
            <v>10412754935</v>
          </cell>
          <cell r="M1933" t="str">
            <v>URBANO</v>
          </cell>
          <cell r="N1933">
            <v>45475</v>
          </cell>
          <cell r="O1933">
            <v>0</v>
          </cell>
          <cell r="P1933" t="str">
            <v>XL</v>
          </cell>
        </row>
        <row r="1934">
          <cell r="A1934">
            <v>9347</v>
          </cell>
          <cell r="B1934">
            <v>9347</v>
          </cell>
          <cell r="C1934" t="str">
            <v>CERO MATRICULA</v>
          </cell>
          <cell r="D1934" t="str">
            <v>ACTIVO</v>
          </cell>
          <cell r="E1934" t="str">
            <v>BVC342</v>
          </cell>
          <cell r="F1934" t="str">
            <v xml:space="preserve">Galvez Chavarri Amador manuel </v>
          </cell>
          <cell r="G1934" t="str">
            <v>GALVEZ CHAVARRI AMADOR MANUEL</v>
          </cell>
          <cell r="H1934" t="str">
            <v>42583234</v>
          </cell>
          <cell r="I1934" t="str">
            <v>BCP</v>
          </cell>
          <cell r="J1934" t="str">
            <v>19119643787007</v>
          </cell>
          <cell r="K1934" t="str">
            <v>DNI</v>
          </cell>
          <cell r="L1934">
            <v>10425832340</v>
          </cell>
          <cell r="M1934" t="str">
            <v>AEROPUERTO</v>
          </cell>
          <cell r="N1934">
            <v>45481</v>
          </cell>
          <cell r="O1934">
            <v>265</v>
          </cell>
          <cell r="P1934" t="str">
            <v>LITE</v>
          </cell>
        </row>
        <row r="1935">
          <cell r="A1935">
            <v>9348</v>
          </cell>
          <cell r="B1935">
            <v>9348</v>
          </cell>
          <cell r="C1935" t="str">
            <v>CERO MATRICULA</v>
          </cell>
          <cell r="D1935" t="str">
            <v>ACTIVO</v>
          </cell>
          <cell r="E1935" t="str">
            <v>CBQ176</v>
          </cell>
          <cell r="F1935" t="str">
            <v>Tineo Lugo Julio  cesar</v>
          </cell>
          <cell r="G1935" t="str">
            <v>TINEO LUGO JULIO CESAR</v>
          </cell>
          <cell r="H1935" t="str">
            <v>002880731</v>
          </cell>
          <cell r="I1935" t="str">
            <v>INTERBANK</v>
          </cell>
          <cell r="J1935" t="str">
            <v>1403428062591</v>
          </cell>
          <cell r="K1935" t="str">
            <v>CPP</v>
          </cell>
          <cell r="L1935">
            <v>15611072641</v>
          </cell>
          <cell r="M1935" t="str">
            <v>AEROPUERTO</v>
          </cell>
          <cell r="N1935">
            <v>45482</v>
          </cell>
          <cell r="O1935">
            <v>265</v>
          </cell>
          <cell r="P1935" t="str">
            <v>LITE</v>
          </cell>
        </row>
        <row r="1936">
          <cell r="A1936">
            <v>9349</v>
          </cell>
          <cell r="B1936">
            <v>9349</v>
          </cell>
          <cell r="C1936" t="str">
            <v>CERO MATRICULA</v>
          </cell>
          <cell r="D1936" t="str">
            <v>ACTIVO</v>
          </cell>
          <cell r="E1936" t="str">
            <v>CFM449</v>
          </cell>
          <cell r="F1936" t="str">
            <v>Vargas Barrientos Michael</v>
          </cell>
          <cell r="G1936" t="str">
            <v>VARGAS BARRIENTOS MICHAEL</v>
          </cell>
          <cell r="H1936" t="str">
            <v>42447452</v>
          </cell>
          <cell r="I1936" t="str">
            <v>BCP</v>
          </cell>
          <cell r="J1936" t="str">
            <v>19340139324070</v>
          </cell>
          <cell r="K1936" t="str">
            <v>DNI</v>
          </cell>
          <cell r="L1936">
            <v>10424474521</v>
          </cell>
          <cell r="M1936" t="str">
            <v>URBANO</v>
          </cell>
          <cell r="N1936">
            <v>45481</v>
          </cell>
          <cell r="O1936">
            <v>0</v>
          </cell>
          <cell r="P1936" t="str">
            <v>COMFORT XL</v>
          </cell>
        </row>
        <row r="1937">
          <cell r="A1937">
            <v>9351</v>
          </cell>
          <cell r="B1937">
            <v>9351</v>
          </cell>
          <cell r="C1937" t="str">
            <v>CERO MATRICULA</v>
          </cell>
          <cell r="D1937" t="str">
            <v>ACTIVO</v>
          </cell>
          <cell r="E1937" t="str">
            <v>AYF331</v>
          </cell>
          <cell r="F1937" t="str">
            <v>Enríquez Acosta Rosman</v>
          </cell>
          <cell r="G1937" t="str">
            <v>ENRIQUEZ ACOSTA ROSMAN</v>
          </cell>
          <cell r="H1937" t="str">
            <v>74777417</v>
          </cell>
          <cell r="I1937" t="str">
            <v>BCP</v>
          </cell>
          <cell r="J1937" t="str">
            <v>19171764760054</v>
          </cell>
          <cell r="K1937" t="str">
            <v>DNI</v>
          </cell>
          <cell r="L1937">
            <v>10758368055</v>
          </cell>
          <cell r="M1937" t="str">
            <v>URBANO</v>
          </cell>
          <cell r="N1937">
            <v>45481</v>
          </cell>
          <cell r="O1937">
            <v>0</v>
          </cell>
          <cell r="P1937" t="str">
            <v>XL</v>
          </cell>
        </row>
        <row r="1938">
          <cell r="A1938">
            <v>9353</v>
          </cell>
          <cell r="B1938">
            <v>9353</v>
          </cell>
          <cell r="C1938" t="str">
            <v>CERO MATRICULA</v>
          </cell>
          <cell r="D1938" t="str">
            <v>ACTIVO</v>
          </cell>
          <cell r="E1938" t="str">
            <v>Cjb425</v>
          </cell>
          <cell r="F1938" t="str">
            <v>Morales Ramírez José Alberto</v>
          </cell>
          <cell r="G1938" t="str">
            <v>MORALES RAMIREZ JOSE ALBERTO</v>
          </cell>
          <cell r="H1938" t="str">
            <v>002155101</v>
          </cell>
          <cell r="I1938" t="str">
            <v>BCP</v>
          </cell>
          <cell r="J1938" t="str">
            <v>19496585651061</v>
          </cell>
          <cell r="K1938" t="str">
            <v>CE</v>
          </cell>
          <cell r="L1938">
            <v>15602856957</v>
          </cell>
          <cell r="M1938" t="str">
            <v>URBANO</v>
          </cell>
          <cell r="N1938">
            <v>45481</v>
          </cell>
          <cell r="O1938">
            <v>0</v>
          </cell>
          <cell r="P1938" t="str">
            <v>LITE</v>
          </cell>
        </row>
        <row r="1939">
          <cell r="A1939">
            <v>9354</v>
          </cell>
          <cell r="B1939">
            <v>9354</v>
          </cell>
          <cell r="C1939" t="str">
            <v>CERO MATRICULA</v>
          </cell>
          <cell r="D1939" t="str">
            <v>ACTIVO</v>
          </cell>
          <cell r="E1939" t="str">
            <v>CFA126</v>
          </cell>
          <cell r="F1939" t="str">
            <v>Giraldo Ortiz Christian Jose</v>
          </cell>
          <cell r="G1939" t="str">
            <v>GIRALDO ORTIZ CHRISTIAN JOSE</v>
          </cell>
          <cell r="H1939" t="str">
            <v>40026576</v>
          </cell>
          <cell r="I1939" t="str">
            <v>INTERBANK</v>
          </cell>
          <cell r="J1939" t="str">
            <v>0593111469517</v>
          </cell>
          <cell r="K1939" t="str">
            <v>DNI</v>
          </cell>
          <cell r="L1939">
            <v>10400265769</v>
          </cell>
          <cell r="M1939" t="str">
            <v>AEROLINEAS</v>
          </cell>
          <cell r="N1939">
            <v>45477</v>
          </cell>
          <cell r="O1939">
            <v>0</v>
          </cell>
          <cell r="P1939" t="str">
            <v>COMFORT XL</v>
          </cell>
        </row>
        <row r="1940">
          <cell r="A1940">
            <v>9355</v>
          </cell>
          <cell r="B1940">
            <v>9355</v>
          </cell>
          <cell r="C1940" t="str">
            <v>CERO MATRICULA</v>
          </cell>
          <cell r="D1940" t="str">
            <v>ACTIVO</v>
          </cell>
          <cell r="E1940" t="str">
            <v>CFI211</v>
          </cell>
          <cell r="F1940" t="str">
            <v xml:space="preserve">De nobrega De gouveia Manuel teodoro </v>
          </cell>
          <cell r="G1940" t="str">
            <v>DE NOBREGA DE GOUVEIA MANUEL TEODORO</v>
          </cell>
          <cell r="H1940" t="str">
            <v>006572608</v>
          </cell>
          <cell r="I1940" t="str">
            <v>BCP</v>
          </cell>
          <cell r="J1940" t="str">
            <v>19206363694072</v>
          </cell>
          <cell r="K1940" t="str">
            <v>CE</v>
          </cell>
          <cell r="L1940">
            <v>15612303191</v>
          </cell>
          <cell r="M1940" t="str">
            <v>AEROPUERTO</v>
          </cell>
          <cell r="N1940">
            <v>45481</v>
          </cell>
          <cell r="O1940">
            <v>240</v>
          </cell>
          <cell r="P1940" t="str">
            <v>XL</v>
          </cell>
        </row>
        <row r="1941">
          <cell r="A1941">
            <v>9356</v>
          </cell>
          <cell r="B1941">
            <v>9356</v>
          </cell>
          <cell r="C1941" t="str">
            <v>CERO MATRICULA</v>
          </cell>
          <cell r="D1941" t="str">
            <v>ACTIVO</v>
          </cell>
          <cell r="E1941" t="str">
            <v>CHY212</v>
          </cell>
          <cell r="F1941" t="str">
            <v>Fasanando Paredes Santiago</v>
          </cell>
          <cell r="G1941" t="str">
            <v>FASANANDO PAREDES SANTIAGO</v>
          </cell>
          <cell r="H1941" t="str">
            <v>75247940</v>
          </cell>
          <cell r="I1941" t="str">
            <v>INTERBANK</v>
          </cell>
          <cell r="J1941" t="str">
            <v>8983170145722</v>
          </cell>
          <cell r="K1941" t="str">
            <v>DNI</v>
          </cell>
          <cell r="L1941">
            <v>10752479408</v>
          </cell>
          <cell r="M1941" t="str">
            <v>URBANO</v>
          </cell>
          <cell r="N1941">
            <v>45481</v>
          </cell>
          <cell r="O1941">
            <v>0</v>
          </cell>
          <cell r="P1941" t="str">
            <v>COMFORT XL</v>
          </cell>
        </row>
        <row r="1942">
          <cell r="A1942">
            <v>9360</v>
          </cell>
          <cell r="B1942">
            <v>9360</v>
          </cell>
          <cell r="C1942" t="str">
            <v>CERO MATRICULA</v>
          </cell>
          <cell r="D1942" t="str">
            <v>ACTIVO</v>
          </cell>
          <cell r="E1942" t="str">
            <v>BSH560</v>
          </cell>
          <cell r="F1942" t="str">
            <v>Salas Carrasco Erick Alfredo</v>
          </cell>
          <cell r="G1942" t="str">
            <v>SALAS CARRASCO ERICK ALFREDO</v>
          </cell>
          <cell r="H1942" t="str">
            <v>42224424</v>
          </cell>
          <cell r="I1942" t="str">
            <v>BBVA</v>
          </cell>
          <cell r="J1942" t="str">
            <v>001108140228428464</v>
          </cell>
          <cell r="K1942" t="str">
            <v>DNI</v>
          </cell>
          <cell r="L1942">
            <v>10422244242</v>
          </cell>
          <cell r="M1942" t="str">
            <v>AEROLINEAS</v>
          </cell>
          <cell r="N1942">
            <v>45481</v>
          </cell>
          <cell r="O1942">
            <v>0</v>
          </cell>
          <cell r="P1942" t="str">
            <v>LITE</v>
          </cell>
        </row>
        <row r="1943">
          <cell r="A1943">
            <v>9362</v>
          </cell>
          <cell r="B1943">
            <v>9362</v>
          </cell>
          <cell r="C1943" t="str">
            <v>CERO MATRICULA</v>
          </cell>
          <cell r="D1943" t="str">
            <v>ACTIVO</v>
          </cell>
          <cell r="E1943" t="str">
            <v>CLE227</v>
          </cell>
          <cell r="F1943" t="str">
            <v xml:space="preserve">Osorio Zambrano Yorvis Argenis </v>
          </cell>
          <cell r="G1943" t="str">
            <v>OSORIO ZAMBRANO YORVIS ARGENIS</v>
          </cell>
          <cell r="H1943" t="str">
            <v>003576466</v>
          </cell>
          <cell r="I1943" t="str">
            <v>BCP</v>
          </cell>
          <cell r="J1943" t="str">
            <v>19193371638084</v>
          </cell>
          <cell r="K1943" t="str">
            <v>CE</v>
          </cell>
          <cell r="L1943">
            <v>15604448619</v>
          </cell>
          <cell r="M1943" t="str">
            <v>URBANO</v>
          </cell>
          <cell r="N1943">
            <v>45481</v>
          </cell>
          <cell r="O1943">
            <v>0</v>
          </cell>
          <cell r="P1943" t="str">
            <v>LITE</v>
          </cell>
        </row>
        <row r="1944">
          <cell r="A1944">
            <v>9363</v>
          </cell>
          <cell r="B1944">
            <v>9363</v>
          </cell>
          <cell r="C1944" t="str">
            <v>CERO MATRICULA</v>
          </cell>
          <cell r="D1944" t="str">
            <v>ACTIVO</v>
          </cell>
          <cell r="E1944" t="str">
            <v>BCV437</v>
          </cell>
          <cell r="F1944" t="str">
            <v>Pérez Bello Danilo José</v>
          </cell>
          <cell r="G1944" t="str">
            <v>PEREZ BELLO DANILO JOSE</v>
          </cell>
          <cell r="H1944" t="str">
            <v>005626303</v>
          </cell>
          <cell r="I1944" t="str">
            <v>BCP</v>
          </cell>
          <cell r="J1944" t="str">
            <v>19199175841015</v>
          </cell>
          <cell r="K1944" t="str">
            <v>CE</v>
          </cell>
          <cell r="L1944">
            <v>15609786474</v>
          </cell>
          <cell r="M1944" t="str">
            <v>AEROLINEAS</v>
          </cell>
          <cell r="N1944">
            <v>45481</v>
          </cell>
          <cell r="O1944">
            <v>0</v>
          </cell>
          <cell r="P1944" t="str">
            <v>LITE</v>
          </cell>
        </row>
        <row r="1945">
          <cell r="A1945">
            <v>9364</v>
          </cell>
          <cell r="B1945">
            <v>9364</v>
          </cell>
          <cell r="C1945" t="str">
            <v>CERO MATRICULA</v>
          </cell>
          <cell r="D1945" t="str">
            <v>ACTIVO</v>
          </cell>
          <cell r="E1945" t="str">
            <v>CCO340</v>
          </cell>
          <cell r="F1945" t="str">
            <v>Camargo Llamoca José Luis</v>
          </cell>
          <cell r="G1945" t="str">
            <v>CAMARGO LLAMOCA JOSE LUIS</v>
          </cell>
          <cell r="H1945" t="str">
            <v>41005407</v>
          </cell>
          <cell r="I1945" t="str">
            <v>BBVA</v>
          </cell>
          <cell r="J1945" t="str">
            <v>001101970200176165</v>
          </cell>
          <cell r="K1945" t="str">
            <v>DNI</v>
          </cell>
          <cell r="L1945">
            <v>10410054073</v>
          </cell>
          <cell r="M1945" t="str">
            <v>URBANO</v>
          </cell>
          <cell r="N1945">
            <v>45481</v>
          </cell>
          <cell r="O1945">
            <v>0</v>
          </cell>
          <cell r="P1945" t="str">
            <v>COMFORT XL</v>
          </cell>
        </row>
        <row r="1946">
          <cell r="A1946">
            <v>9365</v>
          </cell>
          <cell r="B1946">
            <v>9365</v>
          </cell>
          <cell r="C1946" t="str">
            <v>CERO MATRICULA</v>
          </cell>
          <cell r="D1946" t="str">
            <v>ACTIVO</v>
          </cell>
          <cell r="E1946" t="str">
            <v>AZG473</v>
          </cell>
          <cell r="F1946" t="str">
            <v>Barrantes Machaca Roberto</v>
          </cell>
          <cell r="G1946" t="str">
            <v>BARRANTES MACHACA ROBERTO</v>
          </cell>
          <cell r="H1946" t="str">
            <v>07764068</v>
          </cell>
          <cell r="I1946" t="str">
            <v>BCP</v>
          </cell>
          <cell r="J1946" t="str">
            <v>19319213738015</v>
          </cell>
          <cell r="K1946" t="str">
            <v>DNI</v>
          </cell>
          <cell r="L1946">
            <v>10077640687</v>
          </cell>
          <cell r="M1946" t="str">
            <v>URBANO</v>
          </cell>
          <cell r="N1946">
            <v>45482</v>
          </cell>
          <cell r="O1946">
            <v>0</v>
          </cell>
          <cell r="P1946" t="str">
            <v>XL</v>
          </cell>
        </row>
        <row r="1947">
          <cell r="A1947">
            <v>9367</v>
          </cell>
          <cell r="B1947">
            <v>9367</v>
          </cell>
          <cell r="C1947" t="str">
            <v>CERO MATRICULA</v>
          </cell>
          <cell r="D1947" t="str">
            <v>ACTIVO</v>
          </cell>
          <cell r="E1947" t="str">
            <v>CLU590</v>
          </cell>
          <cell r="F1947" t="str">
            <v xml:space="preserve">Franco Flores Angel de Jesús </v>
          </cell>
          <cell r="G1947" t="str">
            <v>FRANCO FLORES ANGEL DE JESUS</v>
          </cell>
          <cell r="H1947" t="str">
            <v>46101211</v>
          </cell>
          <cell r="I1947" t="str">
            <v>BCP</v>
          </cell>
          <cell r="J1947" t="str">
            <v>19492981656062</v>
          </cell>
          <cell r="K1947" t="str">
            <v>DNI</v>
          </cell>
          <cell r="L1947">
            <v>10461012111</v>
          </cell>
          <cell r="M1947" t="str">
            <v>AEROLINEAS</v>
          </cell>
          <cell r="N1947">
            <v>45484</v>
          </cell>
          <cell r="O1947">
            <v>0</v>
          </cell>
          <cell r="P1947" t="str">
            <v>LITE</v>
          </cell>
        </row>
        <row r="1948">
          <cell r="A1948">
            <v>9368</v>
          </cell>
          <cell r="B1948">
            <v>9368</v>
          </cell>
          <cell r="C1948" t="str">
            <v>CERO MATRICULA</v>
          </cell>
          <cell r="D1948" t="str">
            <v>ACTIVO</v>
          </cell>
          <cell r="E1948" t="str">
            <v>BPP501</v>
          </cell>
          <cell r="F1948" t="str">
            <v>Altamirano Acuña Marco Antonio</v>
          </cell>
          <cell r="G1948" t="str">
            <v>ALTAMIRANO ACUÑA MARCO ANTONIO</v>
          </cell>
          <cell r="H1948" t="str">
            <v>10630768</v>
          </cell>
          <cell r="I1948" t="str">
            <v>BCP</v>
          </cell>
          <cell r="J1948" t="str">
            <v>19493186485060</v>
          </cell>
          <cell r="K1948" t="str">
            <v>DNI</v>
          </cell>
          <cell r="L1948">
            <v>10106307682</v>
          </cell>
          <cell r="M1948" t="str">
            <v>AEROLINEAS</v>
          </cell>
          <cell r="N1948">
            <v>45495</v>
          </cell>
          <cell r="O1948">
            <v>0</v>
          </cell>
          <cell r="P1948" t="str">
            <v>COMFORT XL</v>
          </cell>
        </row>
        <row r="1949">
          <cell r="A1949">
            <v>9369</v>
          </cell>
          <cell r="B1949">
            <v>9369</v>
          </cell>
          <cell r="C1949" t="str">
            <v>CERO MATRICULA</v>
          </cell>
          <cell r="D1949" t="str">
            <v>ACTIVO</v>
          </cell>
          <cell r="E1949" t="str">
            <v>BBB592</v>
          </cell>
          <cell r="F1949" t="str">
            <v>Zevallos Cuéllar Carlos Pedro</v>
          </cell>
          <cell r="G1949" t="str">
            <v>ZEVALLOS CUELLAR CARLOS PEDRO</v>
          </cell>
          <cell r="H1949" t="str">
            <v>09645252</v>
          </cell>
          <cell r="I1949" t="str">
            <v xml:space="preserve">INTERBANK </v>
          </cell>
          <cell r="J1949" t="str">
            <v>563380337219</v>
          </cell>
          <cell r="K1949" t="str">
            <v>DNI</v>
          </cell>
          <cell r="L1949">
            <v>10096452522</v>
          </cell>
          <cell r="M1949" t="str">
            <v>AEROLINEAS</v>
          </cell>
          <cell r="N1949">
            <v>45484</v>
          </cell>
          <cell r="O1949">
            <v>0</v>
          </cell>
          <cell r="P1949" t="str">
            <v>VAN</v>
          </cell>
        </row>
        <row r="1950">
          <cell r="A1950">
            <v>9370</v>
          </cell>
          <cell r="B1950">
            <v>9370</v>
          </cell>
          <cell r="C1950" t="str">
            <v>CERO MATRICULA</v>
          </cell>
          <cell r="D1950" t="str">
            <v>ACTIVO</v>
          </cell>
          <cell r="E1950" t="str">
            <v>CLY553</v>
          </cell>
          <cell r="F1950" t="str">
            <v xml:space="preserve">Echeverria Marcano Merwil </v>
          </cell>
          <cell r="G1950" t="str">
            <v>ECHEVERRIA MARCANO MERWIL</v>
          </cell>
          <cell r="H1950" t="str">
            <v>005710247</v>
          </cell>
          <cell r="I1950" t="str">
            <v>BCP</v>
          </cell>
          <cell r="J1950" t="str">
            <v>19473207338004</v>
          </cell>
          <cell r="K1950" t="str">
            <v>CE</v>
          </cell>
          <cell r="L1950">
            <v>15612742224</v>
          </cell>
          <cell r="M1950" t="str">
            <v>AEROLINEAS</v>
          </cell>
          <cell r="N1950">
            <v>45484</v>
          </cell>
          <cell r="O1950">
            <v>0</v>
          </cell>
          <cell r="P1950" t="str">
            <v>LITE</v>
          </cell>
        </row>
        <row r="1951">
          <cell r="A1951">
            <v>9372</v>
          </cell>
          <cell r="B1951">
            <v>9372</v>
          </cell>
          <cell r="C1951" t="str">
            <v>CERO MATRICULA</v>
          </cell>
          <cell r="D1951" t="str">
            <v>ACTIVO</v>
          </cell>
          <cell r="E1951" t="str">
            <v>TH6025</v>
          </cell>
          <cell r="F1951" t="str">
            <v>Sepulveda Márquez Joel antonio</v>
          </cell>
          <cell r="G1951" t="str">
            <v>SEPULVEDA MARQUEZ JOEL ANTONIO</v>
          </cell>
          <cell r="H1951" t="str">
            <v>007082013</v>
          </cell>
          <cell r="I1951" t="str">
            <v>BCP</v>
          </cell>
          <cell r="J1951" t="str">
            <v>19197467987009</v>
          </cell>
          <cell r="K1951" t="str">
            <v>CE</v>
          </cell>
          <cell r="L1951">
            <v>15612867558</v>
          </cell>
          <cell r="M1951" t="str">
            <v>URBANO</v>
          </cell>
          <cell r="N1951">
            <v>45538.541666666664</v>
          </cell>
          <cell r="O1951">
            <v>0</v>
          </cell>
          <cell r="P1951" t="str">
            <v>COMFORT</v>
          </cell>
        </row>
        <row r="1952">
          <cell r="A1952">
            <v>9373</v>
          </cell>
          <cell r="B1952">
            <v>9373</v>
          </cell>
          <cell r="C1952" t="str">
            <v>CERO MATRICULA</v>
          </cell>
          <cell r="D1952" t="str">
            <v>ACTIVO</v>
          </cell>
          <cell r="E1952" t="str">
            <v>ATV073</v>
          </cell>
          <cell r="F1952" t="str">
            <v>Quispe Navarro Walter Behny</v>
          </cell>
          <cell r="G1952" t="str">
            <v>QUISPE NAVARRO WALTER BEHNY</v>
          </cell>
          <cell r="H1952" t="str">
            <v>42760527</v>
          </cell>
          <cell r="I1952" t="str">
            <v>BCP</v>
          </cell>
          <cell r="J1952" t="str">
            <v>19120657489048</v>
          </cell>
          <cell r="K1952" t="str">
            <v>DNI</v>
          </cell>
          <cell r="L1952">
            <v>10427605278</v>
          </cell>
          <cell r="M1952" t="str">
            <v>URBANO</v>
          </cell>
          <cell r="N1952">
            <v>45488</v>
          </cell>
          <cell r="O1952">
            <v>0</v>
          </cell>
          <cell r="P1952" t="str">
            <v>LITE</v>
          </cell>
        </row>
        <row r="1953">
          <cell r="A1953">
            <v>9376</v>
          </cell>
          <cell r="B1953">
            <v>9376</v>
          </cell>
          <cell r="C1953" t="str">
            <v>CERO MATRICULA</v>
          </cell>
          <cell r="D1953" t="str">
            <v>ACTIVO</v>
          </cell>
          <cell r="E1953" t="str">
            <v>CLG655</v>
          </cell>
          <cell r="F1953" t="str">
            <v>Rojas Martinez Gerardo Antonio</v>
          </cell>
          <cell r="G1953" t="str">
            <v>Rafael Antonio rojas Zavala</v>
          </cell>
          <cell r="H1953" t="str">
            <v>75383084</v>
          </cell>
          <cell r="I1953" t="str">
            <v>INTERBANK</v>
          </cell>
          <cell r="J1953" t="str">
            <v>1003145743581</v>
          </cell>
          <cell r="K1953" t="str">
            <v>DNI</v>
          </cell>
          <cell r="L1953">
            <v>10753830842</v>
          </cell>
          <cell r="M1953" t="str">
            <v>AEROLINEAS</v>
          </cell>
          <cell r="N1953">
            <v>45488</v>
          </cell>
          <cell r="O1953">
            <v>0</v>
          </cell>
          <cell r="P1953" t="str">
            <v>COMFORT</v>
          </cell>
        </row>
        <row r="1954">
          <cell r="A1954">
            <v>9377</v>
          </cell>
          <cell r="B1954">
            <v>9377</v>
          </cell>
          <cell r="C1954" t="str">
            <v>CERO MATRICULA</v>
          </cell>
          <cell r="D1954" t="str">
            <v>ACTIVO</v>
          </cell>
          <cell r="E1954" t="str">
            <v>AMB331</v>
          </cell>
          <cell r="F1954" t="str">
            <v>Bohorques Li Daniel Alberto</v>
          </cell>
          <cell r="G1954" t="str">
            <v>BOHORQUES LI DANIEL ALBERTO</v>
          </cell>
          <cell r="H1954" t="str">
            <v>09310641</v>
          </cell>
          <cell r="I1954" t="str">
            <v>BBVA</v>
          </cell>
          <cell r="J1954" t="str">
            <v>001101620200224347</v>
          </cell>
          <cell r="K1954" t="str">
            <v>DNI</v>
          </cell>
          <cell r="L1954">
            <v>10093106411</v>
          </cell>
          <cell r="M1954" t="str">
            <v>AEROLINEAS</v>
          </cell>
          <cell r="N1954">
            <v>45491</v>
          </cell>
          <cell r="O1954">
            <v>0</v>
          </cell>
          <cell r="P1954" t="str">
            <v>COMFORT XL</v>
          </cell>
        </row>
        <row r="1955">
          <cell r="A1955">
            <v>9379</v>
          </cell>
          <cell r="B1955">
            <v>9379</v>
          </cell>
          <cell r="C1955" t="str">
            <v>CERO MATRICULA</v>
          </cell>
          <cell r="D1955" t="str">
            <v>ACTIVO</v>
          </cell>
          <cell r="E1955" t="str">
            <v>CAW181</v>
          </cell>
          <cell r="F1955" t="str">
            <v xml:space="preserve">PONCE ACEVEDO ENRIQUE </v>
          </cell>
          <cell r="G1955" t="str">
            <v>PONCE ACEVEDO ENRIQUE</v>
          </cell>
          <cell r="H1955" t="str">
            <v>15865067</v>
          </cell>
          <cell r="I1955" t="str">
            <v>BBVA</v>
          </cell>
          <cell r="J1955" t="str">
            <v>001101090200506785</v>
          </cell>
          <cell r="K1955" t="str">
            <v>DNI</v>
          </cell>
          <cell r="L1955">
            <v>10158650679</v>
          </cell>
          <cell r="M1955" t="str">
            <v>AEROLINEAS</v>
          </cell>
          <cell r="N1955">
            <v>45488</v>
          </cell>
          <cell r="O1955">
            <v>0</v>
          </cell>
          <cell r="P1955" t="str">
            <v>COMFORT XL</v>
          </cell>
        </row>
        <row r="1956">
          <cell r="A1956">
            <v>9380</v>
          </cell>
          <cell r="B1956">
            <v>9380</v>
          </cell>
          <cell r="C1956" t="str">
            <v>CERO MATRICULA</v>
          </cell>
          <cell r="D1956" t="str">
            <v>ACTIVO</v>
          </cell>
          <cell r="E1956" t="str">
            <v>AHT012</v>
          </cell>
          <cell r="F1956" t="str">
            <v>Marañon Maresco Carmen Rosa</v>
          </cell>
          <cell r="G1956" t="str">
            <v>MARAÑON MARESCO CARMEN ROSA</v>
          </cell>
          <cell r="H1956" t="str">
            <v>44232770</v>
          </cell>
          <cell r="I1956" t="str">
            <v>BCP</v>
          </cell>
          <cell r="J1956" t="str">
            <v>19234863246098</v>
          </cell>
          <cell r="K1956" t="str">
            <v>DNI</v>
          </cell>
          <cell r="L1956">
            <v>10442327705</v>
          </cell>
          <cell r="M1956" t="str">
            <v>URBANO</v>
          </cell>
          <cell r="N1956">
            <v>45488</v>
          </cell>
          <cell r="O1956">
            <v>0</v>
          </cell>
          <cell r="P1956" t="str">
            <v>COMFORT</v>
          </cell>
        </row>
        <row r="1957">
          <cell r="A1957">
            <v>9381</v>
          </cell>
          <cell r="B1957">
            <v>9381</v>
          </cell>
          <cell r="C1957" t="str">
            <v>CERO MATRICULA</v>
          </cell>
          <cell r="D1957" t="str">
            <v>ACTIVO</v>
          </cell>
          <cell r="E1957" t="str">
            <v>CCZ590</v>
          </cell>
          <cell r="F1957" t="str">
            <v>Ocampo Rosario Jhonny Miguel</v>
          </cell>
          <cell r="G1957" t="str">
            <v>OCAMPO ROSARIO JHONNY MIGUEL</v>
          </cell>
          <cell r="H1957" t="str">
            <v>42233208</v>
          </cell>
          <cell r="I1957" t="str">
            <v>BCP</v>
          </cell>
          <cell r="J1957" t="str">
            <v>19100858221088</v>
          </cell>
          <cell r="K1957" t="str">
            <v>DNI</v>
          </cell>
          <cell r="L1957">
            <v>10422332087</v>
          </cell>
          <cell r="M1957" t="str">
            <v>URBANO PARTNER</v>
          </cell>
          <cell r="N1957">
            <v>45498.416666666664</v>
          </cell>
          <cell r="O1957">
            <v>0</v>
          </cell>
          <cell r="P1957" t="str">
            <v>LITE</v>
          </cell>
        </row>
        <row r="1958">
          <cell r="A1958">
            <v>9382</v>
          </cell>
          <cell r="B1958">
            <v>9382</v>
          </cell>
          <cell r="C1958" t="str">
            <v>CERO MATRICULA</v>
          </cell>
          <cell r="D1958" t="str">
            <v>ACTIVO</v>
          </cell>
          <cell r="E1958" t="str">
            <v>CJB637</v>
          </cell>
          <cell r="F1958" t="str">
            <v>HUARANCCA ASTETE LINERD JESÚS</v>
          </cell>
          <cell r="G1958" t="str">
            <v>HUARANCCA ASTETE LINERD JESÚS</v>
          </cell>
          <cell r="H1958" t="str">
            <v>41367782</v>
          </cell>
          <cell r="I1958" t="str">
            <v>INTERBANK</v>
          </cell>
          <cell r="J1958" t="str">
            <v>8983366312007</v>
          </cell>
          <cell r="K1958" t="str">
            <v>DNI</v>
          </cell>
          <cell r="L1958">
            <v>10413677829</v>
          </cell>
          <cell r="M1958" t="str">
            <v>AEROPUERTO</v>
          </cell>
          <cell r="N1958">
            <v>45495</v>
          </cell>
          <cell r="O1958">
            <v>240</v>
          </cell>
          <cell r="P1958" t="str">
            <v>COMFORT</v>
          </cell>
        </row>
        <row r="1959">
          <cell r="A1959">
            <v>9397</v>
          </cell>
          <cell r="B1959">
            <v>9397</v>
          </cell>
          <cell r="C1959" t="str">
            <v>CERO MATRICULA</v>
          </cell>
          <cell r="D1959" t="str">
            <v>ACTIVO</v>
          </cell>
          <cell r="E1959" t="str">
            <v>AEC181</v>
          </cell>
          <cell r="F1959" t="str">
            <v>TORRES PAREDES PERCY MARIO</v>
          </cell>
          <cell r="G1959" t="str">
            <v>TORRES PAREDES PERCY MARIO</v>
          </cell>
          <cell r="H1959" t="str">
            <v>25780066</v>
          </cell>
          <cell r="I1959" t="str">
            <v>BCP</v>
          </cell>
          <cell r="J1959" t="str">
            <v>19135218876020</v>
          </cell>
          <cell r="K1959" t="str">
            <v>DNI</v>
          </cell>
          <cell r="L1959">
            <v>10257800666</v>
          </cell>
          <cell r="M1959" t="str">
            <v>AEROPUERTO</v>
          </cell>
          <cell r="N1959">
            <v>45523</v>
          </cell>
          <cell r="O1959">
            <v>235</v>
          </cell>
          <cell r="P1959" t="str">
            <v>COMFORT XL</v>
          </cell>
        </row>
        <row r="1960">
          <cell r="A1960">
            <v>9419</v>
          </cell>
          <cell r="B1960">
            <v>9419</v>
          </cell>
          <cell r="C1960" t="str">
            <v>CERO MATRICULA</v>
          </cell>
          <cell r="D1960" t="str">
            <v>ACTIVO</v>
          </cell>
          <cell r="E1960" t="str">
            <v>CKC684</v>
          </cell>
          <cell r="F1960" t="str">
            <v>ALVA DIAZ OSCAR ANTONIO</v>
          </cell>
          <cell r="G1960" t="str">
            <v>ALVA DIAZ OSCAR ANTONIO</v>
          </cell>
          <cell r="H1960" t="str">
            <v>10442719</v>
          </cell>
          <cell r="I1960" t="str">
            <v>BCP</v>
          </cell>
          <cell r="J1960" t="str">
            <v>19131695716073</v>
          </cell>
          <cell r="K1960" t="str">
            <v>DNI</v>
          </cell>
          <cell r="L1960">
            <v>10104427192</v>
          </cell>
          <cell r="M1960" t="str">
            <v>AEROLINEAS</v>
          </cell>
          <cell r="N1960">
            <v>45491</v>
          </cell>
          <cell r="O1960">
            <v>0</v>
          </cell>
          <cell r="P1960" t="str">
            <v>COMFORT XL</v>
          </cell>
        </row>
        <row r="1961">
          <cell r="A1961">
            <v>9420</v>
          </cell>
          <cell r="B1961">
            <v>9420</v>
          </cell>
          <cell r="C1961" t="str">
            <v>CERO MATRICULA</v>
          </cell>
          <cell r="D1961" t="str">
            <v>ACTIVO</v>
          </cell>
          <cell r="E1961" t="str">
            <v>Z6Z406</v>
          </cell>
          <cell r="F1961" t="str">
            <v>Echegaray Guillén Moisés Felipe</v>
          </cell>
          <cell r="G1961" t="str">
            <v>ECHEGARAY GUILLEN MOISES FELIPE</v>
          </cell>
          <cell r="H1961" t="str">
            <v>45518537</v>
          </cell>
          <cell r="I1961" t="str">
            <v>INTERBANK</v>
          </cell>
          <cell r="J1961" t="str">
            <v>8983307068968</v>
          </cell>
          <cell r="K1961" t="str">
            <v>DNI</v>
          </cell>
          <cell r="L1961">
            <v>10455185373</v>
          </cell>
          <cell r="M1961" t="str">
            <v>URBANO PARTNER</v>
          </cell>
          <cell r="N1961">
            <v>45495</v>
          </cell>
          <cell r="O1961">
            <v>0</v>
          </cell>
          <cell r="P1961" t="str">
            <v>COMFORT XL</v>
          </cell>
        </row>
        <row r="1962">
          <cell r="A1962">
            <v>9421</v>
          </cell>
          <cell r="B1962">
            <v>9421</v>
          </cell>
          <cell r="C1962" t="str">
            <v>CERO MATRICULA</v>
          </cell>
          <cell r="D1962" t="str">
            <v>ACTIVO</v>
          </cell>
          <cell r="E1962" t="str">
            <v>CLN178</v>
          </cell>
          <cell r="F1962" t="str">
            <v>Sepulveda Gutierrez José Miguel</v>
          </cell>
          <cell r="G1962" t="str">
            <v>SEPULVEDA GUTIERREZ JOSE MIGUEL</v>
          </cell>
          <cell r="H1962" t="str">
            <v>40676910</v>
          </cell>
          <cell r="I1962" t="str">
            <v>INTERBANK</v>
          </cell>
          <cell r="J1962" t="str">
            <v>2003090269157</v>
          </cell>
          <cell r="K1962" t="str">
            <v>DNI</v>
          </cell>
          <cell r="L1962">
            <v>10406769106</v>
          </cell>
          <cell r="M1962" t="str">
            <v>AEROLINEAS</v>
          </cell>
          <cell r="N1962">
            <v>45512</v>
          </cell>
          <cell r="O1962">
            <v>0</v>
          </cell>
          <cell r="P1962" t="str">
            <v>COMFORT XL</v>
          </cell>
        </row>
        <row r="1963">
          <cell r="A1963">
            <v>9422</v>
          </cell>
          <cell r="B1963">
            <v>9422</v>
          </cell>
          <cell r="C1963" t="str">
            <v>CERO MATRICULA</v>
          </cell>
          <cell r="D1963" t="str">
            <v>ACTIVO</v>
          </cell>
          <cell r="E1963" t="str">
            <v>VBR219</v>
          </cell>
          <cell r="F1963" t="str">
            <v>ROJAS Chávez Luis Miguel</v>
          </cell>
          <cell r="G1963" t="str">
            <v>ROJAS CHAVEZ LUIS MIGUEL</v>
          </cell>
          <cell r="H1963" t="str">
            <v>44669531</v>
          </cell>
          <cell r="I1963" t="str">
            <v>BBVA</v>
          </cell>
          <cell r="J1963" t="str">
            <v>001108140218675811</v>
          </cell>
          <cell r="K1963" t="str">
            <v>DNI</v>
          </cell>
          <cell r="L1963">
            <v>10446695318</v>
          </cell>
          <cell r="M1963" t="str">
            <v>AEROPUERTO</v>
          </cell>
          <cell r="N1963">
            <v>45492</v>
          </cell>
          <cell r="O1963">
            <v>265</v>
          </cell>
          <cell r="P1963" t="str">
            <v>LITE</v>
          </cell>
        </row>
        <row r="1964">
          <cell r="A1964">
            <v>9425</v>
          </cell>
          <cell r="B1964">
            <v>9425</v>
          </cell>
          <cell r="C1964" t="str">
            <v>CERO MATRICULA</v>
          </cell>
          <cell r="D1964" t="str">
            <v>ACTIVO</v>
          </cell>
          <cell r="E1964" t="str">
            <v>CMG487</v>
          </cell>
          <cell r="F1964" t="str">
            <v>Franco Malavé Isaac Aleksei</v>
          </cell>
          <cell r="G1964" t="str">
            <v>FRANCO MALAVE ISAAC ALEKSEI</v>
          </cell>
          <cell r="H1964">
            <v>2432967</v>
          </cell>
          <cell r="I1964" t="str">
            <v>BCP</v>
          </cell>
          <cell r="J1964" t="str">
            <v>19195416969074</v>
          </cell>
          <cell r="K1964" t="str">
            <v>CE</v>
          </cell>
          <cell r="L1964">
            <v>15603379842</v>
          </cell>
          <cell r="M1964" t="str">
            <v>URBANO</v>
          </cell>
          <cell r="N1964">
            <v>45519</v>
          </cell>
          <cell r="O1964">
            <v>0</v>
          </cell>
          <cell r="P1964" t="str">
            <v>COMFORT</v>
          </cell>
        </row>
        <row r="1965">
          <cell r="A1965">
            <v>9426</v>
          </cell>
          <cell r="B1965">
            <v>9426</v>
          </cell>
          <cell r="C1965" t="str">
            <v>CERO MATRICULA</v>
          </cell>
          <cell r="D1965" t="str">
            <v>ACTIVO</v>
          </cell>
          <cell r="E1965" t="str">
            <v>P3V449</v>
          </cell>
          <cell r="F1965" t="str">
            <v>Pereira Mendoza Miguel</v>
          </cell>
          <cell r="G1965" t="str">
            <v>PEREIRA MENDOZA MIGUEL ANGEL</v>
          </cell>
          <cell r="H1965" t="str">
            <v>004713395</v>
          </cell>
          <cell r="I1965" t="str">
            <v>BCP</v>
          </cell>
          <cell r="J1965" t="str">
            <v>19103338536057</v>
          </cell>
          <cell r="K1965" t="str">
            <v>CE</v>
          </cell>
          <cell r="L1965">
            <v>15605145121</v>
          </cell>
          <cell r="M1965" t="str">
            <v>URBANO</v>
          </cell>
          <cell r="N1965">
            <v>45495</v>
          </cell>
          <cell r="O1965">
            <v>0</v>
          </cell>
          <cell r="P1965" t="str">
            <v>LITE</v>
          </cell>
        </row>
        <row r="1966">
          <cell r="A1966">
            <v>9427</v>
          </cell>
          <cell r="B1966">
            <v>9427</v>
          </cell>
          <cell r="C1966" t="str">
            <v>CERO MATRICULA</v>
          </cell>
          <cell r="D1966" t="str">
            <v>ACTIVO</v>
          </cell>
          <cell r="E1966" t="str">
            <v>BKS380</v>
          </cell>
          <cell r="F1966" t="str">
            <v>Saravia Vizcarra Jean Paul</v>
          </cell>
          <cell r="G1966" t="str">
            <v>SARAVIA VIZCARRA JEAN PAUL</v>
          </cell>
          <cell r="H1966" t="str">
            <v>70582195</v>
          </cell>
          <cell r="I1966" t="str">
            <v>BCP</v>
          </cell>
          <cell r="J1966" t="str">
            <v>19104079764072</v>
          </cell>
          <cell r="K1966" t="str">
            <v>DNI</v>
          </cell>
          <cell r="L1966">
            <v>10705821955</v>
          </cell>
          <cell r="M1966" t="str">
            <v>URBANO</v>
          </cell>
          <cell r="N1966">
            <v>45495</v>
          </cell>
          <cell r="O1966">
            <v>0</v>
          </cell>
          <cell r="P1966" t="str">
            <v>LITE</v>
          </cell>
        </row>
        <row r="1967">
          <cell r="A1967">
            <v>9429</v>
          </cell>
          <cell r="B1967">
            <v>9429</v>
          </cell>
          <cell r="C1967" t="str">
            <v>CERO MATRICULA</v>
          </cell>
          <cell r="D1967" t="str">
            <v>ACTIVO</v>
          </cell>
          <cell r="E1967" t="str">
            <v>BXF553</v>
          </cell>
          <cell r="F1967" t="str">
            <v>Fajardo Urbina Pedro Enrique</v>
          </cell>
          <cell r="G1967"/>
          <cell r="H1967" t="str">
            <v>10622217</v>
          </cell>
          <cell r="I1967"/>
          <cell r="J1967"/>
          <cell r="K1967" t="str">
            <v>DNI</v>
          </cell>
          <cell r="L1967" t="str">
            <v>PENDIENTE</v>
          </cell>
          <cell r="M1967" t="str">
            <v>URBANO</v>
          </cell>
          <cell r="N1967">
            <v>45495</v>
          </cell>
          <cell r="O1967">
            <v>0</v>
          </cell>
          <cell r="P1967" t="str">
            <v>LITE</v>
          </cell>
        </row>
        <row r="1968">
          <cell r="A1968">
            <v>9431</v>
          </cell>
          <cell r="B1968">
            <v>9431</v>
          </cell>
          <cell r="C1968" t="str">
            <v>CERO MATRICULA</v>
          </cell>
          <cell r="D1968" t="str">
            <v>ACTIVO</v>
          </cell>
          <cell r="E1968" t="str">
            <v>C5P202</v>
          </cell>
          <cell r="F1968" t="str">
            <v>Vizarreta Cervantes Paola Ivonne</v>
          </cell>
          <cell r="G1968" t="str">
            <v>VIZARRETA CERVANTES PAOLA IVONNE</v>
          </cell>
          <cell r="H1968" t="str">
            <v>40958019</v>
          </cell>
          <cell r="I1968" t="str">
            <v>INTERBANK</v>
          </cell>
          <cell r="J1968" t="str">
            <v>8983429805122</v>
          </cell>
          <cell r="K1968" t="str">
            <v>DNI</v>
          </cell>
          <cell r="L1968">
            <v>10409580195</v>
          </cell>
          <cell r="M1968" t="str">
            <v>URBANO</v>
          </cell>
          <cell r="N1968">
            <v>45504</v>
          </cell>
          <cell r="O1968">
            <v>0</v>
          </cell>
          <cell r="P1968" t="str">
            <v>COMFORT XL</v>
          </cell>
        </row>
        <row r="1969">
          <cell r="A1969">
            <v>9433</v>
          </cell>
          <cell r="B1969">
            <v>9433</v>
          </cell>
          <cell r="C1969" t="str">
            <v>CERO MATRICULA</v>
          </cell>
          <cell r="D1969" t="str">
            <v>ACTIVO</v>
          </cell>
          <cell r="E1969" t="str">
            <v>BYO418</v>
          </cell>
          <cell r="F1969" t="str">
            <v>Perez Olmos Daniel Antonio</v>
          </cell>
          <cell r="G1969" t="str">
            <v>PEREZ OLMOS DANIEL ANTONIO</v>
          </cell>
          <cell r="H1969" t="str">
            <v>004027686</v>
          </cell>
          <cell r="I1969" t="str">
            <v>BCP</v>
          </cell>
          <cell r="J1969" t="str">
            <v>19194967581046</v>
          </cell>
          <cell r="K1969" t="str">
            <v>CE</v>
          </cell>
          <cell r="L1969">
            <v>15606584994</v>
          </cell>
          <cell r="M1969" t="str">
            <v>URBANO</v>
          </cell>
          <cell r="N1969">
            <v>45519</v>
          </cell>
          <cell r="O1969">
            <v>0</v>
          </cell>
          <cell r="P1969" t="str">
            <v>LITE</v>
          </cell>
        </row>
        <row r="1970">
          <cell r="A1970">
            <v>9434</v>
          </cell>
          <cell r="B1970">
            <v>9434</v>
          </cell>
          <cell r="C1970" t="str">
            <v>CERO MATRICULA</v>
          </cell>
          <cell r="D1970" t="str">
            <v>ACTIVO</v>
          </cell>
          <cell r="E1970" t="str">
            <v>CDJ280</v>
          </cell>
          <cell r="F1970" t="str">
            <v>Tejeda Sandoval Juan Carlos</v>
          </cell>
          <cell r="G1970" t="str">
            <v>JUAN CARLOS TEJEDA SANDOVAL</v>
          </cell>
          <cell r="H1970" t="str">
            <v>09455407</v>
          </cell>
          <cell r="I1970" t="str">
            <v>INTERBANK</v>
          </cell>
          <cell r="J1970" t="str">
            <v>282 3300101753</v>
          </cell>
          <cell r="K1970" t="str">
            <v>DNI</v>
          </cell>
          <cell r="L1970">
            <v>10094554077</v>
          </cell>
          <cell r="M1970" t="str">
            <v>AEROPUERTO VAN</v>
          </cell>
          <cell r="N1970">
            <v>45498.416666666664</v>
          </cell>
          <cell r="O1970">
            <v>240</v>
          </cell>
          <cell r="P1970" t="str">
            <v>VAN</v>
          </cell>
        </row>
        <row r="1971">
          <cell r="A1971">
            <v>9436</v>
          </cell>
          <cell r="B1971">
            <v>9436</v>
          </cell>
          <cell r="C1971" t="str">
            <v>CERO MATRICULA</v>
          </cell>
          <cell r="D1971" t="str">
            <v>ACTIVO</v>
          </cell>
          <cell r="E1971" t="str">
            <v>CLL428</v>
          </cell>
          <cell r="F1971" t="str">
            <v>Zavala Chavez Walter Alberto</v>
          </cell>
          <cell r="G1971" t="str">
            <v>Zavala Chavez Walter Alberto</v>
          </cell>
          <cell r="H1971" t="str">
            <v>09457985</v>
          </cell>
          <cell r="I1971" t="str">
            <v>BCP</v>
          </cell>
          <cell r="J1971" t="str">
            <v>19340390086065</v>
          </cell>
          <cell r="K1971" t="str">
            <v>DNI</v>
          </cell>
          <cell r="L1971">
            <v>10094579851</v>
          </cell>
          <cell r="M1971" t="str">
            <v>AEROPUERTO</v>
          </cell>
          <cell r="N1971">
            <v>45498.416666666664</v>
          </cell>
          <cell r="O1971">
            <v>235</v>
          </cell>
          <cell r="P1971" t="str">
            <v>COMFORT XL</v>
          </cell>
        </row>
        <row r="1972">
          <cell r="A1972">
            <v>9438</v>
          </cell>
          <cell r="B1972">
            <v>9438</v>
          </cell>
          <cell r="C1972" t="str">
            <v>CERO MATRICULA</v>
          </cell>
          <cell r="D1972" t="str">
            <v>ACTIVO</v>
          </cell>
          <cell r="E1972" t="str">
            <v>CLU297</v>
          </cell>
          <cell r="F1972" t="str">
            <v>CLAROS CASTRO JUAN CARLOS</v>
          </cell>
          <cell r="G1972" t="str">
            <v>CLAROS CASTRO JUAN CARLOS</v>
          </cell>
          <cell r="H1972" t="str">
            <v>40994708</v>
          </cell>
          <cell r="I1972" t="str">
            <v>BCP</v>
          </cell>
          <cell r="J1972" t="str">
            <v>19124163040010</v>
          </cell>
          <cell r="K1972" t="str">
            <v>DNI</v>
          </cell>
          <cell r="L1972">
            <v>10409947081</v>
          </cell>
          <cell r="M1972" t="str">
            <v>AEROLINEAS</v>
          </cell>
          <cell r="N1972">
            <v>45495</v>
          </cell>
          <cell r="O1972">
            <v>0</v>
          </cell>
          <cell r="P1972" t="str">
            <v>XL</v>
          </cell>
        </row>
        <row r="1973">
          <cell r="A1973">
            <v>9439</v>
          </cell>
          <cell r="B1973">
            <v>9439</v>
          </cell>
          <cell r="C1973" t="str">
            <v>CERO MATRICULA</v>
          </cell>
          <cell r="D1973" t="str">
            <v>ACTIVO</v>
          </cell>
          <cell r="E1973" t="str">
            <v>AXC501</v>
          </cell>
          <cell r="F1973" t="str">
            <v>Gutiérrez Navarrete Victor Joel</v>
          </cell>
          <cell r="G1973" t="str">
            <v>GUTIERREZ NAVARRETE VICTOR JOEL</v>
          </cell>
          <cell r="H1973" t="str">
            <v>47499048</v>
          </cell>
          <cell r="I1973" t="str">
            <v>INTERBANK</v>
          </cell>
          <cell r="J1973" t="str">
            <v>1363256788343</v>
          </cell>
          <cell r="K1973" t="str">
            <v>DNI</v>
          </cell>
          <cell r="L1973">
            <v>10474990481</v>
          </cell>
          <cell r="M1973" t="str">
            <v>AEROLINEAS</v>
          </cell>
          <cell r="N1973">
            <v>45495</v>
          </cell>
          <cell r="O1973">
            <v>0</v>
          </cell>
          <cell r="P1973" t="str">
            <v>COMFORT</v>
          </cell>
        </row>
        <row r="1974">
          <cell r="A1974">
            <v>9440</v>
          </cell>
          <cell r="B1974">
            <v>9440</v>
          </cell>
          <cell r="C1974" t="str">
            <v>CERO MATRICULA</v>
          </cell>
          <cell r="D1974" t="str">
            <v>ACTIVO</v>
          </cell>
          <cell r="E1974" t="str">
            <v>CML369</v>
          </cell>
          <cell r="F1974" t="str">
            <v>Farromeque Alegre Paul Armando</v>
          </cell>
          <cell r="G1974" t="str">
            <v xml:space="preserve"> CAYLLAHUA CASTILLO KATTY</v>
          </cell>
          <cell r="H1974" t="str">
            <v>10802943</v>
          </cell>
          <cell r="I1974" t="str">
            <v>BCP</v>
          </cell>
          <cell r="J1974" t="str">
            <v>19494992975097</v>
          </cell>
          <cell r="K1974" t="str">
            <v>DNI</v>
          </cell>
          <cell r="L1974">
            <v>10108029434</v>
          </cell>
          <cell r="M1974" t="str">
            <v>URBANO</v>
          </cell>
          <cell r="N1974">
            <v>45498</v>
          </cell>
          <cell r="O1974">
            <v>0</v>
          </cell>
          <cell r="P1974" t="str">
            <v>COMFORT XL</v>
          </cell>
        </row>
        <row r="1975">
          <cell r="A1975">
            <v>9441</v>
          </cell>
          <cell r="B1975">
            <v>9441</v>
          </cell>
          <cell r="C1975" t="str">
            <v>CERO MATRICULA</v>
          </cell>
          <cell r="D1975" t="str">
            <v>ACTIVO</v>
          </cell>
          <cell r="E1975" t="str">
            <v>CML369</v>
          </cell>
          <cell r="F1975" t="str">
            <v>Farromeque Cayllahua KATTIA MARIA LOURDES</v>
          </cell>
          <cell r="G1975" t="str">
            <v xml:space="preserve"> CAYLLAHUA CASTILLO KATTY</v>
          </cell>
          <cell r="H1975" t="str">
            <v>10802943</v>
          </cell>
          <cell r="I1975" t="str">
            <v>BCP</v>
          </cell>
          <cell r="J1975" t="str">
            <v>19494992975097</v>
          </cell>
          <cell r="K1975" t="str">
            <v>DNI</v>
          </cell>
          <cell r="L1975">
            <v>10108029434</v>
          </cell>
          <cell r="M1975" t="str">
            <v>URBANO</v>
          </cell>
          <cell r="N1975">
            <v>45498</v>
          </cell>
          <cell r="O1975">
            <v>0</v>
          </cell>
          <cell r="P1975" t="str">
            <v>COMFORT XL</v>
          </cell>
        </row>
        <row r="1976">
          <cell r="A1976">
            <v>9442</v>
          </cell>
          <cell r="B1976">
            <v>9442</v>
          </cell>
          <cell r="C1976" t="str">
            <v>CERO MATRICULA</v>
          </cell>
          <cell r="D1976" t="str">
            <v>ACTIVO</v>
          </cell>
          <cell r="E1976" t="str">
            <v>CEJ-099</v>
          </cell>
          <cell r="F1976" t="str">
            <v>PETIT NOGUERA VICTOR RAUL</v>
          </cell>
          <cell r="G1976" t="str">
            <v>PETIT NOGUERA VICTOR RAUL</v>
          </cell>
          <cell r="H1976" t="str">
            <v>007315098</v>
          </cell>
          <cell r="I1976" t="str">
            <v>INTERBANK</v>
          </cell>
          <cell r="J1976" t="str">
            <v>2973360017413</v>
          </cell>
          <cell r="K1976" t="str">
            <v>CE</v>
          </cell>
          <cell r="L1976">
            <v>15611892257</v>
          </cell>
          <cell r="M1976" t="str">
            <v>URBANO</v>
          </cell>
          <cell r="N1976">
            <v>45544</v>
          </cell>
          <cell r="O1976">
            <v>0</v>
          </cell>
          <cell r="P1976" t="str">
            <v>LITE</v>
          </cell>
        </row>
        <row r="1977">
          <cell r="A1977">
            <v>9448</v>
          </cell>
          <cell r="B1977">
            <v>9448</v>
          </cell>
          <cell r="C1977" t="str">
            <v>CERO MATRICULA</v>
          </cell>
          <cell r="D1977" t="str">
            <v>ACTIVO</v>
          </cell>
          <cell r="E1977" t="str">
            <v>CMP656</v>
          </cell>
          <cell r="F1977" t="str">
            <v>Martinez Letaller Fernando Jose</v>
          </cell>
          <cell r="G1977" t="str">
            <v>MARTINEZ LETALLER FERNANDO JOSE</v>
          </cell>
          <cell r="H1977" t="str">
            <v>003488794</v>
          </cell>
          <cell r="I1977" t="str">
            <v>BCP</v>
          </cell>
          <cell r="J1977" t="str">
            <v>19494606479097</v>
          </cell>
          <cell r="K1977" t="str">
            <v>CE</v>
          </cell>
          <cell r="L1977">
            <v>15606522280</v>
          </cell>
          <cell r="M1977" t="str">
            <v>URBANO PARTNER</v>
          </cell>
          <cell r="N1977">
            <v>45498.416666666664</v>
          </cell>
          <cell r="O1977">
            <v>0</v>
          </cell>
          <cell r="P1977" t="str">
            <v>LITE</v>
          </cell>
        </row>
        <row r="1978">
          <cell r="A1978">
            <v>9449</v>
          </cell>
          <cell r="B1978">
            <v>9449</v>
          </cell>
          <cell r="C1978" t="str">
            <v>CERO MATRICULA</v>
          </cell>
          <cell r="D1978" t="str">
            <v>ACTIVO</v>
          </cell>
          <cell r="E1978" t="str">
            <v>BUS331</v>
          </cell>
          <cell r="F1978" t="str">
            <v>Llatance Medina Paul David</v>
          </cell>
          <cell r="G1978" t="str">
            <v>LLATANCE MEDINA PAUL DAVID</v>
          </cell>
          <cell r="H1978" t="str">
            <v>48249149</v>
          </cell>
          <cell r="I1978" t="str">
            <v>INTERBANK</v>
          </cell>
          <cell r="J1978" t="str">
            <v>8983221631767</v>
          </cell>
          <cell r="K1978" t="str">
            <v>DNI</v>
          </cell>
          <cell r="L1978">
            <v>10482491494</v>
          </cell>
          <cell r="M1978" t="str">
            <v>URBANO PARTNER</v>
          </cell>
          <cell r="N1978">
            <v>45505</v>
          </cell>
          <cell r="O1978">
            <v>0</v>
          </cell>
          <cell r="P1978" t="str">
            <v>COMFORT XL</v>
          </cell>
        </row>
        <row r="1979">
          <cell r="A1979">
            <v>9450</v>
          </cell>
          <cell r="B1979">
            <v>9450</v>
          </cell>
          <cell r="C1979" t="str">
            <v>CERO MATRICULA</v>
          </cell>
          <cell r="D1979" t="str">
            <v>ACTIVO</v>
          </cell>
          <cell r="E1979" t="str">
            <v>CLE293</v>
          </cell>
          <cell r="F1979" t="str">
            <v xml:space="preserve">Zegarra Marin Wilson Demetrio </v>
          </cell>
          <cell r="G1979" t="str">
            <v>ZEGARRA MARÍN WILSON DEMETRIO</v>
          </cell>
          <cell r="H1979" t="str">
            <v>10104210</v>
          </cell>
          <cell r="I1979" t="str">
            <v>BCP</v>
          </cell>
          <cell r="J1979" t="str">
            <v>19194735836061</v>
          </cell>
          <cell r="K1979" t="str">
            <v>DNI</v>
          </cell>
          <cell r="L1979">
            <v>10101042109</v>
          </cell>
          <cell r="M1979" t="str">
            <v>URBANO</v>
          </cell>
          <cell r="N1979">
            <v>45505</v>
          </cell>
          <cell r="O1979">
            <v>0</v>
          </cell>
          <cell r="P1979" t="str">
            <v>COMFORT</v>
          </cell>
        </row>
        <row r="1980">
          <cell r="A1980">
            <v>9451</v>
          </cell>
          <cell r="B1980">
            <v>9451</v>
          </cell>
          <cell r="C1980" t="str">
            <v>CERO MATRICULA</v>
          </cell>
          <cell r="D1980" t="str">
            <v>ACTIVO</v>
          </cell>
          <cell r="E1980" t="str">
            <v>BPC210</v>
          </cell>
          <cell r="F1980" t="str">
            <v>Lugo Alvarez Ernesto Enrique</v>
          </cell>
          <cell r="G1980" t="str">
            <v>LUGO ALVAREZ ERNESTO ENRIQUE</v>
          </cell>
          <cell r="H1980" t="str">
            <v>007124503</v>
          </cell>
          <cell r="I1980" t="str">
            <v>BCP</v>
          </cell>
          <cell r="J1980" t="str">
            <v>19496759742010</v>
          </cell>
          <cell r="K1980" t="str">
            <v>CE</v>
          </cell>
          <cell r="L1980">
            <v>15611092731</v>
          </cell>
          <cell r="M1980" t="str">
            <v>AEROLINEAS</v>
          </cell>
          <cell r="N1980">
            <v>45505</v>
          </cell>
          <cell r="O1980">
            <v>0</v>
          </cell>
          <cell r="P1980" t="str">
            <v>LITE</v>
          </cell>
        </row>
        <row r="1981">
          <cell r="A1981">
            <v>9452</v>
          </cell>
          <cell r="B1981">
            <v>9452</v>
          </cell>
          <cell r="C1981" t="str">
            <v>CERO MATRICULA</v>
          </cell>
          <cell r="D1981" t="str">
            <v>ACTIVO</v>
          </cell>
          <cell r="E1981" t="str">
            <v>CFA012</v>
          </cell>
          <cell r="F1981" t="str">
            <v>Estela Galarreta Giancarlo Luis</v>
          </cell>
          <cell r="G1981" t="str">
            <v>ESTELA GALARRETA GIANCARLO LUIS</v>
          </cell>
          <cell r="H1981" t="str">
            <v>45372371</v>
          </cell>
          <cell r="I1981" t="str">
            <v>BCP</v>
          </cell>
          <cell r="J1981" t="str">
            <v>19119058833045</v>
          </cell>
          <cell r="K1981" t="str">
            <v>DNI</v>
          </cell>
          <cell r="L1981">
            <v>10453723718</v>
          </cell>
          <cell r="M1981" t="str">
            <v>URBANO</v>
          </cell>
          <cell r="N1981">
            <v>45498</v>
          </cell>
          <cell r="O1981">
            <v>0</v>
          </cell>
          <cell r="P1981" t="str">
            <v>LITE</v>
          </cell>
        </row>
        <row r="1982">
          <cell r="A1982">
            <v>9453</v>
          </cell>
          <cell r="B1982">
            <v>9453</v>
          </cell>
          <cell r="C1982" t="str">
            <v>CERO MATRICULA</v>
          </cell>
          <cell r="D1982" t="str">
            <v>ACTIVO</v>
          </cell>
          <cell r="E1982" t="str">
            <v>CLR639</v>
          </cell>
          <cell r="F1982" t="str">
            <v>Rodríguez Sanchez Denver Guiliano</v>
          </cell>
          <cell r="G1982" t="str">
            <v>RODRIGUEZ SANCHEZ DENVER GUILIANO</v>
          </cell>
          <cell r="H1982" t="str">
            <v>40601132</v>
          </cell>
          <cell r="I1982" t="str">
            <v>BBVA</v>
          </cell>
          <cell r="J1982" t="str">
            <v>001101150200405736</v>
          </cell>
          <cell r="K1982" t="str">
            <v>DNI</v>
          </cell>
          <cell r="L1982">
            <v>10406011327</v>
          </cell>
          <cell r="M1982" t="str">
            <v>URBANO</v>
          </cell>
          <cell r="N1982">
            <v>45498</v>
          </cell>
          <cell r="O1982">
            <v>0</v>
          </cell>
          <cell r="P1982" t="str">
            <v>COMFORT</v>
          </cell>
        </row>
        <row r="1983">
          <cell r="A1983">
            <v>9454</v>
          </cell>
          <cell r="B1983">
            <v>9454</v>
          </cell>
          <cell r="C1983" t="str">
            <v>CERO MATRICULA</v>
          </cell>
          <cell r="D1983" t="str">
            <v>ACTIVO</v>
          </cell>
          <cell r="E1983" t="str">
            <v>AXW448</v>
          </cell>
          <cell r="F1983" t="str">
            <v xml:space="preserve">Paredes Calla Jaime Héctor </v>
          </cell>
          <cell r="G1983" t="str">
            <v xml:space="preserve"> PAREDES CALLA JAIME HECTOR</v>
          </cell>
          <cell r="H1983" t="str">
            <v>41137370</v>
          </cell>
          <cell r="I1983" t="str">
            <v>BCP</v>
          </cell>
          <cell r="J1983" t="str">
            <v>19437536639095</v>
          </cell>
          <cell r="K1983" t="str">
            <v>DNI</v>
          </cell>
          <cell r="L1983">
            <v>10411373709</v>
          </cell>
          <cell r="M1983" t="str">
            <v>URBANO</v>
          </cell>
          <cell r="N1983">
            <v>45498</v>
          </cell>
          <cell r="O1983">
            <v>0</v>
          </cell>
          <cell r="P1983" t="str">
            <v>COMFORT XL</v>
          </cell>
        </row>
        <row r="1984">
          <cell r="A1984">
            <v>9455</v>
          </cell>
          <cell r="B1984">
            <v>9455</v>
          </cell>
          <cell r="C1984" t="str">
            <v>CERO MATRICULA</v>
          </cell>
          <cell r="D1984" t="str">
            <v>ACTIVO</v>
          </cell>
          <cell r="E1984" t="str">
            <v>ASG516</v>
          </cell>
          <cell r="F1984" t="str">
            <v>Villegas Huamani Eder</v>
          </cell>
          <cell r="G1984" t="str">
            <v>VILLEGAS HUAMANI EDER</v>
          </cell>
          <cell r="H1984" t="str">
            <v>42939446</v>
          </cell>
          <cell r="I1984" t="str">
            <v>BCP</v>
          </cell>
          <cell r="J1984" t="str">
            <v>19305428458089</v>
          </cell>
          <cell r="K1984" t="str">
            <v>DNI</v>
          </cell>
          <cell r="L1984">
            <v>10429394461</v>
          </cell>
          <cell r="M1984" t="str">
            <v>URBANO</v>
          </cell>
          <cell r="N1984">
            <v>45504</v>
          </cell>
          <cell r="O1984">
            <v>0</v>
          </cell>
          <cell r="P1984" t="str">
            <v>COMFORT</v>
          </cell>
        </row>
        <row r="1985">
          <cell r="A1985">
            <v>9456</v>
          </cell>
          <cell r="B1985">
            <v>9456</v>
          </cell>
          <cell r="C1985" t="str">
            <v>CERO MATRICULA</v>
          </cell>
          <cell r="D1985" t="str">
            <v>ACTIVO</v>
          </cell>
          <cell r="E1985" t="str">
            <v>CCX433</v>
          </cell>
          <cell r="F1985" t="str">
            <v xml:space="preserve">Del Rio Miranda Henry Elvis </v>
          </cell>
          <cell r="G1985" t="str">
            <v>DEL RIO MIRANDA HENRY ELVIS</v>
          </cell>
          <cell r="H1985" t="str">
            <v>80646368</v>
          </cell>
          <cell r="I1985" t="str">
            <v>BCP</v>
          </cell>
          <cell r="J1985" t="str">
            <v>19471737823045</v>
          </cell>
          <cell r="K1985" t="str">
            <v>DNI</v>
          </cell>
          <cell r="L1985">
            <v>10806463685</v>
          </cell>
          <cell r="M1985" t="str">
            <v>URBANO PARTNER</v>
          </cell>
          <cell r="N1985">
            <v>45498</v>
          </cell>
          <cell r="O1985">
            <v>0</v>
          </cell>
          <cell r="P1985" t="str">
            <v>COMFORT XL</v>
          </cell>
        </row>
        <row r="1986">
          <cell r="A1986">
            <v>9457</v>
          </cell>
          <cell r="B1986">
            <v>9457</v>
          </cell>
          <cell r="C1986" t="str">
            <v>CERO MATRICULA</v>
          </cell>
          <cell r="D1986" t="str">
            <v>ACTIVO</v>
          </cell>
          <cell r="E1986" t="str">
            <v>CMK552</v>
          </cell>
          <cell r="F1986" t="str">
            <v>Valderrama Aponte Erik Javier</v>
          </cell>
          <cell r="G1986" t="str">
            <v>VALDERRAMA APONTE ERICK JAVIER</v>
          </cell>
          <cell r="H1986" t="str">
            <v>002241288</v>
          </cell>
          <cell r="I1986" t="str">
            <v>INTERBANK</v>
          </cell>
          <cell r="J1986" t="str">
            <v>898 3288178790</v>
          </cell>
          <cell r="K1986" t="str">
            <v>CE</v>
          </cell>
          <cell r="L1986">
            <v>15603709214</v>
          </cell>
          <cell r="M1986" t="str">
            <v>URBANO PARTNER</v>
          </cell>
          <cell r="N1986">
            <v>45498</v>
          </cell>
          <cell r="O1986">
            <v>0</v>
          </cell>
          <cell r="P1986" t="str">
            <v>LITE</v>
          </cell>
        </row>
        <row r="1987">
          <cell r="A1987">
            <v>9458</v>
          </cell>
          <cell r="B1987">
            <v>9458</v>
          </cell>
          <cell r="C1987" t="str">
            <v>CERO MATRICULA</v>
          </cell>
          <cell r="D1987" t="str">
            <v>ACTIVO</v>
          </cell>
          <cell r="E1987" t="str">
            <v>CMI083</v>
          </cell>
          <cell r="F1987" t="str">
            <v>Serpa Estupiñan Jorge Luis</v>
          </cell>
          <cell r="G1987" t="str">
            <v>SERPA ESTUPIÑAN JORGE LUIS</v>
          </cell>
          <cell r="H1987" t="str">
            <v>15590201</v>
          </cell>
          <cell r="I1987" t="str">
            <v>INTERBANK</v>
          </cell>
          <cell r="J1987" t="str">
            <v>1393142246827</v>
          </cell>
          <cell r="K1987" t="str">
            <v>DNI</v>
          </cell>
          <cell r="L1987">
            <v>10155902014</v>
          </cell>
          <cell r="M1987" t="str">
            <v>AEROLINEAS</v>
          </cell>
          <cell r="N1987">
            <v>45505</v>
          </cell>
          <cell r="O1987">
            <v>0</v>
          </cell>
          <cell r="P1987" t="str">
            <v>COMFORT</v>
          </cell>
        </row>
        <row r="1988">
          <cell r="A1988">
            <v>9459</v>
          </cell>
          <cell r="B1988">
            <v>9459</v>
          </cell>
          <cell r="C1988" t="str">
            <v>CERO MATRICULA</v>
          </cell>
          <cell r="D1988" t="str">
            <v>ACTIVO</v>
          </cell>
          <cell r="E1988" t="str">
            <v>CJI536</v>
          </cell>
          <cell r="F1988" t="str">
            <v>Llatance Novoa Jose Fernando</v>
          </cell>
          <cell r="G1988" t="str">
            <v>LLATANCE NOVOA JOSE FERNANDO</v>
          </cell>
          <cell r="H1988" t="str">
            <v>72773795</v>
          </cell>
          <cell r="I1988" t="str">
            <v>INTERBANK</v>
          </cell>
          <cell r="J1988" t="str">
            <v>1393142246827</v>
          </cell>
          <cell r="K1988" t="str">
            <v>DNI</v>
          </cell>
          <cell r="L1988">
            <v>10727737958</v>
          </cell>
          <cell r="M1988" t="str">
            <v>AEROLINEAS</v>
          </cell>
          <cell r="N1988">
            <v>45505</v>
          </cell>
          <cell r="O1988">
            <v>0</v>
          </cell>
          <cell r="P1988" t="str">
            <v>COMFORT XL</v>
          </cell>
        </row>
        <row r="1989">
          <cell r="A1989">
            <v>9460</v>
          </cell>
          <cell r="B1989">
            <v>9460</v>
          </cell>
          <cell r="C1989" t="str">
            <v>CERO MATRICULA</v>
          </cell>
          <cell r="D1989" t="str">
            <v>ACTIVO</v>
          </cell>
          <cell r="E1989" t="str">
            <v>CKA214</v>
          </cell>
          <cell r="F1989" t="str">
            <v>Cardenas Cardenas Carlos Luis</v>
          </cell>
          <cell r="G1989" t="str">
            <v>CARDENAS CARLOS LUIS</v>
          </cell>
          <cell r="H1989" t="str">
            <v>004041573</v>
          </cell>
          <cell r="I1989" t="str">
            <v>BBVA</v>
          </cell>
          <cell r="J1989" t="str">
            <v>001103350200451661</v>
          </cell>
          <cell r="K1989" t="str">
            <v>CE</v>
          </cell>
          <cell r="L1989">
            <v>15612074086</v>
          </cell>
          <cell r="M1989" t="str">
            <v>AEROLINEAS</v>
          </cell>
          <cell r="N1989">
            <v>45505</v>
          </cell>
          <cell r="O1989">
            <v>0</v>
          </cell>
          <cell r="P1989" t="str">
            <v>COMFORT XL</v>
          </cell>
        </row>
        <row r="1990">
          <cell r="A1990">
            <v>9461</v>
          </cell>
          <cell r="B1990">
            <v>9461</v>
          </cell>
          <cell r="C1990" t="str">
            <v>CERO MATRICULA</v>
          </cell>
          <cell r="D1990" t="str">
            <v>ACTIVO</v>
          </cell>
          <cell r="E1990" t="str">
            <v>CFF004</v>
          </cell>
          <cell r="F1990" t="str">
            <v>Ramirez Bautista Victor Manuel</v>
          </cell>
          <cell r="G1990" t="str">
            <v>RAMIREZ BAUTISTA VICTOR MANUEL</v>
          </cell>
          <cell r="H1990" t="str">
            <v>000523847</v>
          </cell>
          <cell r="I1990" t="str">
            <v>INTERBANK</v>
          </cell>
          <cell r="J1990" t="str">
            <v>1363431206409</v>
          </cell>
          <cell r="K1990" t="str">
            <v>CE</v>
          </cell>
          <cell r="L1990">
            <v>15611610006</v>
          </cell>
          <cell r="M1990" t="str">
            <v>AEROLINEAS</v>
          </cell>
          <cell r="N1990">
            <v>45505</v>
          </cell>
          <cell r="O1990">
            <v>0</v>
          </cell>
          <cell r="P1990" t="str">
            <v>COMFORT XL</v>
          </cell>
        </row>
        <row r="1991">
          <cell r="A1991">
            <v>9462</v>
          </cell>
          <cell r="B1991">
            <v>9462</v>
          </cell>
          <cell r="C1991" t="str">
            <v>CERO MATRICULA</v>
          </cell>
          <cell r="D1991" t="str">
            <v>ACTIVO</v>
          </cell>
          <cell r="E1991" t="str">
            <v>CKA340</v>
          </cell>
          <cell r="F1991" t="str">
            <v>Sullon Ortiz Victor Manuel</v>
          </cell>
          <cell r="G1991" t="str">
            <v>SULLON ORTIZ VICTOR MANUEL</v>
          </cell>
          <cell r="H1991" t="str">
            <v>47935767</v>
          </cell>
          <cell r="I1991" t="str">
            <v>BBVA</v>
          </cell>
          <cell r="J1991" t="str">
            <v>0011-0339-0200837278</v>
          </cell>
          <cell r="K1991" t="str">
            <v>DNI</v>
          </cell>
          <cell r="L1991">
            <v>10479357671</v>
          </cell>
          <cell r="M1991" t="str">
            <v>AEROPUERTO</v>
          </cell>
          <cell r="N1991">
            <v>45505</v>
          </cell>
          <cell r="O1991">
            <v>265</v>
          </cell>
          <cell r="P1991" t="str">
            <v>LITE</v>
          </cell>
        </row>
        <row r="1992">
          <cell r="A1992">
            <v>9463</v>
          </cell>
          <cell r="B1992">
            <v>9463</v>
          </cell>
          <cell r="C1992" t="str">
            <v>CERO MATRICULA</v>
          </cell>
          <cell r="D1992" t="str">
            <v>ACTIVO</v>
          </cell>
          <cell r="E1992" t="str">
            <v>CMH333</v>
          </cell>
          <cell r="F1992" t="str">
            <v>Zapata Gutierrez Jorge Luis</v>
          </cell>
          <cell r="G1992" t="str">
            <v>ZAPATA GUTIERREZ JORGE LUIS</v>
          </cell>
          <cell r="H1992" t="str">
            <v>46565559</v>
          </cell>
          <cell r="I1992" t="str">
            <v>BCP</v>
          </cell>
          <cell r="J1992" t="str">
            <v>19403922349067</v>
          </cell>
          <cell r="K1992" t="str">
            <v>DNI</v>
          </cell>
          <cell r="L1992">
            <v>10465655599</v>
          </cell>
          <cell r="M1992" t="str">
            <v>AEROPUERTO</v>
          </cell>
          <cell r="N1992">
            <v>45505</v>
          </cell>
          <cell r="O1992">
            <v>235</v>
          </cell>
          <cell r="P1992" t="str">
            <v>COMFORT XL</v>
          </cell>
        </row>
        <row r="1993">
          <cell r="A1993">
            <v>9464</v>
          </cell>
          <cell r="B1993">
            <v>9464</v>
          </cell>
          <cell r="C1993" t="str">
            <v>CERO MATRICULA</v>
          </cell>
          <cell r="D1993" t="str">
            <v>ACTIVO</v>
          </cell>
          <cell r="E1993" t="str">
            <v>CMJ506</v>
          </cell>
          <cell r="F1993" t="str">
            <v xml:space="preserve">Oliveros Robertson Edgard Stephan </v>
          </cell>
          <cell r="G1993" t="str">
            <v>OLIVEROS ROBERTSON EDGARD STEPHAN</v>
          </cell>
          <cell r="H1993" t="str">
            <v>10731967</v>
          </cell>
          <cell r="I1993" t="str">
            <v>BCP</v>
          </cell>
          <cell r="J1993" t="str">
            <v>19176665334029</v>
          </cell>
          <cell r="K1993" t="str">
            <v>DNI</v>
          </cell>
          <cell r="L1993">
            <v>10107319676</v>
          </cell>
          <cell r="M1993" t="str">
            <v>AEROLINEAS</v>
          </cell>
          <cell r="N1993">
            <v>45512</v>
          </cell>
          <cell r="O1993">
            <v>0</v>
          </cell>
          <cell r="P1993" t="str">
            <v>COMFORT XL</v>
          </cell>
        </row>
        <row r="1994">
          <cell r="A1994">
            <v>9465</v>
          </cell>
          <cell r="B1994">
            <v>9465</v>
          </cell>
          <cell r="C1994" t="str">
            <v>CERO MATRICULA</v>
          </cell>
          <cell r="D1994" t="str">
            <v>ACTIVO</v>
          </cell>
          <cell r="E1994" t="str">
            <v>CMK177</v>
          </cell>
          <cell r="F1994" t="str">
            <v>Guadalupe Bustamante Walter junior</v>
          </cell>
          <cell r="G1994" t="str">
            <v>GUADALUPE BUSTAMANTE WALTER JUNIOR</v>
          </cell>
          <cell r="H1994" t="str">
            <v>47312981</v>
          </cell>
          <cell r="I1994" t="str">
            <v>INTERBANK</v>
          </cell>
          <cell r="J1994" t="str">
            <v>3303132219386</v>
          </cell>
          <cell r="K1994" t="str">
            <v>DNI</v>
          </cell>
          <cell r="L1994">
            <v>10473129812</v>
          </cell>
          <cell r="M1994" t="str">
            <v>URBANO</v>
          </cell>
          <cell r="N1994">
            <v>45504</v>
          </cell>
          <cell r="O1994">
            <v>0</v>
          </cell>
          <cell r="P1994" t="str">
            <v>LITE</v>
          </cell>
        </row>
        <row r="1995">
          <cell r="A1995">
            <v>9466</v>
          </cell>
          <cell r="B1995">
            <v>9466</v>
          </cell>
          <cell r="C1995" t="str">
            <v>CERO MATRICULA</v>
          </cell>
          <cell r="D1995" t="str">
            <v>ACTIVO</v>
          </cell>
          <cell r="E1995" t="str">
            <v>CML494</v>
          </cell>
          <cell r="F1995" t="str">
            <v>Llana Mallqui Milton carlo</v>
          </cell>
          <cell r="G1995" t="str">
            <v>LLANA MALLQUI MILTON CARLOS</v>
          </cell>
          <cell r="H1995" t="str">
            <v>47331902</v>
          </cell>
          <cell r="I1995" t="str">
            <v>BCP</v>
          </cell>
          <cell r="J1995" t="str">
            <v>19195124432083</v>
          </cell>
          <cell r="K1995" t="str">
            <v>DNI</v>
          </cell>
          <cell r="L1995">
            <v>10473319026</v>
          </cell>
          <cell r="M1995" t="str">
            <v>URBANO</v>
          </cell>
          <cell r="N1995">
            <v>45504</v>
          </cell>
          <cell r="O1995">
            <v>0</v>
          </cell>
          <cell r="P1995" t="str">
            <v>COMFORT</v>
          </cell>
        </row>
        <row r="1996">
          <cell r="A1996">
            <v>9467</v>
          </cell>
          <cell r="B1996">
            <v>9467</v>
          </cell>
          <cell r="C1996" t="str">
            <v>CERO MATRICULA</v>
          </cell>
          <cell r="D1996" t="str">
            <v>ACTIVO</v>
          </cell>
          <cell r="E1996" t="str">
            <v>BFA148</v>
          </cell>
          <cell r="F1996" t="str">
            <v>De la vega Sucapuca Edinson</v>
          </cell>
          <cell r="G1996" t="str">
            <v>DE LA VEGA SUCAPUCA EDINSON</v>
          </cell>
          <cell r="H1996" t="str">
            <v>60721033</v>
          </cell>
          <cell r="I1996" t="str">
            <v>BCP</v>
          </cell>
          <cell r="J1996" t="str">
            <v>19490522596063</v>
          </cell>
          <cell r="K1996" t="str">
            <v>DNI</v>
          </cell>
          <cell r="L1996">
            <v>10607210336</v>
          </cell>
          <cell r="M1996" t="str">
            <v>URBANO</v>
          </cell>
          <cell r="N1996">
            <v>45504</v>
          </cell>
          <cell r="O1996">
            <v>0</v>
          </cell>
          <cell r="P1996" t="str">
            <v>COMFORT XL</v>
          </cell>
        </row>
        <row r="1997">
          <cell r="A1997">
            <v>9468</v>
          </cell>
          <cell r="B1997">
            <v>9468</v>
          </cell>
          <cell r="C1997" t="str">
            <v>CERO MATRICULA</v>
          </cell>
          <cell r="D1997" t="str">
            <v>ACTIVO</v>
          </cell>
          <cell r="E1997" t="str">
            <v>F1H537</v>
          </cell>
          <cell r="F1997" t="str">
            <v>Bedón Chinchay Javier Godofredo</v>
          </cell>
          <cell r="G1997" t="str">
            <v>CHINCHAY BEDON JAVIER GODOFREDO</v>
          </cell>
          <cell r="H1997" t="str">
            <v>10861626</v>
          </cell>
          <cell r="I1997" t="str">
            <v>BCP</v>
          </cell>
          <cell r="J1997" t="str">
            <v>19177148086057</v>
          </cell>
          <cell r="K1997" t="str">
            <v>DNI</v>
          </cell>
          <cell r="L1997">
            <v>10108616267</v>
          </cell>
          <cell r="M1997" t="str">
            <v>URBANO</v>
          </cell>
          <cell r="N1997">
            <v>45504</v>
          </cell>
          <cell r="O1997">
            <v>0</v>
          </cell>
          <cell r="P1997" t="str">
            <v>COMFORT XL</v>
          </cell>
        </row>
        <row r="1998">
          <cell r="A1998">
            <v>9469</v>
          </cell>
          <cell r="B1998">
            <v>9469</v>
          </cell>
          <cell r="C1998" t="str">
            <v>CERO MATRICULA</v>
          </cell>
          <cell r="D1998" t="str">
            <v>ACTIVO</v>
          </cell>
          <cell r="E1998" t="str">
            <v>CDJ528</v>
          </cell>
          <cell r="F1998" t="str">
            <v xml:space="preserve">ANDÍA SÁNCHEZ RUBY ESTHER </v>
          </cell>
          <cell r="G1998" t="str">
            <v>ANDIA SANCHEZ RUBY ESTHER</v>
          </cell>
          <cell r="H1998" t="str">
            <v>10020412</v>
          </cell>
          <cell r="I1998" t="str">
            <v>INTERBANK</v>
          </cell>
          <cell r="J1998" t="str">
            <v>2743321127930</v>
          </cell>
          <cell r="K1998" t="str">
            <v>DNI</v>
          </cell>
          <cell r="L1998">
            <v>10100204121</v>
          </cell>
          <cell r="M1998" t="str">
            <v>URBANO</v>
          </cell>
          <cell r="N1998">
            <v>45504</v>
          </cell>
          <cell r="O1998">
            <v>0</v>
          </cell>
          <cell r="P1998" t="str">
            <v>LITE</v>
          </cell>
        </row>
        <row r="1999">
          <cell r="A1999">
            <v>9470</v>
          </cell>
          <cell r="B1999">
            <v>9470</v>
          </cell>
          <cell r="C1999" t="str">
            <v>CERO MATRICULA</v>
          </cell>
          <cell r="D1999" t="str">
            <v>ACTIVO</v>
          </cell>
          <cell r="E1999" t="str">
            <v>CBD158</v>
          </cell>
          <cell r="F1999" t="str">
            <v>Ramos Tarazona Nación</v>
          </cell>
          <cell r="G1999" t="str">
            <v>RAMOS TARAZONA NACION</v>
          </cell>
          <cell r="H1999" t="str">
            <v>07475382</v>
          </cell>
          <cell r="I1999" t="str">
            <v>BCP</v>
          </cell>
          <cell r="J1999" t="str">
            <v>19134898149053</v>
          </cell>
          <cell r="K1999" t="str">
            <v>DNI</v>
          </cell>
          <cell r="L1999">
            <v>10074753821</v>
          </cell>
          <cell r="M1999" t="str">
            <v>URBANO</v>
          </cell>
          <cell r="N1999">
            <v>45504</v>
          </cell>
          <cell r="O1999">
            <v>0</v>
          </cell>
          <cell r="P1999" t="str">
            <v>COMFORT XL</v>
          </cell>
        </row>
        <row r="2000">
          <cell r="A2000">
            <v>9471</v>
          </cell>
          <cell r="B2000">
            <v>9471</v>
          </cell>
          <cell r="C2000" t="str">
            <v>CERO MATRICULA</v>
          </cell>
          <cell r="D2000" t="str">
            <v>ACTIVO</v>
          </cell>
          <cell r="E2000" t="str">
            <v>CMD345</v>
          </cell>
          <cell r="F2000" t="str">
            <v>Canchis Gutierrez Freddy Eduardo</v>
          </cell>
          <cell r="G2000" t="str">
            <v>CANCHIS GUTIERREZ FREDDY EDUARDO</v>
          </cell>
          <cell r="H2000" t="str">
            <v>10327582</v>
          </cell>
          <cell r="I2000" t="str">
            <v>BCP</v>
          </cell>
          <cell r="J2000" t="str">
            <v>19107537492026</v>
          </cell>
          <cell r="K2000" t="str">
            <v>DNI</v>
          </cell>
          <cell r="L2000">
            <v>10103275828</v>
          </cell>
          <cell r="M2000" t="str">
            <v>URBANO</v>
          </cell>
          <cell r="N2000">
            <v>45504</v>
          </cell>
          <cell r="O2000">
            <v>0</v>
          </cell>
          <cell r="P2000" t="str">
            <v>LITE</v>
          </cell>
        </row>
        <row r="2001">
          <cell r="A2001">
            <v>9472</v>
          </cell>
          <cell r="B2001">
            <v>9472</v>
          </cell>
          <cell r="C2001" t="str">
            <v>CERO MATRICULA</v>
          </cell>
          <cell r="D2001" t="str">
            <v>ACTIVO</v>
          </cell>
          <cell r="E2001" t="str">
            <v>CEF500</v>
          </cell>
          <cell r="F2001" t="str">
            <v>vera linares aldison josver</v>
          </cell>
          <cell r="G2001" t="str">
            <v>Aldison Josver Vera Linares</v>
          </cell>
          <cell r="H2001" t="str">
            <v>003392145</v>
          </cell>
          <cell r="I2001" t="str">
            <v>BCP</v>
          </cell>
          <cell r="J2001" t="str">
            <v>19100611920000</v>
          </cell>
          <cell r="K2001" t="str">
            <v>CE</v>
          </cell>
          <cell r="L2001">
            <v>15604759363</v>
          </cell>
          <cell r="M2001" t="str">
            <v>MEMBRESÍA URBANO</v>
          </cell>
          <cell r="N2001">
            <v>45509</v>
          </cell>
          <cell r="O2001">
            <v>280</v>
          </cell>
          <cell r="P2001" t="str">
            <v>LITE</v>
          </cell>
        </row>
        <row r="2002">
          <cell r="A2002">
            <v>9473</v>
          </cell>
          <cell r="B2002">
            <v>9473</v>
          </cell>
          <cell r="C2002" t="str">
            <v>CERO MATRICULA</v>
          </cell>
          <cell r="D2002" t="str">
            <v>ACTIVO</v>
          </cell>
          <cell r="E2002" t="str">
            <v>CMQ024</v>
          </cell>
          <cell r="F2002" t="str">
            <v>acevedo calderon raul antonio</v>
          </cell>
          <cell r="G2002" t="str">
            <v>ACEVEDO CALDERON RAUL ANTONIO</v>
          </cell>
          <cell r="H2002">
            <v>42547874</v>
          </cell>
          <cell r="I2002" t="str">
            <v>BCP</v>
          </cell>
          <cell r="J2002" t="str">
            <v>19200400500045</v>
          </cell>
          <cell r="K2002" t="str">
            <v>DNI</v>
          </cell>
          <cell r="L2002">
            <v>10425478741</v>
          </cell>
          <cell r="M2002" t="str">
            <v>AEROLINEAS</v>
          </cell>
          <cell r="N2002">
            <v>45509</v>
          </cell>
          <cell r="O2002">
            <v>0</v>
          </cell>
          <cell r="P2002" t="str">
            <v>COMFORT</v>
          </cell>
        </row>
        <row r="2003">
          <cell r="A2003">
            <v>9474</v>
          </cell>
          <cell r="B2003">
            <v>9474</v>
          </cell>
          <cell r="C2003" t="str">
            <v>CERO MATRICULA</v>
          </cell>
          <cell r="D2003" t="str">
            <v>ACTIVO</v>
          </cell>
          <cell r="E2003" t="str">
            <v>BUR468</v>
          </cell>
          <cell r="F2003" t="str">
            <v>PUCHOC NUÑEZ JOHN FRANKLIN</v>
          </cell>
          <cell r="G2003" t="str">
            <v>SERVICIOS J &amp; J VIP S.A.C.</v>
          </cell>
          <cell r="H2003">
            <v>20606495073</v>
          </cell>
          <cell r="I2003" t="str">
            <v>BCP</v>
          </cell>
          <cell r="J2003" t="str">
            <v>1919922659076</v>
          </cell>
          <cell r="K2003" t="str">
            <v>RUC</v>
          </cell>
          <cell r="L2003">
            <v>20606495073</v>
          </cell>
          <cell r="M2003" t="str">
            <v>URBANO</v>
          </cell>
          <cell r="N2003">
            <v>45509</v>
          </cell>
          <cell r="O2003">
            <v>0</v>
          </cell>
          <cell r="P2003" t="str">
            <v>COMFORT XL</v>
          </cell>
        </row>
        <row r="2004">
          <cell r="A2004">
            <v>9475</v>
          </cell>
          <cell r="B2004">
            <v>9475</v>
          </cell>
          <cell r="C2004" t="str">
            <v>CERO MATRICULA</v>
          </cell>
          <cell r="D2004" t="str">
            <v>ACTIVO</v>
          </cell>
          <cell r="E2004" t="str">
            <v>CHD006</v>
          </cell>
          <cell r="F2004" t="str">
            <v>ORTEGA ESPINOZA LUIS ROBERTO</v>
          </cell>
          <cell r="G2004" t="str">
            <v>ORTEGA HERRERA JESUS FERNANDO</v>
          </cell>
          <cell r="H2004">
            <v>43333627</v>
          </cell>
          <cell r="I2004" t="str">
            <v>BBVA</v>
          </cell>
          <cell r="J2004" t="str">
            <v>001108140252882494</v>
          </cell>
          <cell r="K2004" t="str">
            <v>DNI</v>
          </cell>
          <cell r="L2004">
            <v>10433336271</v>
          </cell>
          <cell r="M2004" t="str">
            <v>AEROLINEAS</v>
          </cell>
          <cell r="N2004">
            <v>45509</v>
          </cell>
          <cell r="O2004">
            <v>0</v>
          </cell>
          <cell r="P2004" t="str">
            <v>COMFORT</v>
          </cell>
        </row>
        <row r="2005">
          <cell r="A2005">
            <v>9476</v>
          </cell>
          <cell r="B2005">
            <v>9476</v>
          </cell>
          <cell r="C2005" t="str">
            <v>CERO MATRICULA</v>
          </cell>
          <cell r="D2005" t="str">
            <v>ACTIVO</v>
          </cell>
          <cell r="E2005" t="str">
            <v>CAY387</v>
          </cell>
          <cell r="F2005" t="str">
            <v>BANCES SANTISTEBAN DIEGO JAMES</v>
          </cell>
          <cell r="G2005" t="str">
            <v>BANCES SANTISTEBAN DIEGO JAMES</v>
          </cell>
          <cell r="H2005">
            <v>74613977</v>
          </cell>
          <cell r="I2005" t="str">
            <v>BCP</v>
          </cell>
          <cell r="J2005" t="str">
            <v>19200214400065</v>
          </cell>
          <cell r="K2005" t="str">
            <v>DNI</v>
          </cell>
          <cell r="L2005">
            <v>10746139778</v>
          </cell>
          <cell r="M2005" t="str">
            <v>AEROLINEAS</v>
          </cell>
          <cell r="N2005">
            <v>45509</v>
          </cell>
          <cell r="O2005">
            <v>0</v>
          </cell>
          <cell r="P2005" t="str">
            <v>LITE</v>
          </cell>
        </row>
        <row r="2006">
          <cell r="A2006">
            <v>9477</v>
          </cell>
          <cell r="B2006">
            <v>9477</v>
          </cell>
          <cell r="C2006" t="str">
            <v>CERO MATRICULA</v>
          </cell>
          <cell r="D2006" t="str">
            <v>ACTIVO</v>
          </cell>
          <cell r="E2006" t="str">
            <v>BTF637</v>
          </cell>
          <cell r="F2006" t="str">
            <v xml:space="preserve">Izumi Vadillo Junior Jesus </v>
          </cell>
          <cell r="G2006" t="str">
            <v>IZUMI VADILLO JUNIOR JESUS</v>
          </cell>
          <cell r="H2006" t="str">
            <v>70507094</v>
          </cell>
          <cell r="I2006" t="str">
            <v>BBVA</v>
          </cell>
          <cell r="J2006" t="str">
            <v>001108140258428930</v>
          </cell>
          <cell r="K2006" t="str">
            <v>DNI</v>
          </cell>
          <cell r="L2006">
            <v>10705070941</v>
          </cell>
          <cell r="M2006" t="str">
            <v>AEROLINEAS</v>
          </cell>
          <cell r="N2006">
            <v>45512</v>
          </cell>
          <cell r="O2006">
            <v>0</v>
          </cell>
          <cell r="P2006" t="str">
            <v>COMFORT XL</v>
          </cell>
        </row>
        <row r="2007">
          <cell r="A2007">
            <v>9480</v>
          </cell>
          <cell r="B2007">
            <v>9480</v>
          </cell>
          <cell r="C2007" t="str">
            <v>CERO MATRICULA</v>
          </cell>
          <cell r="D2007" t="str">
            <v>ACTIVO</v>
          </cell>
          <cell r="E2007" t="str">
            <v>F0R352</v>
          </cell>
          <cell r="F2007" t="str">
            <v>Manrique Villanueva Luis Alejandro</v>
          </cell>
          <cell r="G2007" t="str">
            <v>MANRIQUE VILLANUEVA LUIS ALEJANDRO</v>
          </cell>
          <cell r="H2007" t="str">
            <v>42505033</v>
          </cell>
          <cell r="I2007" t="str">
            <v>Scotiabank</v>
          </cell>
          <cell r="J2007" t="str">
            <v xml:space="preserve">1077933222 </v>
          </cell>
          <cell r="K2007" t="str">
            <v>DNI</v>
          </cell>
          <cell r="L2007">
            <v>10425050333</v>
          </cell>
          <cell r="M2007" t="str">
            <v>AEROLINEAS</v>
          </cell>
          <cell r="N2007">
            <v>45512</v>
          </cell>
          <cell r="O2007">
            <v>0</v>
          </cell>
          <cell r="P2007" t="str">
            <v>COMFORT XL</v>
          </cell>
        </row>
        <row r="2008">
          <cell r="A2008">
            <v>9481</v>
          </cell>
          <cell r="B2008">
            <v>9481</v>
          </cell>
          <cell r="C2008" t="str">
            <v>CERO MATRICULA</v>
          </cell>
          <cell r="D2008" t="str">
            <v>ACTIVO</v>
          </cell>
          <cell r="E2008" t="str">
            <v>BPG077</v>
          </cell>
          <cell r="F2008" t="str">
            <v xml:space="preserve">Taipe Diaz Victor Jesús </v>
          </cell>
          <cell r="G2008" t="str">
            <v>TAIPE DIAZ VICTOR JESUS</v>
          </cell>
          <cell r="H2008" t="str">
            <v>06666315</v>
          </cell>
          <cell r="I2008" t="str">
            <v>INTERBANK</v>
          </cell>
          <cell r="J2008" t="str">
            <v>8983241652680</v>
          </cell>
          <cell r="K2008" t="str">
            <v>DNI</v>
          </cell>
          <cell r="L2008">
            <v>10066663154</v>
          </cell>
          <cell r="M2008" t="str">
            <v>URBANO</v>
          </cell>
          <cell r="N2008">
            <v>45509</v>
          </cell>
          <cell r="O2008">
            <v>0</v>
          </cell>
          <cell r="P2008" t="str">
            <v>COMFORT</v>
          </cell>
        </row>
        <row r="2009">
          <cell r="A2009">
            <v>9482</v>
          </cell>
          <cell r="B2009">
            <v>9482</v>
          </cell>
          <cell r="C2009" t="str">
            <v>CERO MATRICULA</v>
          </cell>
          <cell r="D2009" t="str">
            <v>ACTIVO</v>
          </cell>
          <cell r="E2009" t="str">
            <v>CMJ397</v>
          </cell>
          <cell r="F2009" t="str">
            <v>Llata Alzamora Christian lucero</v>
          </cell>
          <cell r="G2009" t="str">
            <v>LLATA ALZAMORA CHRISTIAN LUCERO</v>
          </cell>
          <cell r="H2009" t="str">
            <v>40930894</v>
          </cell>
          <cell r="I2009" t="str">
            <v>BCP</v>
          </cell>
          <cell r="J2009" t="str">
            <v>19127579254030</v>
          </cell>
          <cell r="K2009" t="str">
            <v>DNI</v>
          </cell>
          <cell r="L2009">
            <v>10409308941</v>
          </cell>
          <cell r="M2009" t="str">
            <v>AEROLINEAS</v>
          </cell>
          <cell r="N2009">
            <v>45509</v>
          </cell>
          <cell r="O2009">
            <v>0</v>
          </cell>
          <cell r="P2009" t="str">
            <v>COMFORT XL</v>
          </cell>
        </row>
        <row r="2010">
          <cell r="A2010">
            <v>9483</v>
          </cell>
          <cell r="B2010">
            <v>9483</v>
          </cell>
          <cell r="C2010" t="str">
            <v>CERO MATRICULA</v>
          </cell>
          <cell r="D2010" t="str">
            <v>ACTIVO</v>
          </cell>
          <cell r="E2010" t="str">
            <v>H2H427</v>
          </cell>
          <cell r="F2010" t="str">
            <v>Segovia Alcántara Gustavo Franco</v>
          </cell>
          <cell r="G2010" t="str">
            <v>SEGOVIA ALCANTARA GUSTAVO FRANCO</v>
          </cell>
          <cell r="H2010" t="str">
            <v>72272123</v>
          </cell>
          <cell r="I2010" t="str">
            <v>BCP</v>
          </cell>
          <cell r="J2010" t="str">
            <v>19124070085016</v>
          </cell>
          <cell r="K2010" t="str">
            <v>DNI</v>
          </cell>
          <cell r="L2010">
            <v>10722721239</v>
          </cell>
          <cell r="M2010" t="str">
            <v>AEROLINEAS</v>
          </cell>
          <cell r="N2010">
            <v>45512</v>
          </cell>
          <cell r="O2010">
            <v>0</v>
          </cell>
          <cell r="P2010" t="str">
            <v>COMFORT XL</v>
          </cell>
        </row>
        <row r="2011">
          <cell r="A2011">
            <v>9484</v>
          </cell>
          <cell r="B2011">
            <v>9484</v>
          </cell>
          <cell r="C2011" t="str">
            <v>CERO MATRICULA</v>
          </cell>
          <cell r="D2011" t="str">
            <v>ACTIVO</v>
          </cell>
          <cell r="E2011" t="str">
            <v>APY009</v>
          </cell>
          <cell r="F2011" t="str">
            <v>Güere Oscanoa Gary Milton</v>
          </cell>
          <cell r="G2011" t="str">
            <v>GÜERE OSCANOA GARY MILTON</v>
          </cell>
          <cell r="H2011" t="str">
            <v>43007336</v>
          </cell>
          <cell r="I2011" t="str">
            <v>BCP</v>
          </cell>
          <cell r="J2011" t="str">
            <v>19194526855069</v>
          </cell>
          <cell r="K2011" t="str">
            <v>DNI</v>
          </cell>
          <cell r="L2011">
            <v>10430073368</v>
          </cell>
          <cell r="M2011" t="str">
            <v>URBANO PARTNER</v>
          </cell>
          <cell r="N2011">
            <v>45512</v>
          </cell>
          <cell r="O2011">
            <v>0</v>
          </cell>
          <cell r="P2011" t="str">
            <v>LITE</v>
          </cell>
        </row>
        <row r="2012">
          <cell r="A2012">
            <v>9485</v>
          </cell>
          <cell r="B2012">
            <v>9485</v>
          </cell>
          <cell r="C2012" t="str">
            <v>CERO MATRICULA</v>
          </cell>
          <cell r="D2012" t="str">
            <v>ACTIVO</v>
          </cell>
          <cell r="E2012" t="str">
            <v>CFU076</v>
          </cell>
          <cell r="F2012" t="str">
            <v>Ayvar Condor Jorge Francisco</v>
          </cell>
          <cell r="G2012" t="str">
            <v>AYVAR CONDOR JORGE FRANCISCO</v>
          </cell>
          <cell r="H2012" t="str">
            <v>47410450</v>
          </cell>
          <cell r="I2012" t="str">
            <v>BBVA</v>
          </cell>
          <cell r="J2012" t="str">
            <v>001100570226213210</v>
          </cell>
          <cell r="K2012" t="str">
            <v>DNI</v>
          </cell>
          <cell r="L2012">
            <v>10474104503</v>
          </cell>
          <cell r="M2012" t="str">
            <v>AEROLINEAS</v>
          </cell>
          <cell r="N2012">
            <v>45519</v>
          </cell>
          <cell r="O2012">
            <v>0</v>
          </cell>
          <cell r="P2012" t="str">
            <v>COMFORT XL</v>
          </cell>
        </row>
        <row r="2013">
          <cell r="A2013">
            <v>9488</v>
          </cell>
          <cell r="B2013">
            <v>9488</v>
          </cell>
          <cell r="C2013" t="str">
            <v>CERO MATRICULA</v>
          </cell>
          <cell r="D2013" t="str">
            <v>ACTIVO</v>
          </cell>
          <cell r="E2013" t="str">
            <v>CML376</v>
          </cell>
          <cell r="F2013" t="str">
            <v>Peralta Saman Abel</v>
          </cell>
          <cell r="G2013" t="str">
            <v>MILLIO TACO EMILIO</v>
          </cell>
          <cell r="H2013" t="str">
            <v>40618687</v>
          </cell>
          <cell r="I2013" t="str">
            <v>BCP</v>
          </cell>
          <cell r="J2013" t="str">
            <v>19193745988014</v>
          </cell>
          <cell r="K2013" t="str">
            <v>DNI</v>
          </cell>
          <cell r="L2013">
            <v>10255303703</v>
          </cell>
          <cell r="M2013" t="str">
            <v>AEROLINEAS</v>
          </cell>
          <cell r="N2013">
            <v>45512</v>
          </cell>
          <cell r="O2013">
            <v>0</v>
          </cell>
          <cell r="P2013" t="str">
            <v>COMFORT</v>
          </cell>
        </row>
        <row r="2014">
          <cell r="A2014">
            <v>9490</v>
          </cell>
          <cell r="B2014">
            <v>9490</v>
          </cell>
          <cell r="C2014" t="str">
            <v>CERO MATRICULA</v>
          </cell>
          <cell r="D2014" t="str">
            <v>ACTIVO</v>
          </cell>
          <cell r="E2014" t="str">
            <v>CMH592</v>
          </cell>
          <cell r="F2014" t="str">
            <v>Levano Rodriguez Sergio Andres</v>
          </cell>
          <cell r="G2014" t="str">
            <v>LEVANO RODRIGUEZ SERGIO ANDRES</v>
          </cell>
          <cell r="H2014" t="str">
            <v>25731502</v>
          </cell>
          <cell r="I2014" t="str">
            <v>BCP</v>
          </cell>
          <cell r="J2014" t="str">
            <v>19200199218029</v>
          </cell>
          <cell r="K2014" t="str">
            <v>DNI</v>
          </cell>
          <cell r="L2014">
            <v>10257315024</v>
          </cell>
          <cell r="M2014" t="str">
            <v>AEROPUERTO</v>
          </cell>
          <cell r="N2014">
            <v>45512</v>
          </cell>
          <cell r="O2014">
            <v>235</v>
          </cell>
          <cell r="P2014" t="str">
            <v>COMFORT XL</v>
          </cell>
        </row>
        <row r="2015">
          <cell r="A2015">
            <v>9497</v>
          </cell>
          <cell r="B2015">
            <v>9497</v>
          </cell>
          <cell r="C2015" t="str">
            <v>CERO MATRICULA</v>
          </cell>
          <cell r="D2015" t="str">
            <v>ACTIVO</v>
          </cell>
          <cell r="E2015" t="str">
            <v>F6S566</v>
          </cell>
          <cell r="F2015" t="str">
            <v>MENDOZA AROZEMENA JOSE LUIS</v>
          </cell>
          <cell r="G2015" t="str">
            <v>MENDOZA AROZEMENA JOSE LUIS</v>
          </cell>
          <cell r="H2015" t="str">
            <v>10432859</v>
          </cell>
          <cell r="I2015" t="str">
            <v>BBVA</v>
          </cell>
          <cell r="J2015" t="str">
            <v>001108140241976284</v>
          </cell>
          <cell r="K2015" t="str">
            <v>DNI</v>
          </cell>
          <cell r="L2015">
            <v>10104328593</v>
          </cell>
          <cell r="M2015" t="str">
            <v>URBANO</v>
          </cell>
          <cell r="N2015">
            <v>45512</v>
          </cell>
          <cell r="O2015">
            <v>0</v>
          </cell>
          <cell r="P2015" t="str">
            <v>COMFORT XL</v>
          </cell>
        </row>
        <row r="2016">
          <cell r="A2016">
            <v>9498</v>
          </cell>
          <cell r="B2016">
            <v>9498</v>
          </cell>
          <cell r="C2016" t="str">
            <v>CERO MATRICULA</v>
          </cell>
          <cell r="D2016" t="str">
            <v>ACTIVO</v>
          </cell>
          <cell r="E2016" t="str">
            <v>CMP169</v>
          </cell>
          <cell r="F2016" t="str">
            <v>Tarrillo Cieza Yetzon Auder</v>
          </cell>
          <cell r="G2016" t="str">
            <v>TARRILLO CIEZA YETZON AUDER</v>
          </cell>
          <cell r="H2016" t="str">
            <v>71098765</v>
          </cell>
          <cell r="I2016" t="str">
            <v>BCP</v>
          </cell>
          <cell r="J2016" t="str">
            <v>19195349694019</v>
          </cell>
          <cell r="K2016" t="str">
            <v>DNI</v>
          </cell>
          <cell r="L2016">
            <v>10710987659</v>
          </cell>
          <cell r="M2016" t="str">
            <v>URBANO</v>
          </cell>
          <cell r="N2016">
            <v>45519</v>
          </cell>
          <cell r="O2016">
            <v>0</v>
          </cell>
          <cell r="P2016" t="str">
            <v>LITE</v>
          </cell>
        </row>
        <row r="2017">
          <cell r="A2017">
            <v>9499</v>
          </cell>
          <cell r="B2017">
            <v>9499</v>
          </cell>
          <cell r="C2017" t="str">
            <v>CERO MATRICULA</v>
          </cell>
          <cell r="D2017" t="str">
            <v>ACTIVO</v>
          </cell>
          <cell r="E2017" t="str">
            <v>CJN559</v>
          </cell>
          <cell r="F2017" t="str">
            <v>Manrique Pulache Hector Andre</v>
          </cell>
          <cell r="G2017" t="str">
            <v>ESCALANTE ALVAREZ ALESSANDRA JULIA</v>
          </cell>
          <cell r="H2017" t="str">
            <v>70304774</v>
          </cell>
          <cell r="I2017" t="str">
            <v>INTERBANK</v>
          </cell>
          <cell r="J2017" t="str">
            <v>1373104407810</v>
          </cell>
          <cell r="K2017" t="str">
            <v>DNI</v>
          </cell>
          <cell r="L2017">
            <v>10703047748</v>
          </cell>
          <cell r="M2017" t="str">
            <v>URBANO</v>
          </cell>
          <cell r="N2017">
            <v>45512</v>
          </cell>
          <cell r="O2017">
            <v>0</v>
          </cell>
          <cell r="P2017" t="str">
            <v>LITE</v>
          </cell>
        </row>
        <row r="2018">
          <cell r="A2018">
            <v>9500</v>
          </cell>
          <cell r="B2018">
            <v>9500</v>
          </cell>
          <cell r="C2018" t="str">
            <v>CERO MATRICULA</v>
          </cell>
          <cell r="D2018" t="str">
            <v>ACTIVO</v>
          </cell>
          <cell r="E2018" t="str">
            <v>BPB237</v>
          </cell>
          <cell r="F2018" t="str">
            <v>ESPINOZA TORRES JOHAN</v>
          </cell>
          <cell r="G2018" t="str">
            <v>ESPINOZA TORRES JOHAN</v>
          </cell>
          <cell r="H2018" t="str">
            <v>45231436</v>
          </cell>
          <cell r="I2018" t="str">
            <v>BCP</v>
          </cell>
          <cell r="J2018">
            <v>19133760872089</v>
          </cell>
          <cell r="K2018" t="str">
            <v>DNI</v>
          </cell>
          <cell r="L2018">
            <v>10452314369</v>
          </cell>
          <cell r="M2018" t="str">
            <v>URBANO</v>
          </cell>
          <cell r="N2018">
            <v>44788</v>
          </cell>
          <cell r="O2018">
            <v>0</v>
          </cell>
          <cell r="P2018" t="str">
            <v>LITE</v>
          </cell>
        </row>
        <row r="2019">
          <cell r="A2019">
            <v>9501</v>
          </cell>
          <cell r="B2019">
            <v>9501</v>
          </cell>
          <cell r="C2019" t="str">
            <v>CERO MATRICULA</v>
          </cell>
          <cell r="D2019" t="str">
            <v>ACTIVO</v>
          </cell>
          <cell r="E2019" t="str">
            <v>BPK152</v>
          </cell>
          <cell r="F2019" t="str">
            <v>RIVAS ACARO EDGAR DAVID</v>
          </cell>
          <cell r="G2019" t="str">
            <v>RIVAS ACARO EDGAR DAVID</v>
          </cell>
          <cell r="H2019" t="str">
            <v>47801695</v>
          </cell>
          <cell r="I2019" t="str">
            <v>BCP</v>
          </cell>
          <cell r="J2019" t="str">
            <v>19136530384076</v>
          </cell>
          <cell r="K2019" t="str">
            <v>DNI</v>
          </cell>
          <cell r="L2019">
            <v>10478016951</v>
          </cell>
          <cell r="M2019" t="str">
            <v>URBANO</v>
          </cell>
          <cell r="N2019">
            <v>45012</v>
          </cell>
          <cell r="O2019">
            <v>0</v>
          </cell>
          <cell r="P2019" t="str">
            <v>XL</v>
          </cell>
        </row>
        <row r="2020">
          <cell r="A2020">
            <v>9504</v>
          </cell>
          <cell r="B2020">
            <v>9504</v>
          </cell>
          <cell r="C2020" t="str">
            <v>CERO MATRICULA</v>
          </cell>
          <cell r="D2020" t="str">
            <v>ACTIVO</v>
          </cell>
          <cell r="E2020" t="str">
            <v>AUW057</v>
          </cell>
          <cell r="F2020" t="str">
            <v>Aparicio Mamani Walter</v>
          </cell>
          <cell r="G2020" t="str">
            <v>APARICIO MAMANI WALTER</v>
          </cell>
          <cell r="H2020" t="str">
            <v>76743666</v>
          </cell>
          <cell r="I2020" t="str">
            <v>BCP</v>
          </cell>
          <cell r="J2020" t="str">
            <v>19102271674019</v>
          </cell>
          <cell r="K2020" t="str">
            <v>DNI</v>
          </cell>
          <cell r="L2020">
            <v>10767436667</v>
          </cell>
          <cell r="M2020" t="str">
            <v>URBANO</v>
          </cell>
          <cell r="N2020">
            <v>45512</v>
          </cell>
          <cell r="O2020">
            <v>0</v>
          </cell>
          <cell r="P2020" t="str">
            <v>COMFORT</v>
          </cell>
        </row>
        <row r="2021">
          <cell r="A2021">
            <v>9509</v>
          </cell>
          <cell r="B2021">
            <v>9509</v>
          </cell>
          <cell r="C2021" t="str">
            <v>CERO MATRICULA</v>
          </cell>
          <cell r="D2021" t="str">
            <v>ACTIVO</v>
          </cell>
          <cell r="E2021" t="str">
            <v>BBN368</v>
          </cell>
          <cell r="F2021" t="str">
            <v>Calderón Quevedo Diana Valeria</v>
          </cell>
          <cell r="G2021" t="str">
            <v>CALDERON QUEVEDO DIANA VALERIA</v>
          </cell>
          <cell r="H2021" t="str">
            <v>10139352</v>
          </cell>
          <cell r="I2021" t="str">
            <v>INTERBANK</v>
          </cell>
          <cell r="J2021" t="str">
            <v>0073097301456</v>
          </cell>
          <cell r="K2021" t="str">
            <v>DNI</v>
          </cell>
          <cell r="L2021">
            <v>10101393521</v>
          </cell>
          <cell r="M2021" t="str">
            <v>URBANO</v>
          </cell>
          <cell r="N2021">
            <v>45512</v>
          </cell>
          <cell r="O2021">
            <v>0</v>
          </cell>
          <cell r="P2021" t="str">
            <v>COMFORT XL</v>
          </cell>
        </row>
        <row r="2022">
          <cell r="A2022">
            <v>9510</v>
          </cell>
          <cell r="B2022">
            <v>9510</v>
          </cell>
          <cell r="C2022" t="str">
            <v>CERO MATRICULA</v>
          </cell>
          <cell r="D2022" t="str">
            <v>ACTIVO</v>
          </cell>
          <cell r="E2022">
            <v>0</v>
          </cell>
          <cell r="F2022" t="str">
            <v xml:space="preserve">LOAYZA GONZALES WILMAN </v>
          </cell>
          <cell r="G2022" t="str">
            <v xml:space="preserve">LOAYZA GONZALES WILMAN </v>
          </cell>
          <cell r="H2022" t="str">
            <v>44971707</v>
          </cell>
          <cell r="I2022" t="str">
            <v>BBVA</v>
          </cell>
          <cell r="J2022" t="str">
            <v>0011-0174-01-0200781284</v>
          </cell>
          <cell r="K2022" t="str">
            <v>DNI</v>
          </cell>
          <cell r="L2022">
            <v>10449717070</v>
          </cell>
          <cell r="M2022" t="str">
            <v>AEROPUERTO</v>
          </cell>
          <cell r="N2022" t="str">
            <v>PENDIENTE</v>
          </cell>
          <cell r="O2022">
            <v>240</v>
          </cell>
          <cell r="P2022" t="str">
            <v>XL</v>
          </cell>
        </row>
        <row r="2023">
          <cell r="A2023">
            <v>9514</v>
          </cell>
          <cell r="B2023">
            <v>9514</v>
          </cell>
          <cell r="C2023" t="str">
            <v>CERO MATRICULA</v>
          </cell>
          <cell r="D2023" t="str">
            <v>ACTIVO</v>
          </cell>
          <cell r="E2023" t="str">
            <v>BWZ256</v>
          </cell>
          <cell r="F2023" t="str">
            <v>GUDIÑO SIFONES FRANK ALEJANDRO</v>
          </cell>
          <cell r="G2023" t="str">
            <v>GUDIÑO SIFONES FRANK ALEJANDRO</v>
          </cell>
          <cell r="H2023" t="str">
            <v>005091487</v>
          </cell>
          <cell r="I2023" t="str">
            <v>BCP</v>
          </cell>
          <cell r="J2023" t="str">
            <v>191-91118922-0-13</v>
          </cell>
          <cell r="K2023" t="str">
            <v>CE</v>
          </cell>
          <cell r="L2023">
            <v>15603389805</v>
          </cell>
          <cell r="M2023" t="str">
            <v>URBANO</v>
          </cell>
          <cell r="N2023">
            <v>44956</v>
          </cell>
          <cell r="O2023">
            <v>0</v>
          </cell>
          <cell r="P2023" t="str">
            <v>LITE</v>
          </cell>
        </row>
        <row r="2024">
          <cell r="A2024">
            <v>9520</v>
          </cell>
          <cell r="B2024">
            <v>9520</v>
          </cell>
          <cell r="C2024" t="str">
            <v>CERO MATRICULA</v>
          </cell>
          <cell r="D2024" t="str">
            <v>ACTIVO</v>
          </cell>
          <cell r="E2024" t="str">
            <v>D6D121</v>
          </cell>
          <cell r="F2024" t="str">
            <v>QUIÑONEZ Egoavil Hemer Hilder</v>
          </cell>
          <cell r="G2024" t="str">
            <v>QUIÑONEZ EGOAVIL JOSE ABELARDO</v>
          </cell>
          <cell r="H2024">
            <v>75982053</v>
          </cell>
          <cell r="I2024" t="str">
            <v>BCP</v>
          </cell>
          <cell r="J2024" t="str">
            <v>19474832792076</v>
          </cell>
          <cell r="K2024" t="str">
            <v>DNI</v>
          </cell>
          <cell r="L2024">
            <v>10759820539</v>
          </cell>
          <cell r="M2024" t="str">
            <v>URBANO</v>
          </cell>
          <cell r="N2024">
            <v>45512</v>
          </cell>
          <cell r="O2024">
            <v>0</v>
          </cell>
          <cell r="P2024" t="str">
            <v>COMFORT XL</v>
          </cell>
        </row>
        <row r="2025">
          <cell r="A2025">
            <v>9527</v>
          </cell>
          <cell r="B2025">
            <v>9527</v>
          </cell>
          <cell r="C2025" t="str">
            <v>CERO MATRICULA</v>
          </cell>
          <cell r="D2025" t="str">
            <v>ACTIVO</v>
          </cell>
          <cell r="E2025">
            <v>0</v>
          </cell>
          <cell r="F2025" t="str">
            <v>SANCHEZ LOZANO ANDRES FORTUNATO</v>
          </cell>
          <cell r="G2025" t="str">
            <v>SANCHEZ HUAYAN ANDREA SOFIA</v>
          </cell>
          <cell r="H2025" t="str">
            <v>74201665</v>
          </cell>
          <cell r="I2025" t="str">
            <v>BBVA</v>
          </cell>
          <cell r="J2025" t="str">
            <v>0011-0814-0244711451</v>
          </cell>
          <cell r="K2025" t="str">
            <v>DNI</v>
          </cell>
          <cell r="L2025">
            <v>10742016655</v>
          </cell>
          <cell r="M2025" t="str">
            <v>AEROPUERTO</v>
          </cell>
          <cell r="N2025">
            <v>44928</v>
          </cell>
          <cell r="O2025">
            <v>240</v>
          </cell>
          <cell r="P2025" t="str">
            <v>XL</v>
          </cell>
        </row>
        <row r="2026">
          <cell r="A2026">
            <v>9542</v>
          </cell>
          <cell r="B2026">
            <v>9542</v>
          </cell>
          <cell r="C2026" t="str">
            <v>CERO MATRICULA</v>
          </cell>
          <cell r="D2026" t="str">
            <v>ACTIVO</v>
          </cell>
          <cell r="E2026" t="str">
            <v>BHW696</v>
          </cell>
          <cell r="F2026" t="str">
            <v>ORBEZO LUCERO MAGIN DELINGTON</v>
          </cell>
          <cell r="G2026" t="str">
            <v>SALVADOR GUERRA JAZMINA DANY</v>
          </cell>
          <cell r="H2026" t="str">
            <v>47899035</v>
          </cell>
          <cell r="I2026" t="str">
            <v>INTERBANK</v>
          </cell>
          <cell r="J2026" t="str">
            <v>3763322602784</v>
          </cell>
          <cell r="K2026" t="str">
            <v>DNI</v>
          </cell>
          <cell r="L2026">
            <v>10478990354</v>
          </cell>
          <cell r="M2026" t="str">
            <v>AEROPUERTO</v>
          </cell>
          <cell r="N2026">
            <v>44760</v>
          </cell>
          <cell r="O2026">
            <v>240</v>
          </cell>
          <cell r="P2026" t="str">
            <v>XL</v>
          </cell>
        </row>
        <row r="2027">
          <cell r="A2027">
            <v>9548</v>
          </cell>
          <cell r="B2027">
            <v>9548</v>
          </cell>
          <cell r="C2027" t="str">
            <v>CERO MATRICULA</v>
          </cell>
          <cell r="D2027" t="str">
            <v>ACTIVO</v>
          </cell>
          <cell r="E2027" t="str">
            <v>D5A224</v>
          </cell>
          <cell r="F2027" t="str">
            <v>TASAYCO PEÑA LEONARDO</v>
          </cell>
          <cell r="G2027" t="str">
            <v>TASAYCO PEÑA LEONARDO</v>
          </cell>
          <cell r="H2027" t="str">
            <v>42016012</v>
          </cell>
          <cell r="I2027" t="str">
            <v>BCP</v>
          </cell>
          <cell r="J2027">
            <v>19370478620023</v>
          </cell>
          <cell r="K2027" t="str">
            <v>DNI</v>
          </cell>
          <cell r="L2027">
            <v>10420160122</v>
          </cell>
          <cell r="M2027" t="str">
            <v>URBANO PARTNER</v>
          </cell>
          <cell r="N2027">
            <v>44788</v>
          </cell>
          <cell r="O2027">
            <v>0</v>
          </cell>
          <cell r="P2027" t="str">
            <v>COMFORT XL</v>
          </cell>
        </row>
        <row r="2028">
          <cell r="A2028">
            <v>9550</v>
          </cell>
          <cell r="B2028">
            <v>9550</v>
          </cell>
          <cell r="C2028" t="str">
            <v>CERO MATRICULA</v>
          </cell>
          <cell r="D2028" t="str">
            <v>ACTIVO</v>
          </cell>
          <cell r="E2028" t="str">
            <v>Cfm427</v>
          </cell>
          <cell r="F2028" t="str">
            <v>Palacios Simeon Ethel Hans</v>
          </cell>
          <cell r="G2028" t="str">
            <v>PALACIOS SIMEON ETHEL HANS</v>
          </cell>
          <cell r="H2028" t="str">
            <v>76563611</v>
          </cell>
          <cell r="I2028" t="str">
            <v>BCP</v>
          </cell>
          <cell r="J2028" t="str">
            <v>19197541190052</v>
          </cell>
          <cell r="K2028" t="str">
            <v>DNI</v>
          </cell>
          <cell r="L2028">
            <v>10765636111</v>
          </cell>
          <cell r="M2028" t="str">
            <v>URBANO PARTNER</v>
          </cell>
          <cell r="N2028">
            <v>45517</v>
          </cell>
          <cell r="O2028">
            <v>0</v>
          </cell>
          <cell r="P2028" t="str">
            <v>LITE</v>
          </cell>
        </row>
        <row r="2029">
          <cell r="A2029">
            <v>9551</v>
          </cell>
          <cell r="B2029">
            <v>9551</v>
          </cell>
          <cell r="C2029" t="str">
            <v>CERO MATRICULA</v>
          </cell>
          <cell r="D2029" t="str">
            <v>ACTIVO</v>
          </cell>
          <cell r="E2029" t="str">
            <v>BTR230</v>
          </cell>
          <cell r="F2029" t="str">
            <v>EXY TOUSSAINT ALEJANDRO MARC</v>
          </cell>
          <cell r="G2029" t="str">
            <v>EXY TOUSSAINT ALEJANDRO MARC</v>
          </cell>
          <cell r="H2029" t="str">
            <v>002002554</v>
          </cell>
          <cell r="I2029" t="str">
            <v>BCP</v>
          </cell>
          <cell r="J2029" t="str">
            <v>19139326297030</v>
          </cell>
          <cell r="K2029" t="str">
            <v>CE</v>
          </cell>
          <cell r="L2029">
            <v>15605922756</v>
          </cell>
          <cell r="M2029" t="str">
            <v>URBANO</v>
          </cell>
          <cell r="N2029">
            <v>45517</v>
          </cell>
          <cell r="O2029">
            <v>0</v>
          </cell>
          <cell r="P2029" t="str">
            <v>LITE</v>
          </cell>
        </row>
        <row r="2030">
          <cell r="A2030">
            <v>9554</v>
          </cell>
          <cell r="B2030">
            <v>9554</v>
          </cell>
          <cell r="C2030" t="str">
            <v>CERO MATRICULA</v>
          </cell>
          <cell r="D2030" t="str">
            <v>ACTIVO</v>
          </cell>
          <cell r="E2030" t="str">
            <v>BZW368</v>
          </cell>
          <cell r="F2030" t="str">
            <v>ESPINOZA SOLORZANO EDGAR ISAAC</v>
          </cell>
          <cell r="G2030" t="str">
            <v>ESPINOZA SOLORZANO EDGAR ISAAC</v>
          </cell>
          <cell r="H2030" t="str">
            <v>09051413</v>
          </cell>
          <cell r="I2030" t="str">
            <v>BBVA</v>
          </cell>
          <cell r="J2030" t="str">
            <v>001103420200505956</v>
          </cell>
          <cell r="K2030" t="str">
            <v>DNI</v>
          </cell>
          <cell r="L2030">
            <v>10090514135</v>
          </cell>
          <cell r="M2030" t="str">
            <v>URBANO</v>
          </cell>
          <cell r="N2030">
            <v>45519</v>
          </cell>
          <cell r="O2030">
            <v>0</v>
          </cell>
          <cell r="P2030" t="str">
            <v>LITE</v>
          </cell>
        </row>
        <row r="2031">
          <cell r="A2031">
            <v>9557</v>
          </cell>
          <cell r="B2031">
            <v>9557</v>
          </cell>
          <cell r="C2031" t="str">
            <v>CERO MATRICULA</v>
          </cell>
          <cell r="D2031" t="str">
            <v>ACTIVO</v>
          </cell>
          <cell r="E2031" t="str">
            <v>CMT181</v>
          </cell>
          <cell r="F2031" t="str">
            <v>Dedios Rumiche Jose Pablo</v>
          </cell>
          <cell r="G2031" t="str">
            <v>DEDIOS RUMICHE JOSE PABLO</v>
          </cell>
          <cell r="H2031" t="str">
            <v>02834098</v>
          </cell>
          <cell r="I2031" t="str">
            <v>BCP</v>
          </cell>
          <cell r="J2031" t="str">
            <v>19201143770022</v>
          </cell>
          <cell r="K2031" t="str">
            <v>DNI</v>
          </cell>
          <cell r="L2031">
            <v>10028340988</v>
          </cell>
          <cell r="M2031" t="str">
            <v>AEROLINEAS</v>
          </cell>
          <cell r="N2031">
            <v>45519</v>
          </cell>
          <cell r="O2031">
            <v>0</v>
          </cell>
          <cell r="P2031" t="str">
            <v>COMFORT XL</v>
          </cell>
        </row>
        <row r="2032">
          <cell r="A2032">
            <v>9559</v>
          </cell>
          <cell r="B2032">
            <v>9559</v>
          </cell>
          <cell r="C2032" t="str">
            <v>CERO MATRICULA</v>
          </cell>
          <cell r="D2032" t="str">
            <v>ACTIVO</v>
          </cell>
          <cell r="E2032" t="str">
            <v>BHO532</v>
          </cell>
          <cell r="F2032" t="str">
            <v>Mueras Vera Luis Demetrio</v>
          </cell>
          <cell r="G2032" t="str">
            <v xml:space="preserve"> MUERAS CAMPOS GENESIS PATRICIA</v>
          </cell>
          <cell r="H2032" t="str">
            <v>71738533</v>
          </cell>
          <cell r="I2032" t="str">
            <v>BCP</v>
          </cell>
          <cell r="J2032" t="str">
            <v>19100481743008</v>
          </cell>
          <cell r="K2032" t="str">
            <v>DNI</v>
          </cell>
          <cell r="L2032">
            <v>10717385336</v>
          </cell>
          <cell r="M2032" t="str">
            <v>URBANO</v>
          </cell>
          <cell r="N2032">
            <v>45519</v>
          </cell>
          <cell r="O2032">
            <v>0</v>
          </cell>
          <cell r="P2032" t="str">
            <v>COMFORT XL</v>
          </cell>
        </row>
        <row r="2033">
          <cell r="A2033">
            <v>9561</v>
          </cell>
          <cell r="B2033">
            <v>9561</v>
          </cell>
          <cell r="C2033" t="str">
            <v>CERO MATRICULA</v>
          </cell>
          <cell r="D2033" t="str">
            <v>ACTIVO</v>
          </cell>
          <cell r="E2033">
            <v>0</v>
          </cell>
          <cell r="F2033" t="str">
            <v xml:space="preserve">WENSJOE TITO  DAVID </v>
          </cell>
          <cell r="G2033" t="str">
            <v xml:space="preserve">WENSJOE TITO  DAVID </v>
          </cell>
          <cell r="H2033" t="str">
            <v>10803657</v>
          </cell>
          <cell r="I2033" t="str">
            <v>BCP</v>
          </cell>
          <cell r="J2033" t="str">
            <v>191-96166421-0-97</v>
          </cell>
          <cell r="K2033" t="str">
            <v>DNI</v>
          </cell>
          <cell r="L2033">
            <v>10108036571</v>
          </cell>
          <cell r="M2033" t="str">
            <v>URBANO</v>
          </cell>
          <cell r="N2033">
            <v>45376</v>
          </cell>
          <cell r="O2033">
            <v>0</v>
          </cell>
          <cell r="P2033" t="str">
            <v>LITE</v>
          </cell>
        </row>
        <row r="2034">
          <cell r="A2034">
            <v>9567</v>
          </cell>
          <cell r="B2034">
            <v>9567</v>
          </cell>
          <cell r="C2034" t="str">
            <v>CERO MATRICULA</v>
          </cell>
          <cell r="D2034" t="str">
            <v>ACTIVO</v>
          </cell>
          <cell r="E2034" t="str">
            <v>CMA642</v>
          </cell>
          <cell r="F2034" t="str">
            <v>Sarmiento Burgos Edwin Carlos</v>
          </cell>
          <cell r="G2034" t="str">
            <v>SARMIENTO BURGOS EDWIN CARLOS</v>
          </cell>
          <cell r="H2034" t="str">
            <v>09829870</v>
          </cell>
          <cell r="I2034" t="str">
            <v>BCP</v>
          </cell>
          <cell r="J2034" t="str">
            <v>19106015832097</v>
          </cell>
          <cell r="K2034" t="str">
            <v>DNI</v>
          </cell>
          <cell r="L2034">
            <v>15418948229</v>
          </cell>
          <cell r="M2034" t="str">
            <v>AEROLINEAS</v>
          </cell>
          <cell r="N2034">
            <v>45519</v>
          </cell>
          <cell r="O2034">
            <v>0</v>
          </cell>
          <cell r="P2034" t="str">
            <v>COMFORT</v>
          </cell>
        </row>
        <row r="2035">
          <cell r="A2035">
            <v>9570</v>
          </cell>
          <cell r="B2035">
            <v>9570</v>
          </cell>
          <cell r="C2035" t="str">
            <v>CERO MATRICULA</v>
          </cell>
          <cell r="D2035" t="str">
            <v>ACTIVO</v>
          </cell>
          <cell r="E2035" t="str">
            <v>ALY165</v>
          </cell>
          <cell r="F2035" t="str">
            <v>Yale Suárez LUIS ALBINO</v>
          </cell>
          <cell r="G2035" t="str">
            <v>SUAREZ ROMERO GLORIA PILAR</v>
          </cell>
          <cell r="H2035">
            <v>10258286</v>
          </cell>
          <cell r="I2035" t="str">
            <v>BBVA</v>
          </cell>
          <cell r="J2035" t="str">
            <v>001101460200331839</v>
          </cell>
          <cell r="K2035" t="str">
            <v>DNI</v>
          </cell>
          <cell r="L2035">
            <v>10102582867</v>
          </cell>
          <cell r="M2035" t="str">
            <v>URBANO</v>
          </cell>
          <cell r="N2035">
            <v>45517</v>
          </cell>
          <cell r="O2035">
            <v>0</v>
          </cell>
          <cell r="P2035" t="str">
            <v>LITE</v>
          </cell>
        </row>
        <row r="2036">
          <cell r="A2036">
            <v>9571</v>
          </cell>
          <cell r="B2036">
            <v>9571</v>
          </cell>
          <cell r="C2036" t="str">
            <v>CERO MATRICULA</v>
          </cell>
          <cell r="D2036" t="str">
            <v>ACTIVO</v>
          </cell>
          <cell r="E2036" t="str">
            <v>CML015</v>
          </cell>
          <cell r="F2036" t="str">
            <v>BARJA PAREDES ROLANDO</v>
          </cell>
          <cell r="G2036" t="str">
            <v xml:space="preserve"> BARJA PAREDES ROLANDO</v>
          </cell>
          <cell r="H2036" t="str">
            <v>21110540</v>
          </cell>
          <cell r="I2036" t="str">
            <v>BCP</v>
          </cell>
          <cell r="J2036" t="str">
            <v>19100714957077</v>
          </cell>
          <cell r="K2036" t="str">
            <v>DNI</v>
          </cell>
          <cell r="L2036">
            <v>10211105408</v>
          </cell>
          <cell r="M2036" t="str">
            <v>AEROLINEAS</v>
          </cell>
          <cell r="N2036">
            <v>45519</v>
          </cell>
          <cell r="O2036">
            <v>0</v>
          </cell>
          <cell r="P2036" t="str">
            <v>VAN</v>
          </cell>
        </row>
        <row r="2037">
          <cell r="A2037">
            <v>9573</v>
          </cell>
          <cell r="B2037">
            <v>9573</v>
          </cell>
          <cell r="C2037" t="str">
            <v>CERO MATRICULA</v>
          </cell>
          <cell r="D2037" t="str">
            <v>ACTIVO</v>
          </cell>
          <cell r="E2037" t="str">
            <v>BSS345</v>
          </cell>
          <cell r="F2037" t="str">
            <v>Aspilcueta Briceño Alexander raphael</v>
          </cell>
          <cell r="G2037" t="str">
            <v>ALEXANDER INVERSIONES PERUANAS E.I.R.L.</v>
          </cell>
          <cell r="H2037"/>
          <cell r="I2037" t="str">
            <v>BCP</v>
          </cell>
          <cell r="J2037" t="str">
            <v>1918421285083</v>
          </cell>
          <cell r="K2037"/>
          <cell r="L2037">
            <v>20545967317</v>
          </cell>
          <cell r="M2037" t="str">
            <v>AEROLINEAS</v>
          </cell>
          <cell r="N2037">
            <v>45519</v>
          </cell>
          <cell r="O2037">
            <v>0</v>
          </cell>
          <cell r="P2037" t="str">
            <v>XL</v>
          </cell>
        </row>
        <row r="2038">
          <cell r="A2038">
            <v>9574</v>
          </cell>
          <cell r="B2038">
            <v>9574</v>
          </cell>
          <cell r="C2038" t="str">
            <v>CERO MATRICULA</v>
          </cell>
          <cell r="D2038" t="str">
            <v>ACTIVO</v>
          </cell>
          <cell r="E2038" t="str">
            <v>H2H504</v>
          </cell>
          <cell r="F2038" t="str">
            <v>Campos Ñiño Wilfredo Campos</v>
          </cell>
          <cell r="G2038" t="str">
            <v>CAMPOS NIÑO WILFREDO</v>
          </cell>
          <cell r="H2038" t="str">
            <v>004929337</v>
          </cell>
          <cell r="I2038" t="str">
            <v>BCP</v>
          </cell>
          <cell r="J2038" t="str">
            <v>19404848862038</v>
          </cell>
          <cell r="K2038" t="str">
            <v>CE</v>
          </cell>
          <cell r="L2038">
            <v>15608943690</v>
          </cell>
          <cell r="M2038" t="str">
            <v>AEROPUERTO</v>
          </cell>
          <cell r="N2038">
            <v>45519</v>
          </cell>
          <cell r="O2038">
            <v>265</v>
          </cell>
          <cell r="P2038" t="str">
            <v>LITE</v>
          </cell>
        </row>
        <row r="2039">
          <cell r="A2039">
            <v>9575</v>
          </cell>
          <cell r="B2039">
            <v>9575</v>
          </cell>
          <cell r="C2039" t="str">
            <v>CERO MATRICULA</v>
          </cell>
          <cell r="D2039" t="str">
            <v>ACTIVO</v>
          </cell>
          <cell r="E2039" t="str">
            <v>BUZ053</v>
          </cell>
          <cell r="F2039" t="str">
            <v>ESCRIBA SALAS JORGE LUIS</v>
          </cell>
          <cell r="G2039" t="str">
            <v>ESCRIBA SALAS JORGE LUIS</v>
          </cell>
          <cell r="H2039" t="str">
            <v>09532507</v>
          </cell>
          <cell r="I2039" t="str">
            <v>BBVA</v>
          </cell>
          <cell r="J2039" t="str">
            <v>001100570235132495</v>
          </cell>
          <cell r="K2039" t="str">
            <v>CE</v>
          </cell>
          <cell r="L2039">
            <v>10095325071</v>
          </cell>
          <cell r="M2039" t="str">
            <v>AEROPUERTO</v>
          </cell>
          <cell r="N2039">
            <v>45519</v>
          </cell>
          <cell r="O2039">
            <v>235</v>
          </cell>
          <cell r="P2039" t="str">
            <v>COMFORT XL</v>
          </cell>
        </row>
        <row r="2040">
          <cell r="A2040">
            <v>9584</v>
          </cell>
          <cell r="B2040">
            <v>9584</v>
          </cell>
          <cell r="C2040" t="str">
            <v>CERO MATRICULA</v>
          </cell>
          <cell r="D2040" t="str">
            <v>ACTIVO</v>
          </cell>
          <cell r="E2040" t="str">
            <v>CMG271</v>
          </cell>
          <cell r="F2040" t="str">
            <v>Oviedo Heredia Juan Alejandro</v>
          </cell>
          <cell r="G2040" t="str">
            <v>OVIEDO HEREDIA JUAN ALEJANDRO</v>
          </cell>
          <cell r="H2040" t="str">
            <v>76246475</v>
          </cell>
          <cell r="I2040" t="str">
            <v>INTERBANK</v>
          </cell>
          <cell r="J2040" t="str">
            <v>8983429219819</v>
          </cell>
          <cell r="K2040" t="str">
            <v>DNI</v>
          </cell>
          <cell r="L2040">
            <v>10762464751</v>
          </cell>
          <cell r="M2040" t="str">
            <v>AEROLINEAS</v>
          </cell>
          <cell r="N2040">
            <v>45519</v>
          </cell>
          <cell r="O2040">
            <v>0</v>
          </cell>
          <cell r="P2040" t="str">
            <v>LITE</v>
          </cell>
        </row>
        <row r="2041">
          <cell r="A2041">
            <v>9585</v>
          </cell>
          <cell r="B2041">
            <v>9585</v>
          </cell>
          <cell r="C2041" t="str">
            <v>CERO MATRICULA</v>
          </cell>
          <cell r="D2041" t="str">
            <v>ACTIVO</v>
          </cell>
          <cell r="E2041" t="str">
            <v>CLL644</v>
          </cell>
          <cell r="F2041" t="str">
            <v>More Velasquez Kevin Paul</v>
          </cell>
          <cell r="G2041" t="str">
            <v>MORE VELASQUEZ KEVIN PAUL</v>
          </cell>
          <cell r="H2041" t="str">
            <v>70099938</v>
          </cell>
          <cell r="I2041" t="str">
            <v>BBVA</v>
          </cell>
          <cell r="J2041" t="str">
            <v>001108140216921246</v>
          </cell>
          <cell r="K2041" t="str">
            <v>DNI</v>
          </cell>
          <cell r="L2041">
            <v>10700999381</v>
          </cell>
          <cell r="M2041" t="str">
            <v>URBANO</v>
          </cell>
          <cell r="N2041">
            <v>45519</v>
          </cell>
          <cell r="O2041">
            <v>0</v>
          </cell>
          <cell r="P2041" t="str">
            <v>COMFORT XL</v>
          </cell>
        </row>
        <row r="2042">
          <cell r="A2042">
            <v>9592</v>
          </cell>
          <cell r="B2042">
            <v>9592</v>
          </cell>
          <cell r="C2042" t="str">
            <v>CERO MATRICULA</v>
          </cell>
          <cell r="D2042" t="str">
            <v>ACTIVO</v>
          </cell>
          <cell r="E2042" t="str">
            <v>ACR591</v>
          </cell>
          <cell r="F2042" t="str">
            <v>Ruiz Quispe Jose jared</v>
          </cell>
          <cell r="G2042" t="str">
            <v>RUIZ QUISPE JOSE JARED</v>
          </cell>
          <cell r="H2042" t="str">
            <v>75922877</v>
          </cell>
          <cell r="I2042" t="str">
            <v>BCP</v>
          </cell>
          <cell r="J2042" t="str">
            <v>19202381451005</v>
          </cell>
          <cell r="K2042" t="str">
            <v>DNI</v>
          </cell>
          <cell r="L2042">
            <v>10759228770</v>
          </cell>
          <cell r="M2042" t="str">
            <v>AEROLINEAS</v>
          </cell>
          <cell r="N2042">
            <v>45519</v>
          </cell>
          <cell r="O2042">
            <v>0</v>
          </cell>
          <cell r="P2042" t="str">
            <v>COMFORT</v>
          </cell>
        </row>
        <row r="2043">
          <cell r="A2043">
            <v>9593</v>
          </cell>
          <cell r="B2043">
            <v>9593</v>
          </cell>
          <cell r="C2043" t="str">
            <v>CERO MATRICULA</v>
          </cell>
          <cell r="D2043" t="str">
            <v>ACTIVO</v>
          </cell>
          <cell r="E2043" t="str">
            <v>CLW540</v>
          </cell>
          <cell r="F2043" t="str">
            <v>Quintana Solorzano Claudio Antonio</v>
          </cell>
          <cell r="G2043" t="str">
            <v>QUINTANA SOLORZANO CLAUDIO ANTONIO</v>
          </cell>
          <cell r="H2043" t="str">
            <v>42721726</v>
          </cell>
          <cell r="I2043" t="str">
            <v>BBVA</v>
          </cell>
          <cell r="J2043" t="str">
            <v>001108140248706630</v>
          </cell>
          <cell r="K2043" t="str">
            <v>DNI</v>
          </cell>
          <cell r="L2043">
            <v>10427217260</v>
          </cell>
          <cell r="M2043" t="str">
            <v>URBANO</v>
          </cell>
          <cell r="N2043">
            <v>45519</v>
          </cell>
          <cell r="O2043">
            <v>0</v>
          </cell>
          <cell r="P2043" t="str">
            <v>COMFORT XL</v>
          </cell>
        </row>
        <row r="2044">
          <cell r="A2044">
            <v>9599</v>
          </cell>
          <cell r="B2044">
            <v>9599</v>
          </cell>
          <cell r="C2044" t="str">
            <v>CERO MATRICULA</v>
          </cell>
          <cell r="D2044" t="str">
            <v>ACTIVO</v>
          </cell>
          <cell r="E2044" t="str">
            <v>CEL257</v>
          </cell>
          <cell r="F2044" t="str">
            <v>ESPINOZA TORRES CARLOS CRISTIAN</v>
          </cell>
          <cell r="G2044" t="str">
            <v>ESPINOZA TORRES CARLOS CRISTIAN</v>
          </cell>
          <cell r="H2044" t="str">
            <v>09630627</v>
          </cell>
          <cell r="I2044" t="str">
            <v>INTERBANK</v>
          </cell>
          <cell r="J2044" t="str">
            <v>3763371893913</v>
          </cell>
          <cell r="K2044" t="str">
            <v>DNI</v>
          </cell>
          <cell r="L2044">
            <v>10096306275</v>
          </cell>
          <cell r="M2044" t="str">
            <v>URBANO</v>
          </cell>
          <cell r="N2044">
            <v>45519</v>
          </cell>
          <cell r="O2044">
            <v>0</v>
          </cell>
          <cell r="P2044" t="str">
            <v>LITE</v>
          </cell>
        </row>
        <row r="2045">
          <cell r="A2045">
            <v>9600</v>
          </cell>
          <cell r="B2045">
            <v>9600</v>
          </cell>
          <cell r="C2045" t="str">
            <v>CERO MATRICULA</v>
          </cell>
          <cell r="D2045" t="str">
            <v>ACTIVO</v>
          </cell>
          <cell r="E2045" t="str">
            <v>BAD024</v>
          </cell>
          <cell r="F2045" t="str">
            <v>CORDOVA NAVARRO SANTIAGO ALEXANDER</v>
          </cell>
          <cell r="G2045" t="str">
            <v>CORDOVA NAVARRO SANTIAGO ALEXANDER</v>
          </cell>
          <cell r="H2045" t="str">
            <v>42806158</v>
          </cell>
          <cell r="I2045" t="str">
            <v>BBVA</v>
          </cell>
          <cell r="J2045" t="str">
            <v>0011-0814-0232378595</v>
          </cell>
          <cell r="K2045" t="str">
            <v xml:space="preserve">DNI </v>
          </cell>
          <cell r="L2045">
            <v>10428061581</v>
          </cell>
          <cell r="M2045" t="str">
            <v>URBANO</v>
          </cell>
          <cell r="N2045">
            <v>44895</v>
          </cell>
          <cell r="O2045">
            <v>0</v>
          </cell>
          <cell r="P2045" t="str">
            <v>LITE</v>
          </cell>
        </row>
        <row r="2046">
          <cell r="A2046">
            <v>9605</v>
          </cell>
          <cell r="B2046">
            <v>9605</v>
          </cell>
          <cell r="C2046" t="str">
            <v>CERO MATRICULA</v>
          </cell>
          <cell r="D2046" t="str">
            <v>ACTIVO</v>
          </cell>
          <cell r="E2046" t="str">
            <v>CBG487</v>
          </cell>
          <cell r="F2046" t="str">
            <v>Farfan Salazar Luis Enrique</v>
          </cell>
          <cell r="G2046" t="str">
            <v>FARFAN SALAZAR LUIS ENRIQUE</v>
          </cell>
          <cell r="H2046" t="str">
            <v>42266932</v>
          </cell>
          <cell r="I2046" t="str">
            <v>BCP</v>
          </cell>
          <cell r="J2046" t="str">
            <v>19130243330017</v>
          </cell>
          <cell r="K2046" t="str">
            <v>DNI</v>
          </cell>
          <cell r="L2046">
            <v>10422669324</v>
          </cell>
          <cell r="M2046" t="str">
            <v>URBANO PARTNER</v>
          </cell>
          <cell r="N2046">
            <v>45520</v>
          </cell>
          <cell r="O2046">
            <v>0</v>
          </cell>
          <cell r="P2046" t="str">
            <v>COMFORT XL</v>
          </cell>
        </row>
        <row r="2047">
          <cell r="A2047">
            <v>9606</v>
          </cell>
          <cell r="B2047">
            <v>9606</v>
          </cell>
          <cell r="C2047" t="str">
            <v>CERO MATRICULA</v>
          </cell>
          <cell r="D2047" t="str">
            <v>ACTIVO</v>
          </cell>
          <cell r="E2047" t="str">
            <v>CCI437</v>
          </cell>
          <cell r="F2047" t="str">
            <v>PONTE RAMOS JOHNNY ALEJANDRO</v>
          </cell>
          <cell r="G2047" t="str">
            <v>PONTE RAMOS JOHNNY ALEJANDRO</v>
          </cell>
          <cell r="H2047" t="str">
            <v>09687321</v>
          </cell>
          <cell r="I2047" t="str">
            <v>BCP</v>
          </cell>
          <cell r="J2047" t="str">
            <v>19198969884076</v>
          </cell>
          <cell r="K2047" t="str">
            <v>DNI</v>
          </cell>
          <cell r="L2047">
            <v>10096873218</v>
          </cell>
          <cell r="M2047" t="str">
            <v>URBANO</v>
          </cell>
          <cell r="N2047">
            <v>45523</v>
          </cell>
          <cell r="O2047">
            <v>0</v>
          </cell>
          <cell r="P2047" t="str">
            <v>COMFORT XL</v>
          </cell>
        </row>
        <row r="2048">
          <cell r="A2048">
            <v>9607</v>
          </cell>
          <cell r="B2048">
            <v>9607</v>
          </cell>
          <cell r="C2048" t="str">
            <v>CERO MATRICULA</v>
          </cell>
          <cell r="D2048" t="str">
            <v>ACTIVO</v>
          </cell>
          <cell r="E2048" t="str">
            <v>BVV176</v>
          </cell>
          <cell r="F2048" t="str">
            <v>Tasso Chipoco Marco Antonio</v>
          </cell>
          <cell r="G2048" t="str">
            <v>ROJAS SANCHEZ MARIA ELENA</v>
          </cell>
          <cell r="H2048">
            <v>10881825</v>
          </cell>
          <cell r="I2048" t="str">
            <v>BBVA</v>
          </cell>
          <cell r="J2048" t="str">
            <v>001108140239135736</v>
          </cell>
          <cell r="K2048" t="str">
            <v>DNI</v>
          </cell>
          <cell r="L2048">
            <v>10108818251</v>
          </cell>
          <cell r="M2048" t="str">
            <v>URBANO PARTNER</v>
          </cell>
          <cell r="N2048">
            <v>45523</v>
          </cell>
          <cell r="O2048">
            <v>0</v>
          </cell>
          <cell r="P2048" t="str">
            <v>LITE</v>
          </cell>
        </row>
        <row r="2049">
          <cell r="A2049">
            <v>9608</v>
          </cell>
          <cell r="B2049">
            <v>9608</v>
          </cell>
          <cell r="C2049" t="str">
            <v>CERO MATRICULA</v>
          </cell>
          <cell r="D2049" t="str">
            <v>ACTIVO</v>
          </cell>
          <cell r="E2049" t="str">
            <v>BDF401</v>
          </cell>
          <cell r="F2049" t="str">
            <v>Vite Miranda Juan Adolfo</v>
          </cell>
          <cell r="G2049" t="str">
            <v>VITE MIRANDA JUAN ADOLFO</v>
          </cell>
          <cell r="H2049" t="str">
            <v>09937346</v>
          </cell>
          <cell r="I2049" t="str">
            <v>BCP</v>
          </cell>
          <cell r="J2049" t="str">
            <v>19337492438048</v>
          </cell>
          <cell r="K2049" t="str">
            <v>DNI</v>
          </cell>
          <cell r="L2049">
            <v>10099373461</v>
          </cell>
          <cell r="M2049" t="str">
            <v>URBANO</v>
          </cell>
          <cell r="N2049">
            <v>45523</v>
          </cell>
          <cell r="O2049">
            <v>0</v>
          </cell>
          <cell r="P2049" t="str">
            <v>LITE</v>
          </cell>
        </row>
        <row r="2050">
          <cell r="A2050">
            <v>9609</v>
          </cell>
          <cell r="B2050">
            <v>9609</v>
          </cell>
          <cell r="C2050" t="str">
            <v>CERO MATRICULA</v>
          </cell>
          <cell r="D2050" t="str">
            <v>ACTIVO</v>
          </cell>
          <cell r="E2050" t="str">
            <v>BES217</v>
          </cell>
          <cell r="F2050" t="str">
            <v>Escudero Egusquiza Felix Luis</v>
          </cell>
          <cell r="G2050" t="str">
            <v>LOAYZA PORTUGAL DE ESCUDERO LUISA SOCORRO</v>
          </cell>
          <cell r="H2050" t="str">
            <v>07230457</v>
          </cell>
          <cell r="I2050" t="str">
            <v>BCP</v>
          </cell>
          <cell r="J2050" t="str">
            <v>19300416590096</v>
          </cell>
          <cell r="K2050" t="str">
            <v>DNI</v>
          </cell>
          <cell r="L2050">
            <v>10072304573</v>
          </cell>
          <cell r="M2050" t="str">
            <v>URBANO</v>
          </cell>
          <cell r="N2050">
            <v>45523</v>
          </cell>
          <cell r="O2050">
            <v>0</v>
          </cell>
          <cell r="P2050" t="str">
            <v>LITE</v>
          </cell>
        </row>
        <row r="2051">
          <cell r="A2051">
            <v>9611</v>
          </cell>
          <cell r="B2051">
            <v>9611</v>
          </cell>
          <cell r="C2051" t="str">
            <v>CERO MATRICULA</v>
          </cell>
          <cell r="D2051" t="str">
            <v>ACTIVO</v>
          </cell>
          <cell r="E2051" t="str">
            <v>ASX590</v>
          </cell>
          <cell r="F2051" t="str">
            <v>Rodas Matias Sebastian Alberto</v>
          </cell>
          <cell r="G2051" t="str">
            <v>RODAS MATIAS SEBASTIAN ALBERTO</v>
          </cell>
          <cell r="H2051" t="str">
            <v>76594425</v>
          </cell>
          <cell r="I2051" t="str">
            <v>BCP</v>
          </cell>
          <cell r="J2051" t="str">
            <v>19490764391000</v>
          </cell>
          <cell r="K2051" t="str">
            <v>DNI</v>
          </cell>
          <cell r="L2051">
            <v>10765944258</v>
          </cell>
          <cell r="M2051" t="str">
            <v>URBANO</v>
          </cell>
          <cell r="N2051">
            <v>45532</v>
          </cell>
          <cell r="O2051">
            <v>0</v>
          </cell>
          <cell r="P2051" t="str">
            <v>COMFORT</v>
          </cell>
        </row>
        <row r="2052">
          <cell r="A2052">
            <v>9612</v>
          </cell>
          <cell r="B2052">
            <v>9612</v>
          </cell>
          <cell r="C2052" t="str">
            <v>CERO MATRICULA</v>
          </cell>
          <cell r="D2052" t="str">
            <v>ACTIVO</v>
          </cell>
          <cell r="E2052" t="str">
            <v>BZS915</v>
          </cell>
          <cell r="F2052" t="str">
            <v>via Alzamora Edgard Aaron</v>
          </cell>
          <cell r="G2052" t="str">
            <v>VIA ALZAMORA EDGARD AARON</v>
          </cell>
          <cell r="H2052" t="str">
            <v>72692906</v>
          </cell>
          <cell r="I2052" t="str">
            <v>BCP</v>
          </cell>
          <cell r="J2052" t="str">
            <v>19109255725016</v>
          </cell>
          <cell r="K2052" t="str">
            <v>DNI</v>
          </cell>
          <cell r="L2052">
            <v>10726929063</v>
          </cell>
          <cell r="M2052" t="str">
            <v>AEROLINEAS</v>
          </cell>
          <cell r="N2052">
            <v>45526</v>
          </cell>
          <cell r="O2052">
            <v>0</v>
          </cell>
          <cell r="P2052" t="str">
            <v>COMFORT XL</v>
          </cell>
        </row>
        <row r="2053">
          <cell r="A2053">
            <v>9613</v>
          </cell>
          <cell r="B2053">
            <v>9613</v>
          </cell>
          <cell r="C2053" t="str">
            <v>CERO MATRICULA</v>
          </cell>
          <cell r="D2053" t="str">
            <v>ACTIVO</v>
          </cell>
          <cell r="E2053" t="str">
            <v>BZA422</v>
          </cell>
          <cell r="F2053" t="str">
            <v>Dieudonne Contreras Roosevelt esben</v>
          </cell>
          <cell r="G2053" t="str">
            <v>DIEUDONNE CONTRERAS ROOSEVELT ESBEN</v>
          </cell>
          <cell r="H2053" t="str">
            <v>003981841</v>
          </cell>
          <cell r="I2053" t="str">
            <v>INTERBANK</v>
          </cell>
          <cell r="J2053" t="str">
            <v>4393267448440</v>
          </cell>
          <cell r="K2053" t="str">
            <v>CE</v>
          </cell>
          <cell r="L2053">
            <v>15611866019</v>
          </cell>
          <cell r="M2053" t="str">
            <v>AEROLINEAS</v>
          </cell>
          <cell r="N2053">
            <v>45526</v>
          </cell>
          <cell r="O2053">
            <v>0</v>
          </cell>
          <cell r="P2053" t="str">
            <v>COMFORT</v>
          </cell>
        </row>
        <row r="2054">
          <cell r="A2054">
            <v>9614</v>
          </cell>
          <cell r="B2054">
            <v>9614</v>
          </cell>
          <cell r="C2054" t="str">
            <v>CERO MATRICULA</v>
          </cell>
          <cell r="D2054" t="str">
            <v>ACTIVO</v>
          </cell>
          <cell r="E2054" t="str">
            <v>D9P540</v>
          </cell>
          <cell r="F2054" t="str">
            <v>RIVERA ALIAGA JOSE FAUSTO</v>
          </cell>
          <cell r="G2054" t="str">
            <v>José Fausto Rivera Aliaga</v>
          </cell>
          <cell r="H2054" t="str">
            <v>41472450</v>
          </cell>
          <cell r="I2054" t="str">
            <v>BCP</v>
          </cell>
          <cell r="J2054" t="str">
            <v>19139829650067</v>
          </cell>
          <cell r="K2054" t="str">
            <v>DNI</v>
          </cell>
          <cell r="L2054">
            <v>10414724502</v>
          </cell>
          <cell r="M2054" t="str">
            <v>URBANO PARTNER</v>
          </cell>
          <cell r="N2054">
            <v>45532</v>
          </cell>
          <cell r="O2054">
            <v>0</v>
          </cell>
          <cell r="P2054" t="str">
            <v>COMFORT</v>
          </cell>
        </row>
        <row r="2055">
          <cell r="A2055">
            <v>9615</v>
          </cell>
          <cell r="B2055">
            <v>9615</v>
          </cell>
          <cell r="C2055" t="str">
            <v>CERO MATRICULA</v>
          </cell>
          <cell r="D2055" t="str">
            <v>ACTIVO</v>
          </cell>
          <cell r="E2055" t="str">
            <v>BJD387</v>
          </cell>
          <cell r="F2055" t="str">
            <v>HUAMANI ROMÁN José Antonio</v>
          </cell>
          <cell r="G2055" t="str">
            <v>HUAMANI ROMAN JOSE ANTONIO</v>
          </cell>
          <cell r="H2055" t="str">
            <v>07472880</v>
          </cell>
          <cell r="I2055" t="str">
            <v>BCP</v>
          </cell>
          <cell r="J2055" t="str">
            <v>19306989231027</v>
          </cell>
          <cell r="K2055" t="str">
            <v>DNI</v>
          </cell>
          <cell r="L2055">
            <v>15309730469</v>
          </cell>
          <cell r="M2055" t="str">
            <v>URBANO</v>
          </cell>
          <cell r="N2055">
            <v>45526</v>
          </cell>
          <cell r="O2055">
            <v>0</v>
          </cell>
          <cell r="P2055" t="str">
            <v>COMFORT XL</v>
          </cell>
        </row>
        <row r="2056">
          <cell r="A2056">
            <v>9616</v>
          </cell>
          <cell r="B2056">
            <v>9616</v>
          </cell>
          <cell r="C2056" t="str">
            <v>CERO MATRICULA</v>
          </cell>
          <cell r="D2056" t="str">
            <v>ACTIVO</v>
          </cell>
          <cell r="E2056" t="str">
            <v>AEX165</v>
          </cell>
          <cell r="F2056" t="str">
            <v>Leon Pretell Freddy Antonio</v>
          </cell>
          <cell r="G2056" t="str">
            <v>LEON PRETELL FREDDY ANTONIO</v>
          </cell>
          <cell r="H2056" t="str">
            <v>45119548</v>
          </cell>
          <cell r="I2056" t="str">
            <v>BCP</v>
          </cell>
          <cell r="J2056" t="str">
            <v>19294376081072</v>
          </cell>
          <cell r="K2056" t="str">
            <v>DNI</v>
          </cell>
          <cell r="L2056">
            <v>10451195480</v>
          </cell>
          <cell r="M2056" t="str">
            <v>URBANO</v>
          </cell>
          <cell r="N2056">
            <v>45526</v>
          </cell>
          <cell r="O2056">
            <v>0</v>
          </cell>
          <cell r="P2056" t="str">
            <v>COMFORT XL</v>
          </cell>
        </row>
        <row r="2057">
          <cell r="A2057">
            <v>9617</v>
          </cell>
          <cell r="B2057">
            <v>9617</v>
          </cell>
          <cell r="C2057" t="str">
            <v>CERO MATRICULA</v>
          </cell>
          <cell r="D2057" t="str">
            <v>ACTIVO</v>
          </cell>
          <cell r="E2057" t="str">
            <v>CMB350</v>
          </cell>
          <cell r="F2057" t="str">
            <v>Barrera Córdova William Kiler</v>
          </cell>
          <cell r="G2057" t="str">
            <v>Adriana Sofia Milagros Barrera Robladillo</v>
          </cell>
          <cell r="H2057" t="str">
            <v>72218659</v>
          </cell>
          <cell r="I2057" t="str">
            <v>BCP</v>
          </cell>
          <cell r="J2057" t="str">
            <v>19274188206080</v>
          </cell>
          <cell r="K2057" t="str">
            <v>DNI</v>
          </cell>
          <cell r="L2057">
            <v>10722186597</v>
          </cell>
          <cell r="M2057" t="str">
            <v>URBANO</v>
          </cell>
          <cell r="N2057">
            <v>45526</v>
          </cell>
          <cell r="O2057">
            <v>0</v>
          </cell>
          <cell r="P2057" t="str">
            <v>COMFORT XL</v>
          </cell>
        </row>
        <row r="2058">
          <cell r="A2058">
            <v>9618</v>
          </cell>
          <cell r="B2058">
            <v>9618</v>
          </cell>
          <cell r="C2058" t="str">
            <v>CERO MATRICULA</v>
          </cell>
          <cell r="D2058" t="str">
            <v>ACTIVO</v>
          </cell>
          <cell r="E2058" t="str">
            <v>CHJ003</v>
          </cell>
          <cell r="F2058" t="str">
            <v>Usaita Pacheco Luis Alberto</v>
          </cell>
          <cell r="G2058" t="str">
            <v>TARDILLO MARCOS MAGALY MAXIMA</v>
          </cell>
          <cell r="H2058">
            <v>10025563</v>
          </cell>
          <cell r="I2058" t="str">
            <v>BCP</v>
          </cell>
          <cell r="J2058" t="str">
            <v>19174687823043</v>
          </cell>
          <cell r="K2058" t="str">
            <v>DNI</v>
          </cell>
          <cell r="L2058">
            <v>10100255630</v>
          </cell>
          <cell r="M2058" t="str">
            <v>AEROLINEAS</v>
          </cell>
          <cell r="N2058">
            <v>45526</v>
          </cell>
          <cell r="O2058">
            <v>0</v>
          </cell>
          <cell r="P2058" t="str">
            <v>COMFORT XL</v>
          </cell>
        </row>
        <row r="2059">
          <cell r="A2059">
            <v>9619</v>
          </cell>
          <cell r="B2059">
            <v>9619</v>
          </cell>
          <cell r="C2059" t="str">
            <v>CERO MATRICULA</v>
          </cell>
          <cell r="D2059" t="str">
            <v>ACTIVO</v>
          </cell>
          <cell r="E2059" t="str">
            <v>CHC300</v>
          </cell>
          <cell r="F2059" t="str">
            <v>ALLCA CRUZATT JEAN PIERRE GUILLERMO</v>
          </cell>
          <cell r="G2059" t="str">
            <v>ALLCA CRUZATT JEAN PIERRE GUILLERMO</v>
          </cell>
          <cell r="H2059" t="str">
            <v>43504449</v>
          </cell>
          <cell r="I2059" t="str">
            <v>INTERBANK</v>
          </cell>
          <cell r="J2059" t="str">
            <v>8983208426410</v>
          </cell>
          <cell r="K2059" t="str">
            <v>DNI</v>
          </cell>
          <cell r="L2059">
            <v>10435044498</v>
          </cell>
          <cell r="M2059" t="str">
            <v>AEROLINEAS</v>
          </cell>
          <cell r="N2059">
            <v>45526</v>
          </cell>
          <cell r="O2059">
            <v>0</v>
          </cell>
          <cell r="P2059" t="str">
            <v>COMFORT XL</v>
          </cell>
        </row>
        <row r="2060">
          <cell r="A2060">
            <v>9620</v>
          </cell>
          <cell r="B2060">
            <v>9620</v>
          </cell>
          <cell r="C2060" t="str">
            <v>CERO MATRICULA</v>
          </cell>
          <cell r="D2060" t="str">
            <v>ACTIVO</v>
          </cell>
          <cell r="E2060" t="str">
            <v>CJD408</v>
          </cell>
          <cell r="F2060" t="str">
            <v>Janampa Torres JORDAN GEFERZON</v>
          </cell>
          <cell r="G2060" t="str">
            <v>JANAMPA TORRES JORDAN GEFERZON</v>
          </cell>
          <cell r="H2060" t="str">
            <v>75084370</v>
          </cell>
          <cell r="I2060" t="str">
            <v>BCP</v>
          </cell>
          <cell r="J2060" t="str">
            <v>19170594876053</v>
          </cell>
          <cell r="K2060" t="str">
            <v>DNI</v>
          </cell>
          <cell r="L2060">
            <v>10750843706</v>
          </cell>
          <cell r="M2060" t="str">
            <v>URBANO PARTNER</v>
          </cell>
          <cell r="N2060">
            <v>45552</v>
          </cell>
          <cell r="O2060">
            <v>0</v>
          </cell>
          <cell r="P2060" t="str">
            <v>XL</v>
          </cell>
        </row>
        <row r="2061">
          <cell r="A2061">
            <v>9621</v>
          </cell>
          <cell r="B2061">
            <v>9621</v>
          </cell>
          <cell r="C2061" t="str">
            <v>CERO MATRICULA</v>
          </cell>
          <cell r="D2061" t="str">
            <v>ACTIVO</v>
          </cell>
          <cell r="E2061" t="str">
            <v>BND484</v>
          </cell>
          <cell r="F2061" t="str">
            <v>BENITES CERNA MIGUEL ARTURO</v>
          </cell>
          <cell r="G2061" t="str">
            <v>BENITES CERNA MIGUEL ARTURO</v>
          </cell>
          <cell r="H2061" t="str">
            <v>07414647</v>
          </cell>
          <cell r="I2061" t="str">
            <v>INTERBANK</v>
          </cell>
          <cell r="J2061" t="str">
            <v>2563210438520</v>
          </cell>
          <cell r="K2061" t="str">
            <v>DNI</v>
          </cell>
          <cell r="L2061">
            <v>10074146479</v>
          </cell>
          <cell r="M2061" t="str">
            <v>AEROLINEAS</v>
          </cell>
          <cell r="N2061">
            <v>45533</v>
          </cell>
          <cell r="O2061">
            <v>0</v>
          </cell>
          <cell r="P2061" t="str">
            <v>COMFORT</v>
          </cell>
        </row>
        <row r="2062">
          <cell r="A2062">
            <v>9623</v>
          </cell>
          <cell r="B2062">
            <v>9623</v>
          </cell>
          <cell r="C2062" t="str">
            <v>CERO MATRICULA</v>
          </cell>
          <cell r="D2062" t="str">
            <v>ACTIVO</v>
          </cell>
          <cell r="E2062" t="str">
            <v>CMH533</v>
          </cell>
          <cell r="F2062" t="str">
            <v xml:space="preserve">ORMEÑO BALVIN Andre rusel </v>
          </cell>
          <cell r="G2062" t="str">
            <v>ORMEÑO BALVIN ANDRE RUSEL</v>
          </cell>
          <cell r="H2062" t="str">
            <v>44255212</v>
          </cell>
          <cell r="I2062" t="str">
            <v>BCP</v>
          </cell>
          <cell r="J2062" t="str">
            <v>19196524917014</v>
          </cell>
          <cell r="K2062" t="str">
            <v>DNI</v>
          </cell>
          <cell r="L2062">
            <v>10442552121</v>
          </cell>
          <cell r="M2062" t="str">
            <v>AEROPUERTO</v>
          </cell>
          <cell r="N2062">
            <v>45532</v>
          </cell>
          <cell r="O2062">
            <v>235</v>
          </cell>
          <cell r="P2062" t="str">
            <v>COMFORT XL</v>
          </cell>
        </row>
        <row r="2063">
          <cell r="A2063">
            <v>9624</v>
          </cell>
          <cell r="B2063">
            <v>9624</v>
          </cell>
          <cell r="C2063" t="str">
            <v>CERO MATRICULA</v>
          </cell>
          <cell r="D2063" t="str">
            <v>ACTIVO</v>
          </cell>
          <cell r="E2063" t="str">
            <v>CMK218</v>
          </cell>
          <cell r="F2063" t="str">
            <v>Sotero Canales Rafael Antonio</v>
          </cell>
          <cell r="G2063" t="str">
            <v>SOTERO CANALES RAFAEL ANTONIO</v>
          </cell>
          <cell r="H2063" t="str">
            <v>40701405</v>
          </cell>
          <cell r="I2063" t="str">
            <v>INTERBANK</v>
          </cell>
          <cell r="J2063" t="str">
            <v>0233152220608</v>
          </cell>
          <cell r="K2063" t="str">
            <v>DNI</v>
          </cell>
          <cell r="L2063">
            <v>10407014052</v>
          </cell>
          <cell r="M2063" t="str">
            <v>AEROPUERTO</v>
          </cell>
          <cell r="N2063">
            <v>45532</v>
          </cell>
          <cell r="O2063">
            <v>235</v>
          </cell>
          <cell r="P2063" t="str">
            <v>COMFORT XL</v>
          </cell>
        </row>
        <row r="2064">
          <cell r="A2064">
            <v>9626</v>
          </cell>
          <cell r="B2064">
            <v>9626</v>
          </cell>
          <cell r="C2064" t="str">
            <v>CERO MATRICULA</v>
          </cell>
          <cell r="D2064" t="str">
            <v>ACTIVO</v>
          </cell>
          <cell r="E2064" t="str">
            <v>BHE414</v>
          </cell>
          <cell r="F2064" t="str">
            <v xml:space="preserve">vega palacios walter fabian </v>
          </cell>
          <cell r="G2064" t="str">
            <v>VEGA PALACIOS WALTER FABIAN</v>
          </cell>
          <cell r="H2064" t="str">
            <v>10359595</v>
          </cell>
          <cell r="I2064" t="str">
            <v>INTERBANK</v>
          </cell>
          <cell r="J2064" t="str">
            <v>4883271309273</v>
          </cell>
          <cell r="K2064" t="str">
            <v>DNI</v>
          </cell>
          <cell r="L2064">
            <v>10103595954</v>
          </cell>
          <cell r="M2064" t="str">
            <v>AEROPUERTO</v>
          </cell>
          <cell r="N2064">
            <v>45532</v>
          </cell>
          <cell r="O2064">
            <v>240</v>
          </cell>
          <cell r="P2064" t="str">
            <v>COMFORT</v>
          </cell>
        </row>
        <row r="2065">
          <cell r="A2065">
            <v>9627</v>
          </cell>
          <cell r="B2065">
            <v>9627</v>
          </cell>
          <cell r="C2065" t="str">
            <v>CERO MATRICULA</v>
          </cell>
          <cell r="D2065" t="str">
            <v>ACTIVO</v>
          </cell>
          <cell r="E2065" t="str">
            <v>Cew553</v>
          </cell>
          <cell r="F2065" t="str">
            <v>Apfata Huayapa Franklin Angel</v>
          </cell>
          <cell r="G2065" t="str">
            <v>CORPORACION HUAPFATA S.A.C.</v>
          </cell>
          <cell r="H2065">
            <v>20602635512</v>
          </cell>
          <cell r="I2065" t="str">
            <v>BCP</v>
          </cell>
          <cell r="J2065" t="str">
            <v>1912472159001</v>
          </cell>
          <cell r="K2065" t="str">
            <v>RUC</v>
          </cell>
          <cell r="L2065">
            <v>20602635512</v>
          </cell>
          <cell r="M2065" t="str">
            <v>URBANO</v>
          </cell>
          <cell r="N2065">
            <v>45532</v>
          </cell>
          <cell r="O2065">
            <v>0</v>
          </cell>
          <cell r="P2065" t="str">
            <v>LITE</v>
          </cell>
        </row>
        <row r="2066">
          <cell r="A2066">
            <v>9628</v>
          </cell>
          <cell r="B2066">
            <v>9628</v>
          </cell>
          <cell r="C2066" t="str">
            <v>CERO MATRICULA</v>
          </cell>
          <cell r="D2066" t="str">
            <v>ACTIVO</v>
          </cell>
          <cell r="E2066" t="str">
            <v>CMR012</v>
          </cell>
          <cell r="F2066" t="str">
            <v>Cabezas Vargas Carlos Alberto</v>
          </cell>
          <cell r="G2066" t="str">
            <v>CABEZAS VARGAS CARLOS ALBERTO</v>
          </cell>
          <cell r="H2066" t="str">
            <v>40592659</v>
          </cell>
          <cell r="I2066" t="str">
            <v>BCP</v>
          </cell>
          <cell r="J2066" t="str">
            <v>19195775272096</v>
          </cell>
          <cell r="K2066" t="str">
            <v>DNI</v>
          </cell>
          <cell r="L2066">
            <v>10405926593</v>
          </cell>
          <cell r="M2066" t="str">
            <v>URBANO</v>
          </cell>
          <cell r="N2066">
            <v>45532</v>
          </cell>
          <cell r="O2066">
            <v>0</v>
          </cell>
          <cell r="P2066" t="str">
            <v>COMFORT XL</v>
          </cell>
        </row>
        <row r="2067">
          <cell r="A2067">
            <v>9630</v>
          </cell>
          <cell r="B2067">
            <v>9630</v>
          </cell>
          <cell r="C2067" t="str">
            <v>CERO MATRICULA</v>
          </cell>
          <cell r="D2067" t="str">
            <v>ACTIVO</v>
          </cell>
          <cell r="E2067" t="str">
            <v>BVF672</v>
          </cell>
          <cell r="F2067" t="str">
            <v>Portella Morveli Pedro Wilfredo</v>
          </cell>
          <cell r="G2067" t="str">
            <v>PORTELLA MORVELI PEDRO WILFREDO</v>
          </cell>
          <cell r="H2067" t="str">
            <v>09571239</v>
          </cell>
          <cell r="I2067" t="str">
            <v>INTERBANK</v>
          </cell>
          <cell r="J2067" t="str">
            <v>9243178885100</v>
          </cell>
          <cell r="K2067" t="str">
            <v>DNI</v>
          </cell>
          <cell r="L2067">
            <v>10095712393</v>
          </cell>
          <cell r="M2067" t="str">
            <v>AEROLINEAS</v>
          </cell>
          <cell r="N2067">
            <v>45533</v>
          </cell>
          <cell r="O2067">
            <v>0</v>
          </cell>
          <cell r="P2067" t="str">
            <v>COMFORT XL</v>
          </cell>
        </row>
        <row r="2068">
          <cell r="A2068">
            <v>9631</v>
          </cell>
          <cell r="B2068">
            <v>9631</v>
          </cell>
          <cell r="C2068" t="str">
            <v>CERO MATRICULA</v>
          </cell>
          <cell r="D2068" t="str">
            <v>ACTIVO</v>
          </cell>
          <cell r="E2068" t="str">
            <v>CLY328</v>
          </cell>
          <cell r="F2068" t="str">
            <v>Cabrera Caceres Felix Humberto</v>
          </cell>
          <cell r="G2068" t="str">
            <v>CABRERA CACERES FELIX HUMBERTO</v>
          </cell>
          <cell r="H2068" t="str">
            <v>09427115</v>
          </cell>
          <cell r="I2068" t="str">
            <v>BBVA</v>
          </cell>
          <cell r="J2068" t="str">
            <v>001108140256698523</v>
          </cell>
          <cell r="K2068" t="str">
            <v>DNI</v>
          </cell>
          <cell r="L2068">
            <v>10094271156</v>
          </cell>
          <cell r="M2068" t="str">
            <v>AEROLINEAS</v>
          </cell>
          <cell r="N2068">
            <v>45533</v>
          </cell>
          <cell r="O2068">
            <v>0</v>
          </cell>
          <cell r="P2068" t="str">
            <v>COMFORT</v>
          </cell>
        </row>
        <row r="2069">
          <cell r="A2069">
            <v>9633</v>
          </cell>
          <cell r="B2069">
            <v>9633</v>
          </cell>
          <cell r="C2069" t="str">
            <v>CERO MATRICULA</v>
          </cell>
          <cell r="D2069" t="str">
            <v>ACTIVO</v>
          </cell>
          <cell r="E2069" t="str">
            <v>C2R398</v>
          </cell>
          <cell r="F2069" t="str">
            <v>DIAZ GOMEZ YIMMY CHRISTIAM</v>
          </cell>
          <cell r="G2069" t="str">
            <v>PEREZ ANICAMA ROSARIO LORENA</v>
          </cell>
          <cell r="H2069" t="str">
            <v>06784630</v>
          </cell>
          <cell r="I2069" t="str">
            <v>BCP</v>
          </cell>
          <cell r="J2069" t="str">
            <v>19101011642060</v>
          </cell>
          <cell r="K2069" t="str">
            <v>DNI</v>
          </cell>
          <cell r="L2069">
            <v>10067846309</v>
          </cell>
          <cell r="M2069" t="str">
            <v>AEROLINEAS</v>
          </cell>
          <cell r="N2069">
            <v>45533</v>
          </cell>
          <cell r="O2069">
            <v>0</v>
          </cell>
          <cell r="P2069" t="str">
            <v>XL</v>
          </cell>
        </row>
        <row r="2070">
          <cell r="A2070">
            <v>9634</v>
          </cell>
          <cell r="B2070">
            <v>9634</v>
          </cell>
          <cell r="C2070" t="str">
            <v>CERO MATRICULA</v>
          </cell>
          <cell r="D2070" t="str">
            <v>ACTIVO</v>
          </cell>
          <cell r="E2070" t="str">
            <v>BZQ264</v>
          </cell>
          <cell r="F2070" t="str">
            <v>Arana Trujillo Manuel Ruben</v>
          </cell>
          <cell r="G2070" t="str">
            <v>ARANA TRUJILLO MANUEL RUBEN</v>
          </cell>
          <cell r="H2070" t="str">
            <v>41248099</v>
          </cell>
          <cell r="I2070" t="str">
            <v>BCP</v>
          </cell>
          <cell r="J2070" t="str">
            <v>19434531647050</v>
          </cell>
          <cell r="K2070" t="str">
            <v>DNI</v>
          </cell>
          <cell r="L2070">
            <v>10412480991</v>
          </cell>
          <cell r="M2070" t="str">
            <v>URBANO</v>
          </cell>
          <cell r="N2070">
            <v>45537</v>
          </cell>
          <cell r="O2070">
            <v>0</v>
          </cell>
          <cell r="P2070" t="str">
            <v>LITE</v>
          </cell>
        </row>
        <row r="2071">
          <cell r="A2071">
            <v>9635</v>
          </cell>
          <cell r="B2071">
            <v>9635</v>
          </cell>
          <cell r="C2071" t="str">
            <v>CERO MATRICULA</v>
          </cell>
          <cell r="D2071" t="str">
            <v>ACTIVO</v>
          </cell>
          <cell r="E2071" t="str">
            <v>Z6L503</v>
          </cell>
          <cell r="F2071" t="str">
            <v>Tamayose Uyehara Roger Yoshinobu</v>
          </cell>
          <cell r="G2071" t="str">
            <v>TAMAYOSE UYEHARA ROGER YOSHINOBU</v>
          </cell>
          <cell r="H2071" t="str">
            <v>43316893</v>
          </cell>
          <cell r="I2071" t="str">
            <v>BCP</v>
          </cell>
          <cell r="J2071" t="str">
            <v>19292041873087</v>
          </cell>
          <cell r="K2071" t="str">
            <v>DNI</v>
          </cell>
          <cell r="L2071">
            <v>10433168939</v>
          </cell>
          <cell r="M2071" t="str">
            <v>URBANO</v>
          </cell>
          <cell r="N2071">
            <v>45537</v>
          </cell>
          <cell r="O2071">
            <v>0</v>
          </cell>
          <cell r="P2071" t="str">
            <v>LITE</v>
          </cell>
        </row>
        <row r="2072">
          <cell r="A2072">
            <v>9636</v>
          </cell>
          <cell r="B2072">
            <v>9636</v>
          </cell>
          <cell r="C2072" t="str">
            <v>CERO MATRICULA</v>
          </cell>
          <cell r="D2072" t="str">
            <v>ACTIVO</v>
          </cell>
          <cell r="E2072" t="str">
            <v>F7S684</v>
          </cell>
          <cell r="F2072" t="str">
            <v xml:space="preserve"> Guariman Edgar Broderick</v>
          </cell>
          <cell r="G2072" t="str">
            <v>GUARIMAN EDGAR BRODERICK</v>
          </cell>
          <cell r="H2072" t="str">
            <v>004012146</v>
          </cell>
          <cell r="I2072" t="str">
            <v>BCP</v>
          </cell>
          <cell r="J2072" t="str">
            <v>19174595216001</v>
          </cell>
          <cell r="K2072" t="str">
            <v>CE</v>
          </cell>
          <cell r="L2072">
            <v>15608061000</v>
          </cell>
          <cell r="M2072" t="str">
            <v>MEMBRESÍA URBANO</v>
          </cell>
          <cell r="N2072">
            <v>45537</v>
          </cell>
          <cell r="O2072">
            <v>280</v>
          </cell>
          <cell r="P2072" t="str">
            <v>LITE</v>
          </cell>
        </row>
        <row r="2073">
          <cell r="A2073">
            <v>9637</v>
          </cell>
          <cell r="B2073">
            <v>9637</v>
          </cell>
          <cell r="C2073" t="str">
            <v>CERO MATRICULA</v>
          </cell>
          <cell r="D2073" t="str">
            <v>ACTIVO</v>
          </cell>
          <cell r="E2073" t="str">
            <v>CHS296</v>
          </cell>
          <cell r="F2073" t="str">
            <v>Ancco Ludeña Darío</v>
          </cell>
          <cell r="G2073" t="str">
            <v>ANCCO LUDEÑA DARIO</v>
          </cell>
          <cell r="H2073" t="str">
            <v>41149664</v>
          </cell>
          <cell r="I2073" t="str">
            <v>BCP</v>
          </cell>
          <cell r="J2073" t="str">
            <v>19198510539093</v>
          </cell>
          <cell r="K2073" t="str">
            <v>DNI</v>
          </cell>
          <cell r="L2073">
            <v>10411496649</v>
          </cell>
          <cell r="M2073" t="str">
            <v>AEROPUERTO</v>
          </cell>
          <cell r="N2073">
            <v>45538.416666666664</v>
          </cell>
          <cell r="O2073">
            <v>235</v>
          </cell>
          <cell r="P2073" t="str">
            <v>COMFORT XL</v>
          </cell>
        </row>
        <row r="2074">
          <cell r="A2074">
            <v>9638</v>
          </cell>
          <cell r="B2074">
            <v>9638</v>
          </cell>
          <cell r="C2074" t="str">
            <v>CERO MATRICULA</v>
          </cell>
          <cell r="D2074" t="str">
            <v>ACTIVO</v>
          </cell>
          <cell r="E2074" t="str">
            <v>CLG363</v>
          </cell>
          <cell r="F2074" t="str">
            <v xml:space="preserve">VELA NUÑEZ MELGAR MONICA MARION </v>
          </cell>
          <cell r="G2074" t="str">
            <v>VELA NUÑEZ MELGAR MONICA MARION</v>
          </cell>
          <cell r="H2074" t="str">
            <v>10315147</v>
          </cell>
          <cell r="I2074" t="str">
            <v>BCP</v>
          </cell>
          <cell r="J2074" t="str">
            <v>19130838617016</v>
          </cell>
          <cell r="K2074" t="str">
            <v>DNI</v>
          </cell>
          <cell r="L2074">
            <v>10103151479</v>
          </cell>
          <cell r="M2074" t="str">
            <v>URBANO</v>
          </cell>
          <cell r="N2074">
            <v>45537</v>
          </cell>
          <cell r="O2074">
            <v>0</v>
          </cell>
          <cell r="P2074" t="str">
            <v>COMFORT</v>
          </cell>
        </row>
        <row r="2075">
          <cell r="A2075">
            <v>9639</v>
          </cell>
          <cell r="B2075">
            <v>9639</v>
          </cell>
          <cell r="C2075" t="str">
            <v>CERO MATRICULA</v>
          </cell>
          <cell r="D2075" t="str">
            <v>ACTIVO</v>
          </cell>
          <cell r="E2075" t="str">
            <v>AWW239</v>
          </cell>
          <cell r="F2075" t="str">
            <v xml:space="preserve">Rojas Pachas Justo </v>
          </cell>
          <cell r="G2075" t="str">
            <v>ROJAS PACHAS JUSTO</v>
          </cell>
          <cell r="H2075" t="str">
            <v>21832321</v>
          </cell>
          <cell r="I2075" t="str">
            <v>BBVA</v>
          </cell>
          <cell r="J2075" t="str">
            <v>001105180200169251</v>
          </cell>
          <cell r="K2075" t="str">
            <v>DNI</v>
          </cell>
          <cell r="L2075">
            <v>10218323214</v>
          </cell>
          <cell r="M2075" t="str">
            <v>URBANO</v>
          </cell>
          <cell r="N2075">
            <v>45537</v>
          </cell>
          <cell r="O2075">
            <v>0</v>
          </cell>
          <cell r="P2075" t="str">
            <v>COMFORT XL</v>
          </cell>
        </row>
        <row r="2076">
          <cell r="A2076">
            <v>9640</v>
          </cell>
          <cell r="B2076">
            <v>9640</v>
          </cell>
          <cell r="C2076" t="str">
            <v>CERO MATRICULA</v>
          </cell>
          <cell r="D2076" t="str">
            <v>ACTIVO</v>
          </cell>
          <cell r="E2076" t="str">
            <v>CCA326</v>
          </cell>
          <cell r="F2076" t="str">
            <v>Gonzalez Diaz Kharlait Kenia</v>
          </cell>
          <cell r="G2076" t="str">
            <v>GONZALEZ DIAZ KHARLAIT KENIA</v>
          </cell>
          <cell r="H2076" t="str">
            <v>003041478</v>
          </cell>
          <cell r="I2076" t="str">
            <v>BCP</v>
          </cell>
          <cell r="J2076" t="str">
            <v>19192461133082</v>
          </cell>
          <cell r="K2076" t="str">
            <v>CE</v>
          </cell>
          <cell r="L2076">
            <v>15611372873</v>
          </cell>
          <cell r="M2076" t="str">
            <v>URBANO</v>
          </cell>
          <cell r="N2076">
            <v>45538</v>
          </cell>
          <cell r="O2076">
            <v>0</v>
          </cell>
          <cell r="P2076" t="str">
            <v>XL</v>
          </cell>
        </row>
        <row r="2077">
          <cell r="A2077">
            <v>9641</v>
          </cell>
          <cell r="B2077">
            <v>9641</v>
          </cell>
          <cell r="C2077" t="str">
            <v>CERO MATRICULA</v>
          </cell>
          <cell r="D2077" t="str">
            <v>ACTIVO</v>
          </cell>
          <cell r="E2077" t="str">
            <v>BHG692</v>
          </cell>
          <cell r="F2077" t="str">
            <v>Huayta Trujillo Jhonny</v>
          </cell>
          <cell r="G2077" t="str">
            <v>HUAYTA TRUJILLO JHONNY WILLIANS</v>
          </cell>
          <cell r="H2077" t="str">
            <v>46840997</v>
          </cell>
          <cell r="I2077" t="str">
            <v>INTERBANK</v>
          </cell>
          <cell r="J2077" t="str">
            <v>8983232929946</v>
          </cell>
          <cell r="K2077" t="str">
            <v>DNI</v>
          </cell>
          <cell r="L2077">
            <v>10468409971</v>
          </cell>
          <cell r="M2077" t="str">
            <v>URBANO</v>
          </cell>
          <cell r="N2077">
            <v>45538</v>
          </cell>
          <cell r="O2077">
            <v>0</v>
          </cell>
          <cell r="P2077" t="str">
            <v>COMFORT XL</v>
          </cell>
        </row>
        <row r="2078">
          <cell r="A2078">
            <v>9642</v>
          </cell>
          <cell r="B2078">
            <v>9642</v>
          </cell>
          <cell r="C2078" t="str">
            <v>CERO MATRICULA</v>
          </cell>
          <cell r="D2078" t="str">
            <v>ACTIVO</v>
          </cell>
          <cell r="E2078" t="str">
            <v>ATD437</v>
          </cell>
          <cell r="F2078" t="str">
            <v>Huaranga Quispe Ronald Maykold</v>
          </cell>
          <cell r="G2078" t="str">
            <v>HUARANGA QUISPE RONALD MAYKOLD</v>
          </cell>
          <cell r="H2078" t="str">
            <v>42012592</v>
          </cell>
          <cell r="I2078" t="str">
            <v>BCP</v>
          </cell>
          <cell r="J2078" t="str">
            <v>19334839091098</v>
          </cell>
          <cell r="K2078" t="str">
            <v>DNI</v>
          </cell>
          <cell r="L2078">
            <v>10420125921</v>
          </cell>
          <cell r="M2078" t="str">
            <v>URBANO</v>
          </cell>
          <cell r="N2078">
            <v>45538</v>
          </cell>
          <cell r="O2078">
            <v>0</v>
          </cell>
          <cell r="P2078" t="str">
            <v>LITE</v>
          </cell>
        </row>
        <row r="2079">
          <cell r="A2079">
            <v>9643</v>
          </cell>
          <cell r="B2079">
            <v>9643</v>
          </cell>
          <cell r="C2079" t="str">
            <v>CERO MATRICULA</v>
          </cell>
          <cell r="D2079" t="str">
            <v>ACTIVO</v>
          </cell>
          <cell r="E2079" t="str">
            <v>BHA354</v>
          </cell>
          <cell r="F2079" t="str">
            <v>Sanchez Ricabarria Fernando Alexander</v>
          </cell>
          <cell r="G2079" t="str">
            <v>SANCHEZ RICABARRIA FERNANDO ALEXANDER</v>
          </cell>
          <cell r="H2079" t="str">
            <v>07536221</v>
          </cell>
          <cell r="I2079" t="str">
            <v>BCP</v>
          </cell>
          <cell r="J2079" t="str">
            <v>19118394609012</v>
          </cell>
          <cell r="K2079" t="str">
            <v>DNI</v>
          </cell>
          <cell r="L2079">
            <v>10075362213</v>
          </cell>
          <cell r="M2079" t="str">
            <v>URBANO</v>
          </cell>
          <cell r="N2079">
            <v>45547</v>
          </cell>
          <cell r="O2079">
            <v>0</v>
          </cell>
          <cell r="P2079" t="str">
            <v>COMFORT</v>
          </cell>
        </row>
        <row r="2080">
          <cell r="A2080">
            <v>9645</v>
          </cell>
          <cell r="B2080">
            <v>9645</v>
          </cell>
          <cell r="C2080" t="str">
            <v>CERO MATRICULA</v>
          </cell>
          <cell r="D2080" t="str">
            <v>ACTIVO</v>
          </cell>
          <cell r="E2080" t="str">
            <v>BAX560</v>
          </cell>
          <cell r="F2080" t="str">
            <v>Alcocer Linares Yefferson Edgard</v>
          </cell>
          <cell r="G2080" t="str">
            <v>ALCOCER LINARES YEFFERSON EDGARD</v>
          </cell>
          <cell r="H2080" t="str">
            <v>45512448</v>
          </cell>
          <cell r="I2080" t="str">
            <v>INTERBANK</v>
          </cell>
          <cell r="J2080" t="str">
            <v>8983173528967</v>
          </cell>
          <cell r="K2080" t="str">
            <v>DNI</v>
          </cell>
          <cell r="L2080">
            <v>10455124480</v>
          </cell>
          <cell r="M2080" t="str">
            <v>AEROPUERTO</v>
          </cell>
          <cell r="N2080">
            <v>45538.416666666664</v>
          </cell>
          <cell r="O2080">
            <v>235</v>
          </cell>
          <cell r="P2080" t="str">
            <v>COMFORT XL</v>
          </cell>
        </row>
        <row r="2081">
          <cell r="A2081">
            <v>9647</v>
          </cell>
          <cell r="B2081">
            <v>9647</v>
          </cell>
          <cell r="C2081" t="str">
            <v>CERO MATRICULA</v>
          </cell>
          <cell r="D2081" t="str">
            <v>ACTIVO</v>
          </cell>
          <cell r="E2081" t="str">
            <v>BCN217</v>
          </cell>
          <cell r="F2081" t="str">
            <v>Follegatti Martel Wuinberr Dafni</v>
          </cell>
          <cell r="G2081" t="str">
            <v>FOLLEGATTI MARTEL WUINBERR DAFNI</v>
          </cell>
          <cell r="H2081" t="str">
            <v>72005592</v>
          </cell>
          <cell r="I2081" t="str">
            <v>BBVA</v>
          </cell>
          <cell r="J2081" t="str">
            <v>001108140257195940</v>
          </cell>
          <cell r="K2081" t="str">
            <v>DNI</v>
          </cell>
          <cell r="L2081">
            <v>10720055924</v>
          </cell>
          <cell r="M2081" t="str">
            <v>URBANO</v>
          </cell>
          <cell r="N2081">
            <v>45538</v>
          </cell>
          <cell r="O2081">
            <v>0</v>
          </cell>
          <cell r="P2081" t="str">
            <v>LITE</v>
          </cell>
        </row>
        <row r="2082">
          <cell r="A2082">
            <v>9648</v>
          </cell>
          <cell r="B2082">
            <v>9648</v>
          </cell>
          <cell r="C2082" t="str">
            <v>CERO MATRICULA</v>
          </cell>
          <cell r="D2082" t="str">
            <v>ACTIVO</v>
          </cell>
          <cell r="E2082" t="str">
            <v>CAA050</v>
          </cell>
          <cell r="F2082" t="str">
            <v>Ticze Ticxe Pedro Enrique</v>
          </cell>
          <cell r="G2082" t="str">
            <v>TICZE TICXE PEDRO ENRIQUE</v>
          </cell>
          <cell r="H2082" t="str">
            <v>44374846</v>
          </cell>
          <cell r="I2082" t="str">
            <v>BCP</v>
          </cell>
          <cell r="J2082" t="str">
            <v>8983249467172</v>
          </cell>
          <cell r="K2082" t="str">
            <v>DNI</v>
          </cell>
          <cell r="L2082">
            <v>10443748461</v>
          </cell>
          <cell r="M2082" t="str">
            <v>URBANO</v>
          </cell>
          <cell r="N2082">
            <v>45538</v>
          </cell>
          <cell r="O2082">
            <v>0</v>
          </cell>
          <cell r="P2082" t="str">
            <v>COMFORT XL</v>
          </cell>
        </row>
        <row r="2083">
          <cell r="A2083">
            <v>9649</v>
          </cell>
          <cell r="B2083">
            <v>9649</v>
          </cell>
          <cell r="C2083" t="str">
            <v>CERO MATRICULA</v>
          </cell>
          <cell r="D2083" t="str">
            <v>ACTIVO</v>
          </cell>
          <cell r="E2083" t="str">
            <v>CFI453</v>
          </cell>
          <cell r="F2083" t="str">
            <v>Roque Ortega JULIO CESAR</v>
          </cell>
          <cell r="G2083" t="str">
            <v>ROQUE ORTEGA JULIO CESAR</v>
          </cell>
          <cell r="H2083" t="str">
            <v>45769408</v>
          </cell>
          <cell r="I2083" t="str">
            <v>INTERBANK</v>
          </cell>
          <cell r="J2083" t="str">
            <v>8983319867734</v>
          </cell>
          <cell r="K2083" t="str">
            <v>DNI</v>
          </cell>
          <cell r="L2083">
            <v>10457694089</v>
          </cell>
          <cell r="M2083" t="str">
            <v>AEROLINEAS</v>
          </cell>
          <cell r="N2083">
            <v>45547</v>
          </cell>
          <cell r="O2083">
            <v>0</v>
          </cell>
          <cell r="P2083" t="str">
            <v>COMFORT XL</v>
          </cell>
        </row>
        <row r="2084">
          <cell r="A2084">
            <v>9650</v>
          </cell>
          <cell r="B2084">
            <v>9650</v>
          </cell>
          <cell r="C2084" t="str">
            <v>CERO MATRICULA</v>
          </cell>
          <cell r="D2084" t="str">
            <v>ACTIVO</v>
          </cell>
          <cell r="E2084" t="str">
            <v>CHC017</v>
          </cell>
          <cell r="F2084" t="str">
            <v>AMAUT CAMPOS CESAR AUGUSTO</v>
          </cell>
          <cell r="G2084" t="str">
            <v>AMAUT CAMPOS CESAR AUGUSTO</v>
          </cell>
          <cell r="H2084" t="str">
            <v>09921178</v>
          </cell>
          <cell r="I2084" t="str">
            <v>BCP</v>
          </cell>
          <cell r="J2084" t="str">
            <v>19179782208087</v>
          </cell>
          <cell r="K2084" t="str">
            <v>DNI</v>
          </cell>
          <cell r="L2084">
            <v>10099211780</v>
          </cell>
          <cell r="M2084" t="str">
            <v>AEROLINEAS</v>
          </cell>
          <cell r="N2084">
            <v>45540</v>
          </cell>
          <cell r="O2084">
            <v>0</v>
          </cell>
          <cell r="P2084" t="str">
            <v>VAN</v>
          </cell>
        </row>
        <row r="2085">
          <cell r="A2085">
            <v>9651</v>
          </cell>
          <cell r="B2085">
            <v>9651</v>
          </cell>
          <cell r="C2085" t="str">
            <v>CERO MATRICULA</v>
          </cell>
          <cell r="D2085" t="str">
            <v>ACTIVO</v>
          </cell>
          <cell r="E2085" t="str">
            <v>CJV533</v>
          </cell>
          <cell r="F2085" t="str">
            <v>DIAZ MAMANI JOSE CARLOS</v>
          </cell>
          <cell r="G2085" t="str">
            <v>DIAZ MAMANI JOSE CARLOS</v>
          </cell>
          <cell r="H2085" t="str">
            <v>70335868</v>
          </cell>
          <cell r="I2085" t="str">
            <v>BCP</v>
          </cell>
          <cell r="J2085" t="str">
            <v>19190061536047</v>
          </cell>
          <cell r="K2085" t="str">
            <v>DNI</v>
          </cell>
          <cell r="L2085">
            <v>10703358689</v>
          </cell>
          <cell r="M2085" t="str">
            <v>AEROLINEAS</v>
          </cell>
          <cell r="N2085">
            <v>45547</v>
          </cell>
          <cell r="O2085">
            <v>0</v>
          </cell>
          <cell r="P2085" t="str">
            <v>COMFORT XL</v>
          </cell>
        </row>
        <row r="2086">
          <cell r="A2086">
            <v>9653</v>
          </cell>
          <cell r="B2086">
            <v>9653</v>
          </cell>
          <cell r="C2086" t="str">
            <v>CERO MATRICULA</v>
          </cell>
          <cell r="D2086" t="str">
            <v>ACTIVO</v>
          </cell>
          <cell r="E2086" t="str">
            <v>BWG319</v>
          </cell>
          <cell r="F2086" t="str">
            <v>Escudero Limas Julio Leonardo</v>
          </cell>
          <cell r="G2086" t="str">
            <v>ESCUDERO LIMAS JULIO LEONARDO</v>
          </cell>
          <cell r="H2086" t="str">
            <v>25820026</v>
          </cell>
          <cell r="I2086" t="str">
            <v>INTERBANK</v>
          </cell>
          <cell r="J2086" t="str">
            <v>893413624257</v>
          </cell>
          <cell r="K2086" t="str">
            <v>DNI</v>
          </cell>
          <cell r="L2086">
            <v>10258200263</v>
          </cell>
          <cell r="M2086" t="str">
            <v>URBANO</v>
          </cell>
          <cell r="N2086">
            <v>45544</v>
          </cell>
          <cell r="O2086">
            <v>0</v>
          </cell>
          <cell r="P2086" t="str">
            <v>LITE</v>
          </cell>
        </row>
        <row r="2087">
          <cell r="A2087">
            <v>9656</v>
          </cell>
          <cell r="B2087">
            <v>9656</v>
          </cell>
          <cell r="C2087" t="str">
            <v>CERO MATRICULA</v>
          </cell>
          <cell r="D2087" t="str">
            <v>ACTIVO</v>
          </cell>
          <cell r="E2087" t="str">
            <v>CJX534</v>
          </cell>
          <cell r="F2087" t="str">
            <v>Tenorio Román Christian</v>
          </cell>
          <cell r="G2087" t="str">
            <v>ROMAN CARPIO LOURDES MARIA</v>
          </cell>
          <cell r="H2087" t="str">
            <v>10487952</v>
          </cell>
          <cell r="I2087" t="str">
            <v>INTERBANK</v>
          </cell>
          <cell r="J2087" t="str">
            <v>2883437188513</v>
          </cell>
          <cell r="K2087" t="str">
            <v>DNI</v>
          </cell>
          <cell r="L2087">
            <v>10104879522</v>
          </cell>
          <cell r="M2087" t="str">
            <v>AEROPUERTO</v>
          </cell>
          <cell r="N2087">
            <v>45545.416666666664</v>
          </cell>
          <cell r="O2087">
            <v>235</v>
          </cell>
          <cell r="P2087" t="str">
            <v>COMFORT XL</v>
          </cell>
        </row>
        <row r="2088">
          <cell r="A2088">
            <v>9658</v>
          </cell>
          <cell r="B2088">
            <v>9658</v>
          </cell>
          <cell r="C2088" t="str">
            <v>CERO MATRICULA</v>
          </cell>
          <cell r="D2088" t="str">
            <v>ACTIVO</v>
          </cell>
          <cell r="E2088" t="str">
            <v>CMH202</v>
          </cell>
          <cell r="F2088" t="str">
            <v>Saco Huaman Milagros roxana</v>
          </cell>
          <cell r="G2088" t="str">
            <v>SACO HUAMAN MILAGROS ROXANA</v>
          </cell>
          <cell r="H2088" t="str">
            <v>47707843</v>
          </cell>
          <cell r="I2088" t="str">
            <v>BCP</v>
          </cell>
          <cell r="J2088" t="str">
            <v>19497768792052</v>
          </cell>
          <cell r="K2088" t="str">
            <v>DNI</v>
          </cell>
          <cell r="L2088">
            <v>10477078431</v>
          </cell>
          <cell r="M2088" t="str">
            <v>AEROPUERTO</v>
          </cell>
          <cell r="N2088">
            <v>45545.416666666664</v>
          </cell>
          <cell r="O2088">
            <v>235</v>
          </cell>
          <cell r="P2088" t="str">
            <v>COMFORT XL</v>
          </cell>
        </row>
        <row r="2089">
          <cell r="A2089">
            <v>9660</v>
          </cell>
          <cell r="B2089">
            <v>9660</v>
          </cell>
          <cell r="C2089" t="str">
            <v>CERO MATRICULA</v>
          </cell>
          <cell r="D2089" t="str">
            <v>ACTIVO</v>
          </cell>
          <cell r="E2089" t="str">
            <v>APU368</v>
          </cell>
          <cell r="F2089" t="str">
            <v>Palacios Ortiz Abraham David</v>
          </cell>
          <cell r="G2089" t="str">
            <v>PALACIOS ORTIZ ABRAHAM DAVID</v>
          </cell>
          <cell r="H2089" t="str">
            <v>07476001</v>
          </cell>
          <cell r="I2089" t="str">
            <v>BCP</v>
          </cell>
          <cell r="J2089" t="str">
            <v>19308068042036</v>
          </cell>
          <cell r="K2089" t="str">
            <v>DNI</v>
          </cell>
          <cell r="L2089">
            <v>10074760011</v>
          </cell>
          <cell r="M2089" t="str">
            <v>URBANO PARTNER</v>
          </cell>
          <cell r="N2089">
            <v>45544</v>
          </cell>
          <cell r="O2089">
            <v>0</v>
          </cell>
          <cell r="P2089" t="str">
            <v>LITE</v>
          </cell>
        </row>
        <row r="2090">
          <cell r="A2090">
            <v>9661</v>
          </cell>
          <cell r="B2090">
            <v>9661</v>
          </cell>
          <cell r="C2090" t="str">
            <v>CERO MATRICULA</v>
          </cell>
          <cell r="D2090" t="str">
            <v>ACTIVO</v>
          </cell>
          <cell r="E2090" t="str">
            <v>BYF152</v>
          </cell>
          <cell r="F2090" t="str">
            <v xml:space="preserve">Libaque Peña José euler </v>
          </cell>
          <cell r="G2090" t="str">
            <v>LIBAQUE PEÑA JOSE EULER</v>
          </cell>
          <cell r="H2090" t="str">
            <v>43055725</v>
          </cell>
          <cell r="I2090" t="str">
            <v>BCP</v>
          </cell>
          <cell r="J2090" t="str">
            <v>19195794067081</v>
          </cell>
          <cell r="K2090" t="str">
            <v>DNI</v>
          </cell>
          <cell r="L2090">
            <v>10430557250</v>
          </cell>
          <cell r="M2090" t="str">
            <v>URBANO</v>
          </cell>
          <cell r="N2090">
            <v>45544</v>
          </cell>
          <cell r="O2090">
            <v>0</v>
          </cell>
          <cell r="P2090" t="str">
            <v>LITE</v>
          </cell>
        </row>
        <row r="2091">
          <cell r="A2091">
            <v>9662</v>
          </cell>
          <cell r="B2091">
            <v>9662</v>
          </cell>
          <cell r="C2091" t="str">
            <v>CERO MATRICULA</v>
          </cell>
          <cell r="D2091" t="str">
            <v>ACTIVO</v>
          </cell>
          <cell r="E2091" t="str">
            <v>CNC472</v>
          </cell>
          <cell r="F2091" t="str">
            <v>Graterol Buitrago Luis Miguel</v>
          </cell>
          <cell r="G2091" t="str">
            <v>GRATEROL BUITRAGO LUIS MIGUEL</v>
          </cell>
          <cell r="H2091" t="str">
            <v>002944375</v>
          </cell>
          <cell r="I2091" t="str">
            <v>INTERBANK</v>
          </cell>
          <cell r="J2091" t="str">
            <v>1643401665260</v>
          </cell>
          <cell r="K2091" t="str">
            <v>CE</v>
          </cell>
          <cell r="L2091">
            <v>15607037296</v>
          </cell>
          <cell r="M2091" t="str">
            <v>URBANO</v>
          </cell>
          <cell r="N2091">
            <v>45544</v>
          </cell>
          <cell r="O2091">
            <v>0</v>
          </cell>
          <cell r="P2091" t="str">
            <v>COMFORT</v>
          </cell>
        </row>
        <row r="2092">
          <cell r="A2092">
            <v>9663</v>
          </cell>
          <cell r="B2092">
            <v>9663</v>
          </cell>
          <cell r="C2092" t="str">
            <v>CERO MATRICULA</v>
          </cell>
          <cell r="D2092" t="str">
            <v>ACTIVO</v>
          </cell>
          <cell r="E2092" t="str">
            <v>CJZ550</v>
          </cell>
          <cell r="F2092" t="str">
            <v>Santos Gutiérrez Pedro Jean Pierre</v>
          </cell>
          <cell r="G2092" t="str">
            <v>SANTOS GUTIERREZ PEDRO JEAN PIERRE</v>
          </cell>
          <cell r="H2092" t="str">
            <v>73682561</v>
          </cell>
          <cell r="I2092" t="str">
            <v>BCP</v>
          </cell>
          <cell r="J2092" t="str">
            <v>19197952170083</v>
          </cell>
          <cell r="K2092" t="str">
            <v>DNI</v>
          </cell>
          <cell r="L2092">
            <v>10736825614</v>
          </cell>
          <cell r="M2092" t="str">
            <v>URBANO</v>
          </cell>
          <cell r="N2092">
            <v>45544</v>
          </cell>
          <cell r="O2092">
            <v>0</v>
          </cell>
          <cell r="P2092" t="str">
            <v>LITE</v>
          </cell>
        </row>
        <row r="2093">
          <cell r="A2093">
            <v>9664</v>
          </cell>
          <cell r="B2093">
            <v>9664</v>
          </cell>
          <cell r="C2093" t="str">
            <v>CERO MATRICULA</v>
          </cell>
          <cell r="D2093" t="str">
            <v>ACTIVO</v>
          </cell>
          <cell r="E2093" t="str">
            <v>CHB599</v>
          </cell>
          <cell r="F2093" t="str">
            <v>Lopez Calderon German Ezequiel</v>
          </cell>
          <cell r="G2093" t="str">
            <v>LOPEZ CALDERON GERMAN EZEQUIEL</v>
          </cell>
          <cell r="H2093">
            <v>45110689</v>
          </cell>
          <cell r="I2093" t="str">
            <v>INTERBANK</v>
          </cell>
          <cell r="J2093" t="str">
            <v>8983159619607</v>
          </cell>
          <cell r="K2093" t="str">
            <v>DNI</v>
          </cell>
          <cell r="L2093">
            <v>10451106894</v>
          </cell>
          <cell r="M2093" t="str">
            <v>URBANO</v>
          </cell>
          <cell r="N2093">
            <v>45544</v>
          </cell>
          <cell r="O2093">
            <v>0</v>
          </cell>
          <cell r="P2093" t="str">
            <v>XL</v>
          </cell>
        </row>
        <row r="2094">
          <cell r="A2094">
            <v>9665</v>
          </cell>
          <cell r="B2094">
            <v>9665</v>
          </cell>
          <cell r="C2094" t="str">
            <v>CERO MATRICULA</v>
          </cell>
          <cell r="D2094" t="str">
            <v>ACTIVO</v>
          </cell>
          <cell r="E2094" t="str">
            <v>CAT604</v>
          </cell>
          <cell r="F2094" t="str">
            <v xml:space="preserve">Simeón Jiménez Mario </v>
          </cell>
          <cell r="G2094" t="str">
            <v>SIMEON JIMENEZ MARIO</v>
          </cell>
          <cell r="H2094" t="str">
            <v>04085354</v>
          </cell>
          <cell r="I2094" t="str">
            <v>BCP</v>
          </cell>
          <cell r="J2094" t="str">
            <v>19302541956031</v>
          </cell>
          <cell r="K2094" t="str">
            <v>DNI</v>
          </cell>
          <cell r="L2094">
            <v>10040853541</v>
          </cell>
          <cell r="M2094" t="str">
            <v>AEROPUERTO</v>
          </cell>
          <cell r="N2094">
            <v>45545.416666666664</v>
          </cell>
          <cell r="O2094">
            <v>240</v>
          </cell>
          <cell r="P2094" t="str">
            <v>XL</v>
          </cell>
        </row>
        <row r="2095">
          <cell r="A2095">
            <v>9667</v>
          </cell>
          <cell r="B2095">
            <v>9667</v>
          </cell>
          <cell r="C2095" t="str">
            <v>CERO MATRICULA</v>
          </cell>
          <cell r="D2095" t="str">
            <v>ACTIVO</v>
          </cell>
          <cell r="E2095" t="str">
            <v>CMH625</v>
          </cell>
          <cell r="F2095" t="str">
            <v>Mendez Cordova Piero leandro</v>
          </cell>
          <cell r="G2095" t="str">
            <v>MENDEZ CORDOVA FRAN RONALD</v>
          </cell>
          <cell r="H2095">
            <v>41739307</v>
          </cell>
          <cell r="I2095" t="str">
            <v>BCP</v>
          </cell>
          <cell r="J2095" t="str">
            <v>19100757907061</v>
          </cell>
          <cell r="K2095" t="str">
            <v>DNI</v>
          </cell>
          <cell r="L2095">
            <v>10417393078</v>
          </cell>
          <cell r="M2095" t="str">
            <v>AEROPUERTO</v>
          </cell>
          <cell r="N2095">
            <v>45545</v>
          </cell>
          <cell r="O2095">
            <v>240</v>
          </cell>
          <cell r="P2095" t="str">
            <v>XL</v>
          </cell>
        </row>
        <row r="2096">
          <cell r="A2096">
            <v>9668</v>
          </cell>
          <cell r="B2096">
            <v>9668</v>
          </cell>
          <cell r="C2096" t="str">
            <v>CERO MATRICULA</v>
          </cell>
          <cell r="D2096" t="str">
            <v>ACTIVO</v>
          </cell>
          <cell r="E2096" t="str">
            <v>ALQ578</v>
          </cell>
          <cell r="F2096" t="str">
            <v>Vargas Vargas Juan Manuel - van</v>
          </cell>
          <cell r="G2096" t="str">
            <v>TRANSPORTE CRISTINA E.I.R.L.</v>
          </cell>
          <cell r="H2096">
            <v>20608154885</v>
          </cell>
          <cell r="I2096" t="str">
            <v>BCP</v>
          </cell>
          <cell r="J2096" t="str">
            <v>1949856696083</v>
          </cell>
          <cell r="K2096" t="str">
            <v>RUC</v>
          </cell>
          <cell r="L2096">
            <v>20608154885</v>
          </cell>
          <cell r="M2096" t="str">
            <v>AEROPUERTO</v>
          </cell>
          <cell r="N2096">
            <v>45545.416666666664</v>
          </cell>
          <cell r="O2096">
            <v>240</v>
          </cell>
          <cell r="P2096" t="str">
            <v>XL</v>
          </cell>
        </row>
        <row r="2097">
          <cell r="A2097">
            <v>9670</v>
          </cell>
          <cell r="B2097">
            <v>9670</v>
          </cell>
          <cell r="C2097" t="str">
            <v>CERO MATRICULA</v>
          </cell>
          <cell r="D2097" t="str">
            <v>ACTIVO</v>
          </cell>
          <cell r="E2097" t="str">
            <v>Z7B258</v>
          </cell>
          <cell r="F2097" t="str">
            <v xml:space="preserve">Prieto Mendro Luis Eddis </v>
          </cell>
          <cell r="G2097" t="str">
            <v>PRIETO MENDRO LUIS EDDIS</v>
          </cell>
          <cell r="H2097" t="str">
            <v>40616915</v>
          </cell>
          <cell r="I2097" t="str">
            <v>BCP</v>
          </cell>
          <cell r="J2097" t="str">
            <v>19134211434003</v>
          </cell>
          <cell r="K2097" t="str">
            <v>DNI</v>
          </cell>
          <cell r="L2097">
            <v>10406169150</v>
          </cell>
          <cell r="M2097" t="str">
            <v>URBANO</v>
          </cell>
          <cell r="N2097">
            <v>45547</v>
          </cell>
          <cell r="O2097">
            <v>0</v>
          </cell>
          <cell r="P2097" t="str">
            <v>COMFORT</v>
          </cell>
        </row>
        <row r="2098">
          <cell r="A2098">
            <v>9671</v>
          </cell>
          <cell r="B2098">
            <v>9671</v>
          </cell>
          <cell r="C2098" t="str">
            <v>CERO MATRICULA</v>
          </cell>
          <cell r="D2098" t="str">
            <v>ACTIVO</v>
          </cell>
          <cell r="E2098" t="str">
            <v>CMH361</v>
          </cell>
          <cell r="F2098" t="str">
            <v>Dueñas Ramirez Cesar Ilich Leonidas</v>
          </cell>
          <cell r="G2098" t="str">
            <v>DUEÑAS RAMIREZ CESAR ILICH LEONIDAS</v>
          </cell>
          <cell r="H2098" t="str">
            <v>07509898</v>
          </cell>
          <cell r="I2098" t="str">
            <v>BCP</v>
          </cell>
          <cell r="J2098" t="str">
            <v>19171117160013</v>
          </cell>
          <cell r="K2098" t="str">
            <v>DNI</v>
          </cell>
          <cell r="L2098">
            <v>10075098982</v>
          </cell>
          <cell r="M2098" t="str">
            <v>AEROPUERTO</v>
          </cell>
          <cell r="N2098">
            <v>45547.416666666664</v>
          </cell>
          <cell r="O2098">
            <v>240</v>
          </cell>
          <cell r="P2098" t="str">
            <v>XL</v>
          </cell>
        </row>
        <row r="2099">
          <cell r="A2099">
            <v>9672</v>
          </cell>
          <cell r="B2099">
            <v>9672</v>
          </cell>
          <cell r="C2099" t="str">
            <v>CERO MATRICULA</v>
          </cell>
          <cell r="D2099" t="str">
            <v>ACTIVO</v>
          </cell>
          <cell r="E2099" t="str">
            <v>CNB512</v>
          </cell>
          <cell r="F2099" t="str">
            <v>Barriga González Freddy José</v>
          </cell>
          <cell r="G2099" t="str">
            <v>BARRIGA GONZALEZ FREDDY JOSE</v>
          </cell>
          <cell r="H2099" t="str">
            <v>003204012</v>
          </cell>
          <cell r="I2099" t="str">
            <v>BCP</v>
          </cell>
          <cell r="J2099" t="str">
            <v>19197787718070</v>
          </cell>
          <cell r="K2099" t="str">
            <v>CE</v>
          </cell>
          <cell r="L2099">
            <v>15607635681</v>
          </cell>
          <cell r="M2099" t="str">
            <v>AEROPUERTO</v>
          </cell>
          <cell r="N2099">
            <v>45547.416666666664</v>
          </cell>
          <cell r="O2099">
            <v>240</v>
          </cell>
          <cell r="P2099" t="str">
            <v>XL</v>
          </cell>
        </row>
        <row r="2100">
          <cell r="A2100">
            <v>9673</v>
          </cell>
          <cell r="B2100">
            <v>9673</v>
          </cell>
          <cell r="C2100" t="str">
            <v>CERO MATRICULA</v>
          </cell>
          <cell r="D2100" t="str">
            <v>ACTIVO</v>
          </cell>
          <cell r="E2100" t="str">
            <v>CNB491</v>
          </cell>
          <cell r="F2100" t="str">
            <v>Gil Simbolo Oswaldo José</v>
          </cell>
          <cell r="G2100" t="str">
            <v>GIL VILLEGAS OSWALDO JOSE</v>
          </cell>
          <cell r="H2100" t="str">
            <v>005696863</v>
          </cell>
          <cell r="I2100" t="str">
            <v>BCP</v>
          </cell>
          <cell r="J2100" t="str">
            <v>19278779746098</v>
          </cell>
          <cell r="K2100" t="str">
            <v>CE</v>
          </cell>
          <cell r="L2100">
            <v>15610619824</v>
          </cell>
          <cell r="M2100" t="str">
            <v>URBANO</v>
          </cell>
          <cell r="N2100">
            <v>45547</v>
          </cell>
          <cell r="O2100">
            <v>0</v>
          </cell>
          <cell r="P2100" t="str">
            <v>XL</v>
          </cell>
        </row>
        <row r="2101">
          <cell r="A2101">
            <v>9674</v>
          </cell>
          <cell r="B2101">
            <v>9674</v>
          </cell>
          <cell r="C2101" t="str">
            <v>CERO MATRICULA</v>
          </cell>
          <cell r="D2101" t="str">
            <v>ACTIVO</v>
          </cell>
          <cell r="E2101" t="str">
            <v>AXB481</v>
          </cell>
          <cell r="F2101" t="str">
            <v>Veli Rivera John Henry</v>
          </cell>
          <cell r="G2101" t="str">
            <v>VELI RIVERA JOHN HENRY</v>
          </cell>
          <cell r="H2101" t="str">
            <v>40917584</v>
          </cell>
          <cell r="I2101" t="str">
            <v>BCP</v>
          </cell>
          <cell r="J2101" t="str">
            <v>19331647021086</v>
          </cell>
          <cell r="K2101" t="str">
            <v>DNI</v>
          </cell>
          <cell r="L2101">
            <v>10409175843</v>
          </cell>
          <cell r="M2101" t="str">
            <v>AEROLINEAS</v>
          </cell>
          <cell r="N2101">
            <v>45547</v>
          </cell>
          <cell r="O2101">
            <v>0</v>
          </cell>
          <cell r="P2101" t="str">
            <v>XL</v>
          </cell>
        </row>
        <row r="2102">
          <cell r="A2102">
            <v>9675</v>
          </cell>
          <cell r="B2102">
            <v>9675</v>
          </cell>
          <cell r="C2102" t="str">
            <v>CERO MATRICULA</v>
          </cell>
          <cell r="D2102" t="str">
            <v>ACTIVO</v>
          </cell>
          <cell r="E2102" t="str">
            <v>CLM567</v>
          </cell>
          <cell r="F2102" t="str">
            <v>Marin Aparcana Javier gustavo</v>
          </cell>
          <cell r="G2102" t="str">
            <v>MARIN APARCANA JAVIER GUSTAVO</v>
          </cell>
          <cell r="H2102" t="str">
            <v>09075001</v>
          </cell>
          <cell r="I2102" t="str">
            <v>BBVA</v>
          </cell>
          <cell r="J2102" t="str">
            <v>001108140248516394</v>
          </cell>
          <cell r="K2102" t="str">
            <v>DNI</v>
          </cell>
          <cell r="L2102">
            <v>10090750017</v>
          </cell>
          <cell r="M2102" t="str">
            <v>AEROLINEAS</v>
          </cell>
          <cell r="N2102">
            <v>45547</v>
          </cell>
          <cell r="O2102">
            <v>0</v>
          </cell>
          <cell r="P2102" t="str">
            <v>XL</v>
          </cell>
        </row>
        <row r="2103">
          <cell r="A2103">
            <v>9676</v>
          </cell>
          <cell r="B2103">
            <v>9676</v>
          </cell>
          <cell r="C2103" t="str">
            <v>CERO MATRICULA</v>
          </cell>
          <cell r="D2103" t="str">
            <v>ACTIVO</v>
          </cell>
          <cell r="E2103" t="str">
            <v>CMY265</v>
          </cell>
          <cell r="F2103" t="str">
            <v>Abano Villanes Junior Smith</v>
          </cell>
          <cell r="G2103" t="str">
            <v>ABANO VILLANES JUNIOR SMITH</v>
          </cell>
          <cell r="H2103" t="str">
            <v>47417331</v>
          </cell>
          <cell r="I2103" t="str">
            <v>BCP</v>
          </cell>
          <cell r="J2103" t="str">
            <v>19136309209067</v>
          </cell>
          <cell r="K2103" t="str">
            <v>DNI</v>
          </cell>
          <cell r="L2103">
            <v>10474173319</v>
          </cell>
          <cell r="M2103" t="str">
            <v>AEROLINEAS</v>
          </cell>
          <cell r="N2103">
            <v>45547</v>
          </cell>
          <cell r="O2103">
            <v>0</v>
          </cell>
          <cell r="P2103" t="str">
            <v>XL</v>
          </cell>
        </row>
        <row r="2104">
          <cell r="A2104">
            <v>9677</v>
          </cell>
          <cell r="B2104">
            <v>9677</v>
          </cell>
          <cell r="C2104" t="str">
            <v>CERO MATRICULA</v>
          </cell>
          <cell r="D2104" t="str">
            <v>ACTIVO</v>
          </cell>
          <cell r="E2104" t="str">
            <v>CMY416</v>
          </cell>
          <cell r="F2104" t="str">
            <v xml:space="preserve">Caipo Tapia Cesar alfonso </v>
          </cell>
          <cell r="G2104" t="str">
            <v>CAIPO ROMERO ALFONSO CESAR</v>
          </cell>
          <cell r="H2104">
            <v>46336788</v>
          </cell>
          <cell r="I2104" t="str">
            <v>BCP</v>
          </cell>
          <cell r="J2104" t="str">
            <v>19306170840071</v>
          </cell>
          <cell r="K2104" t="str">
            <v>DNI</v>
          </cell>
          <cell r="L2104">
            <v>10463367880</v>
          </cell>
          <cell r="M2104" t="str">
            <v>URBANO</v>
          </cell>
          <cell r="N2104">
            <v>45547</v>
          </cell>
          <cell r="O2104">
            <v>0</v>
          </cell>
          <cell r="P2104" t="str">
            <v>LITE</v>
          </cell>
        </row>
        <row r="2105">
          <cell r="A2105">
            <v>9679</v>
          </cell>
          <cell r="B2105">
            <v>9679</v>
          </cell>
          <cell r="C2105" t="str">
            <v>CERO MATRICULA</v>
          </cell>
          <cell r="D2105" t="str">
            <v>ACTIVO</v>
          </cell>
          <cell r="E2105" t="str">
            <v>CMG050</v>
          </cell>
          <cell r="F2105" t="str">
            <v xml:space="preserve">Huapaya Aguilar Johans Raid </v>
          </cell>
          <cell r="G2105" t="str">
            <v>HUAPAYA AGUILAR JOHANS RAID</v>
          </cell>
          <cell r="H2105" t="str">
            <v>72190083</v>
          </cell>
          <cell r="I2105" t="str">
            <v>BCP</v>
          </cell>
          <cell r="J2105" t="str">
            <v>19497814925052</v>
          </cell>
          <cell r="K2105" t="str">
            <v>DNI</v>
          </cell>
          <cell r="L2105">
            <v>10721900831</v>
          </cell>
          <cell r="M2105" t="str">
            <v>URBANO</v>
          </cell>
          <cell r="N2105">
            <v>45551</v>
          </cell>
          <cell r="O2105">
            <v>0</v>
          </cell>
          <cell r="P2105" t="str">
            <v>LITE</v>
          </cell>
        </row>
        <row r="2106">
          <cell r="A2106">
            <v>9680</v>
          </cell>
          <cell r="B2106">
            <v>9680</v>
          </cell>
          <cell r="C2106" t="str">
            <v>CERO MATRICULA</v>
          </cell>
          <cell r="D2106" t="str">
            <v>ACTIVO</v>
          </cell>
          <cell r="E2106" t="str">
            <v>CJJ595</v>
          </cell>
          <cell r="F2106" t="str">
            <v>Anguis Espinoza Mario Pedro</v>
          </cell>
          <cell r="G2106" t="str">
            <v>ANGUIS ESPINOZA MARIO PEDRO</v>
          </cell>
          <cell r="H2106" t="str">
            <v>41204202</v>
          </cell>
          <cell r="I2106" t="str">
            <v>BCP</v>
          </cell>
          <cell r="J2106" t="str">
            <v>19395001456065</v>
          </cell>
          <cell r="K2106" t="str">
            <v>DNI</v>
          </cell>
          <cell r="L2106">
            <v>10412042021</v>
          </cell>
          <cell r="M2106" t="str">
            <v>URBANO</v>
          </cell>
          <cell r="N2106">
            <v>45551</v>
          </cell>
          <cell r="O2106">
            <v>0</v>
          </cell>
          <cell r="P2106" t="str">
            <v>XL</v>
          </cell>
        </row>
        <row r="2107">
          <cell r="A2107">
            <v>9681</v>
          </cell>
          <cell r="B2107">
            <v>9681</v>
          </cell>
          <cell r="C2107" t="str">
            <v>CERO MATRICULA</v>
          </cell>
          <cell r="D2107" t="str">
            <v>ACTIVO</v>
          </cell>
          <cell r="E2107" t="str">
            <v>CNE538</v>
          </cell>
          <cell r="F2107" t="str">
            <v>Huaman Saenz Luggui Giovanni</v>
          </cell>
          <cell r="G2107" t="str">
            <v>HUAMAN SAENZ LUGGUI GIOVANNI</v>
          </cell>
          <cell r="H2107" t="str">
            <v>44365997</v>
          </cell>
          <cell r="I2107" t="str">
            <v>BCP</v>
          </cell>
          <cell r="J2107" t="str">
            <v>19193936787040</v>
          </cell>
          <cell r="K2107" t="str">
            <v>DNI</v>
          </cell>
          <cell r="L2107">
            <v>10443659973</v>
          </cell>
          <cell r="M2107" t="str">
            <v>URBANO</v>
          </cell>
          <cell r="N2107">
            <v>45551</v>
          </cell>
          <cell r="O2107">
            <v>0</v>
          </cell>
          <cell r="P2107" t="str">
            <v>XL</v>
          </cell>
        </row>
        <row r="2108">
          <cell r="A2108">
            <v>9682</v>
          </cell>
          <cell r="B2108">
            <v>9682</v>
          </cell>
          <cell r="C2108" t="str">
            <v>CERO MATRICULA</v>
          </cell>
          <cell r="D2108" t="str">
            <v>ACTIVO</v>
          </cell>
          <cell r="E2108" t="str">
            <v>BPF636</v>
          </cell>
          <cell r="F2108" t="str">
            <v>Estraver Céspedes Jeancarlos segundo</v>
          </cell>
          <cell r="G2108" t="str">
            <v>ESTRAVER CESPEDES JEAN CARLOS SEGUNDO</v>
          </cell>
          <cell r="H2108" t="str">
            <v>43556647</v>
          </cell>
          <cell r="I2108" t="str">
            <v>BCP</v>
          </cell>
          <cell r="J2108" t="str">
            <v>19177756445061</v>
          </cell>
          <cell r="K2108" t="str">
            <v>DNI</v>
          </cell>
          <cell r="L2108">
            <v>10435566478</v>
          </cell>
          <cell r="M2108" t="str">
            <v>URBANO</v>
          </cell>
          <cell r="N2108">
            <v>45551</v>
          </cell>
          <cell r="O2108">
            <v>0</v>
          </cell>
          <cell r="P2108" t="str">
            <v>COMFORT XL</v>
          </cell>
        </row>
        <row r="2109">
          <cell r="A2109">
            <v>9683</v>
          </cell>
          <cell r="B2109">
            <v>9683</v>
          </cell>
          <cell r="C2109" t="str">
            <v>CERO MATRICULA</v>
          </cell>
          <cell r="D2109" t="str">
            <v>ACTIVO</v>
          </cell>
          <cell r="E2109" t="str">
            <v>CMY526</v>
          </cell>
          <cell r="F2109" t="str">
            <v>MOTTA  GOMEZ  PEDRO SAMUEL JOAQUIN</v>
          </cell>
          <cell r="G2109" t="str">
            <v>MOTTA GOMEZ PEDRO SAMUEL JOAQUIN</v>
          </cell>
          <cell r="H2109" t="str">
            <v>07615607</v>
          </cell>
          <cell r="I2109" t="str">
            <v>BCP</v>
          </cell>
          <cell r="J2109" t="str">
            <v>19332293776074</v>
          </cell>
          <cell r="K2109" t="str">
            <v>DNI</v>
          </cell>
          <cell r="L2109">
            <v>10076156072</v>
          </cell>
          <cell r="M2109" t="str">
            <v>URBANO</v>
          </cell>
          <cell r="N2109">
            <v>45552</v>
          </cell>
          <cell r="O2109">
            <v>0</v>
          </cell>
          <cell r="P2109" t="str">
            <v>XL</v>
          </cell>
        </row>
        <row r="2110">
          <cell r="A2110">
            <v>9684</v>
          </cell>
          <cell r="B2110">
            <v>9684</v>
          </cell>
          <cell r="C2110" t="str">
            <v>CERO MATRICULA</v>
          </cell>
          <cell r="D2110" t="str">
            <v>ACTIVO</v>
          </cell>
          <cell r="E2110" t="str">
            <v>W3H509</v>
          </cell>
          <cell r="F2110" t="str">
            <v>De la cruz Zelada EBER ALDO</v>
          </cell>
          <cell r="G2110" t="str">
            <v>DE LA CRUZ ZELADA EBER ALDO</v>
          </cell>
          <cell r="H2110" t="str">
            <v>09693775</v>
          </cell>
          <cell r="I2110" t="str">
            <v>BCP</v>
          </cell>
          <cell r="J2110" t="str">
            <v>19235712290018</v>
          </cell>
          <cell r="K2110" t="str">
            <v>DNI</v>
          </cell>
          <cell r="L2110">
            <v>10099142915</v>
          </cell>
          <cell r="M2110" t="str">
            <v>AEROPUERTO</v>
          </cell>
          <cell r="N2110">
            <v>45552</v>
          </cell>
          <cell r="O2110">
            <v>265</v>
          </cell>
          <cell r="P2110" t="str">
            <v>LITE</v>
          </cell>
        </row>
        <row r="2111">
          <cell r="A2111">
            <v>9686</v>
          </cell>
          <cell r="B2111">
            <v>9686</v>
          </cell>
          <cell r="C2111" t="str">
            <v>CERO MATRICULA</v>
          </cell>
          <cell r="D2111" t="str">
            <v>ACTIVO</v>
          </cell>
          <cell r="E2111" t="str">
            <v>BHY612</v>
          </cell>
          <cell r="F2111" t="str">
            <v>Castillo Moya Veronica del Carmen</v>
          </cell>
          <cell r="G2111" t="str">
            <v>CASTILLO MOYA VERONICA DEL CARMEN</v>
          </cell>
          <cell r="H2111" t="str">
            <v>004179667</v>
          </cell>
          <cell r="I2111" t="str">
            <v>BCP</v>
          </cell>
          <cell r="J2111" t="str">
            <v>19201773074082</v>
          </cell>
          <cell r="K2111" t="str">
            <v>CE</v>
          </cell>
          <cell r="L2111">
            <v>15608061212</v>
          </cell>
          <cell r="M2111" t="str">
            <v>AEROPUERTO</v>
          </cell>
          <cell r="N2111">
            <v>45552</v>
          </cell>
          <cell r="O2111">
            <v>265</v>
          </cell>
          <cell r="P2111" t="str">
            <v>LITE</v>
          </cell>
        </row>
        <row r="2112">
          <cell r="A2112">
            <v>9687</v>
          </cell>
          <cell r="B2112">
            <v>9687</v>
          </cell>
          <cell r="C2112" t="str">
            <v>CERO MATRICULA</v>
          </cell>
          <cell r="D2112" t="str">
            <v>ACTIVO</v>
          </cell>
          <cell r="E2112" t="str">
            <v>BYS146</v>
          </cell>
          <cell r="F2112" t="str">
            <v>Sanchez Zapata Jean Pierre</v>
          </cell>
          <cell r="G2112" t="str">
            <v>SANCHEZ ZAPATA JEAN PIERRE</v>
          </cell>
          <cell r="H2112" t="str">
            <v>43972544</v>
          </cell>
          <cell r="I2112" t="str">
            <v>BBVA</v>
          </cell>
          <cell r="J2112" t="str">
            <v>001108140200015709</v>
          </cell>
          <cell r="K2112" t="str">
            <v>DNI</v>
          </cell>
          <cell r="L2112">
            <v>10439725449</v>
          </cell>
          <cell r="M2112" t="str">
            <v>AEROLINEAS</v>
          </cell>
          <cell r="N2112">
            <v>45554</v>
          </cell>
          <cell r="O2112">
            <v>0</v>
          </cell>
          <cell r="P2112" t="str">
            <v>LITE</v>
          </cell>
        </row>
        <row r="2113">
          <cell r="A2113">
            <v>9688</v>
          </cell>
          <cell r="B2113">
            <v>9688</v>
          </cell>
          <cell r="C2113" t="str">
            <v>CERO MATRICULA</v>
          </cell>
          <cell r="D2113" t="str">
            <v>ACTIVO</v>
          </cell>
          <cell r="E2113" t="str">
            <v>BWH399</v>
          </cell>
          <cell r="F2113" t="str">
            <v>Cordova Rojas Raul. Artemio</v>
          </cell>
          <cell r="G2113" t="str">
            <v>CORDOVA ROJAS RAUL ARTEMIO</v>
          </cell>
          <cell r="H2113" t="str">
            <v>40434795</v>
          </cell>
          <cell r="I2113" t="str">
            <v>BCP</v>
          </cell>
          <cell r="J2113" t="str">
            <v>19295268171073</v>
          </cell>
          <cell r="K2113" t="str">
            <v>DNI</v>
          </cell>
          <cell r="L2113">
            <v>10404347956</v>
          </cell>
          <cell r="M2113" t="str">
            <v>AEROLINEAS</v>
          </cell>
          <cell r="N2113">
            <v>45554</v>
          </cell>
          <cell r="O2113">
            <v>0</v>
          </cell>
          <cell r="P2113" t="str">
            <v>XL</v>
          </cell>
        </row>
        <row r="2114">
          <cell r="A2114">
            <v>9689</v>
          </cell>
          <cell r="B2114">
            <v>9689</v>
          </cell>
          <cell r="C2114" t="str">
            <v>CERO MATRICULA</v>
          </cell>
          <cell r="D2114" t="str">
            <v>ACTIVO</v>
          </cell>
          <cell r="E2114" t="str">
            <v>CCT181</v>
          </cell>
          <cell r="F2114" t="str">
            <v>Veneros Pumarica Roger yhin</v>
          </cell>
          <cell r="G2114" t="str">
            <v>VENEROS PUMARICA ROGER YHIN</v>
          </cell>
          <cell r="H2114" t="str">
            <v>32941912</v>
          </cell>
          <cell r="I2114" t="str">
            <v>INTERBANK</v>
          </cell>
          <cell r="J2114" t="str">
            <v>8983372288924</v>
          </cell>
          <cell r="K2114" t="str">
            <v>DNI</v>
          </cell>
          <cell r="L2114">
            <v>10329419121</v>
          </cell>
          <cell r="M2114" t="str">
            <v>URBANO PARTNER</v>
          </cell>
          <cell r="N2114">
            <v>45554</v>
          </cell>
          <cell r="O2114">
            <v>0</v>
          </cell>
          <cell r="P2114" t="str">
            <v>XL</v>
          </cell>
        </row>
        <row r="2115">
          <cell r="A2115">
            <v>9690</v>
          </cell>
          <cell r="B2115">
            <v>9690</v>
          </cell>
          <cell r="C2115" t="str">
            <v>CERO MATRICULA</v>
          </cell>
          <cell r="D2115" t="str">
            <v>ACTIVO</v>
          </cell>
          <cell r="E2115" t="str">
            <v>CBT432</v>
          </cell>
          <cell r="F2115" t="str">
            <v>Aquino Castro Marco Antonio</v>
          </cell>
          <cell r="G2115" t="str">
            <v>AQUINO CASTRO MARCO ANTONIO</v>
          </cell>
          <cell r="H2115" t="str">
            <v>43385832</v>
          </cell>
          <cell r="I2115" t="str">
            <v>INTERBANK</v>
          </cell>
          <cell r="J2115" t="str">
            <v>1213083091698</v>
          </cell>
          <cell r="K2115" t="str">
            <v>DNI</v>
          </cell>
          <cell r="L2115">
            <v>10433858323</v>
          </cell>
          <cell r="M2115" t="str">
            <v>AEROPUERTO</v>
          </cell>
          <cell r="N2115">
            <v>45554</v>
          </cell>
          <cell r="O2115">
            <v>240</v>
          </cell>
          <cell r="P2115" t="str">
            <v>XL</v>
          </cell>
        </row>
        <row r="2116">
          <cell r="A2116">
            <v>9691</v>
          </cell>
          <cell r="B2116">
            <v>9691</v>
          </cell>
          <cell r="C2116" t="str">
            <v>CERO MATRICULA</v>
          </cell>
          <cell r="D2116" t="str">
            <v>ACTIVO</v>
          </cell>
          <cell r="E2116" t="str">
            <v>CDK215</v>
          </cell>
          <cell r="F2116" t="str">
            <v>Yañez Valdivia Franco Andre</v>
          </cell>
          <cell r="G2116" t="str">
            <v>YAÑEZ VALDIVIA FRANCO ANDRE</v>
          </cell>
          <cell r="H2116">
            <v>73542904</v>
          </cell>
          <cell r="I2116" t="str">
            <v>BBVA</v>
          </cell>
          <cell r="J2116" t="str">
            <v>001108140203723755</v>
          </cell>
          <cell r="K2116" t="str">
            <v>DNI</v>
          </cell>
          <cell r="L2116">
            <v>10735429049</v>
          </cell>
          <cell r="M2116" t="str">
            <v>AEROLINEAS</v>
          </cell>
          <cell r="N2116">
            <v>45554</v>
          </cell>
          <cell r="O2116">
            <v>0</v>
          </cell>
          <cell r="P2116" t="str">
            <v>COMFORT</v>
          </cell>
        </row>
        <row r="2117">
          <cell r="A2117">
            <v>9692</v>
          </cell>
          <cell r="B2117">
            <v>9692</v>
          </cell>
          <cell r="C2117" t="str">
            <v>CERO MATRICULA</v>
          </cell>
          <cell r="D2117" t="str">
            <v>ACTIVO</v>
          </cell>
          <cell r="E2117" t="str">
            <v>BZI088</v>
          </cell>
          <cell r="F2117" t="str">
            <v>Guzman Saavedra Luis Enrique</v>
          </cell>
          <cell r="G2117" t="str">
            <v>GUZMAN SAAVEDRA LUIS ENRIQUE</v>
          </cell>
          <cell r="H2117" t="str">
            <v>41994002</v>
          </cell>
          <cell r="I2117" t="str">
            <v>BCP</v>
          </cell>
          <cell r="J2117" t="str">
            <v>19435681806027</v>
          </cell>
          <cell r="K2117" t="str">
            <v>DNI</v>
          </cell>
          <cell r="L2117">
            <v>10419940025</v>
          </cell>
          <cell r="M2117" t="str">
            <v>URBANO</v>
          </cell>
          <cell r="N2117">
            <v>45555</v>
          </cell>
          <cell r="O2117">
            <v>0</v>
          </cell>
          <cell r="P2117" t="str">
            <v>XL</v>
          </cell>
        </row>
        <row r="2118">
          <cell r="A2118">
            <v>9693</v>
          </cell>
          <cell r="B2118">
            <v>9693</v>
          </cell>
          <cell r="C2118" t="str">
            <v>CERO MATRICULA</v>
          </cell>
          <cell r="D2118" t="str">
            <v>ACTIVO</v>
          </cell>
          <cell r="E2118" t="str">
            <v>BLZ295</v>
          </cell>
          <cell r="F2118" t="str">
            <v>Fernandez Villena LUIS ALBERTO</v>
          </cell>
          <cell r="G2118" t="str">
            <v>FERNANDEZ VILLENA LUIS ALBERTO</v>
          </cell>
          <cell r="H2118" t="str">
            <v>74315204</v>
          </cell>
          <cell r="I2118" t="str">
            <v>BCP</v>
          </cell>
          <cell r="J2118" t="str">
            <v>19172464677041</v>
          </cell>
          <cell r="K2118" t="str">
            <v>DNI</v>
          </cell>
          <cell r="L2118">
            <v>10743152048</v>
          </cell>
          <cell r="M2118" t="str">
            <v>AEROPUERTO</v>
          </cell>
          <cell r="N2118">
            <v>45559</v>
          </cell>
          <cell r="O2118">
            <v>265</v>
          </cell>
          <cell r="P2118" t="str">
            <v>LITE</v>
          </cell>
        </row>
        <row r="2119">
          <cell r="A2119">
            <v>9694</v>
          </cell>
          <cell r="B2119">
            <v>9694</v>
          </cell>
          <cell r="C2119" t="str">
            <v>CERO MATRICULA</v>
          </cell>
          <cell r="D2119" t="str">
            <v>ACTIVO</v>
          </cell>
          <cell r="E2119" t="str">
            <v>CLB350</v>
          </cell>
          <cell r="F2119" t="str">
            <v>Sierra Castillo José Eduardo</v>
          </cell>
          <cell r="G2119" t="str">
            <v>SIERRA CASTILLO JOSE EDUARDO</v>
          </cell>
          <cell r="H2119" t="str">
            <v>42075469</v>
          </cell>
          <cell r="I2119" t="str">
            <v>INTERBANK</v>
          </cell>
          <cell r="J2119" t="str">
            <v>1403179007720</v>
          </cell>
          <cell r="K2119" t="str">
            <v>DNI</v>
          </cell>
          <cell r="L2119">
            <v>10420754693</v>
          </cell>
          <cell r="M2119" t="str">
            <v>AEROPUERTO</v>
          </cell>
          <cell r="N2119">
            <v>45559</v>
          </cell>
          <cell r="O2119">
            <v>235</v>
          </cell>
          <cell r="P2119" t="str">
            <v>COMFORT XL</v>
          </cell>
        </row>
        <row r="2120">
          <cell r="A2120">
            <v>9697</v>
          </cell>
          <cell r="B2120">
            <v>9697</v>
          </cell>
          <cell r="C2120" t="str">
            <v>CERO MATRICULA</v>
          </cell>
          <cell r="D2120" t="str">
            <v>ACTIVO</v>
          </cell>
          <cell r="E2120" t="str">
            <v>CHJ064</v>
          </cell>
          <cell r="F2120" t="str">
            <v>Mendoza Romaní Arthur Paolo</v>
          </cell>
          <cell r="G2120" t="str">
            <v>MENDOZA ROMANI ARTHUR PAOLO</v>
          </cell>
          <cell r="H2120" t="str">
            <v>45126811</v>
          </cell>
          <cell r="I2120" t="str">
            <v>BCP</v>
          </cell>
          <cell r="J2120" t="str">
            <v>19495212965010</v>
          </cell>
          <cell r="K2120" t="str">
            <v>DNI</v>
          </cell>
          <cell r="L2120">
            <v>10451268118</v>
          </cell>
          <cell r="M2120" t="str">
            <v>URBANO</v>
          </cell>
          <cell r="N2120">
            <v>45566</v>
          </cell>
          <cell r="O2120">
            <v>0</v>
          </cell>
          <cell r="P2120" t="str">
            <v>LITE</v>
          </cell>
        </row>
        <row r="2121">
          <cell r="A2121">
            <v>9698</v>
          </cell>
          <cell r="B2121">
            <v>9698</v>
          </cell>
          <cell r="C2121" t="str">
            <v>CERO MATRICULA</v>
          </cell>
          <cell r="D2121" t="str">
            <v>ACTIVO</v>
          </cell>
          <cell r="E2121" t="str">
            <v>CMY321</v>
          </cell>
          <cell r="F2121" t="str">
            <v>Chonsen Siesquen Duberli Georin</v>
          </cell>
          <cell r="G2121" t="str">
            <v>CHONSEN SIESQUEN DUBERLI GEORIN</v>
          </cell>
          <cell r="H2121">
            <v>43242787</v>
          </cell>
          <cell r="I2121" t="str">
            <v>BBVA</v>
          </cell>
          <cell r="J2121" t="str">
            <v>001102560200176807</v>
          </cell>
          <cell r="K2121" t="str">
            <v>DNI</v>
          </cell>
          <cell r="L2121">
            <v>10432427876</v>
          </cell>
          <cell r="M2121" t="str">
            <v>URBANO</v>
          </cell>
          <cell r="N2121">
            <v>45555</v>
          </cell>
          <cell r="O2121">
            <v>0</v>
          </cell>
          <cell r="P2121" t="str">
            <v>XL</v>
          </cell>
        </row>
        <row r="2122">
          <cell r="A2122">
            <v>9699</v>
          </cell>
          <cell r="B2122">
            <v>9699</v>
          </cell>
          <cell r="C2122" t="str">
            <v>CERO MATRICULA</v>
          </cell>
          <cell r="D2122" t="str">
            <v>ACTIVO</v>
          </cell>
          <cell r="E2122" t="str">
            <v>BKX437</v>
          </cell>
          <cell r="F2122" t="str">
            <v>Ramírez Oyarce Luis Enrike</v>
          </cell>
          <cell r="G2122" t="str">
            <v>ARCE PINGUS HENRY</v>
          </cell>
          <cell r="H2122" t="str">
            <v>41131710</v>
          </cell>
          <cell r="I2122" t="str">
            <v>BCP</v>
          </cell>
          <cell r="J2122" t="str">
            <v>19190386768063</v>
          </cell>
          <cell r="K2122" t="str">
            <v>DNI</v>
          </cell>
          <cell r="L2122">
            <v>10411317108</v>
          </cell>
          <cell r="M2122" t="str">
            <v>URBANO</v>
          </cell>
          <cell r="N2122">
            <v>45555</v>
          </cell>
          <cell r="O2122">
            <v>0</v>
          </cell>
          <cell r="P2122" t="str">
            <v>COMFORT</v>
          </cell>
        </row>
        <row r="2123">
          <cell r="A2123">
            <v>9700</v>
          </cell>
          <cell r="B2123">
            <v>9700</v>
          </cell>
          <cell r="C2123" t="str">
            <v>CERO MATRICULA</v>
          </cell>
          <cell r="D2123" t="str">
            <v>ACTIVO</v>
          </cell>
          <cell r="E2123" t="str">
            <v>Cfw630</v>
          </cell>
          <cell r="F2123" t="str">
            <v>Godoy Huaman Julio Alipio</v>
          </cell>
          <cell r="G2123" t="str">
            <v>GODOY HUAMAN JULIO ALIPIO</v>
          </cell>
          <cell r="H2123" t="str">
            <v>73780276</v>
          </cell>
          <cell r="I2123" t="str">
            <v>BCP</v>
          </cell>
          <cell r="J2123" t="str">
            <v>19303046141009</v>
          </cell>
          <cell r="K2123" t="str">
            <v>DNI</v>
          </cell>
          <cell r="L2123">
            <v>10737802766</v>
          </cell>
          <cell r="M2123" t="str">
            <v>URBANO</v>
          </cell>
          <cell r="N2123">
            <v>45555</v>
          </cell>
          <cell r="O2123">
            <v>0</v>
          </cell>
          <cell r="P2123" t="str">
            <v>LITE</v>
          </cell>
        </row>
        <row r="2124">
          <cell r="A2124">
            <v>9701</v>
          </cell>
          <cell r="B2124">
            <v>9701</v>
          </cell>
          <cell r="C2124" t="str">
            <v>CERO MATRICULA</v>
          </cell>
          <cell r="D2124" t="str">
            <v>ACTIVO</v>
          </cell>
          <cell r="E2124" t="str">
            <v>Z6D031</v>
          </cell>
          <cell r="F2124" t="str">
            <v>Muñoz Abanto Enrique Segundo</v>
          </cell>
          <cell r="G2124" t="str">
            <v>MUÑOZ ABANTO ENRIQUE SEGUNDO</v>
          </cell>
          <cell r="H2124" t="str">
            <v>41012509</v>
          </cell>
          <cell r="I2124" t="str">
            <v>INTERBANK</v>
          </cell>
          <cell r="J2124" t="str">
            <v>8983363194593</v>
          </cell>
          <cell r="K2124" t="str">
            <v>DNI</v>
          </cell>
          <cell r="L2124">
            <v>10410125094</v>
          </cell>
          <cell r="M2124" t="str">
            <v>URBANO</v>
          </cell>
          <cell r="N2124">
            <v>45555</v>
          </cell>
          <cell r="O2124">
            <v>0</v>
          </cell>
          <cell r="P2124" t="str">
            <v>LITE</v>
          </cell>
        </row>
        <row r="2125">
          <cell r="A2125">
            <v>9703</v>
          </cell>
          <cell r="B2125">
            <v>9703</v>
          </cell>
          <cell r="C2125" t="str">
            <v>CERO MATRICULA</v>
          </cell>
          <cell r="D2125" t="str">
            <v>ACTIVO</v>
          </cell>
          <cell r="E2125" t="str">
            <v>CNB428</v>
          </cell>
          <cell r="F2125" t="str">
            <v>Marcano  Alexander José</v>
          </cell>
          <cell r="G2125" t="str">
            <v>MARCANO ALEXANDER JOSE</v>
          </cell>
          <cell r="H2125" t="str">
            <v>002076920</v>
          </cell>
          <cell r="I2125" t="str">
            <v>BCP</v>
          </cell>
          <cell r="J2125" t="str">
            <v>19190786132061</v>
          </cell>
          <cell r="K2125" t="str">
            <v>CE</v>
          </cell>
          <cell r="L2125">
            <v>15603294561</v>
          </cell>
          <cell r="M2125" t="str">
            <v>AEROPUERTO</v>
          </cell>
          <cell r="N2125">
            <v>45559</v>
          </cell>
          <cell r="O2125">
            <v>235</v>
          </cell>
          <cell r="P2125" t="str">
            <v>COMFORT XL</v>
          </cell>
        </row>
        <row r="2126">
          <cell r="A2126">
            <v>9705</v>
          </cell>
          <cell r="B2126">
            <v>9705</v>
          </cell>
          <cell r="C2126" t="str">
            <v>CERO MATRICULA</v>
          </cell>
          <cell r="D2126" t="str">
            <v>ACTIVO</v>
          </cell>
          <cell r="E2126" t="str">
            <v>AAL267</v>
          </cell>
          <cell r="F2126" t="str">
            <v>Hurtado Fernandez Floriano</v>
          </cell>
          <cell r="G2126" t="str">
            <v>HURTADO FERNANDEZ FLORIANO</v>
          </cell>
          <cell r="H2126" t="str">
            <v>09768873</v>
          </cell>
          <cell r="I2126" t="str">
            <v>BCP</v>
          </cell>
          <cell r="J2126" t="str">
            <v>19335428229088</v>
          </cell>
          <cell r="K2126" t="str">
            <v>DNI</v>
          </cell>
          <cell r="L2126">
            <v>10097688732</v>
          </cell>
          <cell r="M2126" t="str">
            <v>AEROLINEAS</v>
          </cell>
          <cell r="N2126">
            <v>45559</v>
          </cell>
          <cell r="O2126">
            <v>0</v>
          </cell>
          <cell r="P2126" t="str">
            <v>LITE</v>
          </cell>
        </row>
        <row r="2127">
          <cell r="A2127">
            <v>9706</v>
          </cell>
          <cell r="B2127">
            <v>9706</v>
          </cell>
          <cell r="C2127" t="str">
            <v>CERO MATRICULA</v>
          </cell>
          <cell r="D2127" t="str">
            <v>ACTIVO</v>
          </cell>
          <cell r="E2127" t="str">
            <v>CNC094</v>
          </cell>
          <cell r="F2127" t="str">
            <v>Liendro Rojas Gonzalo Felipe</v>
          </cell>
          <cell r="G2127" t="str">
            <v>LIENDRO ROJAS GONZALO FELIPE</v>
          </cell>
          <cell r="H2127" t="str">
            <v>74725800</v>
          </cell>
          <cell r="I2127" t="str">
            <v>BCP</v>
          </cell>
          <cell r="J2127" t="str">
            <v>19471139978061</v>
          </cell>
          <cell r="K2127" t="str">
            <v>DNI</v>
          </cell>
          <cell r="L2127">
            <v>10747258002</v>
          </cell>
          <cell r="M2127" t="str">
            <v>AEROPUERTO</v>
          </cell>
          <cell r="N2127">
            <v>45559</v>
          </cell>
          <cell r="O2127">
            <v>235</v>
          </cell>
          <cell r="P2127" t="str">
            <v>COMFORT XL</v>
          </cell>
        </row>
        <row r="2128">
          <cell r="A2128">
            <v>9707</v>
          </cell>
          <cell r="B2128">
            <v>9707</v>
          </cell>
          <cell r="C2128" t="str">
            <v>CERO MATRICULA</v>
          </cell>
          <cell r="D2128" t="str">
            <v>ACTIVO</v>
          </cell>
          <cell r="E2128" t="str">
            <v>BUK586</v>
          </cell>
          <cell r="F2128" t="str">
            <v>Mamani Palomino Mathias Alexander</v>
          </cell>
          <cell r="G2128" t="str">
            <v>MAMANI PALOMINO MATHIAS ALEXANDER</v>
          </cell>
          <cell r="H2128" t="str">
            <v>74762400</v>
          </cell>
          <cell r="I2128" t="str">
            <v>BCP</v>
          </cell>
          <cell r="J2128" t="str">
            <v>19104854798034</v>
          </cell>
          <cell r="K2128" t="str">
            <v>DNI</v>
          </cell>
          <cell r="L2128">
            <v>10747624009</v>
          </cell>
          <cell r="M2128" t="str">
            <v>URBANO</v>
          </cell>
          <cell r="N2128">
            <v>45559</v>
          </cell>
          <cell r="O2128">
            <v>0</v>
          </cell>
          <cell r="P2128" t="str">
            <v>COMFORT XL</v>
          </cell>
        </row>
        <row r="2129">
          <cell r="A2129">
            <v>9708</v>
          </cell>
          <cell r="B2129">
            <v>9708</v>
          </cell>
          <cell r="C2129" t="str">
            <v>CERO MATRICULA</v>
          </cell>
          <cell r="D2129" t="str">
            <v>ACTIVO</v>
          </cell>
          <cell r="E2129" t="str">
            <v>CLB507</v>
          </cell>
          <cell r="F2129" t="str">
            <v>Estrada Rojas Aldo Estrada rojas</v>
          </cell>
          <cell r="G2129" t="str">
            <v>ESTRADA MALPARTIDA VALERIA LESLY</v>
          </cell>
          <cell r="H2129" t="str">
            <v>70900907</v>
          </cell>
          <cell r="I2129" t="str">
            <v>BCP</v>
          </cell>
          <cell r="J2129" t="str">
            <v>19477119498080</v>
          </cell>
          <cell r="K2129" t="str">
            <v>DNI</v>
          </cell>
          <cell r="L2129">
            <v>10709009074</v>
          </cell>
          <cell r="M2129" t="str">
            <v>URBANO</v>
          </cell>
          <cell r="N2129">
            <v>45559</v>
          </cell>
          <cell r="O2129">
            <v>0</v>
          </cell>
          <cell r="P2129" t="str">
            <v>COMFORT XL</v>
          </cell>
        </row>
        <row r="2130">
          <cell r="A2130">
            <v>9709</v>
          </cell>
          <cell r="B2130">
            <v>9709</v>
          </cell>
          <cell r="C2130" t="str">
            <v>CERO MATRICULA</v>
          </cell>
          <cell r="D2130" t="str">
            <v>ACTIVO</v>
          </cell>
          <cell r="E2130" t="str">
            <v>BSY679</v>
          </cell>
          <cell r="F2130" t="str">
            <v>Granda Munarriz Johony Arturo</v>
          </cell>
          <cell r="G2130" t="str">
            <v>GRANDA MUNARRIZ JOHONY ARTURO</v>
          </cell>
          <cell r="H2130" t="str">
            <v>07801434</v>
          </cell>
          <cell r="I2130" t="str">
            <v>BCP</v>
          </cell>
          <cell r="J2130" t="str">
            <v>19101709975045</v>
          </cell>
          <cell r="K2130" t="str">
            <v>DNI</v>
          </cell>
          <cell r="L2130">
            <v>10078014348</v>
          </cell>
          <cell r="M2130" t="str">
            <v>URBANO</v>
          </cell>
          <cell r="N2130">
            <v>45565</v>
          </cell>
          <cell r="O2130">
            <v>0</v>
          </cell>
          <cell r="P2130" t="str">
            <v>COMFORT XL</v>
          </cell>
        </row>
        <row r="2131">
          <cell r="A2131">
            <v>9710</v>
          </cell>
          <cell r="B2131">
            <v>9710</v>
          </cell>
          <cell r="C2131" t="str">
            <v>CERO MATRICULA</v>
          </cell>
          <cell r="D2131" t="str">
            <v>ACTIVO</v>
          </cell>
          <cell r="E2131" t="str">
            <v>BCI665</v>
          </cell>
          <cell r="F2131" t="str">
            <v>Luperdi Miraval Giuliano</v>
          </cell>
          <cell r="G2131" t="str">
            <v>LUPERDI MIRAVAL GIULIANO</v>
          </cell>
          <cell r="H2131" t="str">
            <v>75442206</v>
          </cell>
          <cell r="I2131" t="str">
            <v>BCP</v>
          </cell>
          <cell r="J2131" t="str">
            <v>19199461811074</v>
          </cell>
          <cell r="K2131" t="str">
            <v>DNI</v>
          </cell>
          <cell r="L2131">
            <v>10754422063</v>
          </cell>
          <cell r="M2131" t="str">
            <v>AEROLINEAS</v>
          </cell>
          <cell r="N2131">
            <v>45561</v>
          </cell>
          <cell r="O2131">
            <v>0</v>
          </cell>
          <cell r="P2131" t="str">
            <v>COMFORT</v>
          </cell>
        </row>
        <row r="2132">
          <cell r="A2132">
            <v>9711</v>
          </cell>
          <cell r="B2132">
            <v>9711</v>
          </cell>
          <cell r="C2132" t="str">
            <v>CERO MATRICULA</v>
          </cell>
          <cell r="D2132" t="str">
            <v>ACTIVO</v>
          </cell>
          <cell r="E2132" t="str">
            <v>CNF059</v>
          </cell>
          <cell r="F2132" t="str">
            <v>Herrera Arenas Homar Cristhoper</v>
          </cell>
          <cell r="G2132" t="str">
            <v>HERRERA ARENAS HOMAR CRISTHOPER</v>
          </cell>
          <cell r="H2132" t="str">
            <v>74709780</v>
          </cell>
          <cell r="I2132" t="str">
            <v>BBVA</v>
          </cell>
          <cell r="J2132" t="str">
            <v>001108140237665355</v>
          </cell>
          <cell r="K2132" t="str">
            <v>DNI</v>
          </cell>
          <cell r="L2132">
            <v>10747097807</v>
          </cell>
          <cell r="M2132" t="str">
            <v>AEROLINEAS</v>
          </cell>
          <cell r="N2132">
            <v>45561</v>
          </cell>
          <cell r="O2132">
            <v>0</v>
          </cell>
          <cell r="P2132" t="str">
            <v>LITE</v>
          </cell>
        </row>
        <row r="2133">
          <cell r="A2133">
            <v>9712</v>
          </cell>
          <cell r="B2133">
            <v>9712</v>
          </cell>
          <cell r="C2133" t="str">
            <v>CERO MATRICULA</v>
          </cell>
          <cell r="D2133" t="str">
            <v>ACTIVO</v>
          </cell>
          <cell r="E2133" t="str">
            <v>ASS500</v>
          </cell>
          <cell r="F2133" t="str">
            <v>Olivares Fuertes Juan Carlos</v>
          </cell>
          <cell r="G2133" t="str">
            <v>OLIVARES FUERTES JUAN CARLOS</v>
          </cell>
          <cell r="H2133" t="str">
            <v>41550055</v>
          </cell>
          <cell r="I2133" t="str">
            <v>BCP</v>
          </cell>
          <cell r="J2133" t="str">
            <v>19101098585080</v>
          </cell>
          <cell r="K2133" t="str">
            <v>DNI</v>
          </cell>
          <cell r="L2133">
            <v>10415500551</v>
          </cell>
          <cell r="M2133" t="str">
            <v>URBANO</v>
          </cell>
          <cell r="N2133">
            <v>45561</v>
          </cell>
          <cell r="O2133">
            <v>0</v>
          </cell>
          <cell r="P2133" t="str">
            <v>XL</v>
          </cell>
        </row>
        <row r="2134">
          <cell r="A2134">
            <v>9713</v>
          </cell>
          <cell r="B2134">
            <v>9713</v>
          </cell>
          <cell r="C2134" t="str">
            <v>CERO MATRICULA</v>
          </cell>
          <cell r="D2134" t="str">
            <v>ACTIVO</v>
          </cell>
          <cell r="E2134" t="str">
            <v>BUB061</v>
          </cell>
          <cell r="F2134" t="str">
            <v>GONZALES LUQUE IVAN LUIS</v>
          </cell>
          <cell r="G2134" t="str">
            <v>GONZALES LUQUE IVAN LUIS</v>
          </cell>
          <cell r="H2134" t="str">
            <v>40094088</v>
          </cell>
          <cell r="I2134" t="str">
            <v>BCP</v>
          </cell>
          <cell r="J2134" t="str">
            <v>19135204304002</v>
          </cell>
          <cell r="K2134" t="str">
            <v>DNI</v>
          </cell>
          <cell r="L2134">
            <v>10400940881</v>
          </cell>
          <cell r="M2134" t="str">
            <v>URBANO</v>
          </cell>
          <cell r="N2134">
            <v>45561</v>
          </cell>
          <cell r="O2134">
            <v>0</v>
          </cell>
          <cell r="P2134" t="str">
            <v>COMFORT XL</v>
          </cell>
        </row>
        <row r="2135">
          <cell r="A2135">
            <v>9714</v>
          </cell>
          <cell r="B2135">
            <v>9714</v>
          </cell>
          <cell r="C2135" t="str">
            <v>CERO MATRICULA</v>
          </cell>
          <cell r="D2135" t="str">
            <v>ACTIVO</v>
          </cell>
          <cell r="E2135" t="str">
            <v>CCN585</v>
          </cell>
          <cell r="F2135" t="str">
            <v>Chavez Huertas Carlos Alberto</v>
          </cell>
          <cell r="G2135" t="str">
            <v>CHAVEZ HUERTAS CARLOS ALBERTO</v>
          </cell>
          <cell r="H2135" t="str">
            <v>40886559</v>
          </cell>
          <cell r="I2135" t="str">
            <v>BCP</v>
          </cell>
          <cell r="J2135" t="str">
            <v>19135570460056</v>
          </cell>
          <cell r="K2135" t="str">
            <v>DNI</v>
          </cell>
          <cell r="L2135">
            <v>10408865595</v>
          </cell>
          <cell r="M2135" t="str">
            <v>URBANO</v>
          </cell>
          <cell r="N2135">
            <v>45561</v>
          </cell>
          <cell r="O2135">
            <v>0</v>
          </cell>
          <cell r="P2135" t="str">
            <v>XL</v>
          </cell>
        </row>
        <row r="2136">
          <cell r="A2136">
            <v>9715</v>
          </cell>
          <cell r="B2136">
            <v>9715</v>
          </cell>
          <cell r="C2136" t="str">
            <v>CERO MATRICULA</v>
          </cell>
          <cell r="D2136" t="str">
            <v>ACTIVO</v>
          </cell>
          <cell r="E2136" t="str">
            <v>CNE613</v>
          </cell>
          <cell r="F2136" t="str">
            <v>Belleza Pereyra Juan Carlos</v>
          </cell>
          <cell r="G2136" t="str">
            <v>BELLEZA PEREYRA JUAN CARLOS</v>
          </cell>
          <cell r="H2136">
            <v>21820108</v>
          </cell>
          <cell r="I2136" t="str">
            <v>BCP</v>
          </cell>
          <cell r="J2136" t="str">
            <v>19276891139015</v>
          </cell>
          <cell r="K2136" t="str">
            <v>DNI</v>
          </cell>
          <cell r="L2136">
            <v>10218201089</v>
          </cell>
          <cell r="M2136" t="str">
            <v>URBANO</v>
          </cell>
          <cell r="N2136">
            <v>45565.458333333336</v>
          </cell>
          <cell r="O2136">
            <v>0</v>
          </cell>
          <cell r="P2136" t="str">
            <v>LITE</v>
          </cell>
        </row>
        <row r="2137">
          <cell r="A2137">
            <v>9716</v>
          </cell>
          <cell r="B2137">
            <v>9716</v>
          </cell>
          <cell r="C2137" t="str">
            <v>CERO MATRICULA</v>
          </cell>
          <cell r="D2137" t="str">
            <v>ACTIVO</v>
          </cell>
          <cell r="E2137" t="str">
            <v>CNH067</v>
          </cell>
          <cell r="F2137" t="str">
            <v>CASTRO BECERRA ANDRE STEVE</v>
          </cell>
          <cell r="G2137" t="str">
            <v>CASTRO BECERRA ANDRE STEVE</v>
          </cell>
          <cell r="H2137">
            <v>71594892</v>
          </cell>
          <cell r="I2137" t="str">
            <v>BCP</v>
          </cell>
          <cell r="J2137" t="str">
            <v>19103400587035</v>
          </cell>
          <cell r="K2137" t="str">
            <v>DNI</v>
          </cell>
          <cell r="L2137">
            <v>10715948929</v>
          </cell>
          <cell r="M2137" t="str">
            <v>URBANO</v>
          </cell>
          <cell r="N2137">
            <v>45565</v>
          </cell>
          <cell r="O2137">
            <v>0</v>
          </cell>
          <cell r="P2137" t="str">
            <v>LITE</v>
          </cell>
        </row>
        <row r="2138">
          <cell r="A2138">
            <v>9717</v>
          </cell>
          <cell r="B2138">
            <v>9717</v>
          </cell>
          <cell r="C2138" t="str">
            <v>CERO MATRICULA</v>
          </cell>
          <cell r="D2138" t="str">
            <v>ACTIVO</v>
          </cell>
          <cell r="E2138" t="str">
            <v>BMN381</v>
          </cell>
          <cell r="F2138" t="str">
            <v>Sosa Mancilla Mario</v>
          </cell>
          <cell r="G2138" t="str">
            <v>NIÑO DE GUZMAN MANCILLA DAYANA DEL CARMEN VICTORIA</v>
          </cell>
          <cell r="H2138" t="str">
            <v>73075208</v>
          </cell>
          <cell r="I2138" t="str">
            <v>BCP</v>
          </cell>
          <cell r="J2138" t="str">
            <v>19193241982018</v>
          </cell>
          <cell r="K2138" t="str">
            <v>DNI</v>
          </cell>
          <cell r="L2138">
            <v>10730752089</v>
          </cell>
          <cell r="M2138" t="str">
            <v>URBANO</v>
          </cell>
          <cell r="N2138">
            <v>45565.458333333336</v>
          </cell>
          <cell r="O2138">
            <v>0</v>
          </cell>
          <cell r="P2138" t="str">
            <v>XL</v>
          </cell>
        </row>
        <row r="2139">
          <cell r="A2139">
            <v>9718</v>
          </cell>
          <cell r="B2139">
            <v>9718</v>
          </cell>
          <cell r="C2139" t="str">
            <v>CERO MATRICULA</v>
          </cell>
          <cell r="D2139" t="str">
            <v>ACTIVO</v>
          </cell>
          <cell r="E2139" t="str">
            <v>CMR309</v>
          </cell>
          <cell r="F2139" t="str">
            <v>Huamani Bustamante Rubén Gabriel</v>
          </cell>
          <cell r="G2139" t="str">
            <v>HUAMANI BUSTAMANTE RUBEN GABRIEL</v>
          </cell>
          <cell r="H2139">
            <v>25787629</v>
          </cell>
          <cell r="I2139" t="str">
            <v>BCP</v>
          </cell>
          <cell r="J2139" t="str">
            <v>19277294010056</v>
          </cell>
          <cell r="K2139" t="str">
            <v>DNI</v>
          </cell>
          <cell r="L2139">
            <v>10257876298</v>
          </cell>
          <cell r="M2139" t="str">
            <v>URBANO</v>
          </cell>
          <cell r="N2139">
            <v>45561</v>
          </cell>
          <cell r="O2139">
            <v>0</v>
          </cell>
          <cell r="P2139" t="str">
            <v>COMFORT XL</v>
          </cell>
        </row>
        <row r="2140">
          <cell r="A2140">
            <v>9719</v>
          </cell>
          <cell r="B2140">
            <v>9719</v>
          </cell>
          <cell r="C2140" t="str">
            <v>CERO MATRICULA</v>
          </cell>
          <cell r="D2140" t="str">
            <v>ACTIVO</v>
          </cell>
          <cell r="E2140" t="str">
            <v>BWH117</v>
          </cell>
          <cell r="F2140" t="str">
            <v>Zacarias Reyes Andersson gianmarco</v>
          </cell>
          <cell r="G2140" t="str">
            <v>ZACARIAS REYES ANDERSSON GIANMARCO</v>
          </cell>
          <cell r="H2140">
            <v>48767161</v>
          </cell>
          <cell r="I2140" t="str">
            <v>BBVA</v>
          </cell>
          <cell r="J2140" t="str">
            <v>001103160200342931</v>
          </cell>
          <cell r="K2140" t="str">
            <v>DNI</v>
          </cell>
          <cell r="L2140">
            <v>10487671610</v>
          </cell>
          <cell r="M2140" t="str">
            <v>URBANO</v>
          </cell>
          <cell r="N2140">
            <v>45561</v>
          </cell>
          <cell r="O2140">
            <v>0</v>
          </cell>
          <cell r="P2140" t="str">
            <v>LITE</v>
          </cell>
        </row>
        <row r="2141">
          <cell r="A2141">
            <v>9720</v>
          </cell>
          <cell r="B2141">
            <v>9720</v>
          </cell>
          <cell r="C2141" t="str">
            <v>CERO MATRICULA</v>
          </cell>
          <cell r="D2141" t="str">
            <v>ACTIVO</v>
          </cell>
          <cell r="E2141" t="str">
            <v>CKX659</v>
          </cell>
          <cell r="F2141" t="str">
            <v>Ruiz Lovera Gilmer Hugo</v>
          </cell>
          <cell r="G2141" t="str">
            <v>RUIZ LOVERA GILMER HUGO</v>
          </cell>
          <cell r="H2141" t="str">
            <v>08115648</v>
          </cell>
          <cell r="I2141" t="str">
            <v>BCP</v>
          </cell>
          <cell r="J2141" t="str">
            <v>19425410592063</v>
          </cell>
          <cell r="K2141" t="str">
            <v>DNI</v>
          </cell>
          <cell r="L2141">
            <v>10081156480</v>
          </cell>
          <cell r="M2141" t="str">
            <v>AEROPUERTO</v>
          </cell>
          <cell r="N2141">
            <v>45568</v>
          </cell>
          <cell r="O2141">
            <v>240</v>
          </cell>
          <cell r="P2141" t="str">
            <v>XL</v>
          </cell>
        </row>
        <row r="2142">
          <cell r="A2142">
            <v>9721</v>
          </cell>
          <cell r="B2142">
            <v>9721</v>
          </cell>
          <cell r="C2142" t="str">
            <v>CERO MATRICULA</v>
          </cell>
          <cell r="D2142" t="str">
            <v>ACTIVO</v>
          </cell>
          <cell r="E2142" t="str">
            <v>CNG033</v>
          </cell>
          <cell r="F2142" t="str">
            <v>Cueva Altamirano Marvin Manuel</v>
          </cell>
          <cell r="G2142" t="str">
            <v>CUEVA ALTAMIRANO MARVIN MANUEL</v>
          </cell>
          <cell r="H2142" t="str">
            <v>45559605</v>
          </cell>
          <cell r="I2142" t="str">
            <v>INTERBANK</v>
          </cell>
          <cell r="J2142" t="str">
            <v>8983182860419</v>
          </cell>
          <cell r="K2142" t="str">
            <v>DNI</v>
          </cell>
          <cell r="L2142">
            <v>10455596055</v>
          </cell>
          <cell r="M2142" t="str">
            <v>URBANO</v>
          </cell>
          <cell r="N2142">
            <v>45565</v>
          </cell>
          <cell r="O2142">
            <v>0</v>
          </cell>
          <cell r="P2142" t="str">
            <v>COMFORT XL</v>
          </cell>
        </row>
        <row r="2143">
          <cell r="A2143">
            <v>9723</v>
          </cell>
          <cell r="B2143">
            <v>9723</v>
          </cell>
          <cell r="C2143" t="str">
            <v>CERO MATRICULA</v>
          </cell>
          <cell r="D2143" t="str">
            <v>ACTIVO</v>
          </cell>
          <cell r="E2143" t="str">
            <v>Z7J022</v>
          </cell>
          <cell r="F2143" t="str">
            <v>Domínguez Malca José Miguel</v>
          </cell>
          <cell r="G2143" t="str">
            <v>DOMINGUEZ MALCA JOSE MIGUEL</v>
          </cell>
          <cell r="H2143" t="str">
            <v>06782860</v>
          </cell>
          <cell r="I2143" t="str">
            <v>BCP</v>
          </cell>
          <cell r="J2143" t="str">
            <v>19176959642009</v>
          </cell>
          <cell r="K2143" t="str">
            <v>DNI</v>
          </cell>
          <cell r="L2143">
            <v>10067828602</v>
          </cell>
          <cell r="M2143" t="str">
            <v>URBANO</v>
          </cell>
          <cell r="N2143">
            <v>45566.083333333336</v>
          </cell>
          <cell r="O2143">
            <v>0</v>
          </cell>
          <cell r="P2143" t="str">
            <v>COMFORT</v>
          </cell>
        </row>
        <row r="2144">
          <cell r="A2144">
            <v>9726</v>
          </cell>
          <cell r="B2144">
            <v>9726</v>
          </cell>
          <cell r="C2144" t="str">
            <v>CERO MATRICULA</v>
          </cell>
          <cell r="D2144" t="str">
            <v>ACTIVO</v>
          </cell>
          <cell r="E2144" t="str">
            <v>BLS097</v>
          </cell>
          <cell r="F2144" t="str">
            <v>Guevara Alvarado Félix Arturo</v>
          </cell>
          <cell r="G2144" t="str">
            <v>GUEVARA ALVARADO FELIX ARTURO</v>
          </cell>
          <cell r="H2144" t="str">
            <v>10595984</v>
          </cell>
          <cell r="I2144" t="str">
            <v>INTERBANK</v>
          </cell>
          <cell r="J2144" t="str">
            <v>3303194031103</v>
          </cell>
          <cell r="K2144" t="str">
            <v>DNI</v>
          </cell>
          <cell r="L2144">
            <v>10105959848</v>
          </cell>
          <cell r="M2144" t="str">
            <v>URBANO</v>
          </cell>
          <cell r="N2144">
            <v>45565</v>
          </cell>
          <cell r="O2144">
            <v>0</v>
          </cell>
          <cell r="P2144" t="str">
            <v>LITE</v>
          </cell>
        </row>
        <row r="2145">
          <cell r="A2145">
            <v>9727</v>
          </cell>
          <cell r="B2145">
            <v>9727</v>
          </cell>
          <cell r="C2145" t="str">
            <v>CERO MATRICULA</v>
          </cell>
          <cell r="D2145" t="str">
            <v>ACTIVO</v>
          </cell>
          <cell r="E2145" t="str">
            <v>CMR 127</v>
          </cell>
          <cell r="F2145" t="str">
            <v>ESPINO GUEVARA LUIS HOMERO</v>
          </cell>
          <cell r="G2145" t="str">
            <v>ESPINO GUEVARA LUIS HOMERO</v>
          </cell>
          <cell r="H2145">
            <v>21544077</v>
          </cell>
          <cell r="I2145" t="str">
            <v>BBVA</v>
          </cell>
          <cell r="J2145" t="str">
            <v>0011013702007206</v>
          </cell>
          <cell r="K2145" t="str">
            <v>DNI</v>
          </cell>
          <cell r="L2145">
            <v>10215440775</v>
          </cell>
          <cell r="M2145" t="str">
            <v>AEROPUERTO</v>
          </cell>
          <cell r="N2145">
            <v>45565.083333333336</v>
          </cell>
          <cell r="O2145">
            <v>235</v>
          </cell>
          <cell r="P2145" t="str">
            <v>COMFORT XL</v>
          </cell>
        </row>
        <row r="2146">
          <cell r="A2146">
            <v>9730</v>
          </cell>
          <cell r="B2146">
            <v>9730</v>
          </cell>
          <cell r="C2146" t="str">
            <v>CERO MATRICULA</v>
          </cell>
          <cell r="D2146" t="str">
            <v>ACTIVO</v>
          </cell>
          <cell r="E2146" t="str">
            <v>Z6O577</v>
          </cell>
          <cell r="F2146" t="str">
            <v>MOGOLLON CHAMAYA SHEYLA FLOR DE MARIA</v>
          </cell>
          <cell r="G2146" t="str">
            <v>MOGOLLON CHAMAYA SHEYLA FLOR DE MARIA</v>
          </cell>
          <cell r="H2146">
            <v>73116235</v>
          </cell>
          <cell r="I2146" t="str">
            <v>BBVA</v>
          </cell>
          <cell r="J2146" t="str">
            <v>001101020200941777</v>
          </cell>
          <cell r="K2146" t="str">
            <v>DNI</v>
          </cell>
          <cell r="L2146">
            <v>10731162358</v>
          </cell>
          <cell r="M2146" t="str">
            <v>URBANO</v>
          </cell>
          <cell r="N2146">
            <v>45565</v>
          </cell>
          <cell r="O2146">
            <v>0</v>
          </cell>
          <cell r="P2146" t="str">
            <v>LITE</v>
          </cell>
        </row>
        <row r="2147">
          <cell r="A2147">
            <v>9734</v>
          </cell>
          <cell r="B2147">
            <v>9734</v>
          </cell>
          <cell r="C2147" t="str">
            <v>CERO MATRICULA</v>
          </cell>
          <cell r="D2147" t="str">
            <v>ACTIVO</v>
          </cell>
          <cell r="E2147" t="str">
            <v>BJC051</v>
          </cell>
          <cell r="F2147" t="str">
            <v>Aguilar Balladares David Moisés</v>
          </cell>
          <cell r="G2147" t="str">
            <v>AGUILAR BALLADARES DAVID MOISES</v>
          </cell>
          <cell r="H2147" t="str">
            <v>41689248</v>
          </cell>
          <cell r="I2147" t="str">
            <v>BBVA</v>
          </cell>
          <cell r="J2147" t="str">
            <v>001108140259193635</v>
          </cell>
          <cell r="K2147" t="str">
            <v>DNI</v>
          </cell>
          <cell r="L2147">
            <v>10416892488</v>
          </cell>
          <cell r="M2147" t="str">
            <v>AEROPUERTO</v>
          </cell>
          <cell r="N2147">
            <v>45565</v>
          </cell>
          <cell r="O2147">
            <v>235</v>
          </cell>
          <cell r="P2147" t="str">
            <v>COMFORT XL</v>
          </cell>
        </row>
        <row r="2148">
          <cell r="A2148">
            <v>9736</v>
          </cell>
          <cell r="B2148">
            <v>9736</v>
          </cell>
          <cell r="C2148" t="str">
            <v>CERO MATRICULA</v>
          </cell>
          <cell r="D2148" t="str">
            <v>ACTIVO</v>
          </cell>
          <cell r="E2148" t="str">
            <v>BWF320</v>
          </cell>
          <cell r="F2148" t="str">
            <v>Rojas Uchanico Tyron Robsón</v>
          </cell>
          <cell r="G2148" t="str">
            <v>ROJAS UCHANICO TYRON ROBSON</v>
          </cell>
          <cell r="H2148">
            <v>48883189</v>
          </cell>
          <cell r="I2148" t="str">
            <v>INTERBANK</v>
          </cell>
          <cell r="J2148" t="str">
            <v>8983253105323</v>
          </cell>
          <cell r="K2148" t="str">
            <v>DNI</v>
          </cell>
          <cell r="L2148">
            <v>10488831891</v>
          </cell>
          <cell r="M2148" t="str">
            <v>AEROLINEAS</v>
          </cell>
          <cell r="N2148">
            <v>45565</v>
          </cell>
          <cell r="O2148">
            <v>0</v>
          </cell>
          <cell r="P2148" t="str">
            <v>COMFORT XL</v>
          </cell>
        </row>
        <row r="2149">
          <cell r="A2149">
            <v>9737</v>
          </cell>
          <cell r="B2149">
            <v>9737</v>
          </cell>
          <cell r="C2149" t="str">
            <v>CERO MATRICULA</v>
          </cell>
          <cell r="D2149" t="str">
            <v>ACTIVO</v>
          </cell>
          <cell r="E2149" t="str">
            <v>ANM675</v>
          </cell>
          <cell r="F2149" t="str">
            <v>Urteaga Morales LUIS ANTONIO</v>
          </cell>
          <cell r="G2149" t="str">
            <v>MORALES CANDELA GINA MILAGRITO</v>
          </cell>
          <cell r="H2149" t="str">
            <v>80361932</v>
          </cell>
          <cell r="I2149" t="str">
            <v>INTERBANK</v>
          </cell>
          <cell r="J2149" t="str">
            <v>2423440467224</v>
          </cell>
          <cell r="K2149" t="str">
            <v>DNI</v>
          </cell>
          <cell r="L2149">
            <v>10803619323</v>
          </cell>
          <cell r="M2149" t="str">
            <v>URBANO</v>
          </cell>
          <cell r="N2149">
            <v>45566</v>
          </cell>
          <cell r="O2149">
            <v>0</v>
          </cell>
          <cell r="P2149" t="str">
            <v>LITE</v>
          </cell>
        </row>
        <row r="2150">
          <cell r="A2150">
            <v>9738</v>
          </cell>
          <cell r="B2150">
            <v>9738</v>
          </cell>
          <cell r="C2150" t="str">
            <v>CERO MATRICULA</v>
          </cell>
          <cell r="D2150" t="str">
            <v>ACTIVO</v>
          </cell>
          <cell r="E2150" t="str">
            <v>BWC303</v>
          </cell>
          <cell r="F2150" t="str">
            <v>Surco Arroyo Vidal</v>
          </cell>
          <cell r="G2150" t="str">
            <v>SURCO ARROYO VIDAL</v>
          </cell>
          <cell r="H2150" t="str">
            <v>72167147</v>
          </cell>
          <cell r="I2150" t="str">
            <v>BCP</v>
          </cell>
          <cell r="J2150" t="str">
            <v>19192029466054</v>
          </cell>
          <cell r="K2150" t="str">
            <v>DNI</v>
          </cell>
          <cell r="L2150">
            <v>10721671475</v>
          </cell>
          <cell r="M2150" t="str">
            <v>URBANO</v>
          </cell>
          <cell r="N2150">
            <v>45566</v>
          </cell>
          <cell r="O2150">
            <v>0</v>
          </cell>
          <cell r="P2150" t="str">
            <v>COMFORT XL</v>
          </cell>
        </row>
        <row r="2151">
          <cell r="A2151">
            <v>9741</v>
          </cell>
          <cell r="B2151">
            <v>9741</v>
          </cell>
          <cell r="C2151" t="str">
            <v>CERO MATRICULA</v>
          </cell>
          <cell r="D2151" t="str">
            <v>ACTIVO</v>
          </cell>
          <cell r="E2151" t="str">
            <v>CHJ663</v>
          </cell>
          <cell r="F2151" t="str">
            <v xml:space="preserve">Llacua Aroni Luis Edinson </v>
          </cell>
          <cell r="G2151" t="str">
            <v>LLACUA ARONI LUIS EDINSON</v>
          </cell>
          <cell r="H2151">
            <v>42625197</v>
          </cell>
          <cell r="I2151" t="str">
            <v>INTERBANK</v>
          </cell>
          <cell r="J2151" t="str">
            <v>8983259417556</v>
          </cell>
          <cell r="K2151" t="str">
            <v>DNI</v>
          </cell>
          <cell r="L2151">
            <v>10426251979</v>
          </cell>
          <cell r="M2151" t="str">
            <v>URBANO</v>
          </cell>
          <cell r="N2151">
            <v>45568.083333333336</v>
          </cell>
          <cell r="O2151">
            <v>0</v>
          </cell>
          <cell r="P2151" t="str">
            <v>XL</v>
          </cell>
        </row>
        <row r="2152">
          <cell r="A2152">
            <v>9743</v>
          </cell>
          <cell r="B2152">
            <v>9743</v>
          </cell>
          <cell r="C2152" t="str">
            <v>CERO MATRICULA</v>
          </cell>
          <cell r="D2152" t="str">
            <v>ACTIVO</v>
          </cell>
          <cell r="E2152" t="str">
            <v>CKU640</v>
          </cell>
          <cell r="F2152" t="str">
            <v>Rodríguez González Jesús Edgardo</v>
          </cell>
          <cell r="G2152" t="str">
            <v>RODRIGUEZ GONZALEZ JESUS EDGARDO</v>
          </cell>
          <cell r="H2152" t="str">
            <v>006497692</v>
          </cell>
          <cell r="I2152" t="str">
            <v>BCP</v>
          </cell>
          <cell r="J2152" t="str">
            <v>19296267427023</v>
          </cell>
          <cell r="K2152" t="str">
            <v>CE</v>
          </cell>
          <cell r="L2152">
            <v>15605263485</v>
          </cell>
          <cell r="M2152" t="str">
            <v>AEROPUERTO</v>
          </cell>
          <cell r="N2152">
            <v>45568</v>
          </cell>
          <cell r="O2152">
            <v>235</v>
          </cell>
          <cell r="P2152" t="str">
            <v>COMFORT XL</v>
          </cell>
        </row>
        <row r="2153">
          <cell r="A2153">
            <v>9744</v>
          </cell>
          <cell r="B2153">
            <v>9744</v>
          </cell>
          <cell r="C2153" t="str">
            <v>CERO MATRICULA</v>
          </cell>
          <cell r="D2153" t="str">
            <v>ACTIVO</v>
          </cell>
          <cell r="E2153" t="str">
            <v>BSM138</v>
          </cell>
          <cell r="F2153" t="str">
            <v>Aroni Pozo Pompeyo</v>
          </cell>
          <cell r="G2153" t="str">
            <v>ARONI POZO POMPEYO</v>
          </cell>
          <cell r="H2153" t="str">
            <v>07657823</v>
          </cell>
          <cell r="I2153" t="str">
            <v>INTERBANK</v>
          </cell>
          <cell r="J2153" t="str">
            <v>1663194855817</v>
          </cell>
          <cell r="K2153" t="str">
            <v>DNI</v>
          </cell>
          <cell r="L2153">
            <v>10076578236</v>
          </cell>
          <cell r="M2153" t="str">
            <v>AEROPUERTO</v>
          </cell>
          <cell r="N2153">
            <v>45568.416666666664</v>
          </cell>
          <cell r="O2153">
            <v>240</v>
          </cell>
          <cell r="P2153" t="str">
            <v>XL</v>
          </cell>
        </row>
        <row r="2154">
          <cell r="A2154">
            <v>9745</v>
          </cell>
          <cell r="B2154">
            <v>9745</v>
          </cell>
          <cell r="C2154" t="str">
            <v>CERO MATRICULA</v>
          </cell>
          <cell r="D2154" t="str">
            <v>ACTIVO</v>
          </cell>
          <cell r="E2154" t="str">
            <v>CLV377</v>
          </cell>
          <cell r="F2154" t="str">
            <v>Rocco Philipps Bruno Ricardo</v>
          </cell>
          <cell r="G2154" t="str">
            <v>ROCCO PHILIPPS BRUNO RICARDO</v>
          </cell>
          <cell r="H2154" t="str">
            <v>09871485</v>
          </cell>
          <cell r="I2154" t="str">
            <v>BCP</v>
          </cell>
          <cell r="J2154" t="str">
            <v>19475431481013</v>
          </cell>
          <cell r="K2154" t="str">
            <v>DNI</v>
          </cell>
          <cell r="L2154">
            <v>10098714851</v>
          </cell>
          <cell r="M2154" t="str">
            <v>AEROLINEAS</v>
          </cell>
          <cell r="N2154">
            <v>45568.125</v>
          </cell>
          <cell r="O2154">
            <v>0</v>
          </cell>
          <cell r="P2154" t="str">
            <v>LITE</v>
          </cell>
        </row>
        <row r="2155">
          <cell r="A2155">
            <v>9746</v>
          </cell>
          <cell r="B2155">
            <v>9746</v>
          </cell>
          <cell r="C2155" t="str">
            <v>CERO MATRICULA</v>
          </cell>
          <cell r="D2155" t="str">
            <v>ACTIVO</v>
          </cell>
          <cell r="E2155" t="str">
            <v>CML424</v>
          </cell>
          <cell r="F2155" t="str">
            <v>Coaricona Coaricona Edilberto</v>
          </cell>
          <cell r="G2155" t="str">
            <v>COARICONA COARICONA EDILBERTO</v>
          </cell>
          <cell r="H2155">
            <v>40210373</v>
          </cell>
          <cell r="I2155" t="str">
            <v>INTERBANK</v>
          </cell>
          <cell r="J2155" t="str">
            <v>1493043679990</v>
          </cell>
          <cell r="K2155" t="str">
            <v>DNI</v>
          </cell>
          <cell r="L2155">
            <v>10402103731</v>
          </cell>
          <cell r="M2155" t="str">
            <v>URBANO PARTNER</v>
          </cell>
          <cell r="N2155">
            <v>45568.583333333336</v>
          </cell>
          <cell r="O2155">
            <v>0</v>
          </cell>
          <cell r="P2155" t="str">
            <v>COMFORT XL</v>
          </cell>
        </row>
        <row r="2156">
          <cell r="A2156">
            <v>9747</v>
          </cell>
          <cell r="B2156">
            <v>9747</v>
          </cell>
          <cell r="C2156" t="str">
            <v>CERO MATRICULA</v>
          </cell>
          <cell r="D2156" t="str">
            <v>ACTIVO</v>
          </cell>
          <cell r="E2156" t="str">
            <v>CMV319</v>
          </cell>
          <cell r="F2156" t="str">
            <v>Mateo Zamudio Luis jonathan</v>
          </cell>
          <cell r="G2156" t="str">
            <v>MATEO ZAMUDIO LUIS JONATHAN</v>
          </cell>
          <cell r="H2156" t="str">
            <v>47778486</v>
          </cell>
          <cell r="I2156" t="str">
            <v>BCP</v>
          </cell>
          <cell r="J2156" t="str">
            <v>19478128114085</v>
          </cell>
          <cell r="K2156" t="str">
            <v>DNI</v>
          </cell>
          <cell r="L2156">
            <v>10477784866</v>
          </cell>
          <cell r="M2156" t="str">
            <v>URBANO</v>
          </cell>
          <cell r="N2156">
            <v>45572</v>
          </cell>
          <cell r="O2156">
            <v>0</v>
          </cell>
          <cell r="P2156" t="str">
            <v>COMFORT XL</v>
          </cell>
        </row>
        <row r="2157">
          <cell r="A2157">
            <v>9751</v>
          </cell>
          <cell r="B2157">
            <v>9751</v>
          </cell>
          <cell r="C2157" t="str">
            <v>CERO MATRICULA</v>
          </cell>
          <cell r="D2157" t="str">
            <v>ACTIVO</v>
          </cell>
          <cell r="E2157" t="str">
            <v>CBP174</v>
          </cell>
          <cell r="F2157" t="str">
            <v>REATEGUI NAVARRO HUGO JAMES</v>
          </cell>
          <cell r="G2157" t="str">
            <v>REATEGUI NAVARRO HUGO JAMES</v>
          </cell>
          <cell r="H2157">
            <v>21522249</v>
          </cell>
          <cell r="I2157" t="str">
            <v>INTERBANK</v>
          </cell>
          <cell r="J2157" t="str">
            <v>8213098335845</v>
          </cell>
          <cell r="K2157" t="str">
            <v>DNI</v>
          </cell>
          <cell r="L2157">
            <v>10215222492</v>
          </cell>
          <cell r="M2157" t="str">
            <v>URBANO</v>
          </cell>
          <cell r="N2157">
            <v>45572.458333333336</v>
          </cell>
          <cell r="O2157">
            <v>0</v>
          </cell>
          <cell r="P2157" t="str">
            <v>COMFORT XL</v>
          </cell>
        </row>
        <row r="2158">
          <cell r="A2158">
            <v>9753</v>
          </cell>
          <cell r="B2158">
            <v>9753</v>
          </cell>
          <cell r="C2158" t="str">
            <v>CERO MATRICULA</v>
          </cell>
          <cell r="D2158" t="str">
            <v>ACTIVO</v>
          </cell>
          <cell r="E2158" t="str">
            <v>BDO533</v>
          </cell>
          <cell r="F2158" t="str">
            <v>chacon lomas jhaan</v>
          </cell>
          <cell r="G2158" t="str">
            <v xml:space="preserve"> CHACON LOMAS JHAAN GILDER</v>
          </cell>
          <cell r="H2158">
            <v>46760751</v>
          </cell>
          <cell r="I2158" t="str">
            <v>INTERBANK</v>
          </cell>
          <cell r="J2158" t="str">
            <v>1673050543725</v>
          </cell>
          <cell r="K2158" t="str">
            <v>DNI</v>
          </cell>
          <cell r="L2158">
            <v>10467607516</v>
          </cell>
          <cell r="M2158" t="str">
            <v>URBANO</v>
          </cell>
          <cell r="N2158">
            <v>45574</v>
          </cell>
          <cell r="O2158">
            <v>0</v>
          </cell>
          <cell r="P2158" t="str">
            <v>LITE</v>
          </cell>
        </row>
        <row r="2159">
          <cell r="A2159">
            <v>9754</v>
          </cell>
          <cell r="B2159">
            <v>9754</v>
          </cell>
          <cell r="C2159" t="str">
            <v>CERO MATRICULA</v>
          </cell>
          <cell r="D2159" t="str">
            <v>ACTIVO</v>
          </cell>
          <cell r="E2159" t="str">
            <v>ARP492</v>
          </cell>
          <cell r="F2159" t="str">
            <v>Fernandez Peña Jose Fernando</v>
          </cell>
          <cell r="G2159" t="str">
            <v xml:space="preserve"> FERNANDEZ PEÑA JOSE FERNANDO</v>
          </cell>
          <cell r="H2159">
            <v>77436478</v>
          </cell>
          <cell r="I2159" t="str">
            <v>BCP</v>
          </cell>
          <cell r="J2159" t="str">
            <v>19297552435011</v>
          </cell>
          <cell r="K2159" t="str">
            <v>DNI</v>
          </cell>
          <cell r="L2159">
            <v>10774364787</v>
          </cell>
          <cell r="M2159" t="str">
            <v>URBANO</v>
          </cell>
          <cell r="N2159">
            <v>45572.458333333336</v>
          </cell>
          <cell r="O2159">
            <v>0</v>
          </cell>
          <cell r="P2159" t="str">
            <v>LITE</v>
          </cell>
        </row>
        <row r="2160">
          <cell r="A2160">
            <v>9763</v>
          </cell>
          <cell r="B2160">
            <v>9763</v>
          </cell>
          <cell r="C2160" t="str">
            <v>CERO MATRICULA</v>
          </cell>
          <cell r="D2160" t="str">
            <v>ACTIVO</v>
          </cell>
          <cell r="E2160" t="str">
            <v>CDA377</v>
          </cell>
          <cell r="F2160" t="str">
            <v>Nava Galicia Rafael Angel</v>
          </cell>
          <cell r="G2160" t="str">
            <v>NAVA GALICIA RAFAEL ANGEL</v>
          </cell>
          <cell r="H2160" t="str">
            <v>001021828</v>
          </cell>
          <cell r="I2160" t="str">
            <v>BBVA</v>
          </cell>
          <cell r="J2160" t="str">
            <v>001108310200260501</v>
          </cell>
          <cell r="K2160" t="str">
            <v>CE</v>
          </cell>
          <cell r="L2160">
            <v>15605274223</v>
          </cell>
          <cell r="M2160" t="str">
            <v>URBANO</v>
          </cell>
          <cell r="N2160">
            <v>45572.458333333336</v>
          </cell>
          <cell r="O2160">
            <v>0</v>
          </cell>
          <cell r="P2160" t="str">
            <v>LITE</v>
          </cell>
        </row>
        <row r="2161">
          <cell r="A2161">
            <v>9764</v>
          </cell>
          <cell r="B2161">
            <v>9764</v>
          </cell>
          <cell r="C2161" t="str">
            <v>CERO MATRICULA</v>
          </cell>
          <cell r="D2161" t="str">
            <v>ACTIVO</v>
          </cell>
          <cell r="E2161" t="str">
            <v>CNB530</v>
          </cell>
          <cell r="F2161" t="str">
            <v>Trigoso Sanchez Jorge Enrique</v>
          </cell>
          <cell r="G2161" t="str">
            <v>CORPORACION E INVERSIONES MULTIPLES TRISAN PERU S.A.C.</v>
          </cell>
          <cell r="H2161" t="str">
            <v>20613191551</v>
          </cell>
          <cell r="I2161" t="str">
            <v>BBVA</v>
          </cell>
          <cell r="J2161" t="str">
            <v>001100130100030226</v>
          </cell>
          <cell r="K2161" t="str">
            <v>RUC</v>
          </cell>
          <cell r="L2161">
            <v>20613191551</v>
          </cell>
          <cell r="M2161" t="str">
            <v>AEROPUERTO</v>
          </cell>
          <cell r="N2161">
            <v>45574.416666666664</v>
          </cell>
          <cell r="O2161">
            <v>235</v>
          </cell>
          <cell r="P2161" t="str">
            <v>COMFORT XL</v>
          </cell>
        </row>
        <row r="2162">
          <cell r="A2162">
            <v>9765</v>
          </cell>
          <cell r="B2162">
            <v>9765</v>
          </cell>
          <cell r="C2162" t="str">
            <v>CERO MATRICULA</v>
          </cell>
          <cell r="D2162" t="str">
            <v>ACTIVO</v>
          </cell>
          <cell r="E2162" t="str">
            <v>CJL095</v>
          </cell>
          <cell r="F2162" t="str">
            <v>Colmenares Noguera Angel Johan</v>
          </cell>
          <cell r="G2162" t="str">
            <v>COLMENARES NOGUERA ANGEL JOHAN</v>
          </cell>
          <cell r="H2162" t="str">
            <v>007203280</v>
          </cell>
          <cell r="I2162" t="str">
            <v>BCP</v>
          </cell>
          <cell r="J2162" t="str">
            <v>19105585849070</v>
          </cell>
          <cell r="K2162" t="str">
            <v>CE</v>
          </cell>
          <cell r="L2162">
            <v>15613216542</v>
          </cell>
          <cell r="M2162" t="str">
            <v>AEROPUERTO</v>
          </cell>
          <cell r="N2162">
            <v>45574.416666666664</v>
          </cell>
          <cell r="O2162">
            <v>265</v>
          </cell>
          <cell r="P2162" t="str">
            <v>LITE</v>
          </cell>
        </row>
        <row r="2163">
          <cell r="A2163">
            <v>9771</v>
          </cell>
          <cell r="B2163">
            <v>9771</v>
          </cell>
          <cell r="C2163" t="str">
            <v>CERO MATRICULA</v>
          </cell>
          <cell r="D2163" t="str">
            <v>ACTIVO</v>
          </cell>
          <cell r="E2163" t="str">
            <v>CMM251</v>
          </cell>
          <cell r="F2163" t="str">
            <v>Lizarzaburu Sanchez Peter Ivan</v>
          </cell>
          <cell r="G2163" t="str">
            <v>JUAREZ ALVAREZ SHIRLEY ERIKA</v>
          </cell>
          <cell r="H2163" t="str">
            <v>48357156</v>
          </cell>
          <cell r="I2163" t="str">
            <v>BCP</v>
          </cell>
          <cell r="J2163" t="str">
            <v>19195010078074</v>
          </cell>
          <cell r="K2163" t="str">
            <v>DNI</v>
          </cell>
          <cell r="L2163">
            <v>10483571564</v>
          </cell>
          <cell r="M2163" t="str">
            <v>AEROPUERTO</v>
          </cell>
          <cell r="N2163">
            <v>45574.416666666664</v>
          </cell>
          <cell r="O2163">
            <v>265</v>
          </cell>
          <cell r="P2163" t="str">
            <v>LITE</v>
          </cell>
        </row>
        <row r="2164">
          <cell r="A2164">
            <v>9777</v>
          </cell>
          <cell r="B2164">
            <v>9777</v>
          </cell>
          <cell r="C2164" t="str">
            <v>CERO MATRICULA</v>
          </cell>
          <cell r="D2164" t="str">
            <v>ACTIVO</v>
          </cell>
          <cell r="E2164" t="str">
            <v>CNN640</v>
          </cell>
          <cell r="F2164" t="str">
            <v>Huaman Loayza JOHN ANTHONY</v>
          </cell>
          <cell r="G2164" t="str">
            <v>HUAMAN LOAYZA JOHN ANTHONY</v>
          </cell>
          <cell r="H2164">
            <v>46208835</v>
          </cell>
          <cell r="I2164" t="str">
            <v>BCP</v>
          </cell>
          <cell r="J2164" t="str">
            <v>19491324420087</v>
          </cell>
          <cell r="K2164" t="str">
            <v>DNI</v>
          </cell>
          <cell r="L2164">
            <v>10462088359</v>
          </cell>
          <cell r="M2164" t="str">
            <v>URBANO</v>
          </cell>
          <cell r="N2164">
            <v>45574.458333333336</v>
          </cell>
          <cell r="O2164">
            <v>0</v>
          </cell>
          <cell r="P2164" t="str">
            <v>COMFORT XL</v>
          </cell>
        </row>
        <row r="2165">
          <cell r="A2165">
            <v>9991</v>
          </cell>
          <cell r="B2165">
            <v>9991</v>
          </cell>
          <cell r="C2165" t="str">
            <v>CERO MATRICULA</v>
          </cell>
          <cell r="D2165" t="str">
            <v>ACTIVO</v>
          </cell>
          <cell r="E2165" t="str">
            <v>BKP500</v>
          </cell>
          <cell r="F2165" t="str">
            <v>LEON MEZA JUAN ALFREDO</v>
          </cell>
          <cell r="G2165" t="str">
            <v>LEON MEZA JUAN ALFREDO</v>
          </cell>
          <cell r="H2165" t="str">
            <v>25651445</v>
          </cell>
          <cell r="I2165" t="str">
            <v>BBVA</v>
          </cell>
          <cell r="J2165" t="str">
            <v>001108140230235487</v>
          </cell>
          <cell r="K2165" t="str">
            <v>DNI</v>
          </cell>
          <cell r="L2165">
            <v>10256514457</v>
          </cell>
          <cell r="M2165" t="str">
            <v>AEROPUERTO</v>
          </cell>
          <cell r="N2165" t="str">
            <v>PENDIENTE</v>
          </cell>
          <cell r="O2165">
            <v>235</v>
          </cell>
          <cell r="P2165" t="str">
            <v>COMFORT XL</v>
          </cell>
        </row>
        <row r="2166">
          <cell r="A2166" t="str">
            <v>M8002</v>
          </cell>
          <cell r="B2166" t="str">
            <v>M8002</v>
          </cell>
          <cell r="C2166" t="str">
            <v>CERO MATRICULA</v>
          </cell>
          <cell r="D2166" t="str">
            <v>ACTIVO</v>
          </cell>
          <cell r="E2166"/>
          <cell r="F2166" t="str">
            <v>SANCHEZ ABREU RENE ALEJANDRO</v>
          </cell>
          <cell r="G2166" t="str">
            <v>SANCHEZ ABREU RENE ALEJANDRO</v>
          </cell>
          <cell r="H2166" t="str">
            <v>002443426</v>
          </cell>
          <cell r="I2166" t="str">
            <v>INTERBANK</v>
          </cell>
          <cell r="J2166" t="str">
            <v>1083404706486</v>
          </cell>
          <cell r="K2166" t="str">
            <v>CE</v>
          </cell>
          <cell r="L2166">
            <v>15603363768</v>
          </cell>
          <cell r="M2166" t="str">
            <v>URBANO</v>
          </cell>
          <cell r="N2166">
            <v>45544</v>
          </cell>
          <cell r="O2166">
            <v>0</v>
          </cell>
          <cell r="P2166" t="str">
            <v>MOTO</v>
          </cell>
        </row>
        <row r="2167">
          <cell r="A2167" t="str">
            <v>M8003</v>
          </cell>
          <cell r="B2167" t="str">
            <v>M8003</v>
          </cell>
          <cell r="C2167" t="str">
            <v>CERO MATRICULA</v>
          </cell>
          <cell r="D2167" t="str">
            <v>ACTIVO</v>
          </cell>
          <cell r="E2167" t="str">
            <v>1914VB</v>
          </cell>
          <cell r="F2167" t="str">
            <v>AGUILAR GABRIEL JOSE DANIEL</v>
          </cell>
          <cell r="G2167" t="str">
            <v>JOSE DANIEL AGUILAR GABRIEL</v>
          </cell>
          <cell r="H2167" t="str">
            <v>73940694</v>
          </cell>
          <cell r="I2167" t="str">
            <v>INTERBANK</v>
          </cell>
          <cell r="J2167" t="str">
            <v>8983348741871</v>
          </cell>
          <cell r="K2167" t="str">
            <v>RUC</v>
          </cell>
          <cell r="L2167">
            <v>10739406949</v>
          </cell>
          <cell r="M2167" t="str">
            <v>URBANO</v>
          </cell>
          <cell r="N2167">
            <v>45551</v>
          </cell>
          <cell r="O2167">
            <v>0</v>
          </cell>
          <cell r="P2167" t="str">
            <v>MOTO</v>
          </cell>
        </row>
        <row r="2168">
          <cell r="A2168" t="str">
            <v>M8005</v>
          </cell>
          <cell r="B2168" t="str">
            <v>M8005</v>
          </cell>
          <cell r="C2168" t="str">
            <v>CERO MATRICULA</v>
          </cell>
          <cell r="D2168" t="str">
            <v>ACTIVO</v>
          </cell>
          <cell r="E2168" t="str">
            <v>4249OC</v>
          </cell>
          <cell r="F2168" t="str">
            <v>LUIS JAVIER VALVERDE CONTRERAS</v>
          </cell>
          <cell r="G2168" t="str">
            <v>LUIS JAVIER VALVERDE CONTRERAS</v>
          </cell>
          <cell r="H2168" t="str">
            <v>45335365</v>
          </cell>
          <cell r="I2168" t="str">
            <v>BCP</v>
          </cell>
          <cell r="J2168" t="str">
            <v>19195938006074</v>
          </cell>
          <cell r="K2168" t="str">
            <v>RUC</v>
          </cell>
          <cell r="L2168">
            <v>10453353651</v>
          </cell>
          <cell r="M2168" t="str">
            <v>URBANO</v>
          </cell>
          <cell r="N2168">
            <v>45558</v>
          </cell>
          <cell r="O2168">
            <v>0</v>
          </cell>
          <cell r="P2168" t="str">
            <v>MOTO</v>
          </cell>
        </row>
        <row r="2169">
          <cell r="A2169">
            <v>528</v>
          </cell>
          <cell r="B2169">
            <v>528</v>
          </cell>
          <cell r="C2169" t="str">
            <v>CERO MATRICULA</v>
          </cell>
          <cell r="D2169" t="str">
            <v>ACTIVO</v>
          </cell>
          <cell r="E2169" t="str">
            <v>BRU305</v>
          </cell>
          <cell r="F2169" t="str">
            <v xml:space="preserve">Marcelo Benavides ethel paul </v>
          </cell>
          <cell r="G2169" t="str">
            <v>MARCELO BENAVIDES ETHEL PAUL</v>
          </cell>
          <cell r="H2169" t="str">
            <v>43157485</v>
          </cell>
          <cell r="I2169" t="str">
            <v>BCP</v>
          </cell>
          <cell r="J2169" t="str">
            <v>19196755556082</v>
          </cell>
          <cell r="K2169" t="str">
            <v>DNI</v>
          </cell>
          <cell r="L2169">
            <v>10431574859</v>
          </cell>
          <cell r="M2169" t="str">
            <v>URBANO</v>
          </cell>
          <cell r="N2169">
            <v>45582</v>
          </cell>
          <cell r="O2169">
            <v>0</v>
          </cell>
          <cell r="P2169" t="str">
            <v>COMFORT</v>
          </cell>
        </row>
        <row r="2170">
          <cell r="A2170">
            <v>2687</v>
          </cell>
          <cell r="B2170">
            <v>2687</v>
          </cell>
          <cell r="C2170" t="str">
            <v>CERO MATRICULA</v>
          </cell>
          <cell r="D2170" t="str">
            <v>ACTIVO</v>
          </cell>
          <cell r="E2170" t="str">
            <v>Z7N358</v>
          </cell>
          <cell r="F2170" t="str">
            <v>CRUZ ASENCIOS CESAR AUGUSTO</v>
          </cell>
          <cell r="G2170" t="str">
            <v>Maciel Elena Torres García</v>
          </cell>
          <cell r="H2170" t="str">
            <v>72897053</v>
          </cell>
          <cell r="I2170" t="str">
            <v xml:space="preserve">BCP </v>
          </cell>
          <cell r="J2170" t="str">
            <v>19278258991083</v>
          </cell>
          <cell r="K2170" t="str">
            <v>DNI</v>
          </cell>
          <cell r="L2170">
            <v>10728970532</v>
          </cell>
          <cell r="M2170" t="str">
            <v>AEROLINEAS</v>
          </cell>
          <cell r="N2170">
            <v>45583</v>
          </cell>
          <cell r="O2170">
            <v>0</v>
          </cell>
          <cell r="P2170" t="str">
            <v>COMFORT XL</v>
          </cell>
        </row>
        <row r="2171">
          <cell r="A2171">
            <v>9432</v>
          </cell>
          <cell r="B2171">
            <v>9432</v>
          </cell>
          <cell r="C2171" t="str">
            <v>CERO MATRICULA</v>
          </cell>
          <cell r="D2171" t="str">
            <v>ACTIVO</v>
          </cell>
          <cell r="E2171" t="str">
            <v>CBQ519</v>
          </cell>
          <cell r="F2171" t="str">
            <v>Pizá Reyes Arturo Mario Ricardo</v>
          </cell>
          <cell r="G2171" t="str">
            <v>PIZA REYES ARTURO MARIO RICARDO</v>
          </cell>
          <cell r="H2171" t="str">
            <v>45731905</v>
          </cell>
          <cell r="I2171" t="str">
            <v>BCP</v>
          </cell>
          <cell r="J2171" t="str">
            <v>19204309094018</v>
          </cell>
          <cell r="K2171" t="str">
            <v>DNI</v>
          </cell>
          <cell r="L2171">
            <v>10457319059</v>
          </cell>
          <cell r="M2171" t="str">
            <v>URBANO</v>
          </cell>
          <cell r="N2171">
            <v>45580</v>
          </cell>
          <cell r="O2171">
            <v>0</v>
          </cell>
          <cell r="P2171" t="str">
            <v>LITE</v>
          </cell>
        </row>
        <row r="2172">
          <cell r="A2172">
            <v>9659</v>
          </cell>
          <cell r="B2172">
            <v>9659</v>
          </cell>
          <cell r="C2172" t="str">
            <v>CERO MATRICULA</v>
          </cell>
          <cell r="D2172" t="str">
            <v>ACTIVO</v>
          </cell>
          <cell r="E2172" t="str">
            <v>Bdu643</v>
          </cell>
          <cell r="F2172" t="str">
            <v>Navarro Sarcos Ender Enrique</v>
          </cell>
          <cell r="G2172" t="str">
            <v>BALDO FLORES BRENDA ALEJANDRA</v>
          </cell>
          <cell r="H2172" t="str">
            <v>73806566</v>
          </cell>
          <cell r="I2172" t="str">
            <v>BCP</v>
          </cell>
          <cell r="J2172" t="str">
            <v>19403936372031</v>
          </cell>
          <cell r="K2172" t="str">
            <v>DNI</v>
          </cell>
          <cell r="L2172">
            <v>10738065668</v>
          </cell>
          <cell r="M2172" t="str">
            <v>AEROPUERTO</v>
          </cell>
          <cell r="N2172">
            <v>45545.416666666664</v>
          </cell>
          <cell r="O2172">
            <v>265</v>
          </cell>
          <cell r="P2172" t="str">
            <v>LITE</v>
          </cell>
        </row>
        <row r="2173">
          <cell r="A2173">
            <v>9749</v>
          </cell>
          <cell r="B2173">
            <v>9749</v>
          </cell>
          <cell r="C2173" t="str">
            <v>CERO MATRICULA</v>
          </cell>
          <cell r="D2173" t="str">
            <v>ACTIVO</v>
          </cell>
          <cell r="E2173" t="str">
            <v>CLZ213</v>
          </cell>
          <cell r="F2173" t="str">
            <v>pizarro torres Luis Arturo</v>
          </cell>
          <cell r="G2173" t="str">
            <v>PIZARRO TORRES LUIS ARTURO</v>
          </cell>
          <cell r="H2173" t="str">
            <v>71318373</v>
          </cell>
          <cell r="I2173" t="str">
            <v>BCP</v>
          </cell>
          <cell r="J2173" t="str">
            <v>19101455368067</v>
          </cell>
          <cell r="K2173" t="str">
            <v>DNI</v>
          </cell>
          <cell r="L2173">
            <v>10713183739</v>
          </cell>
          <cell r="M2173" t="str">
            <v>URBANO</v>
          </cell>
          <cell r="N2173">
            <v>45579</v>
          </cell>
          <cell r="O2173">
            <v>0</v>
          </cell>
          <cell r="P2173" t="str">
            <v>COMFORT XL</v>
          </cell>
        </row>
        <row r="2174">
          <cell r="A2174">
            <v>9773</v>
          </cell>
          <cell r="B2174">
            <v>9773</v>
          </cell>
          <cell r="C2174" t="str">
            <v>CERO MATRICULA</v>
          </cell>
          <cell r="D2174" t="str">
            <v>ACTIVO</v>
          </cell>
          <cell r="E2174" t="str">
            <v>CMF608</v>
          </cell>
          <cell r="F2174" t="str">
            <v xml:space="preserve">Gutiérrez Gutiérrez Hugo Calixto </v>
          </cell>
          <cell r="G2174" t="str">
            <v>GUTIERREZ GUTIERREZ HUGO CALIXTO</v>
          </cell>
          <cell r="H2174" t="str">
            <v>40037166</v>
          </cell>
          <cell r="I2174" t="str">
            <v>BCP</v>
          </cell>
          <cell r="J2174" t="str">
            <v>19198602777062</v>
          </cell>
          <cell r="K2174" t="str">
            <v>DNI</v>
          </cell>
          <cell r="L2174">
            <v>10400371666</v>
          </cell>
          <cell r="M2174" t="str">
            <v>URBANO</v>
          </cell>
          <cell r="N2174">
            <v>45579</v>
          </cell>
          <cell r="O2174">
            <v>0</v>
          </cell>
          <cell r="P2174" t="str">
            <v>LITE</v>
          </cell>
        </row>
        <row r="2175">
          <cell r="A2175">
            <v>9775</v>
          </cell>
          <cell r="B2175">
            <v>9775</v>
          </cell>
          <cell r="C2175" t="str">
            <v>CERO MATRICULA</v>
          </cell>
          <cell r="D2175" t="str">
            <v>ACTIVO</v>
          </cell>
          <cell r="E2175" t="str">
            <v>CMM094</v>
          </cell>
          <cell r="F2175" t="str">
            <v>Bencomo Diaz Minexy Roselin</v>
          </cell>
          <cell r="G2175" t="str">
            <v>BENCOMO DIAZ MINEXY ROSELIN</v>
          </cell>
          <cell r="H2175" t="str">
            <v>003893483</v>
          </cell>
          <cell r="I2175" t="str">
            <v>BCP</v>
          </cell>
          <cell r="J2175" t="str">
            <v>19105938946033</v>
          </cell>
          <cell r="K2175" t="str">
            <v>CE</v>
          </cell>
          <cell r="L2175">
            <v>15607889781</v>
          </cell>
          <cell r="M2175" t="str">
            <v>AEROPUERTO</v>
          </cell>
          <cell r="N2175">
            <v>45574</v>
          </cell>
          <cell r="O2175">
            <v>265</v>
          </cell>
          <cell r="P2175" t="str">
            <v>LITE</v>
          </cell>
        </row>
        <row r="2176">
          <cell r="A2176">
            <v>9780</v>
          </cell>
          <cell r="B2176">
            <v>9780</v>
          </cell>
          <cell r="C2176" t="str">
            <v>CERO MATRICULA</v>
          </cell>
          <cell r="D2176" t="str">
            <v>ACTIVO</v>
          </cell>
          <cell r="E2176" t="str">
            <v>ATV596</v>
          </cell>
          <cell r="F2176" t="str">
            <v>Servan Recalde Luis Fernando</v>
          </cell>
          <cell r="G2176" t="str">
            <v>ZULUAGA ESPINOZA MILAGROS ROSARIO</v>
          </cell>
          <cell r="H2176" t="str">
            <v>44393497</v>
          </cell>
          <cell r="I2176" t="str">
            <v>BCP</v>
          </cell>
          <cell r="J2176" t="str">
            <v>19295624117015</v>
          </cell>
          <cell r="K2176" t="str">
            <v>DNI</v>
          </cell>
          <cell r="L2176">
            <v>10443934974</v>
          </cell>
          <cell r="M2176" t="str">
            <v>URBANO</v>
          </cell>
          <cell r="N2176">
            <v>45580.583333333336</v>
          </cell>
          <cell r="O2176">
            <v>0</v>
          </cell>
          <cell r="P2176" t="str">
            <v>LITE</v>
          </cell>
        </row>
        <row r="2177">
          <cell r="A2177">
            <v>9781</v>
          </cell>
          <cell r="B2177">
            <v>9781</v>
          </cell>
          <cell r="C2177" t="str">
            <v>CERO MATRICULA</v>
          </cell>
          <cell r="D2177" t="str">
            <v>ACTIVO</v>
          </cell>
          <cell r="E2177" t="str">
            <v>CNC243</v>
          </cell>
          <cell r="F2177" t="str">
            <v>Ruiz González Jimmy Eduardo</v>
          </cell>
          <cell r="G2177" t="str">
            <v>RUIZ GONZALEZ JIMMY EDUARDO</v>
          </cell>
          <cell r="H2177" t="str">
            <v>003077376</v>
          </cell>
          <cell r="I2177" t="str">
            <v>BCP</v>
          </cell>
          <cell r="J2177" t="str">
            <v>19193051204014</v>
          </cell>
          <cell r="K2177" t="str">
            <v>CE</v>
          </cell>
          <cell r="L2177">
            <v>15605958793</v>
          </cell>
          <cell r="M2177" t="str">
            <v>AEROPUERTO</v>
          </cell>
          <cell r="N2177">
            <v>45579.458333333336</v>
          </cell>
          <cell r="O2177">
            <v>235</v>
          </cell>
          <cell r="P2177" t="str">
            <v>COMFORT XL</v>
          </cell>
        </row>
        <row r="2178">
          <cell r="A2178">
            <v>9782</v>
          </cell>
          <cell r="B2178">
            <v>9782</v>
          </cell>
          <cell r="C2178" t="str">
            <v>CERO MATRICULA</v>
          </cell>
          <cell r="D2178" t="str">
            <v>ACTIVO</v>
          </cell>
          <cell r="E2178" t="str">
            <v>BCB467</v>
          </cell>
          <cell r="F2178" t="str">
            <v xml:space="preserve">Llanterhuay Cutimanco Máximo lincol </v>
          </cell>
          <cell r="G2178" t="str">
            <v>LLANTERHUAY CUELLAR MAXIMO</v>
          </cell>
          <cell r="H2178" t="str">
            <v>07893773</v>
          </cell>
          <cell r="I2178" t="str">
            <v>BCP</v>
          </cell>
          <cell r="J2178" t="str">
            <v>19397585218025</v>
          </cell>
          <cell r="K2178" t="str">
            <v>DNI</v>
          </cell>
          <cell r="L2178">
            <v>10078937730</v>
          </cell>
          <cell r="M2178" t="str">
            <v>URBANO</v>
          </cell>
          <cell r="N2178">
            <v>45579.458333333336</v>
          </cell>
          <cell r="O2178">
            <v>0</v>
          </cell>
          <cell r="P2178" t="str">
            <v>COMFORT</v>
          </cell>
        </row>
        <row r="2179">
          <cell r="A2179">
            <v>9783</v>
          </cell>
          <cell r="B2179">
            <v>9783</v>
          </cell>
          <cell r="C2179" t="str">
            <v>CERO MATRICULA</v>
          </cell>
          <cell r="D2179" t="str">
            <v>ACTIVO</v>
          </cell>
          <cell r="E2179" t="str">
            <v>CNB406</v>
          </cell>
          <cell r="F2179" t="str">
            <v>Arias Jaimes Edward Alexander</v>
          </cell>
          <cell r="G2179" t="str">
            <v>ARIAS JAIMES EDWARD ALEXANDER</v>
          </cell>
          <cell r="H2179" t="str">
            <v>001892861</v>
          </cell>
          <cell r="I2179" t="str">
            <v>BBVA</v>
          </cell>
          <cell r="J2179" t="str">
            <v>0011081402634105</v>
          </cell>
          <cell r="K2179" t="str">
            <v>CE</v>
          </cell>
          <cell r="L2179">
            <v>15604047444</v>
          </cell>
          <cell r="M2179" t="str">
            <v>URBANO</v>
          </cell>
          <cell r="N2179">
            <v>45582.083333333336</v>
          </cell>
          <cell r="O2179">
            <v>0</v>
          </cell>
          <cell r="P2179" t="str">
            <v>COMFORT XL</v>
          </cell>
        </row>
        <row r="2180">
          <cell r="A2180">
            <v>9784</v>
          </cell>
          <cell r="B2180">
            <v>9784</v>
          </cell>
          <cell r="C2180" t="str">
            <v>CERO MATRICULA</v>
          </cell>
          <cell r="D2180" t="str">
            <v>ACTIVO</v>
          </cell>
          <cell r="E2180" t="str">
            <v>CNI082</v>
          </cell>
          <cell r="F2180" t="str">
            <v>Montalvan Maldonado JUAN CARLOS</v>
          </cell>
          <cell r="G2180" t="str">
            <v>MONTALVAN MALDONADO JUAN CARLOS</v>
          </cell>
          <cell r="H2180" t="str">
            <v>42098929</v>
          </cell>
          <cell r="I2180" t="str">
            <v>BBVA</v>
          </cell>
          <cell r="J2180" t="str">
            <v>001105790209436794</v>
          </cell>
          <cell r="K2180" t="str">
            <v>DNI</v>
          </cell>
          <cell r="L2180">
            <v>10420989291</v>
          </cell>
          <cell r="M2180" t="str">
            <v>URBANO</v>
          </cell>
          <cell r="N2180">
            <v>45580.583333333336</v>
          </cell>
          <cell r="O2180">
            <v>0</v>
          </cell>
          <cell r="P2180" t="str">
            <v>COMFORT XL</v>
          </cell>
        </row>
        <row r="2181">
          <cell r="A2181">
            <v>9785</v>
          </cell>
          <cell r="B2181">
            <v>9785</v>
          </cell>
          <cell r="C2181" t="str">
            <v>CERO MATRICULA</v>
          </cell>
          <cell r="D2181" t="str">
            <v>ACTIVO</v>
          </cell>
          <cell r="E2181" t="str">
            <v>CCQ286</v>
          </cell>
          <cell r="F2181" t="str">
            <v>Chávez Terrones Franco Enrique</v>
          </cell>
          <cell r="G2181" t="str">
            <v>CHAVEZ TERRONES FRANCO ENRIQUE</v>
          </cell>
          <cell r="H2181" t="str">
            <v>10156096</v>
          </cell>
          <cell r="I2181" t="str">
            <v>BCP</v>
          </cell>
          <cell r="J2181" t="str">
            <v>19196179766076</v>
          </cell>
          <cell r="K2181" t="str">
            <v>DNI</v>
          </cell>
          <cell r="L2181">
            <v>10101560967</v>
          </cell>
          <cell r="M2181" t="str">
            <v>URBANO</v>
          </cell>
          <cell r="N2181">
            <v>45582.583333333336</v>
          </cell>
          <cell r="O2181">
            <v>0</v>
          </cell>
          <cell r="P2181" t="str">
            <v>COMFORT XL</v>
          </cell>
        </row>
        <row r="2182">
          <cell r="A2182">
            <v>9790</v>
          </cell>
          <cell r="B2182">
            <v>9790</v>
          </cell>
          <cell r="C2182" t="str">
            <v>CERO MATRICULA</v>
          </cell>
          <cell r="D2182" t="str">
            <v>ACTIVO</v>
          </cell>
          <cell r="E2182" t="str">
            <v>CNK490</v>
          </cell>
          <cell r="F2182" t="str">
            <v>Fernández Ballesteros Percy jesus</v>
          </cell>
          <cell r="G2182" t="str">
            <v>FERNANDEZ BALLESTEROS PERCY JESUS</v>
          </cell>
          <cell r="H2182" t="str">
            <v>10408169</v>
          </cell>
          <cell r="I2182" t="str">
            <v>INTERBANK</v>
          </cell>
          <cell r="J2182" t="str">
            <v>8983229467800</v>
          </cell>
          <cell r="K2182" t="str">
            <v>DNI</v>
          </cell>
          <cell r="L2182">
            <v>10104081695</v>
          </cell>
          <cell r="M2182" t="str">
            <v>URBANO</v>
          </cell>
          <cell r="N2182">
            <v>45580</v>
          </cell>
          <cell r="O2182">
            <v>0</v>
          </cell>
          <cell r="P2182" t="str">
            <v>XL</v>
          </cell>
        </row>
        <row r="2183">
          <cell r="A2183">
            <v>9791</v>
          </cell>
          <cell r="B2183">
            <v>9791</v>
          </cell>
          <cell r="C2183" t="str">
            <v>CERO MATRICULA</v>
          </cell>
          <cell r="D2183" t="str">
            <v>ACTIVO</v>
          </cell>
          <cell r="E2183" t="str">
            <v>CMI502</v>
          </cell>
          <cell r="F2183" t="str">
            <v>Torres Montoya Joel Linder</v>
          </cell>
          <cell r="G2183" t="str">
            <v>TORRES MONTOYA JOEL LINDER</v>
          </cell>
          <cell r="H2183" t="str">
            <v>47069798</v>
          </cell>
          <cell r="I2183" t="str">
            <v>BCP</v>
          </cell>
          <cell r="J2183" t="str">
            <v>19408984337086</v>
          </cell>
          <cell r="K2183" t="str">
            <v>DNI</v>
          </cell>
          <cell r="L2183">
            <v>10470697984</v>
          </cell>
          <cell r="M2183" t="str">
            <v>URBANO</v>
          </cell>
          <cell r="N2183">
            <v>45580.583333333336</v>
          </cell>
          <cell r="O2183">
            <v>0</v>
          </cell>
          <cell r="P2183" t="str">
            <v>XL</v>
          </cell>
        </row>
        <row r="2184">
          <cell r="A2184">
            <v>9795</v>
          </cell>
          <cell r="B2184">
            <v>9795</v>
          </cell>
          <cell r="C2184" t="str">
            <v>CERO MATRICULA</v>
          </cell>
          <cell r="D2184" t="str">
            <v>ACTIVO</v>
          </cell>
          <cell r="E2184" t="str">
            <v>CNB 177</v>
          </cell>
          <cell r="F2184" t="str">
            <v>Arteaga Huamán Javier</v>
          </cell>
          <cell r="G2184" t="str">
            <v>Arteaga Huamán Javier</v>
          </cell>
          <cell r="H2184">
            <v>10648539</v>
          </cell>
          <cell r="I2184" t="str">
            <v>BCP</v>
          </cell>
          <cell r="J2184" t="str">
            <v>19477841359033</v>
          </cell>
          <cell r="K2184" t="str">
            <v>DNI</v>
          </cell>
          <cell r="L2184">
            <v>10106485394</v>
          </cell>
          <cell r="M2184" t="str">
            <v>AEROPUERTO</v>
          </cell>
          <cell r="N2184">
            <v>45582.416666666664</v>
          </cell>
          <cell r="O2184">
            <v>240</v>
          </cell>
          <cell r="P2184" t="str">
            <v>XL</v>
          </cell>
        </row>
        <row r="2185">
          <cell r="A2185">
            <v>9799</v>
          </cell>
          <cell r="B2185">
            <v>9799</v>
          </cell>
          <cell r="C2185" t="str">
            <v>CERO MATRICULA</v>
          </cell>
          <cell r="D2185" t="str">
            <v>ACTIVO</v>
          </cell>
          <cell r="E2185" t="str">
            <v>AWY629</v>
          </cell>
          <cell r="F2185" t="str">
            <v>Anyoza Alvarado Leopoldo Slim</v>
          </cell>
          <cell r="G2185" t="str">
            <v>ANYOZA ALVARADO LEOPOLDO SLIM</v>
          </cell>
          <cell r="H2185" t="str">
            <v>10092050</v>
          </cell>
          <cell r="I2185" t="str">
            <v>BCP</v>
          </cell>
          <cell r="J2185" t="str">
            <v>19402168057055</v>
          </cell>
          <cell r="K2185" t="str">
            <v>DNI</v>
          </cell>
          <cell r="L2185">
            <v>10100920501</v>
          </cell>
          <cell r="M2185" t="str">
            <v>URBANO</v>
          </cell>
          <cell r="N2185">
            <v>45582.083333333336</v>
          </cell>
          <cell r="O2185">
            <v>0</v>
          </cell>
          <cell r="P2185" t="str">
            <v>LITE</v>
          </cell>
        </row>
        <row r="2186">
          <cell r="A2186">
            <v>9742</v>
          </cell>
          <cell r="B2186">
            <v>9742</v>
          </cell>
          <cell r="C2186" t="str">
            <v>CERO MATRICULA</v>
          </cell>
          <cell r="D2186" t="str">
            <v>ACTIVO</v>
          </cell>
          <cell r="E2186" t="str">
            <v>CMG088</v>
          </cell>
          <cell r="F2186" t="str">
            <v>Espinoza Tarazona Luís jacinto</v>
          </cell>
          <cell r="G2186" t="str">
            <v xml:space="preserve"> DOMINGUEZ CALDAS DIANA MARITZA</v>
          </cell>
          <cell r="H2186" t="str">
            <v>40184956</v>
          </cell>
          <cell r="I2186" t="str">
            <v>BCP</v>
          </cell>
          <cell r="J2186" t="str">
            <v>23537239131099</v>
          </cell>
          <cell r="K2186" t="str">
            <v>DNI</v>
          </cell>
          <cell r="L2186">
            <v>10401849560</v>
          </cell>
          <cell r="M2186" t="str">
            <v>AEROPUERTO</v>
          </cell>
          <cell r="N2186">
            <v>45568.416666666664</v>
          </cell>
          <cell r="O2186">
            <v>235</v>
          </cell>
          <cell r="P2186" t="str">
            <v>COMFORT XL</v>
          </cell>
        </row>
        <row r="2187">
          <cell r="A2187">
            <v>9770</v>
          </cell>
          <cell r="B2187">
            <v>9770</v>
          </cell>
          <cell r="C2187" t="str">
            <v>CERO MATRICULA</v>
          </cell>
          <cell r="D2187" t="str">
            <v>ACTIVO</v>
          </cell>
          <cell r="E2187" t="str">
            <v>BPH300</v>
          </cell>
          <cell r="F2187" t="str">
            <v>Ramirez Rivas Luis Fernando</v>
          </cell>
          <cell r="G2187" t="str">
            <v>RAMIREZ RIVAS LUIS FERNANDO</v>
          </cell>
          <cell r="H2187" t="str">
            <v>005047225</v>
          </cell>
          <cell r="I2187" t="str">
            <v>BCP</v>
          </cell>
          <cell r="J2187" t="str">
            <v>19104914585025</v>
          </cell>
          <cell r="K2187" t="str">
            <v>CE</v>
          </cell>
          <cell r="L2187">
            <v>15608564656</v>
          </cell>
          <cell r="M2187" t="str">
            <v>AEROPUERTO</v>
          </cell>
          <cell r="N2187">
            <v>45574.416666666664</v>
          </cell>
          <cell r="O2187">
            <v>265</v>
          </cell>
          <cell r="P2187" t="str">
            <v>LITE</v>
          </cell>
        </row>
        <row r="2188">
          <cell r="A2188">
            <v>9786</v>
          </cell>
          <cell r="B2188">
            <v>9786</v>
          </cell>
          <cell r="C2188" t="str">
            <v>CERO MATRICULA</v>
          </cell>
          <cell r="D2188" t="str">
            <v>ACTIVO</v>
          </cell>
          <cell r="E2188" t="str">
            <v>CND542</v>
          </cell>
          <cell r="F2188" t="str">
            <v>Huallcca Luyo Tomás Emilio</v>
          </cell>
          <cell r="G2188" t="str">
            <v>HUALLCCA LUYO TOMAS EMILIO</v>
          </cell>
          <cell r="H2188" t="str">
            <v>42066842</v>
          </cell>
          <cell r="I2188" t="str">
            <v>BBVA</v>
          </cell>
          <cell r="J2188" t="str">
            <v>001108140265050684</v>
          </cell>
          <cell r="K2188" t="str">
            <v>DNI</v>
          </cell>
          <cell r="L2188">
            <v>10420668428</v>
          </cell>
          <cell r="M2188" t="str">
            <v>URBANO</v>
          </cell>
          <cell r="N2188">
            <v>45587</v>
          </cell>
          <cell r="O2188">
            <v>0</v>
          </cell>
          <cell r="P2188" t="str">
            <v>LITE</v>
          </cell>
        </row>
        <row r="2189">
          <cell r="A2189">
            <v>9788</v>
          </cell>
          <cell r="B2189">
            <v>9788</v>
          </cell>
          <cell r="C2189" t="str">
            <v>CERO MATRICULA</v>
          </cell>
          <cell r="D2189" t="str">
            <v>ACTIVO</v>
          </cell>
          <cell r="E2189" t="str">
            <v>CMH525</v>
          </cell>
          <cell r="F2189" t="str">
            <v>Gárate Durand Elio Manuel</v>
          </cell>
          <cell r="G2189" t="str">
            <v>GARATE DURAND ELIO MANUEL</v>
          </cell>
          <cell r="H2189" t="str">
            <v>06193498</v>
          </cell>
          <cell r="I2189" t="str">
            <v>BCP</v>
          </cell>
          <cell r="J2189" t="str">
            <v>19190447677087</v>
          </cell>
          <cell r="K2189" t="str">
            <v>DNI</v>
          </cell>
          <cell r="L2189">
            <v>10061934982</v>
          </cell>
          <cell r="M2189" t="str">
            <v>AEROPUERTO</v>
          </cell>
          <cell r="N2189">
            <v>45580.416666666664</v>
          </cell>
          <cell r="O2189">
            <v>240</v>
          </cell>
          <cell r="P2189" t="str">
            <v>XL</v>
          </cell>
        </row>
        <row r="2190">
          <cell r="A2190">
            <v>9793</v>
          </cell>
          <cell r="B2190">
            <v>9793</v>
          </cell>
          <cell r="C2190" t="str">
            <v>CERO MATRICULA</v>
          </cell>
          <cell r="D2190" t="str">
            <v>ACTIVO</v>
          </cell>
          <cell r="E2190" t="str">
            <v>Z6E270</v>
          </cell>
          <cell r="F2190" t="str">
            <v>Campomanes Rodríguez Yoset Yordi</v>
          </cell>
          <cell r="G2190" t="str">
            <v>CAMPOMANES RODRIGUEZ YOSET YORDI</v>
          </cell>
          <cell r="H2190" t="str">
            <v>47784294</v>
          </cell>
          <cell r="I2190" t="str">
            <v>INTERBANK</v>
          </cell>
          <cell r="J2190" t="str">
            <v>8983374514166</v>
          </cell>
          <cell r="K2190" t="str">
            <v>DNI</v>
          </cell>
          <cell r="L2190">
            <v>10477842947</v>
          </cell>
          <cell r="M2190" t="str">
            <v>URBANO</v>
          </cell>
          <cell r="N2190">
            <v>45587.083333333336</v>
          </cell>
          <cell r="O2190">
            <v>0</v>
          </cell>
          <cell r="P2190" t="str">
            <v>COMFORT XL</v>
          </cell>
        </row>
        <row r="2191">
          <cell r="A2191">
            <v>9798</v>
          </cell>
          <cell r="B2191">
            <v>9798</v>
          </cell>
          <cell r="C2191" t="str">
            <v>CERO MATRICULA</v>
          </cell>
          <cell r="D2191" t="str">
            <v>ACTIVO</v>
          </cell>
          <cell r="E2191" t="str">
            <v>BMT541</v>
          </cell>
          <cell r="F2191" t="str">
            <v xml:space="preserve">Marquez Cordero Arturo Celestino </v>
          </cell>
          <cell r="G2191" t="str">
            <v>MARQUEZ CORDERO ARTURO CELESTINO</v>
          </cell>
          <cell r="H2191" t="str">
            <v>42196735</v>
          </cell>
          <cell r="I2191" t="str">
            <v>INTERBANK</v>
          </cell>
          <cell r="J2191" t="str">
            <v>2923044327836</v>
          </cell>
          <cell r="K2191" t="str">
            <v>DNI</v>
          </cell>
          <cell r="L2191">
            <v>10421967356</v>
          </cell>
          <cell r="M2191" t="str">
            <v>URBANO</v>
          </cell>
          <cell r="N2191">
            <v>45587.083333333336</v>
          </cell>
          <cell r="O2191">
            <v>0</v>
          </cell>
          <cell r="P2191" t="str">
            <v>COMFORT</v>
          </cell>
        </row>
        <row r="2192">
          <cell r="A2192">
            <v>9800</v>
          </cell>
          <cell r="B2192">
            <v>9800</v>
          </cell>
          <cell r="C2192" t="str">
            <v>CERO MATRICULA</v>
          </cell>
          <cell r="D2192" t="str">
            <v>ACTIVO</v>
          </cell>
          <cell r="E2192" t="str">
            <v>BVI420</v>
          </cell>
          <cell r="F2192" t="str">
            <v>Bajonero Lopez Defther Lixis</v>
          </cell>
          <cell r="G2192" t="str">
            <v>Cesar Augusto amaut campos</v>
          </cell>
          <cell r="H2192"/>
          <cell r="I2192"/>
          <cell r="J2192"/>
          <cell r="K2192" t="str">
            <v>RUC</v>
          </cell>
          <cell r="L2192">
            <v>10099211780</v>
          </cell>
          <cell r="M2192" t="str">
            <v>AEROLINEAS</v>
          </cell>
          <cell r="N2192">
            <v>45587</v>
          </cell>
          <cell r="O2192">
            <v>0</v>
          </cell>
          <cell r="P2192" t="str">
            <v>VAN</v>
          </cell>
        </row>
        <row r="2193">
          <cell r="A2193">
            <v>9807</v>
          </cell>
          <cell r="B2193">
            <v>9807</v>
          </cell>
          <cell r="C2193" t="str">
            <v>CERO MATRICULA</v>
          </cell>
          <cell r="D2193" t="str">
            <v>ACTIVO</v>
          </cell>
          <cell r="E2193" t="str">
            <v>CNK313</v>
          </cell>
          <cell r="F2193" t="str">
            <v>Carrillo Aguirre Eduardo Jesús</v>
          </cell>
          <cell r="G2193" t="str">
            <v>CARRILLO AGUIRRE EDUARDO JESUS</v>
          </cell>
          <cell r="H2193" t="str">
            <v>25746301</v>
          </cell>
          <cell r="I2193" t="str">
            <v>BCP</v>
          </cell>
          <cell r="J2193" t="str">
            <v>19295757250092</v>
          </cell>
          <cell r="K2193" t="str">
            <v>DNI</v>
          </cell>
          <cell r="L2193">
            <v>10257463015</v>
          </cell>
          <cell r="M2193" t="str">
            <v>AEROPUERTO</v>
          </cell>
          <cell r="N2193">
            <v>45587.416666666664</v>
          </cell>
          <cell r="O2193">
            <v>235</v>
          </cell>
          <cell r="P2193" t="str">
            <v>COMFORT XL</v>
          </cell>
        </row>
        <row r="2194">
          <cell r="A2194">
            <v>9808</v>
          </cell>
          <cell r="B2194">
            <v>9808</v>
          </cell>
          <cell r="C2194" t="str">
            <v>CERO MATRICULA</v>
          </cell>
          <cell r="D2194" t="str">
            <v>ACTIVO</v>
          </cell>
          <cell r="E2194" t="str">
            <v>CMY337</v>
          </cell>
          <cell r="F2194" t="str">
            <v>Vallejo Márquez Wladimir Rafael</v>
          </cell>
          <cell r="G2194" t="str">
            <v>VALLEJO MARQUEZ WLADIMIR RAFAEL</v>
          </cell>
          <cell r="H2194" t="str">
            <v>006383661</v>
          </cell>
          <cell r="I2194" t="str">
            <v>INTERBANK</v>
          </cell>
          <cell r="J2194" t="str">
            <v>2543321572236</v>
          </cell>
          <cell r="K2194" t="str">
            <v>CE</v>
          </cell>
          <cell r="L2194">
            <v>15613278190</v>
          </cell>
          <cell r="M2194" t="str">
            <v>AEROPUERTO</v>
          </cell>
          <cell r="N2194">
            <v>45587</v>
          </cell>
          <cell r="O2194">
            <v>265</v>
          </cell>
          <cell r="P2194" t="str">
            <v>LITE</v>
          </cell>
        </row>
        <row r="2195">
          <cell r="A2195">
            <v>9812</v>
          </cell>
          <cell r="B2195">
            <v>9812</v>
          </cell>
          <cell r="C2195" t="str">
            <v>CERO MATRICULA</v>
          </cell>
          <cell r="D2195" t="str">
            <v>ACTIVO</v>
          </cell>
          <cell r="E2195" t="str">
            <v>CLW428</v>
          </cell>
          <cell r="F2195" t="str">
            <v>Pino Perez Juan Carlos</v>
          </cell>
          <cell r="G2195" t="str">
            <v>PINO PEREZ JUAN CARLOS</v>
          </cell>
          <cell r="H2195" t="str">
            <v>003023890</v>
          </cell>
          <cell r="I2195" t="str">
            <v>BCP</v>
          </cell>
          <cell r="J2195" t="str">
            <v>19404553600095</v>
          </cell>
          <cell r="K2195" t="str">
            <v>CE</v>
          </cell>
          <cell r="L2195">
            <v>15607089091</v>
          </cell>
          <cell r="M2195" t="str">
            <v>AEROPUERTO</v>
          </cell>
          <cell r="N2195">
            <v>45587</v>
          </cell>
          <cell r="O2195">
            <v>240</v>
          </cell>
          <cell r="P2195" t="str">
            <v>XL</v>
          </cell>
        </row>
        <row r="2196">
          <cell r="A2196">
            <v>9813</v>
          </cell>
          <cell r="B2196">
            <v>9813</v>
          </cell>
          <cell r="C2196" t="str">
            <v>CERO MATRICULA</v>
          </cell>
          <cell r="D2196" t="str">
            <v>ACTIVO</v>
          </cell>
          <cell r="E2196" t="str">
            <v>CCS687</v>
          </cell>
          <cell r="F2196" t="str">
            <v>Campos Saravia Samuel Oswaldo</v>
          </cell>
          <cell r="G2196" t="str">
            <v>CAMPOS SARAVIA SAMUEL OSWALDO</v>
          </cell>
          <cell r="H2196" t="str">
            <v>40240824</v>
          </cell>
          <cell r="I2196" t="str">
            <v>BBVA</v>
          </cell>
          <cell r="J2196" t="str">
            <v>001101900200826412</v>
          </cell>
          <cell r="K2196" t="str">
            <v>DNI</v>
          </cell>
          <cell r="L2196">
            <v>10402408249</v>
          </cell>
          <cell r="M2196" t="str">
            <v>URBANO</v>
          </cell>
          <cell r="N2196">
            <v>45587.083333333336</v>
          </cell>
          <cell r="O2196">
            <v>0</v>
          </cell>
          <cell r="P2196" t="str">
            <v>COMFORT XL</v>
          </cell>
        </row>
        <row r="2197">
          <cell r="A2197">
            <v>9814</v>
          </cell>
          <cell r="B2197">
            <v>9814</v>
          </cell>
          <cell r="C2197" t="str">
            <v>CERO MATRICULA</v>
          </cell>
          <cell r="D2197" t="str">
            <v>ACTIVO</v>
          </cell>
          <cell r="E2197" t="str">
            <v>CNL208</v>
          </cell>
          <cell r="F2197" t="str">
            <v>Lopez Montezuma Gabriel Alfonso</v>
          </cell>
          <cell r="G2197" t="str">
            <v>LOPEZ MONTEZUMA GABRIEL ALFONSO</v>
          </cell>
          <cell r="H2197" t="str">
            <v>001123362</v>
          </cell>
          <cell r="I2197" t="str">
            <v>BCP</v>
          </cell>
          <cell r="J2197" t="str">
            <v>19491629574022</v>
          </cell>
          <cell r="K2197" t="str">
            <v>CE</v>
          </cell>
          <cell r="L2197">
            <v>15566451449</v>
          </cell>
          <cell r="M2197" t="str">
            <v>URBANO</v>
          </cell>
          <cell r="N2197">
            <v>45587</v>
          </cell>
          <cell r="O2197">
            <v>0</v>
          </cell>
          <cell r="P2197" t="str">
            <v>COMFORT</v>
          </cell>
        </row>
        <row r="2198">
          <cell r="A2198">
            <v>9815</v>
          </cell>
          <cell r="B2198">
            <v>9815</v>
          </cell>
          <cell r="C2198" t="str">
            <v>CERO MATRICULA</v>
          </cell>
          <cell r="D2198" t="str">
            <v>ACTIVO</v>
          </cell>
          <cell r="E2198" t="str">
            <v>CMR299</v>
          </cell>
          <cell r="F2198" t="str">
            <v>Suclupe Montalvo Robert James</v>
          </cell>
          <cell r="G2198" t="str">
            <v>SUCLUPE MONTALVO ROBERT JAMES</v>
          </cell>
          <cell r="H2198" t="str">
            <v>70889004</v>
          </cell>
          <cell r="I2198" t="str">
            <v>INTERBANK</v>
          </cell>
          <cell r="J2198" t="str">
            <v>2003128775000</v>
          </cell>
          <cell r="K2198" t="str">
            <v>DNI</v>
          </cell>
          <cell r="L2198">
            <v>10708890044</v>
          </cell>
          <cell r="M2198" t="str">
            <v>URBANO</v>
          </cell>
          <cell r="N2198">
            <v>45587</v>
          </cell>
          <cell r="O2198">
            <v>0</v>
          </cell>
          <cell r="P2198" t="str">
            <v>LITE</v>
          </cell>
        </row>
        <row r="2199">
          <cell r="A2199">
            <v>9818</v>
          </cell>
          <cell r="B2199">
            <v>9818</v>
          </cell>
          <cell r="C2199" t="str">
            <v>CERO MATRICULA</v>
          </cell>
          <cell r="D2199" t="str">
            <v>ACTIVO</v>
          </cell>
          <cell r="E2199" t="str">
            <v>Clv132</v>
          </cell>
          <cell r="F2199" t="str">
            <v>Quintana Ortiz Manuel</v>
          </cell>
          <cell r="G2199" t="str">
            <v>QUINTANA ORTIZ MANUEL</v>
          </cell>
          <cell r="H2199" t="str">
            <v>42148664</v>
          </cell>
          <cell r="I2199" t="str">
            <v>BCP</v>
          </cell>
          <cell r="J2199" t="str">
            <v>19193046572034</v>
          </cell>
          <cell r="K2199" t="str">
            <v>DNI</v>
          </cell>
          <cell r="L2199">
            <v>10421486641</v>
          </cell>
          <cell r="M2199" t="str">
            <v>AEROPUERTO</v>
          </cell>
          <cell r="N2199">
            <v>45589</v>
          </cell>
          <cell r="O2199">
            <v>235</v>
          </cell>
          <cell r="P2199" t="str">
            <v>COMFORT XL</v>
          </cell>
        </row>
        <row r="2200">
          <cell r="A2200">
            <v>9820</v>
          </cell>
          <cell r="B2200">
            <v>9820</v>
          </cell>
          <cell r="C2200" t="str">
            <v>CERO MATRICULA</v>
          </cell>
          <cell r="D2200" t="str">
            <v>ACTIVO</v>
          </cell>
          <cell r="E2200" t="str">
            <v>CML339</v>
          </cell>
          <cell r="F2200" t="str">
            <v>Valderrama Champi Luis Alberto</v>
          </cell>
          <cell r="G2200" t="str">
            <v>Luis Alberto Valderrama Champi</v>
          </cell>
          <cell r="H2200" t="str">
            <v>47976821</v>
          </cell>
          <cell r="I2200" t="str">
            <v>BCP</v>
          </cell>
          <cell r="J2200" t="str">
            <v>28593612276019</v>
          </cell>
          <cell r="K2200" t="str">
            <v>DNI</v>
          </cell>
          <cell r="L2200">
            <v>10479768213</v>
          </cell>
          <cell r="M2200" t="str">
            <v>AEROPUERTO VAN</v>
          </cell>
          <cell r="N2200">
            <v>45589</v>
          </cell>
          <cell r="O2200">
            <v>240</v>
          </cell>
          <cell r="P2200" t="str">
            <v>VAN</v>
          </cell>
        </row>
        <row r="2201">
          <cell r="A2201">
            <v>9768</v>
          </cell>
          <cell r="B2201">
            <v>9768</v>
          </cell>
          <cell r="C2201" t="str">
            <v>CERO MATRICULA</v>
          </cell>
          <cell r="D2201" t="str">
            <v>ACTIVO</v>
          </cell>
          <cell r="E2201" t="str">
            <v>CNK126</v>
          </cell>
          <cell r="F2201" t="str">
            <v>Troja Calderón Francisco José</v>
          </cell>
          <cell r="G2201" t="str">
            <v>Troja Calderón Francisco José</v>
          </cell>
          <cell r="H2201" t="str">
            <v>004223916</v>
          </cell>
          <cell r="I2201" t="str">
            <v>BCP</v>
          </cell>
          <cell r="J2201" t="str">
            <v>19193205915087</v>
          </cell>
          <cell r="K2201" t="str">
            <v>CE</v>
          </cell>
          <cell r="L2201">
            <v>15605935556</v>
          </cell>
          <cell r="M2201" t="str">
            <v>AEROPUERTO</v>
          </cell>
          <cell r="N2201">
            <v>45574.416666666664</v>
          </cell>
          <cell r="O2201">
            <v>265</v>
          </cell>
          <cell r="P2201" t="str">
            <v>LITE</v>
          </cell>
        </row>
        <row r="2202">
          <cell r="A2202">
            <v>9769</v>
          </cell>
          <cell r="B2202">
            <v>9769</v>
          </cell>
          <cell r="C2202" t="str">
            <v>CERO MATRICULA</v>
          </cell>
          <cell r="D2202" t="str">
            <v>ACTIVO</v>
          </cell>
          <cell r="E2202" t="str">
            <v>CNI140</v>
          </cell>
          <cell r="F2202" t="str">
            <v>Romero Vega Wilmer</v>
          </cell>
          <cell r="G2202" t="str">
            <v>ROMERO VEGA WILMER JOSE</v>
          </cell>
          <cell r="H2202" t="str">
            <v>002520494</v>
          </cell>
          <cell r="I2202" t="str">
            <v>BCP</v>
          </cell>
          <cell r="J2202" t="str">
            <v>19196447514029</v>
          </cell>
          <cell r="K2202" t="str">
            <v>CE</v>
          </cell>
          <cell r="L2202">
            <v>15605923477</v>
          </cell>
          <cell r="M2202" t="str">
            <v>AEROLINEAS</v>
          </cell>
          <cell r="N2202">
            <v>45574</v>
          </cell>
          <cell r="O2202">
            <v>0</v>
          </cell>
          <cell r="P2202" t="str">
            <v>LITE</v>
          </cell>
        </row>
        <row r="2203">
          <cell r="A2203">
            <v>9803</v>
          </cell>
          <cell r="B2203">
            <v>9803</v>
          </cell>
          <cell r="C2203" t="str">
            <v>CERO MATRICULA</v>
          </cell>
          <cell r="D2203" t="str">
            <v>ACTIVO</v>
          </cell>
          <cell r="E2203" t="str">
            <v>CNJ267</v>
          </cell>
          <cell r="F2203" t="str">
            <v>Piña Romero Irrael Rafael</v>
          </cell>
          <cell r="G2203" t="str">
            <v>PIÑA ROMERO IRRAEL RAFAEL</v>
          </cell>
          <cell r="H2203" t="str">
            <v>006621013</v>
          </cell>
          <cell r="I2203" t="str">
            <v>BCP</v>
          </cell>
          <cell r="J2203" t="str">
            <v>19495706167093</v>
          </cell>
          <cell r="K2203" t="str">
            <v>CE</v>
          </cell>
          <cell r="L2203">
            <v>15612727179</v>
          </cell>
          <cell r="M2203" t="str">
            <v>AEROPUERTO</v>
          </cell>
          <cell r="N2203">
            <v>45587.416666666664</v>
          </cell>
          <cell r="O2203">
            <v>265</v>
          </cell>
          <cell r="P2203" t="str">
            <v>LITE</v>
          </cell>
        </row>
        <row r="2204">
          <cell r="A2204">
            <v>9804</v>
          </cell>
          <cell r="B2204">
            <v>9804</v>
          </cell>
          <cell r="C2204" t="str">
            <v>CERO MATRICULA</v>
          </cell>
          <cell r="D2204" t="str">
            <v>ACTIVO</v>
          </cell>
          <cell r="E2204" t="str">
            <v>CKV556</v>
          </cell>
          <cell r="F2204" t="str">
            <v>Sotelo Murga Jesús Enrique</v>
          </cell>
          <cell r="G2204" t="str">
            <v>SOTELO MURGA JESUS ENRIQUE</v>
          </cell>
          <cell r="H2204" t="str">
            <v>44288365</v>
          </cell>
          <cell r="I2204" t="str">
            <v>BCP</v>
          </cell>
          <cell r="J2204" t="str">
            <v>19135480193077</v>
          </cell>
          <cell r="K2204" t="str">
            <v>DNI</v>
          </cell>
          <cell r="L2204">
            <v>10442883659</v>
          </cell>
          <cell r="M2204" t="str">
            <v>AEROPUERTO</v>
          </cell>
          <cell r="N2204">
            <v>45595.416666666664</v>
          </cell>
          <cell r="O2204">
            <v>265</v>
          </cell>
          <cell r="P2204" t="str">
            <v>LITE</v>
          </cell>
        </row>
        <row r="2205">
          <cell r="A2205">
            <v>9810</v>
          </cell>
          <cell r="B2205">
            <v>9810</v>
          </cell>
          <cell r="C2205" t="str">
            <v>CERO MATRICULA</v>
          </cell>
          <cell r="D2205" t="str">
            <v>ACTIVO</v>
          </cell>
          <cell r="E2205" t="str">
            <v>CBX396</v>
          </cell>
          <cell r="F2205" t="str">
            <v>Dávila Sambrano Yairo Leonardo</v>
          </cell>
          <cell r="G2205" t="str">
            <v>DAVILA SAMBRANO YAIRO LEONARDO</v>
          </cell>
          <cell r="H2205" t="str">
            <v>004511972</v>
          </cell>
          <cell r="I2205" t="str">
            <v>BCP</v>
          </cell>
          <cell r="J2205" t="str">
            <v>19297231234066</v>
          </cell>
          <cell r="K2205" t="str">
            <v>CE</v>
          </cell>
          <cell r="L2205">
            <v>15608101044</v>
          </cell>
          <cell r="M2205" t="str">
            <v>URBANO</v>
          </cell>
          <cell r="N2205">
            <v>45593.458333333336</v>
          </cell>
          <cell r="O2205">
            <v>0</v>
          </cell>
          <cell r="P2205" t="str">
            <v>LITE</v>
          </cell>
        </row>
        <row r="2206">
          <cell r="A2206">
            <v>9811</v>
          </cell>
          <cell r="B2206">
            <v>9811</v>
          </cell>
          <cell r="C2206" t="str">
            <v>CERO MATRICULA</v>
          </cell>
          <cell r="D2206" t="str">
            <v>ACTIVO</v>
          </cell>
          <cell r="E2206" t="str">
            <v>CKF674</v>
          </cell>
          <cell r="F2206" t="str">
            <v>QUIÑONES EUSEBIO JULIO</v>
          </cell>
          <cell r="G2206" t="str">
            <v>QUIÑONES EUSEBIO JULIO</v>
          </cell>
          <cell r="H2206" t="str">
            <v>09863449</v>
          </cell>
          <cell r="I2206" t="str">
            <v>BBVA</v>
          </cell>
          <cell r="J2206" t="str">
            <v>001103700200441322</v>
          </cell>
          <cell r="K2206" t="str">
            <v>DNI</v>
          </cell>
          <cell r="L2206">
            <v>10098634491</v>
          </cell>
          <cell r="M2206" t="str">
            <v>URBANO</v>
          </cell>
          <cell r="N2206">
            <v>45593</v>
          </cell>
          <cell r="O2206">
            <v>0</v>
          </cell>
          <cell r="P2206" t="str">
            <v>COMFORT</v>
          </cell>
        </row>
        <row r="2207">
          <cell r="A2207">
            <v>9817</v>
          </cell>
          <cell r="B2207">
            <v>9817</v>
          </cell>
          <cell r="C2207" t="str">
            <v>CERO MATRICULA</v>
          </cell>
          <cell r="D2207" t="str">
            <v>ACTIVO</v>
          </cell>
          <cell r="E2207" t="str">
            <v>CNN400</v>
          </cell>
          <cell r="F2207" t="str">
            <v>Palacios Pariamachi Luis Felipe</v>
          </cell>
          <cell r="G2207" t="str">
            <v>PALACIOS PARIAMACHI LUIS FELIPE</v>
          </cell>
          <cell r="H2207" t="str">
            <v>45114642</v>
          </cell>
          <cell r="I2207" t="str">
            <v>BBVA</v>
          </cell>
          <cell r="J2207" t="str">
            <v>001105790217692880</v>
          </cell>
          <cell r="K2207" t="str">
            <v>DNI</v>
          </cell>
          <cell r="L2207">
            <v>10451146420</v>
          </cell>
          <cell r="M2207" t="str">
            <v>AEROPUERTO</v>
          </cell>
          <cell r="N2207">
            <v>45589</v>
          </cell>
          <cell r="O2207">
            <v>265</v>
          </cell>
          <cell r="P2207" t="str">
            <v>LITE</v>
          </cell>
        </row>
        <row r="2208">
          <cell r="A2208">
            <v>9819</v>
          </cell>
          <cell r="B2208">
            <v>9819</v>
          </cell>
          <cell r="C2208" t="str">
            <v>CERO MATRICULA</v>
          </cell>
          <cell r="D2208" t="str">
            <v>ACTIVO</v>
          </cell>
          <cell r="E2208" t="str">
            <v>CMH365</v>
          </cell>
          <cell r="F2208" t="str">
            <v>Escobar Parra Jesus enrique</v>
          </cell>
          <cell r="G2208" t="str">
            <v>ESCOBAR PARRA JESUS ENRIQUE</v>
          </cell>
          <cell r="H2208" t="str">
            <v>006264681</v>
          </cell>
          <cell r="I2208" t="str">
            <v>BCP</v>
          </cell>
          <cell r="J2208" t="str">
            <v>19107497765098</v>
          </cell>
          <cell r="K2208" t="str">
            <v>CE</v>
          </cell>
          <cell r="L2208">
            <v>15612745851</v>
          </cell>
          <cell r="M2208" t="str">
            <v>AEROPUERTO</v>
          </cell>
          <cell r="N2208">
            <v>45589</v>
          </cell>
          <cell r="O2208">
            <v>235</v>
          </cell>
          <cell r="P2208" t="str">
            <v>COMFORT XL</v>
          </cell>
        </row>
        <row r="2209">
          <cell r="A2209">
            <v>9823</v>
          </cell>
          <cell r="B2209">
            <v>9823</v>
          </cell>
          <cell r="C2209" t="str">
            <v>CERO MATRICULA</v>
          </cell>
          <cell r="D2209" t="str">
            <v>ACTIVO</v>
          </cell>
          <cell r="E2209" t="str">
            <v>CMZ603</v>
          </cell>
          <cell r="F2209" t="str">
            <v>Aguilar Carhuatocto Miguel Angel</v>
          </cell>
          <cell r="G2209" t="str">
            <v>AGUILAR CARHUATOCTO MIGUEL ANGEL</v>
          </cell>
          <cell r="H2209" t="str">
            <v>10707177</v>
          </cell>
          <cell r="I2209" t="str">
            <v>BCP</v>
          </cell>
          <cell r="J2209" t="str">
            <v>19392232526066</v>
          </cell>
          <cell r="K2209" t="str">
            <v>DNI</v>
          </cell>
          <cell r="L2209">
            <v>10107071771</v>
          </cell>
          <cell r="M2209" t="str">
            <v>URBANO</v>
          </cell>
          <cell r="N2209">
            <v>45594.083333333336</v>
          </cell>
          <cell r="O2209">
            <v>0</v>
          </cell>
          <cell r="P2209" t="str">
            <v>COMFORT XL</v>
          </cell>
        </row>
        <row r="2210">
          <cell r="A2210">
            <v>9824</v>
          </cell>
          <cell r="B2210">
            <v>9824</v>
          </cell>
          <cell r="C2210" t="str">
            <v>CERO MATRICULA</v>
          </cell>
          <cell r="D2210" t="str">
            <v>ACTIVO</v>
          </cell>
          <cell r="E2210" t="str">
            <v>CKU262</v>
          </cell>
          <cell r="F2210" t="str">
            <v>Rivero Avila Denireth Francheska</v>
          </cell>
          <cell r="G2210" t="str">
            <v>RIVERO AVILA DENIRETH FRANCHESKA</v>
          </cell>
          <cell r="H2210" t="str">
            <v>003781403</v>
          </cell>
          <cell r="I2210" t="str">
            <v>BCP</v>
          </cell>
          <cell r="J2210" t="str">
            <v>19193746327057</v>
          </cell>
          <cell r="K2210" t="str">
            <v>CE</v>
          </cell>
          <cell r="L2210">
            <v>15604537891</v>
          </cell>
          <cell r="M2210" t="str">
            <v>URBANO</v>
          </cell>
          <cell r="N2210">
            <v>45593.458333333336</v>
          </cell>
          <cell r="O2210">
            <v>0</v>
          </cell>
          <cell r="P2210" t="str">
            <v>COMFORT</v>
          </cell>
        </row>
        <row r="2211">
          <cell r="A2211">
            <v>9825</v>
          </cell>
          <cell r="B2211">
            <v>9825</v>
          </cell>
          <cell r="C2211" t="str">
            <v>CERO MATRICULA</v>
          </cell>
          <cell r="D2211" t="str">
            <v>ACTIVO</v>
          </cell>
          <cell r="E2211" t="str">
            <v>BYQ150</v>
          </cell>
          <cell r="F2211" t="str">
            <v>Peralta Rosado Willy Segundo</v>
          </cell>
          <cell r="G2211" t="str">
            <v>PERALTA ROSADO CLAUDIA AMPARO</v>
          </cell>
          <cell r="H2211" t="str">
            <v>06147031</v>
          </cell>
          <cell r="I2211" t="str">
            <v>BCP</v>
          </cell>
          <cell r="J2211" t="str">
            <v>19290064681023</v>
          </cell>
          <cell r="K2211" t="str">
            <v>DNI</v>
          </cell>
          <cell r="L2211">
            <v>10061470315</v>
          </cell>
          <cell r="M2211" t="str">
            <v>URBANO</v>
          </cell>
          <cell r="N2211">
            <v>45593.458333333336</v>
          </cell>
          <cell r="O2211">
            <v>0</v>
          </cell>
          <cell r="P2211" t="str">
            <v>LITE</v>
          </cell>
        </row>
        <row r="2212">
          <cell r="A2212">
            <v>9827</v>
          </cell>
          <cell r="B2212">
            <v>9827</v>
          </cell>
          <cell r="C2212" t="str">
            <v>CERO MATRICULA</v>
          </cell>
          <cell r="D2212" t="str">
            <v>ACTIVO</v>
          </cell>
          <cell r="E2212" t="str">
            <v>CMZ134</v>
          </cell>
          <cell r="F2212" t="str">
            <v>Leiva Asencios Yeyson Domínguez</v>
          </cell>
          <cell r="G2212" t="str">
            <v>LEIVA ASENCIOS YEYSON DOMINGUEZ</v>
          </cell>
          <cell r="H2212" t="str">
            <v>72579331</v>
          </cell>
          <cell r="I2212" t="str">
            <v>BBVA</v>
          </cell>
          <cell r="J2212" t="str">
            <v>001101320200415807</v>
          </cell>
          <cell r="K2212" t="str">
            <v>DNI</v>
          </cell>
          <cell r="L2212">
            <v>10725793311</v>
          </cell>
          <cell r="M2212" t="str">
            <v>URBANO</v>
          </cell>
          <cell r="N2212">
            <v>45594.083333333336</v>
          </cell>
          <cell r="O2212">
            <v>0</v>
          </cell>
          <cell r="P2212" t="str">
            <v>LITE</v>
          </cell>
        </row>
        <row r="2213">
          <cell r="A2213">
            <v>9828</v>
          </cell>
          <cell r="B2213">
            <v>9828</v>
          </cell>
          <cell r="C2213" t="str">
            <v>CERO MATRICULA</v>
          </cell>
          <cell r="D2213" t="str">
            <v>ACTIVO</v>
          </cell>
          <cell r="E2213" t="str">
            <v>CHD007</v>
          </cell>
          <cell r="F2213" t="str">
            <v>Diez Chang Paola</v>
          </cell>
          <cell r="G2213" t="str">
            <v>DIEZ CHANG PAOLA</v>
          </cell>
          <cell r="H2213" t="str">
            <v>09872877</v>
          </cell>
          <cell r="I2213" t="str">
            <v>BBVA</v>
          </cell>
          <cell r="J2213" t="str">
            <v>001103200200127137</v>
          </cell>
          <cell r="K2213" t="str">
            <v>DNI</v>
          </cell>
          <cell r="L2213">
            <v>10098728771</v>
          </cell>
          <cell r="M2213" t="str">
            <v>URBANO</v>
          </cell>
          <cell r="N2213">
            <v>45594.083333333336</v>
          </cell>
          <cell r="O2213">
            <v>0</v>
          </cell>
          <cell r="P2213" t="str">
            <v>LITE</v>
          </cell>
        </row>
        <row r="2214">
          <cell r="A2214">
            <v>9830</v>
          </cell>
          <cell r="B2214">
            <v>9830</v>
          </cell>
          <cell r="C2214" t="str">
            <v>CERO MATRICULA</v>
          </cell>
          <cell r="D2214" t="str">
            <v>ACTIVO</v>
          </cell>
          <cell r="E2214" t="str">
            <v>CJW461</v>
          </cell>
          <cell r="F2214" t="str">
            <v>Espinoza Arellano Eber</v>
          </cell>
          <cell r="G2214" t="str">
            <v>ESPINOZA ARELLANO EBER</v>
          </cell>
          <cell r="H2214" t="str">
            <v>16170555</v>
          </cell>
          <cell r="I2214" t="str">
            <v>BCP</v>
          </cell>
          <cell r="J2214" t="str">
            <v>19178653155029</v>
          </cell>
          <cell r="K2214" t="str">
            <v>DNI</v>
          </cell>
          <cell r="L2214">
            <v>10161705557</v>
          </cell>
          <cell r="M2214" t="str">
            <v>URBANO</v>
          </cell>
          <cell r="N2214">
            <v>45594.083333333336</v>
          </cell>
          <cell r="O2214">
            <v>0</v>
          </cell>
          <cell r="P2214" t="str">
            <v>COMFORT XL</v>
          </cell>
        </row>
        <row r="2215">
          <cell r="A2215">
            <v>9831</v>
          </cell>
          <cell r="B2215">
            <v>9831</v>
          </cell>
          <cell r="C2215" t="str">
            <v>CERO MATRICULA</v>
          </cell>
          <cell r="D2215" t="str">
            <v>ACTIVO</v>
          </cell>
          <cell r="E2215" t="str">
            <v>AUQ284</v>
          </cell>
          <cell r="F2215" t="str">
            <v>Bavestrello Alacote Christian</v>
          </cell>
          <cell r="G2215" t="str">
            <v>BAVESTRELLO ALACOTE CHRISTIAN</v>
          </cell>
          <cell r="H2215" t="str">
            <v>10644623</v>
          </cell>
          <cell r="I2215" t="str">
            <v>BCP</v>
          </cell>
          <cell r="J2215" t="str">
            <v>19494048121000</v>
          </cell>
          <cell r="K2215" t="str">
            <v>DNI</v>
          </cell>
          <cell r="L2215">
            <v>10106446232</v>
          </cell>
          <cell r="M2215" t="str">
            <v>URBANO</v>
          </cell>
          <cell r="N2215">
            <v>45594.083333333336</v>
          </cell>
          <cell r="O2215">
            <v>0</v>
          </cell>
          <cell r="P2215" t="str">
            <v>COMFORT</v>
          </cell>
        </row>
        <row r="2216">
          <cell r="A2216">
            <v>9832</v>
          </cell>
          <cell r="B2216">
            <v>9832</v>
          </cell>
          <cell r="C2216" t="str">
            <v>CERO MATRICULA</v>
          </cell>
          <cell r="D2216" t="str">
            <v>ACTIVO</v>
          </cell>
          <cell r="E2216" t="str">
            <v>AXU656</v>
          </cell>
          <cell r="F2216" t="str">
            <v>Kajatt Malasquez Brayan Octavio</v>
          </cell>
          <cell r="G2216" t="str">
            <v>KAJATT MALASQUEZ BRAYAN OCTAVIO</v>
          </cell>
          <cell r="H2216" t="str">
            <v>46760926</v>
          </cell>
          <cell r="I2216" t="str">
            <v>BCP</v>
          </cell>
          <cell r="J2216" t="str">
            <v>19301097013093</v>
          </cell>
          <cell r="K2216" t="str">
            <v>DNI</v>
          </cell>
          <cell r="L2216">
            <v>10467609268</v>
          </cell>
          <cell r="M2216" t="str">
            <v>URBANO</v>
          </cell>
          <cell r="N2216">
            <v>45594.083333333336</v>
          </cell>
          <cell r="O2216">
            <v>0</v>
          </cell>
          <cell r="P2216" t="str">
            <v>LITE</v>
          </cell>
        </row>
        <row r="2217">
          <cell r="A2217">
            <v>9833</v>
          </cell>
          <cell r="B2217">
            <v>9833</v>
          </cell>
          <cell r="C2217" t="str">
            <v>CERO MATRICULA</v>
          </cell>
          <cell r="D2217" t="str">
            <v>ACTIVO</v>
          </cell>
          <cell r="E2217" t="str">
            <v>CCA181</v>
          </cell>
          <cell r="F2217" t="str">
            <v>Portales Santillan Roberto Carlos</v>
          </cell>
          <cell r="G2217" t="str">
            <v>PORTALES SANTILLAN ROBERTO CARLOS</v>
          </cell>
          <cell r="H2217" t="str">
            <v>18100705</v>
          </cell>
          <cell r="I2217" t="str">
            <v>INTERBANK</v>
          </cell>
          <cell r="J2217" t="str">
            <v>8983203025353</v>
          </cell>
          <cell r="K2217" t="str">
            <v>DNI</v>
          </cell>
          <cell r="L2217">
            <v>10181007058</v>
          </cell>
          <cell r="M2217" t="str">
            <v>AEROPUERTO</v>
          </cell>
          <cell r="N2217">
            <v>45595</v>
          </cell>
          <cell r="O2217">
            <v>235</v>
          </cell>
          <cell r="P2217" t="str">
            <v>COMFORT XL</v>
          </cell>
        </row>
        <row r="2218">
          <cell r="A2218">
            <v>9834</v>
          </cell>
          <cell r="B2218">
            <v>9834</v>
          </cell>
          <cell r="C2218" t="str">
            <v>CERO MATRICULA</v>
          </cell>
          <cell r="D2218" t="str">
            <v>ACTIVO</v>
          </cell>
          <cell r="E2218" t="str">
            <v>Buy682</v>
          </cell>
          <cell r="F2218" t="str">
            <v>Solsol Torres Luis Alejandro</v>
          </cell>
          <cell r="G2218" t="str">
            <v>SOLSOL TORRES LUIS ALEJANDRO</v>
          </cell>
          <cell r="H2218" t="str">
            <v>00870181</v>
          </cell>
          <cell r="I2218" t="str">
            <v>BCP</v>
          </cell>
          <cell r="J2218" t="str">
            <v>19476751862031</v>
          </cell>
          <cell r="K2218" t="str">
            <v>DNI</v>
          </cell>
          <cell r="L2218">
            <v>10008701810</v>
          </cell>
          <cell r="M2218" t="str">
            <v>AEROPUERTO</v>
          </cell>
          <cell r="N2218">
            <v>45595.416666666664</v>
          </cell>
          <cell r="O2218">
            <v>235</v>
          </cell>
          <cell r="P2218" t="str">
            <v>COMFORT XL</v>
          </cell>
        </row>
        <row r="2219">
          <cell r="A2219">
            <v>9835</v>
          </cell>
          <cell r="B2219">
            <v>9835</v>
          </cell>
          <cell r="C2219" t="str">
            <v>CERO MATRICULA</v>
          </cell>
          <cell r="D2219" t="str">
            <v>ACTIVO</v>
          </cell>
          <cell r="E2219" t="str">
            <v>BXR595</v>
          </cell>
          <cell r="F2219" t="str">
            <v>Rodríguez Pérez Daniel Eduardo</v>
          </cell>
          <cell r="G2219" t="str">
            <v>RODRIGUEZ PEREZ DANIEL EDUARDO</v>
          </cell>
          <cell r="H2219" t="str">
            <v>006820273</v>
          </cell>
          <cell r="I2219" t="str">
            <v>INTERBANK</v>
          </cell>
          <cell r="J2219" t="str">
            <v>2823341632194</v>
          </cell>
          <cell r="K2219" t="str">
            <v>CE</v>
          </cell>
          <cell r="L2219">
            <v>15609690582</v>
          </cell>
          <cell r="M2219" t="str">
            <v>AEROLINEAS</v>
          </cell>
          <cell r="N2219">
            <v>45595</v>
          </cell>
          <cell r="O2219">
            <v>0</v>
          </cell>
          <cell r="P2219" t="str">
            <v>LITE</v>
          </cell>
        </row>
        <row r="2220">
          <cell r="A2220">
            <v>9787</v>
          </cell>
          <cell r="B2220">
            <v>9787</v>
          </cell>
          <cell r="C2220" t="str">
            <v>CERO MATRICULA</v>
          </cell>
          <cell r="D2220" t="str">
            <v>ACTIVO</v>
          </cell>
          <cell r="E2220" t="str">
            <v>CNB628</v>
          </cell>
          <cell r="F2220" t="str">
            <v>Barrios Ramirez Gerson Ibrahin</v>
          </cell>
          <cell r="G2220" t="str">
            <v>BARRIOS RAMIREZ GERSON IBRAHIN</v>
          </cell>
          <cell r="H2220" t="str">
            <v>007171458</v>
          </cell>
          <cell r="I2220" t="str">
            <v>BCP</v>
          </cell>
          <cell r="J2220" t="str">
            <v>19497679012066</v>
          </cell>
          <cell r="K2220" t="str">
            <v>CE</v>
          </cell>
          <cell r="L2220">
            <v>15612760290</v>
          </cell>
          <cell r="M2220" t="str">
            <v>AEROPUERTO</v>
          </cell>
          <cell r="N2220">
            <v>45580.416666666664</v>
          </cell>
          <cell r="O2220">
            <v>240</v>
          </cell>
          <cell r="P2220" t="str">
            <v>XL</v>
          </cell>
        </row>
        <row r="2221">
          <cell r="A2221">
            <v>9822</v>
          </cell>
          <cell r="B2221">
            <v>9822</v>
          </cell>
          <cell r="C2221" t="str">
            <v>CERO MATRICULA</v>
          </cell>
          <cell r="D2221" t="str">
            <v>ACTIVO</v>
          </cell>
          <cell r="E2221" t="str">
            <v>CNC391</v>
          </cell>
          <cell r="F2221" t="str">
            <v>Ramirez Paredes Diego Armando</v>
          </cell>
          <cell r="G2221" t="str">
            <v>RAMIREZ PAREDES DIEGO ARMANDO</v>
          </cell>
          <cell r="H2221" t="str">
            <v>42314945</v>
          </cell>
          <cell r="I2221" t="str">
            <v>BCP</v>
          </cell>
          <cell r="J2221" t="str">
            <v>19134748476068</v>
          </cell>
          <cell r="K2221" t="str">
            <v>DNI</v>
          </cell>
          <cell r="L2221">
            <v>10423149456</v>
          </cell>
          <cell r="M2221" t="str">
            <v>URBANO</v>
          </cell>
          <cell r="N2221">
            <v>45600.458333333336</v>
          </cell>
          <cell r="O2221">
            <v>0</v>
          </cell>
          <cell r="P2221" t="str">
            <v>COMFORT</v>
          </cell>
        </row>
        <row r="2222">
          <cell r="A2222">
            <v>9836</v>
          </cell>
          <cell r="B2222">
            <v>9836</v>
          </cell>
          <cell r="C2222" t="str">
            <v>CERO MATRICULA</v>
          </cell>
          <cell r="D2222" t="str">
            <v>ACTIVO</v>
          </cell>
          <cell r="E2222" t="str">
            <v>CNQ295</v>
          </cell>
          <cell r="F2222" t="str">
            <v>Alvarez Zambrano Angel Ricardo</v>
          </cell>
          <cell r="G2222" t="str">
            <v>ALVAREZ ZAMBRANO ANGEL RICARDO</v>
          </cell>
          <cell r="H2222" t="str">
            <v>003518434</v>
          </cell>
          <cell r="I2222" t="str">
            <v>BCP</v>
          </cell>
          <cell r="J2222" t="str">
            <v>19295116687059</v>
          </cell>
          <cell r="K2222" t="str">
            <v>CE</v>
          </cell>
          <cell r="L2222">
            <v>15613356531</v>
          </cell>
          <cell r="M2222" t="str">
            <v>AEROPUERTO</v>
          </cell>
          <cell r="N2222">
            <v>45601</v>
          </cell>
          <cell r="O2222">
            <v>235</v>
          </cell>
          <cell r="P2222" t="str">
            <v>COMFORT XL</v>
          </cell>
        </row>
        <row r="2223">
          <cell r="A2223">
            <v>9837</v>
          </cell>
          <cell r="B2223">
            <v>9837</v>
          </cell>
          <cell r="C2223" t="str">
            <v>CERO MATRICULA</v>
          </cell>
          <cell r="D2223" t="str">
            <v>ACTIVO</v>
          </cell>
          <cell r="E2223" t="str">
            <v>CMZ494</v>
          </cell>
          <cell r="F2223" t="str">
            <v>Robles Marruffo Javin Silo</v>
          </cell>
          <cell r="G2223" t="str">
            <v>ROBLES MARRUFFO JAVIN SILO</v>
          </cell>
          <cell r="H2223" t="str">
            <v>07336853</v>
          </cell>
          <cell r="I2223" t="str">
            <v>BCP</v>
          </cell>
          <cell r="J2223" t="str">
            <v>19473579496020</v>
          </cell>
          <cell r="K2223" t="str">
            <v>DNI</v>
          </cell>
          <cell r="L2223">
            <v>10073368532</v>
          </cell>
          <cell r="M2223" t="str">
            <v>AEROPUERTO</v>
          </cell>
          <cell r="N2223">
            <v>45595</v>
          </cell>
          <cell r="O2223">
            <v>235</v>
          </cell>
          <cell r="P2223" t="str">
            <v>COMFORT XL</v>
          </cell>
        </row>
        <row r="2224">
          <cell r="A2224">
            <v>9838</v>
          </cell>
          <cell r="B2224">
            <v>9838</v>
          </cell>
          <cell r="C2224" t="str">
            <v>CERO MATRICULA</v>
          </cell>
          <cell r="D2224" t="str">
            <v>ACTIVO</v>
          </cell>
          <cell r="E2224" t="str">
            <v>CES672</v>
          </cell>
          <cell r="F2224" t="str">
            <v>Acosta Medina Luis Alexis</v>
          </cell>
          <cell r="G2224" t="str">
            <v>ACOSTA MEDINA LUIS ALEXIS</v>
          </cell>
          <cell r="H2224" t="str">
            <v>75175659</v>
          </cell>
          <cell r="I2224" t="str">
            <v>BBVA</v>
          </cell>
          <cell r="J2224" t="str">
            <v>001103380200361812</v>
          </cell>
          <cell r="K2224" t="str">
            <v>DNI</v>
          </cell>
          <cell r="L2224">
            <v>10751756599</v>
          </cell>
          <cell r="M2224" t="str">
            <v>URBANO</v>
          </cell>
          <cell r="N2224">
            <v>45600.458333333336</v>
          </cell>
          <cell r="O2224">
            <v>0</v>
          </cell>
          <cell r="P2224" t="str">
            <v>LITE</v>
          </cell>
        </row>
        <row r="2225">
          <cell r="A2225">
            <v>9839</v>
          </cell>
          <cell r="B2225">
            <v>9839</v>
          </cell>
          <cell r="C2225" t="str">
            <v>CERO MATRICULA</v>
          </cell>
          <cell r="D2225" t="str">
            <v>ACTIVO</v>
          </cell>
          <cell r="E2225" t="str">
            <v>CLL456</v>
          </cell>
          <cell r="F2225" t="str">
            <v>Silva Ticlahuanca Enoc</v>
          </cell>
          <cell r="G2225" t="str">
            <v>SILVA TICLAHUANCA ENOC</v>
          </cell>
          <cell r="H2225" t="str">
            <v>47128209</v>
          </cell>
          <cell r="I2225" t="str">
            <v>BCP</v>
          </cell>
          <cell r="J2225" t="str">
            <v>19199318037047</v>
          </cell>
          <cell r="K2225" t="str">
            <v>DNI</v>
          </cell>
          <cell r="L2225">
            <v>10471282095</v>
          </cell>
          <cell r="M2225" t="str">
            <v>URBANO</v>
          </cell>
          <cell r="N2225">
            <v>45600.458333333336</v>
          </cell>
          <cell r="O2225">
            <v>0</v>
          </cell>
          <cell r="P2225" t="str">
            <v>LITE</v>
          </cell>
        </row>
        <row r="2226">
          <cell r="A2226">
            <v>9840</v>
          </cell>
          <cell r="B2226">
            <v>9840</v>
          </cell>
          <cell r="C2226" t="str">
            <v>CERO MATRICULA</v>
          </cell>
          <cell r="D2226" t="str">
            <v>ACTIVO</v>
          </cell>
          <cell r="E2226" t="str">
            <v>CHA536</v>
          </cell>
          <cell r="F2226" t="str">
            <v>Rodríguez Guilarte Julio César</v>
          </cell>
          <cell r="G2226" t="str">
            <v xml:space="preserve"> RODRIGUEZ GUILARTE JULIO CESAR</v>
          </cell>
          <cell r="H2226" t="str">
            <v>003640991</v>
          </cell>
          <cell r="I2226" t="str">
            <v>BCP</v>
          </cell>
          <cell r="J2226" t="str">
            <v>19406538277018</v>
          </cell>
          <cell r="K2226" t="str">
            <v>CE</v>
          </cell>
          <cell r="L2226">
            <v>15604339429</v>
          </cell>
          <cell r="M2226" t="str">
            <v>AEROPUERTO</v>
          </cell>
          <cell r="N2226">
            <v>45601.416666666664</v>
          </cell>
          <cell r="O2226">
            <v>235</v>
          </cell>
          <cell r="P2226" t="str">
            <v>COMFORT XL</v>
          </cell>
        </row>
        <row r="2227">
          <cell r="A2227">
            <v>9843</v>
          </cell>
          <cell r="B2227">
            <v>9843</v>
          </cell>
          <cell r="C2227" t="str">
            <v>CERO MATRICULA</v>
          </cell>
          <cell r="D2227" t="str">
            <v>ACTIVO</v>
          </cell>
          <cell r="E2227" t="str">
            <v>CNA250</v>
          </cell>
          <cell r="F2227" t="str">
            <v xml:space="preserve">Morales Guillen Raul Eduardo </v>
          </cell>
          <cell r="G2227" t="str">
            <v xml:space="preserve"> MORALES GUILLEN RAUL EDUARDO</v>
          </cell>
          <cell r="H2227" t="str">
            <v>40253099</v>
          </cell>
          <cell r="I2227" t="str">
            <v>BCP</v>
          </cell>
          <cell r="J2227" t="str">
            <v>19490559746088</v>
          </cell>
          <cell r="K2227" t="str">
            <v>DNI</v>
          </cell>
          <cell r="L2227">
            <v>10402530991</v>
          </cell>
          <cell r="M2227" t="str">
            <v>URBANO</v>
          </cell>
          <cell r="N2227">
            <v>45604.5</v>
          </cell>
          <cell r="O2227">
            <v>0</v>
          </cell>
          <cell r="P2227" t="str">
            <v>COMFORT XL</v>
          </cell>
        </row>
        <row r="2228">
          <cell r="A2228">
            <v>9844</v>
          </cell>
          <cell r="B2228">
            <v>9844</v>
          </cell>
          <cell r="C2228" t="str">
            <v>CERO MATRICULA</v>
          </cell>
          <cell r="D2228" t="str">
            <v>ACTIVO</v>
          </cell>
          <cell r="E2228" t="str">
            <v>CHZ028</v>
          </cell>
          <cell r="F2228" t="str">
            <v>Leonardo Rodriguez Pedro Arnulfo</v>
          </cell>
          <cell r="G2228" t="str">
            <v>LEONARDO RODRIGUEZ PEDRO ARNULFO</v>
          </cell>
          <cell r="H2228" t="str">
            <v>08885339</v>
          </cell>
          <cell r="I2228" t="str">
            <v>BCP</v>
          </cell>
          <cell r="J2228" t="str">
            <v>19126043822090</v>
          </cell>
          <cell r="K2228" t="str">
            <v>DNI</v>
          </cell>
          <cell r="L2228">
            <v>10088853399</v>
          </cell>
          <cell r="M2228" t="str">
            <v>URBANO</v>
          </cell>
          <cell r="N2228">
            <v>45604.5</v>
          </cell>
          <cell r="O2228">
            <v>0</v>
          </cell>
          <cell r="P2228" t="str">
            <v>COMFORT XL</v>
          </cell>
        </row>
        <row r="2229">
          <cell r="A2229">
            <v>9845</v>
          </cell>
          <cell r="B2229">
            <v>9845</v>
          </cell>
          <cell r="C2229" t="str">
            <v>CERO MATRICULA</v>
          </cell>
          <cell r="D2229" t="str">
            <v>ACTIVO</v>
          </cell>
          <cell r="E2229" t="str">
            <v>CDK149</v>
          </cell>
          <cell r="F2229" t="str">
            <v>Chero Alburqueque Zoraida del Pilar</v>
          </cell>
          <cell r="G2229" t="str">
            <v>CHERO ALBURQUEQUE ZORAIDA DEL PILAR</v>
          </cell>
          <cell r="H2229" t="str">
            <v>41320282</v>
          </cell>
          <cell r="I2229" t="str">
            <v>INTERBANK</v>
          </cell>
          <cell r="J2229" t="str">
            <v>2003084715013</v>
          </cell>
          <cell r="K2229" t="str">
            <v>DNI</v>
          </cell>
          <cell r="L2229">
            <v>10413202821</v>
          </cell>
          <cell r="M2229" t="str">
            <v>URBANO</v>
          </cell>
          <cell r="N2229">
            <v>45604.5</v>
          </cell>
          <cell r="O2229">
            <v>0</v>
          </cell>
          <cell r="P2229" t="str">
            <v>COMFORT XL</v>
          </cell>
        </row>
        <row r="2230">
          <cell r="A2230">
            <v>9846</v>
          </cell>
          <cell r="B2230">
            <v>9846</v>
          </cell>
          <cell r="C2230" t="str">
            <v>CERO MATRICULA</v>
          </cell>
          <cell r="D2230" t="str">
            <v>ACTIVO</v>
          </cell>
          <cell r="E2230" t="str">
            <v>CMM382</v>
          </cell>
          <cell r="F2230" t="str">
            <v xml:space="preserve">Aspajo Ortiz Fabio Junior </v>
          </cell>
          <cell r="G2230" t="str">
            <v>FAKORGX E.I.R.L.</v>
          </cell>
          <cell r="H2230" t="str">
            <v>20609803542</v>
          </cell>
          <cell r="I2230" t="str">
            <v>BCP</v>
          </cell>
          <cell r="J2230" t="str">
            <v>1914211464039</v>
          </cell>
          <cell r="K2230" t="str">
            <v>RUC</v>
          </cell>
          <cell r="L2230">
            <v>20609803542</v>
          </cell>
          <cell r="M2230" t="str">
            <v>URBANO</v>
          </cell>
          <cell r="N2230">
            <v>45604.5</v>
          </cell>
          <cell r="O2230">
            <v>0</v>
          </cell>
          <cell r="P2230" t="str">
            <v>COMFORT XL</v>
          </cell>
        </row>
        <row r="2231">
          <cell r="A2231">
            <v>9847</v>
          </cell>
          <cell r="B2231">
            <v>9847</v>
          </cell>
          <cell r="C2231" t="str">
            <v>CERO MATRICULA</v>
          </cell>
          <cell r="D2231" t="str">
            <v>ACTIVO</v>
          </cell>
          <cell r="E2231" t="str">
            <v>CKK004</v>
          </cell>
          <cell r="F2231" t="str">
            <v>Elías Uceda Félix Marvin</v>
          </cell>
          <cell r="G2231" t="str">
            <v>ELIAS UCEDA FELIX MARVIN</v>
          </cell>
          <cell r="H2231" t="str">
            <v>25843101</v>
          </cell>
          <cell r="I2231" t="str">
            <v>BBVA</v>
          </cell>
          <cell r="J2231" t="str">
            <v>001108140245374580</v>
          </cell>
          <cell r="K2231" t="str">
            <v>DNI</v>
          </cell>
          <cell r="L2231">
            <v>10258431010</v>
          </cell>
          <cell r="M2231" t="str">
            <v>URBANO</v>
          </cell>
          <cell r="N2231">
            <v>45604.5</v>
          </cell>
          <cell r="O2231">
            <v>0</v>
          </cell>
          <cell r="P2231" t="str">
            <v>LITE</v>
          </cell>
        </row>
        <row r="2232">
          <cell r="A2232">
            <v>9848</v>
          </cell>
          <cell r="B2232">
            <v>9848</v>
          </cell>
          <cell r="C2232" t="str">
            <v>CERO MATRICULA</v>
          </cell>
          <cell r="D2232" t="str">
            <v>ACTIVO</v>
          </cell>
          <cell r="E2232" t="str">
            <v>Z6I403</v>
          </cell>
          <cell r="F2232" t="str">
            <v xml:space="preserve">Delgado Veintimilla César Benjamín </v>
          </cell>
          <cell r="G2232" t="str">
            <v>DELGADO VEINTIMILLA CESAR BENJAMIN</v>
          </cell>
          <cell r="H2232" t="str">
            <v>41244313</v>
          </cell>
          <cell r="I2232" t="str">
            <v>BCP</v>
          </cell>
          <cell r="J2232" t="str">
            <v>19295044871018</v>
          </cell>
          <cell r="K2232" t="str">
            <v>DNI</v>
          </cell>
          <cell r="L2232">
            <v>10412443131</v>
          </cell>
          <cell r="M2232" t="str">
            <v>URBANO PARTNER</v>
          </cell>
          <cell r="N2232">
            <v>45604</v>
          </cell>
          <cell r="O2232">
            <v>0</v>
          </cell>
          <cell r="P2232" t="str">
            <v>LITE</v>
          </cell>
        </row>
        <row r="2233">
          <cell r="A2233">
            <v>2213</v>
          </cell>
          <cell r="B2233">
            <v>2213</v>
          </cell>
          <cell r="C2233" t="str">
            <v>CERO MATRICULA</v>
          </cell>
          <cell r="D2233" t="str">
            <v>ACTIVO</v>
          </cell>
          <cell r="E2233" t="str">
            <v>CNY232</v>
          </cell>
          <cell r="F2233" t="str">
            <v>Benites Vargas Christian</v>
          </cell>
          <cell r="G2233" t="str">
            <v>BENITES VARGAS CHRISTIAN JESUS</v>
          </cell>
          <cell r="H2233" t="str">
            <v>75132173</v>
          </cell>
          <cell r="I2233" t="str">
            <v>BCP</v>
          </cell>
          <cell r="J2233" t="str">
            <v>19101853842066</v>
          </cell>
          <cell r="K2233" t="str">
            <v>DNI</v>
          </cell>
          <cell r="L2233">
            <v>10751321738</v>
          </cell>
          <cell r="M2233" t="str">
            <v>URBANO</v>
          </cell>
          <cell r="N2233">
            <v>45608.083333333336</v>
          </cell>
          <cell r="O2233">
            <v>0</v>
          </cell>
          <cell r="P2233" t="str">
            <v>COMFORT XL</v>
          </cell>
        </row>
        <row r="2234">
          <cell r="A2234">
            <v>9850</v>
          </cell>
          <cell r="B2234">
            <v>9850</v>
          </cell>
          <cell r="C2234" t="str">
            <v>CERO MATRICULA</v>
          </cell>
          <cell r="D2234" t="str">
            <v>ACTIVO</v>
          </cell>
          <cell r="E2234" t="str">
            <v>Cjm254</v>
          </cell>
          <cell r="F2234" t="str">
            <v>Tello Dipas Guillermo</v>
          </cell>
          <cell r="G2234" t="str">
            <v>TELLO DIPAS GUILLERMO</v>
          </cell>
          <cell r="H2234" t="str">
            <v>06555250</v>
          </cell>
          <cell r="I2234" t="str">
            <v>BCP</v>
          </cell>
          <cell r="J2234" t="str">
            <v>19390113306040</v>
          </cell>
          <cell r="K2234" t="str">
            <v>DNI</v>
          </cell>
          <cell r="L2234">
            <v>10065552502</v>
          </cell>
          <cell r="M2234" t="str">
            <v>URBANO</v>
          </cell>
          <cell r="N2234">
            <v>45608.416666666664</v>
          </cell>
          <cell r="O2234">
            <v>0</v>
          </cell>
          <cell r="P2234" t="str">
            <v>COMFORT XL</v>
          </cell>
        </row>
        <row r="2235">
          <cell r="A2235">
            <v>9851</v>
          </cell>
          <cell r="B2235">
            <v>9851</v>
          </cell>
          <cell r="C2235" t="str">
            <v>CERO MATRICULA</v>
          </cell>
          <cell r="D2235" t="str">
            <v>ACTIVO</v>
          </cell>
          <cell r="E2235" t="str">
            <v>BVD343</v>
          </cell>
          <cell r="F2235" t="str">
            <v xml:space="preserve">Salazar Correa Jonathan steven </v>
          </cell>
          <cell r="G2235" t="str">
            <v>SALAZAR CORREA JONATHAN STEVEN</v>
          </cell>
          <cell r="H2235" t="str">
            <v>44144202</v>
          </cell>
          <cell r="I2235" t="str">
            <v>BCP</v>
          </cell>
          <cell r="J2235" t="str">
            <v>19138109454096</v>
          </cell>
          <cell r="K2235" t="str">
            <v>DNI</v>
          </cell>
          <cell r="L2235">
            <v>10441442021</v>
          </cell>
          <cell r="M2235" t="str">
            <v>AEROPUERTO</v>
          </cell>
          <cell r="N2235">
            <v>45608.416666666664</v>
          </cell>
          <cell r="O2235">
            <v>265</v>
          </cell>
          <cell r="P2235" t="str">
            <v>LITE</v>
          </cell>
        </row>
        <row r="2236">
          <cell r="A2236">
            <v>9853</v>
          </cell>
          <cell r="B2236">
            <v>9853</v>
          </cell>
          <cell r="C2236" t="str">
            <v>CERO MATRICULA</v>
          </cell>
          <cell r="D2236" t="str">
            <v>ACTIVO</v>
          </cell>
          <cell r="E2236" t="str">
            <v>CNJ055</v>
          </cell>
          <cell r="F2236" t="str">
            <v>Camacho Iriarte Mauro</v>
          </cell>
          <cell r="G2236" t="str">
            <v>CAMACHO IRIARTE MAURO DAVID</v>
          </cell>
          <cell r="H2236" t="str">
            <v>002715106</v>
          </cell>
          <cell r="I2236" t="str">
            <v>BCP</v>
          </cell>
          <cell r="J2236" t="str">
            <v>19199639456012</v>
          </cell>
          <cell r="K2236" t="str">
            <v>CE</v>
          </cell>
          <cell r="L2236">
            <v>15603559425</v>
          </cell>
          <cell r="M2236" t="str">
            <v>AEROPUERTO</v>
          </cell>
          <cell r="N2236">
            <v>45608.416666666664</v>
          </cell>
          <cell r="O2236">
            <v>265</v>
          </cell>
          <cell r="P2236" t="str">
            <v>LITE</v>
          </cell>
        </row>
        <row r="2237">
          <cell r="A2237">
            <v>9854</v>
          </cell>
          <cell r="B2237">
            <v>9854</v>
          </cell>
          <cell r="C2237" t="str">
            <v>CERO MATRICULA</v>
          </cell>
          <cell r="D2237" t="str">
            <v>ACTIVO</v>
          </cell>
          <cell r="E2237" t="str">
            <v>BTK637</v>
          </cell>
          <cell r="F2237" t="str">
            <v>Arce Peralta Jesus guillermo</v>
          </cell>
          <cell r="G2237" t="str">
            <v>ARCE PERALTA JESUS GUILLERMO</v>
          </cell>
          <cell r="H2237" t="str">
            <v>72506243</v>
          </cell>
          <cell r="I2237" t="str">
            <v>BBVA</v>
          </cell>
          <cell r="J2237" t="str">
            <v>001105790213771816</v>
          </cell>
          <cell r="K2237" t="str">
            <v>DNI</v>
          </cell>
          <cell r="L2237">
            <v>10725062431</v>
          </cell>
          <cell r="M2237" t="str">
            <v>AEROPUERTO</v>
          </cell>
          <cell r="N2237">
            <v>45608.416666666664</v>
          </cell>
          <cell r="O2237">
            <v>265</v>
          </cell>
          <cell r="P2237" t="str">
            <v>LITE</v>
          </cell>
        </row>
        <row r="2238">
          <cell r="A2238">
            <v>9856</v>
          </cell>
          <cell r="B2238">
            <v>9856</v>
          </cell>
          <cell r="C2238" t="str">
            <v>CERO MATRICULA</v>
          </cell>
          <cell r="D2238" t="str">
            <v>ACTIVO</v>
          </cell>
          <cell r="E2238" t="str">
            <v>CHB142</v>
          </cell>
          <cell r="F2238" t="str">
            <v>Lopez Valera Jhonatan</v>
          </cell>
          <cell r="G2238" t="str">
            <v>LOPEZ VALERA JHONATAN ARTURO</v>
          </cell>
          <cell r="H2238" t="str">
            <v>77207452</v>
          </cell>
          <cell r="I2238" t="str">
            <v>INTERBANK</v>
          </cell>
          <cell r="J2238" t="str">
            <v>2883122893472</v>
          </cell>
          <cell r="K2238" t="str">
            <v>DNI</v>
          </cell>
          <cell r="L2238">
            <v>10772074528</v>
          </cell>
          <cell r="M2238" t="str">
            <v>URBANO</v>
          </cell>
          <cell r="N2238">
            <v>45608.083333333336</v>
          </cell>
          <cell r="O2238">
            <v>0</v>
          </cell>
          <cell r="P2238" t="str">
            <v>COMFORT XL</v>
          </cell>
        </row>
        <row r="2239">
          <cell r="A2239">
            <v>9857</v>
          </cell>
          <cell r="B2239">
            <v>9857</v>
          </cell>
          <cell r="C2239" t="str">
            <v>CERO MATRICULA</v>
          </cell>
          <cell r="D2239" t="str">
            <v>ACTIVO</v>
          </cell>
          <cell r="E2239" t="str">
            <v>CNX100</v>
          </cell>
          <cell r="F2239" t="str">
            <v>MONTOYA ROJAS HUGO ANTONY</v>
          </cell>
          <cell r="G2239" t="str">
            <v>MONTOYA ROJAS HUGO ANTONY</v>
          </cell>
          <cell r="H2239" t="str">
            <v>46601634</v>
          </cell>
          <cell r="I2239" t="str">
            <v>BBVA</v>
          </cell>
          <cell r="J2239" t="str">
            <v>001106270200014633</v>
          </cell>
          <cell r="K2239" t="str">
            <v>DNI</v>
          </cell>
          <cell r="L2239">
            <v>10466016344</v>
          </cell>
          <cell r="M2239" t="str">
            <v>URBANO</v>
          </cell>
          <cell r="N2239">
            <v>45608.083333333336</v>
          </cell>
          <cell r="O2239">
            <v>0</v>
          </cell>
          <cell r="P2239" t="str">
            <v>COMFORT XL</v>
          </cell>
        </row>
        <row r="2240">
          <cell r="A2240">
            <v>9858</v>
          </cell>
          <cell r="B2240">
            <v>9858</v>
          </cell>
          <cell r="C2240" t="str">
            <v>CERO MATRICULA</v>
          </cell>
          <cell r="D2240" t="str">
            <v>ACTIVO</v>
          </cell>
          <cell r="E2240" t="str">
            <v>CEI625</v>
          </cell>
          <cell r="F2240" t="str">
            <v>Pino Moreno Raymond alejandro</v>
          </cell>
          <cell r="G2240" t="str">
            <v>PINO MORENO RAYMOND ALEJANDRO</v>
          </cell>
          <cell r="H2240" t="str">
            <v>006567684</v>
          </cell>
          <cell r="I2240" t="str">
            <v>BCP</v>
          </cell>
          <cell r="J2240" t="str">
            <v>19107244720098</v>
          </cell>
          <cell r="K2240" t="str">
            <v>CE</v>
          </cell>
          <cell r="L2240">
            <v>15609465970</v>
          </cell>
          <cell r="M2240" t="str">
            <v>URBANO</v>
          </cell>
          <cell r="N2240">
            <v>45608.083333333336</v>
          </cell>
          <cell r="O2240">
            <v>0</v>
          </cell>
          <cell r="P2240" t="str">
            <v>COMFORT XL</v>
          </cell>
        </row>
        <row r="2241">
          <cell r="A2241">
            <v>9859</v>
          </cell>
          <cell r="B2241">
            <v>9859</v>
          </cell>
          <cell r="C2241" t="str">
            <v>CERO MATRICULA</v>
          </cell>
          <cell r="D2241" t="str">
            <v>ACTIVO</v>
          </cell>
          <cell r="E2241" t="str">
            <v>AXP108</v>
          </cell>
          <cell r="F2241" t="str">
            <v>Velasco Aliaga Juan pablo</v>
          </cell>
          <cell r="G2241" t="str">
            <v>VELASCO ALIAGA JUAN PABLO</v>
          </cell>
          <cell r="H2241" t="str">
            <v>43910691</v>
          </cell>
          <cell r="I2241" t="str">
            <v>BBVA</v>
          </cell>
          <cell r="J2241" t="str">
            <v>001108140265300117</v>
          </cell>
          <cell r="K2241" t="str">
            <v>DNI</v>
          </cell>
          <cell r="L2241">
            <v>10439106919</v>
          </cell>
          <cell r="M2241" t="str">
            <v>URBANO</v>
          </cell>
          <cell r="N2241">
            <v>45608.083333333336</v>
          </cell>
          <cell r="O2241">
            <v>0</v>
          </cell>
          <cell r="P2241" t="str">
            <v>COMFORT</v>
          </cell>
        </row>
        <row r="2242">
          <cell r="A2242">
            <v>9860</v>
          </cell>
          <cell r="B2242">
            <v>9860</v>
          </cell>
          <cell r="C2242" t="str">
            <v>CERO MATRICULA</v>
          </cell>
          <cell r="D2242" t="str">
            <v>ACTIVO</v>
          </cell>
          <cell r="E2242" t="str">
            <v>BAD009</v>
          </cell>
          <cell r="F2242" t="str">
            <v>Rodriguez Urpeque Mirla yanina</v>
          </cell>
          <cell r="G2242" t="str">
            <v>Rodriguez Urpeque Mirla yanina</v>
          </cell>
          <cell r="H2242" t="str">
            <v>80640144</v>
          </cell>
          <cell r="I2242" t="str">
            <v>BCP</v>
          </cell>
          <cell r="J2242" t="str">
            <v>19193088460045</v>
          </cell>
          <cell r="K2242" t="str">
            <v>DNI</v>
          </cell>
          <cell r="L2242">
            <v>10806401442</v>
          </cell>
          <cell r="M2242" t="str">
            <v>URBANO</v>
          </cell>
          <cell r="N2242">
            <v>45608.083333333336</v>
          </cell>
          <cell r="O2242">
            <v>0</v>
          </cell>
          <cell r="P2242" t="str">
            <v>COMFORT</v>
          </cell>
        </row>
        <row r="2243">
          <cell r="A2243">
            <v>9861</v>
          </cell>
          <cell r="B2243">
            <v>9861</v>
          </cell>
          <cell r="C2243" t="str">
            <v>CERO MATRICULA</v>
          </cell>
          <cell r="D2243" t="str">
            <v>ACTIVO</v>
          </cell>
          <cell r="E2243" t="str">
            <v>ANV285</v>
          </cell>
          <cell r="F2243" t="str">
            <v>Vitteri Alva Bruno Abedonago</v>
          </cell>
          <cell r="G2243" t="str">
            <v>VITTERI ALVA BRUNO ABEDONAGO</v>
          </cell>
          <cell r="H2243" t="str">
            <v>42296999</v>
          </cell>
          <cell r="I2243" t="str">
            <v>BCP</v>
          </cell>
          <cell r="J2243" t="str">
            <v>19178185849003</v>
          </cell>
          <cell r="K2243" t="str">
            <v>DNI</v>
          </cell>
          <cell r="L2243">
            <v>10422969999</v>
          </cell>
          <cell r="M2243" t="str">
            <v>AEROLINEAS</v>
          </cell>
          <cell r="N2243">
            <v>45609.416666666664</v>
          </cell>
          <cell r="O2243">
            <v>0</v>
          </cell>
          <cell r="P2243" t="str">
            <v>COMFORT XL</v>
          </cell>
        </row>
        <row r="2244">
          <cell r="A2244">
            <v>9862</v>
          </cell>
          <cell r="B2244">
            <v>9862</v>
          </cell>
          <cell r="C2244" t="str">
            <v>CERO MATRICULA</v>
          </cell>
          <cell r="D2244" t="str">
            <v>ACTIVO</v>
          </cell>
          <cell r="E2244" t="str">
            <v>CHT480</v>
          </cell>
          <cell r="F2244" t="str">
            <v>Yanqui Cosi Elias Daniel</v>
          </cell>
          <cell r="G2244" t="str">
            <v>YANQUI COSI ELIAS DANIEL</v>
          </cell>
          <cell r="H2244" t="str">
            <v>70887386</v>
          </cell>
          <cell r="I2244" t="str">
            <v>BCP</v>
          </cell>
          <cell r="J2244" t="str">
            <v>19402814889020</v>
          </cell>
          <cell r="K2244" t="str">
            <v>DNI</v>
          </cell>
          <cell r="L2244">
            <v>10708873867</v>
          </cell>
          <cell r="M2244" t="str">
            <v>AEROLINEAS</v>
          </cell>
          <cell r="N2244">
            <v>45609.416666666664</v>
          </cell>
          <cell r="O2244">
            <v>0</v>
          </cell>
          <cell r="P2244" t="str">
            <v>COMFORT XL</v>
          </cell>
        </row>
        <row r="2245">
          <cell r="A2245">
            <v>9890</v>
          </cell>
          <cell r="B2245">
            <v>9890</v>
          </cell>
          <cell r="C2245" t="str">
            <v>CERO MATRICULA</v>
          </cell>
          <cell r="D2245" t="str">
            <v>ACTIVO</v>
          </cell>
          <cell r="E2245" t="str">
            <v>CEE616</v>
          </cell>
          <cell r="F2245" t="str">
            <v>CARRILLO VICUÑA PABLO</v>
          </cell>
          <cell r="G2245" t="str">
            <v>MORENO MARTINEZ CRISBEL DE LOS ANGELES</v>
          </cell>
          <cell r="H2245" t="str">
            <v>005553957</v>
          </cell>
          <cell r="I2245" t="str">
            <v>BCP</v>
          </cell>
          <cell r="J2245" t="str">
            <v>19171256838002</v>
          </cell>
          <cell r="K2245" t="str">
            <v>CE</v>
          </cell>
          <cell r="L2245">
            <v>15613377660</v>
          </cell>
          <cell r="M2245" t="str">
            <v>AEROPUERTO</v>
          </cell>
          <cell r="N2245">
            <v>45628</v>
          </cell>
          <cell r="O2245">
            <v>265</v>
          </cell>
          <cell r="P2245" t="str">
            <v>LITE</v>
          </cell>
        </row>
        <row r="2246">
          <cell r="A2246">
            <v>9863</v>
          </cell>
          <cell r="B2246">
            <v>9863</v>
          </cell>
          <cell r="C2246" t="str">
            <v>CERO MATRICULA</v>
          </cell>
          <cell r="D2246" t="str">
            <v>ACTIVO</v>
          </cell>
          <cell r="E2246" t="str">
            <v>CDP583</v>
          </cell>
          <cell r="F2246" t="str">
            <v xml:space="preserve">Bustamante Contrera Richard </v>
          </cell>
          <cell r="G2246" t="str">
            <v>BUSTAMANTE CONTRERA RICHARD OSCAR</v>
          </cell>
          <cell r="H2246" t="str">
            <v>004465327</v>
          </cell>
          <cell r="I2246" t="str">
            <v>BCP</v>
          </cell>
          <cell r="J2246" t="str">
            <v>19171563213072</v>
          </cell>
          <cell r="K2246" t="str">
            <v>CE</v>
          </cell>
          <cell r="L2246">
            <v>15613452581</v>
          </cell>
          <cell r="M2246" t="str">
            <v>AEROLINEAS</v>
          </cell>
          <cell r="N2246">
            <v>45617.625</v>
          </cell>
          <cell r="O2246">
            <v>0</v>
          </cell>
          <cell r="P2246" t="str">
            <v>LITE</v>
          </cell>
        </row>
        <row r="2247">
          <cell r="A2247">
            <v>9866</v>
          </cell>
          <cell r="B2247">
            <v>9866</v>
          </cell>
          <cell r="C2247" t="str">
            <v>CERO MATRICULA</v>
          </cell>
          <cell r="D2247" t="str">
            <v>ACTIVO</v>
          </cell>
          <cell r="E2247" t="str">
            <v>AYO474</v>
          </cell>
          <cell r="F2247" t="str">
            <v>Ramirez Lanoy Angelo yamir</v>
          </cell>
          <cell r="G2247" t="str">
            <v>RAMIREZ LANOY ANGELO YAMIR</v>
          </cell>
          <cell r="H2247" t="str">
            <v>006819844</v>
          </cell>
          <cell r="I2247" t="str">
            <v>INTERBANK</v>
          </cell>
          <cell r="J2247" t="str">
            <v>2743360341051</v>
          </cell>
          <cell r="K2247" t="str">
            <v>CE</v>
          </cell>
          <cell r="L2247">
            <v>15613411531</v>
          </cell>
          <cell r="M2247" t="str">
            <v>AEROPUERTO</v>
          </cell>
          <cell r="N2247">
            <v>45615.416666666664</v>
          </cell>
          <cell r="O2247">
            <v>265</v>
          </cell>
          <cell r="P2247" t="str">
            <v>LITE</v>
          </cell>
        </row>
        <row r="2248">
          <cell r="A2248">
            <v>9868</v>
          </cell>
          <cell r="B2248">
            <v>9868</v>
          </cell>
          <cell r="C2248" t="str">
            <v>CERO MATRICULA</v>
          </cell>
          <cell r="D2248" t="str">
            <v>ACTIVO</v>
          </cell>
          <cell r="E2248" t="str">
            <v>BCD407</v>
          </cell>
          <cell r="F2248" t="str">
            <v>Cubas Cabada José luis</v>
          </cell>
          <cell r="G2248" t="str">
            <v>CUBAS CABADA JOSE LUIS</v>
          </cell>
          <cell r="H2248" t="str">
            <v>42829965</v>
          </cell>
          <cell r="I2248" t="str">
            <v>BCP</v>
          </cell>
          <cell r="J2248" t="str">
            <v>19399755951084</v>
          </cell>
          <cell r="K2248" t="str">
            <v>DNI</v>
          </cell>
          <cell r="L2248">
            <v>10428299651</v>
          </cell>
          <cell r="M2248" t="str">
            <v>URBANO PARTNER</v>
          </cell>
          <cell r="N2248">
            <v>45614.458333333336</v>
          </cell>
          <cell r="O2248">
            <v>0</v>
          </cell>
          <cell r="P2248" t="str">
            <v>XL</v>
          </cell>
        </row>
        <row r="2249">
          <cell r="A2249">
            <v>9869</v>
          </cell>
          <cell r="B2249">
            <v>9869</v>
          </cell>
          <cell r="C2249" t="str">
            <v>CERO MATRICULA</v>
          </cell>
          <cell r="D2249" t="str">
            <v>ACTIVO</v>
          </cell>
          <cell r="E2249" t="str">
            <v>CNL352</v>
          </cell>
          <cell r="F2249" t="str">
            <v>Honores Villavicencio Junior Leandro</v>
          </cell>
          <cell r="G2249" t="str">
            <v>HONORES VILLAVICENCIO JUNIOR LEANDRO</v>
          </cell>
          <cell r="H2249" t="str">
            <v>42794061</v>
          </cell>
          <cell r="I2249" t="str">
            <v>BCP</v>
          </cell>
          <cell r="J2249" t="str">
            <v>19103985699056</v>
          </cell>
          <cell r="K2249" t="str">
            <v>DNI</v>
          </cell>
          <cell r="L2249">
            <v>10427940611</v>
          </cell>
          <cell r="M2249" t="str">
            <v>AEROLINEAS</v>
          </cell>
          <cell r="N2249">
            <v>45614.458333333336</v>
          </cell>
          <cell r="O2249">
            <v>0</v>
          </cell>
          <cell r="P2249" t="str">
            <v>COMFORT XL</v>
          </cell>
        </row>
        <row r="2250">
          <cell r="A2250">
            <v>9870</v>
          </cell>
          <cell r="B2250">
            <v>9870</v>
          </cell>
          <cell r="C2250" t="str">
            <v>CERO MATRICULA</v>
          </cell>
          <cell r="D2250" t="str">
            <v>ACTIVO</v>
          </cell>
          <cell r="E2250" t="str">
            <v>CNK339</v>
          </cell>
          <cell r="F2250" t="str">
            <v>Saravia Talla César Augusto</v>
          </cell>
          <cell r="G2250" t="str">
            <v>SARAVIA TALLA CESAR AUGUSTO</v>
          </cell>
          <cell r="H2250" t="str">
            <v>21810723</v>
          </cell>
          <cell r="I2250" t="str">
            <v>BBVA</v>
          </cell>
          <cell r="J2250" t="str">
            <v>001102590200276115</v>
          </cell>
          <cell r="K2250" t="str">
            <v>DNI</v>
          </cell>
          <cell r="L2250">
            <v>10218107236</v>
          </cell>
          <cell r="M2250" t="str">
            <v>URBANO</v>
          </cell>
          <cell r="N2250">
            <v>45614.458333333336</v>
          </cell>
          <cell r="O2250">
            <v>0</v>
          </cell>
          <cell r="P2250" t="str">
            <v>COMFORT XL</v>
          </cell>
        </row>
        <row r="2251">
          <cell r="A2251">
            <v>9871</v>
          </cell>
          <cell r="B2251">
            <v>9871</v>
          </cell>
          <cell r="C2251" t="str">
            <v>CERO MATRICULA</v>
          </cell>
          <cell r="D2251" t="str">
            <v>ACTIVO</v>
          </cell>
          <cell r="E2251" t="str">
            <v>D6U361</v>
          </cell>
          <cell r="F2251" t="str">
            <v>ZEÑA LOPEZ JORGE LUIS</v>
          </cell>
          <cell r="G2251" t="str">
            <v>ZEÑA LOPEZ JORGE LUIS</v>
          </cell>
          <cell r="H2251" t="str">
            <v>10142365</v>
          </cell>
          <cell r="I2251" t="str">
            <v>BCP</v>
          </cell>
          <cell r="J2251" t="str">
            <v>19311661079066</v>
          </cell>
          <cell r="K2251" t="str">
            <v>DNI</v>
          </cell>
          <cell r="L2251">
            <v>15110322060</v>
          </cell>
          <cell r="M2251" t="str">
            <v>URBANO</v>
          </cell>
          <cell r="N2251">
            <v>45614.458333333336</v>
          </cell>
          <cell r="O2251">
            <v>0</v>
          </cell>
          <cell r="P2251" t="str">
            <v>COMFORT XL</v>
          </cell>
        </row>
        <row r="2252">
          <cell r="A2252">
            <v>9872</v>
          </cell>
          <cell r="B2252">
            <v>9872</v>
          </cell>
          <cell r="C2252" t="str">
            <v>CERO MATRICULA</v>
          </cell>
          <cell r="D2252" t="str">
            <v>ACTIVO</v>
          </cell>
          <cell r="E2252" t="str">
            <v>BAZ248</v>
          </cell>
          <cell r="F2252" t="str">
            <v>Ccahuana Bartolo Orlando</v>
          </cell>
          <cell r="G2252" t="str">
            <v>CCAHUANA BARTOLO ORLANDO</v>
          </cell>
          <cell r="H2252" t="str">
            <v>40273384</v>
          </cell>
          <cell r="I2252" t="str">
            <v>BCP</v>
          </cell>
          <cell r="J2252" t="str">
            <v>19170018531087</v>
          </cell>
          <cell r="K2252" t="str">
            <v>DNI</v>
          </cell>
          <cell r="L2252">
            <v>10402733841</v>
          </cell>
          <cell r="M2252" t="str">
            <v>URBANO</v>
          </cell>
          <cell r="N2252">
            <v>45614.458333333336</v>
          </cell>
          <cell r="O2252">
            <v>0</v>
          </cell>
          <cell r="P2252" t="str">
            <v>COMFORT</v>
          </cell>
        </row>
        <row r="2253">
          <cell r="A2253">
            <v>9873</v>
          </cell>
          <cell r="B2253">
            <v>9873</v>
          </cell>
          <cell r="C2253" t="str">
            <v>CERO MATRICULA</v>
          </cell>
          <cell r="D2253" t="str">
            <v>ACTIVO</v>
          </cell>
          <cell r="E2253" t="str">
            <v>CLH029</v>
          </cell>
          <cell r="F2253" t="str">
            <v>Maestre Padilla Jesús Enrique</v>
          </cell>
          <cell r="G2253" t="str">
            <v>MAESTRE PADILLA JESUS ENRIQUE</v>
          </cell>
          <cell r="H2253" t="str">
            <v>002607020</v>
          </cell>
          <cell r="I2253" t="str">
            <v>BCP</v>
          </cell>
          <cell r="J2253" t="str">
            <v>19490209007007</v>
          </cell>
          <cell r="K2253" t="str">
            <v>CE</v>
          </cell>
          <cell r="L2253">
            <v>15603793509</v>
          </cell>
          <cell r="M2253" t="str">
            <v>URBANO</v>
          </cell>
          <cell r="N2253">
            <v>45614</v>
          </cell>
          <cell r="O2253">
            <v>0</v>
          </cell>
          <cell r="P2253" t="str">
            <v>COMFORT</v>
          </cell>
        </row>
        <row r="2254">
          <cell r="A2254">
            <v>9875</v>
          </cell>
          <cell r="B2254">
            <v>9875</v>
          </cell>
          <cell r="C2254" t="str">
            <v>CERO MATRICULA</v>
          </cell>
          <cell r="D2254" t="str">
            <v>ACTIVO</v>
          </cell>
          <cell r="E2254" t="str">
            <v>CNF307</v>
          </cell>
          <cell r="F2254" t="str">
            <v xml:space="preserve">Díaz Concha Mcclane Kevin </v>
          </cell>
          <cell r="G2254" t="str">
            <v>DIAZ CONCHA MCCLANE KEVIN</v>
          </cell>
          <cell r="H2254">
            <v>73335882</v>
          </cell>
          <cell r="I2254" t="str">
            <v>INTERBANK</v>
          </cell>
          <cell r="J2254" t="str">
            <v>4393249949423</v>
          </cell>
          <cell r="K2254" t="str">
            <v>DNI</v>
          </cell>
          <cell r="L2254">
            <v>10733358829</v>
          </cell>
          <cell r="M2254" t="str">
            <v>AEROLINEAS</v>
          </cell>
          <cell r="N2254">
            <v>45617.125</v>
          </cell>
          <cell r="O2254">
            <v>0</v>
          </cell>
          <cell r="P2254" t="str">
            <v>COMFORT XL</v>
          </cell>
        </row>
        <row r="2255">
          <cell r="A2255">
            <v>9876</v>
          </cell>
          <cell r="B2255">
            <v>9876</v>
          </cell>
          <cell r="C2255" t="str">
            <v>CERO MATRICULA</v>
          </cell>
          <cell r="D2255" t="str">
            <v>ACTIVO</v>
          </cell>
          <cell r="E2255" t="str">
            <v>BJX343</v>
          </cell>
          <cell r="F2255" t="str">
            <v xml:space="preserve">Leon Soto Abner Wilfredo </v>
          </cell>
          <cell r="G2255" t="str">
            <v>NAVARRO TRANSPORT SOCIEDAD COMERCIAL DE RESPONSABILIDAD LIMITADA</v>
          </cell>
          <cell r="H2255" t="str">
            <v>20612576158</v>
          </cell>
          <cell r="I2255" t="str">
            <v>BCP</v>
          </cell>
          <cell r="J2255" t="str">
            <v>1924272641088</v>
          </cell>
          <cell r="K2255" t="str">
            <v>RUC</v>
          </cell>
          <cell r="L2255">
            <v>20612576158</v>
          </cell>
          <cell r="M2255" t="str">
            <v>AEROPUERTO VAN</v>
          </cell>
          <cell r="N2255">
            <v>45615.416666666664</v>
          </cell>
          <cell r="O2255">
            <v>240</v>
          </cell>
          <cell r="P2255" t="str">
            <v>VAN</v>
          </cell>
        </row>
        <row r="2256">
          <cell r="A2256">
            <v>9877</v>
          </cell>
          <cell r="B2256">
            <v>9877</v>
          </cell>
          <cell r="C2256" t="str">
            <v>CERO MATRICULA</v>
          </cell>
          <cell r="D2256" t="str">
            <v>ACTIVO</v>
          </cell>
          <cell r="E2256" t="str">
            <v>BWL431</v>
          </cell>
          <cell r="F2256" t="str">
            <v>Crespo Primera Génesis María</v>
          </cell>
          <cell r="G2256" t="str">
            <v>LUYO PACHAS JOSE LUIS</v>
          </cell>
          <cell r="H2256">
            <v>75415762</v>
          </cell>
          <cell r="I2256" t="str">
            <v>BCP</v>
          </cell>
          <cell r="J2256" t="str">
            <v>19172683161032</v>
          </cell>
          <cell r="K2256" t="str">
            <v>DNI</v>
          </cell>
          <cell r="L2256">
            <v>10754157629</v>
          </cell>
          <cell r="M2256" t="str">
            <v>AEROPUERTO</v>
          </cell>
          <cell r="N2256">
            <v>45615.416666666664</v>
          </cell>
          <cell r="O2256">
            <v>265</v>
          </cell>
          <cell r="P2256" t="str">
            <v>LITE</v>
          </cell>
        </row>
        <row r="2257">
          <cell r="A2257">
            <v>9880</v>
          </cell>
          <cell r="B2257">
            <v>9880</v>
          </cell>
          <cell r="C2257" t="str">
            <v>CERO MATRICULA</v>
          </cell>
          <cell r="D2257" t="str">
            <v>ACTIVO</v>
          </cell>
          <cell r="E2257" t="str">
            <v>ATV596</v>
          </cell>
          <cell r="F2257" t="str">
            <v>Servan Recalde Erick Moises</v>
          </cell>
          <cell r="G2257" t="str">
            <v>ÉRICK MOISES SERVAN RECALDE</v>
          </cell>
          <cell r="H2257" t="str">
            <v>75107407</v>
          </cell>
          <cell r="I2257" t="str">
            <v>BCP</v>
          </cell>
          <cell r="J2257" t="str">
            <v>19103981671088</v>
          </cell>
          <cell r="K2257" t="str">
            <v>DNI</v>
          </cell>
          <cell r="L2257">
            <v>10751074072</v>
          </cell>
          <cell r="M2257" t="str">
            <v>URBANO PARTNER</v>
          </cell>
          <cell r="N2257">
            <v>45615.083333333336</v>
          </cell>
          <cell r="O2257">
            <v>0</v>
          </cell>
          <cell r="P2257" t="str">
            <v>LITE</v>
          </cell>
        </row>
        <row r="2258">
          <cell r="A2258">
            <v>9881</v>
          </cell>
          <cell r="B2258">
            <v>9881</v>
          </cell>
          <cell r="C2258" t="str">
            <v>CERO MATRICULA</v>
          </cell>
          <cell r="D2258" t="str">
            <v>ACTIVO</v>
          </cell>
          <cell r="E2258" t="str">
            <v>CLF519</v>
          </cell>
          <cell r="F2258" t="str">
            <v>Correa Ramos César Enrique</v>
          </cell>
          <cell r="G2258" t="str">
            <v>CORREA RAMOS CESAR ENRIQUE</v>
          </cell>
          <cell r="H2258" t="str">
            <v>41521036</v>
          </cell>
          <cell r="I2258" t="str">
            <v>BBVA</v>
          </cell>
          <cell r="J2258" t="str">
            <v>001101860200426811</v>
          </cell>
          <cell r="K2258" t="str">
            <v>DNI</v>
          </cell>
          <cell r="L2258">
            <v>10415210367</v>
          </cell>
          <cell r="M2258" t="str">
            <v>URBANO</v>
          </cell>
          <cell r="N2258">
            <v>45615</v>
          </cell>
          <cell r="O2258">
            <v>0</v>
          </cell>
          <cell r="P2258" t="str">
            <v>COMFORT</v>
          </cell>
        </row>
        <row r="2259">
          <cell r="A2259">
            <v>9882</v>
          </cell>
          <cell r="B2259">
            <v>9882</v>
          </cell>
          <cell r="C2259" t="str">
            <v>CERO MATRICULA</v>
          </cell>
          <cell r="D2259" t="str">
            <v>ACTIVO</v>
          </cell>
          <cell r="E2259" t="str">
            <v>CEQ541</v>
          </cell>
          <cell r="F2259" t="str">
            <v xml:space="preserve">Bernuy Tello Diego Alonso </v>
          </cell>
          <cell r="G2259" t="str">
            <v xml:space="preserve"> BERNUY TELLO DIEGO ALONSO</v>
          </cell>
          <cell r="H2259" t="str">
            <v>47178014</v>
          </cell>
          <cell r="I2259" t="str">
            <v>BCP</v>
          </cell>
          <cell r="J2259" t="str">
            <v>19307082835078</v>
          </cell>
          <cell r="K2259" t="str">
            <v>DNI</v>
          </cell>
          <cell r="L2259">
            <v>10471780141</v>
          </cell>
          <cell r="M2259" t="str">
            <v>URBANO</v>
          </cell>
          <cell r="N2259">
            <v>45615.083333333336</v>
          </cell>
          <cell r="O2259">
            <v>0</v>
          </cell>
          <cell r="P2259" t="str">
            <v>COMFORT XL</v>
          </cell>
        </row>
        <row r="2260">
          <cell r="A2260">
            <v>9883</v>
          </cell>
          <cell r="B2260">
            <v>9883</v>
          </cell>
          <cell r="C2260" t="str">
            <v>CERO MATRICULA</v>
          </cell>
          <cell r="D2260" t="str">
            <v>ACTIVO</v>
          </cell>
          <cell r="E2260" t="str">
            <v>CBL608</v>
          </cell>
          <cell r="F2260" t="str">
            <v>Vergara Garcia Daniel</v>
          </cell>
          <cell r="G2260" t="str">
            <v>VERGARA GARCIA DANIEL OSWALDO</v>
          </cell>
          <cell r="H2260" t="str">
            <v>008034663</v>
          </cell>
          <cell r="I2260" t="str">
            <v>BCP</v>
          </cell>
          <cell r="J2260" t="str">
            <v>19103048711005</v>
          </cell>
          <cell r="K2260" t="str">
            <v>CE</v>
          </cell>
          <cell r="L2260">
            <v>15613433896</v>
          </cell>
          <cell r="M2260" t="str">
            <v>MEMBRESÍA URBANO</v>
          </cell>
          <cell r="N2260">
            <v>45615.083333333336</v>
          </cell>
          <cell r="O2260">
            <v>280</v>
          </cell>
          <cell r="P2260" t="str">
            <v>LITE</v>
          </cell>
        </row>
        <row r="2261">
          <cell r="A2261">
            <v>9884</v>
          </cell>
          <cell r="B2261">
            <v>9884</v>
          </cell>
          <cell r="C2261" t="str">
            <v>CERO MATRICULA</v>
          </cell>
          <cell r="D2261" t="str">
            <v>ACTIVO</v>
          </cell>
          <cell r="E2261" t="str">
            <v>Bwq148</v>
          </cell>
          <cell r="F2261" t="str">
            <v>Quispe Huiza Patrick Glicerio</v>
          </cell>
          <cell r="G2261" t="str">
            <v>QUISPE HUIZA PATRICK GLICERIO</v>
          </cell>
          <cell r="H2261" t="str">
            <v>76989211</v>
          </cell>
          <cell r="I2261" t="str">
            <v>BCP</v>
          </cell>
          <cell r="J2261" t="str">
            <v>19104994972024</v>
          </cell>
          <cell r="K2261" t="str">
            <v>DNI</v>
          </cell>
          <cell r="L2261">
            <v>10769892112</v>
          </cell>
          <cell r="M2261" t="str">
            <v>URBANO</v>
          </cell>
          <cell r="N2261">
            <v>45618</v>
          </cell>
          <cell r="O2261">
            <v>0</v>
          </cell>
          <cell r="P2261" t="str">
            <v>COMFORT</v>
          </cell>
        </row>
        <row r="2262">
          <cell r="A2262">
            <v>9865</v>
          </cell>
          <cell r="B2262">
            <v>9865</v>
          </cell>
          <cell r="C2262" t="str">
            <v>CERO MATRICULA</v>
          </cell>
          <cell r="D2262" t="str">
            <v>ACTIVO</v>
          </cell>
          <cell r="E2262" t="str">
            <v>CNM 323</v>
          </cell>
          <cell r="F2262" t="str">
            <v>Espinoza Castro Edwin maynardo</v>
          </cell>
          <cell r="G2262" t="str">
            <v>ESPINOZA CASTRO EDWIN MAYNARDO</v>
          </cell>
          <cell r="H2262" t="str">
            <v>41723016</v>
          </cell>
          <cell r="I2262" t="str">
            <v>BCP</v>
          </cell>
          <cell r="J2262" t="str">
            <v>19192539374012</v>
          </cell>
          <cell r="K2262" t="str">
            <v>DNI</v>
          </cell>
          <cell r="L2262">
            <v>10417230161</v>
          </cell>
          <cell r="M2262" t="str">
            <v>AEROPUERTO</v>
          </cell>
          <cell r="N2262">
            <v>45615.416666666664</v>
          </cell>
          <cell r="O2262">
            <v>265</v>
          </cell>
          <cell r="P2262" t="str">
            <v>LITE</v>
          </cell>
        </row>
        <row r="2263">
          <cell r="A2263">
            <v>9874</v>
          </cell>
          <cell r="B2263">
            <v>9874</v>
          </cell>
          <cell r="C2263" t="str">
            <v>CERO MATRICULA</v>
          </cell>
          <cell r="D2263" t="str">
            <v>ACTIVO</v>
          </cell>
          <cell r="E2263" t="str">
            <v>CNI127</v>
          </cell>
          <cell r="F2263" t="str">
            <v>Villanueva Quino Joul Anthony Felipe</v>
          </cell>
          <cell r="G2263" t="str">
            <v>HERRERA NARCISO ANDREA DEL PILAR</v>
          </cell>
          <cell r="H2263" t="str">
            <v>70785080</v>
          </cell>
          <cell r="I2263" t="str">
            <v>BCP</v>
          </cell>
          <cell r="J2263" t="str">
            <v>19399469384022</v>
          </cell>
          <cell r="K2263" t="str">
            <v>DNI</v>
          </cell>
          <cell r="L2263">
            <v>10463292014</v>
          </cell>
          <cell r="M2263" t="str">
            <v>AEROLINEAS</v>
          </cell>
          <cell r="N2263">
            <v>45624.125</v>
          </cell>
          <cell r="O2263">
            <v>0</v>
          </cell>
          <cell r="P2263" t="str">
            <v>COMFORT XL</v>
          </cell>
        </row>
        <row r="2264">
          <cell r="A2264">
            <v>9892</v>
          </cell>
          <cell r="B2264">
            <v>9892</v>
          </cell>
          <cell r="C2264" t="str">
            <v>CERO MATRICULA</v>
          </cell>
          <cell r="D2264" t="str">
            <v>ACTIVO</v>
          </cell>
          <cell r="E2264" t="str">
            <v>Cfi042</v>
          </cell>
          <cell r="F2264" t="str">
            <v>Gonzalez Sandoval Jogrehymer swindell alberto</v>
          </cell>
          <cell r="G2264" t="str">
            <v>GONZALEZ SANDOVAL JOGREHYMER SWINDELL ALBERTO</v>
          </cell>
          <cell r="H2264" t="str">
            <v>004094333</v>
          </cell>
          <cell r="I2264" t="str">
            <v>BBVA</v>
          </cell>
          <cell r="J2264" t="str">
            <v>001103420200499565</v>
          </cell>
          <cell r="K2264" t="str">
            <v>CE</v>
          </cell>
          <cell r="L2264">
            <v>15608263630</v>
          </cell>
          <cell r="M2264" t="str">
            <v>AEROLINEAS</v>
          </cell>
          <cell r="N2264">
            <v>45622.416666666664</v>
          </cell>
          <cell r="O2264">
            <v>0</v>
          </cell>
          <cell r="P2264" t="str">
            <v>COMFORT XL</v>
          </cell>
        </row>
        <row r="2265">
          <cell r="A2265">
            <v>9894</v>
          </cell>
          <cell r="B2265">
            <v>9894</v>
          </cell>
          <cell r="C2265" t="str">
            <v>CERO MATRICULA</v>
          </cell>
          <cell r="D2265" t="str">
            <v>ACTIVO</v>
          </cell>
          <cell r="E2265" t="str">
            <v>BWS544</v>
          </cell>
          <cell r="F2265" t="str">
            <v>Vasquez Tapia Cesar Luis</v>
          </cell>
          <cell r="G2265" t="str">
            <v>VASQUEZ TAPIA CESAR LUIS</v>
          </cell>
          <cell r="H2265" t="str">
            <v>43588055</v>
          </cell>
          <cell r="I2265" t="str">
            <v>INTERBANK</v>
          </cell>
          <cell r="J2265" t="str">
            <v>8983313975950</v>
          </cell>
          <cell r="K2265" t="str">
            <v>DNI</v>
          </cell>
          <cell r="L2265">
            <v>10435880555</v>
          </cell>
          <cell r="M2265" t="str">
            <v>URBANO PARTNER</v>
          </cell>
          <cell r="N2265">
            <v>45622.083333333336</v>
          </cell>
          <cell r="O2265">
            <v>0</v>
          </cell>
          <cell r="P2265" t="str">
            <v>COMFORT XL</v>
          </cell>
        </row>
        <row r="2266">
          <cell r="A2266">
            <v>9895</v>
          </cell>
          <cell r="B2266">
            <v>9895</v>
          </cell>
          <cell r="C2266" t="str">
            <v>CERO MATRICULA</v>
          </cell>
          <cell r="D2266" t="str">
            <v>ACTIVO</v>
          </cell>
          <cell r="E2266" t="str">
            <v>AKP115</v>
          </cell>
          <cell r="F2266" t="str">
            <v>Chavez Flores Josue</v>
          </cell>
          <cell r="G2266" t="str">
            <v>CHAVEZ FLORES JOSUE</v>
          </cell>
          <cell r="H2266" t="str">
            <v>70074928</v>
          </cell>
          <cell r="I2266" t="str">
            <v>BCP</v>
          </cell>
          <cell r="J2266" t="str">
            <v>19199121156078</v>
          </cell>
          <cell r="K2266" t="str">
            <v>DNI</v>
          </cell>
          <cell r="L2266">
            <v>10700749288</v>
          </cell>
          <cell r="M2266" t="str">
            <v>URBANO</v>
          </cell>
          <cell r="N2266">
            <v>45624.416666666664</v>
          </cell>
          <cell r="O2266">
            <v>0</v>
          </cell>
          <cell r="P2266" t="str">
            <v>LITE</v>
          </cell>
        </row>
        <row r="2267">
          <cell r="A2267">
            <v>9896</v>
          </cell>
          <cell r="B2267">
            <v>9896</v>
          </cell>
          <cell r="C2267" t="str">
            <v>CERO MATRICULA</v>
          </cell>
          <cell r="D2267" t="str">
            <v>ACTIVO</v>
          </cell>
          <cell r="E2267" t="str">
            <v>CPA464</v>
          </cell>
          <cell r="F2267" t="str">
            <v>Arguelles Roquez Williams José</v>
          </cell>
          <cell r="G2267" t="str">
            <v>ARGUELLES ROQUEZ WILLIAMS JOSE</v>
          </cell>
          <cell r="H2267" t="str">
            <v>003230165</v>
          </cell>
          <cell r="I2267" t="str">
            <v>INTERBANK</v>
          </cell>
          <cell r="J2267" t="str">
            <v>7443143304069</v>
          </cell>
          <cell r="K2267" t="str">
            <v>CE</v>
          </cell>
          <cell r="L2267">
            <v>15605495360</v>
          </cell>
          <cell r="M2267" t="str">
            <v>URBANO</v>
          </cell>
          <cell r="N2267">
            <v>45622.083333333336</v>
          </cell>
          <cell r="O2267">
            <v>0</v>
          </cell>
          <cell r="P2267" t="str">
            <v>COMFORT</v>
          </cell>
        </row>
        <row r="2268">
          <cell r="A2268">
            <v>9897</v>
          </cell>
          <cell r="B2268">
            <v>9897</v>
          </cell>
          <cell r="C2268" t="str">
            <v>CERO MATRICULA</v>
          </cell>
          <cell r="D2268" t="str">
            <v>ACTIVO</v>
          </cell>
          <cell r="E2268" t="str">
            <v>ASA176</v>
          </cell>
          <cell r="F2268" t="str">
            <v>Mendoza TORRES Carlos Alberto</v>
          </cell>
          <cell r="G2268"/>
          <cell r="H2268"/>
          <cell r="I2268"/>
          <cell r="J2268"/>
          <cell r="K2268"/>
          <cell r="L2268" t="str">
            <v>PENDIENTE</v>
          </cell>
          <cell r="M2268" t="str">
            <v>URBANO</v>
          </cell>
          <cell r="N2268">
            <v>45624.416666666664</v>
          </cell>
          <cell r="O2268">
            <v>0</v>
          </cell>
          <cell r="P2268" t="str">
            <v>COMFORT</v>
          </cell>
        </row>
        <row r="2269">
          <cell r="A2269">
            <v>9898</v>
          </cell>
          <cell r="B2269">
            <v>9898</v>
          </cell>
          <cell r="C2269" t="str">
            <v>CERO MATRICULA</v>
          </cell>
          <cell r="D2269" t="str">
            <v>ACTIVO</v>
          </cell>
          <cell r="E2269" t="str">
            <v>BLO120</v>
          </cell>
          <cell r="F2269" t="str">
            <v>Briceño Pazos Alexander Martin</v>
          </cell>
          <cell r="G2269" t="str">
            <v>BRICEÑO PAZOS ALEXANDER MARTIN</v>
          </cell>
          <cell r="H2269" t="str">
            <v>70841282</v>
          </cell>
          <cell r="I2269" t="str">
            <v>BCP</v>
          </cell>
          <cell r="J2269" t="str">
            <v>19274061934033</v>
          </cell>
          <cell r="K2269" t="str">
            <v>DNI</v>
          </cell>
          <cell r="L2269">
            <v>10708412827</v>
          </cell>
          <cell r="M2269" t="str">
            <v>URBANO</v>
          </cell>
          <cell r="N2269">
            <v>45622.083333333336</v>
          </cell>
          <cell r="O2269">
            <v>0</v>
          </cell>
          <cell r="P2269" t="str">
            <v>LITE</v>
          </cell>
        </row>
        <row r="2270">
          <cell r="A2270">
            <v>9899</v>
          </cell>
          <cell r="B2270">
            <v>9899</v>
          </cell>
          <cell r="C2270" t="str">
            <v>CERO MATRICULA</v>
          </cell>
          <cell r="D2270" t="str">
            <v>ACTIVO</v>
          </cell>
          <cell r="E2270" t="str">
            <v>CNY079</v>
          </cell>
          <cell r="F2270" t="str">
            <v>Choque Sifuentes Hector Luis</v>
          </cell>
          <cell r="G2270" t="str">
            <v>CHOQUE SIFUENTES HECTOR LUIS</v>
          </cell>
          <cell r="H2270" t="str">
            <v>48790761</v>
          </cell>
          <cell r="I2270" t="str">
            <v>INTERBANK</v>
          </cell>
          <cell r="J2270" t="str">
            <v>2893083065684</v>
          </cell>
          <cell r="K2270" t="str">
            <v>DNI</v>
          </cell>
          <cell r="L2270">
            <v>10487907613</v>
          </cell>
          <cell r="M2270" t="str">
            <v>URBANO PARTNER</v>
          </cell>
          <cell r="N2270">
            <v>45622.083333333336</v>
          </cell>
          <cell r="O2270">
            <v>0</v>
          </cell>
          <cell r="P2270" t="str">
            <v>XL</v>
          </cell>
        </row>
        <row r="2271">
          <cell r="A2271">
            <v>9900</v>
          </cell>
          <cell r="B2271">
            <v>9900</v>
          </cell>
          <cell r="C2271" t="str">
            <v>CERO MATRICULA</v>
          </cell>
          <cell r="D2271" t="str">
            <v>ACTIVO</v>
          </cell>
          <cell r="E2271" t="str">
            <v>BZP590</v>
          </cell>
          <cell r="F2271" t="str">
            <v>Fernandez Sulca FABRIZIO MICHEL</v>
          </cell>
          <cell r="G2271" t="str">
            <v>FERNANDEZ SULCA FABRIZIO MICHEL</v>
          </cell>
          <cell r="H2271" t="str">
            <v>70251736</v>
          </cell>
          <cell r="I2271" t="str">
            <v>BCP</v>
          </cell>
          <cell r="J2271" t="str">
            <v>19136531534038</v>
          </cell>
          <cell r="K2271" t="str">
            <v>DNI</v>
          </cell>
          <cell r="L2271">
            <v>10702517368</v>
          </cell>
          <cell r="M2271" t="str">
            <v>URBANO</v>
          </cell>
          <cell r="N2271">
            <v>45622.083333333336</v>
          </cell>
          <cell r="O2271">
            <v>0</v>
          </cell>
          <cell r="P2271" t="str">
            <v>COMFORT XL</v>
          </cell>
        </row>
        <row r="2272">
          <cell r="A2272">
            <v>9903</v>
          </cell>
          <cell r="B2272">
            <v>9903</v>
          </cell>
          <cell r="C2272" t="str">
            <v>CERO MATRICULA</v>
          </cell>
          <cell r="D2272" t="str">
            <v>ACTIVO</v>
          </cell>
          <cell r="E2272" t="str">
            <v>CMQ042</v>
          </cell>
          <cell r="F2272" t="str">
            <v xml:space="preserve">Rodríguez Reátegui Karina Vanessa </v>
          </cell>
          <cell r="G2272" t="str">
            <v>RODRIGUEZ REATEGUI KARINA VANESSA</v>
          </cell>
          <cell r="H2272" t="str">
            <v>09850673</v>
          </cell>
          <cell r="I2272" t="str">
            <v>BBVA</v>
          </cell>
          <cell r="J2272" t="str">
            <v>001108140250850676</v>
          </cell>
          <cell r="K2272" t="str">
            <v>DNI</v>
          </cell>
          <cell r="L2272">
            <v>10098506735</v>
          </cell>
          <cell r="M2272" t="str">
            <v>URBANO</v>
          </cell>
          <cell r="N2272">
            <v>45624.416666666664</v>
          </cell>
          <cell r="O2272">
            <v>0</v>
          </cell>
          <cell r="P2272" t="str">
            <v>COMFORT</v>
          </cell>
        </row>
        <row r="2273">
          <cell r="A2273">
            <v>9904</v>
          </cell>
          <cell r="B2273">
            <v>9904</v>
          </cell>
          <cell r="C2273" t="str">
            <v>CERO MATRICULA</v>
          </cell>
          <cell r="D2273" t="str">
            <v>ACTIVO</v>
          </cell>
          <cell r="E2273" t="str">
            <v>CEF139</v>
          </cell>
          <cell r="F2273" t="str">
            <v>Espinoza Sani Ruben</v>
          </cell>
          <cell r="G2273" t="str">
            <v>Espinoza Sani Ruben</v>
          </cell>
          <cell r="H2273" t="str">
            <v>42601726</v>
          </cell>
          <cell r="I2273" t="str">
            <v>BANCO FALABELLA</v>
          </cell>
          <cell r="J2273" t="str">
            <v>05488882888320980000</v>
          </cell>
          <cell r="K2273" t="str">
            <v>DNI</v>
          </cell>
          <cell r="L2273">
            <v>10426017267</v>
          </cell>
          <cell r="M2273" t="str">
            <v>URBANO</v>
          </cell>
          <cell r="N2273">
            <v>45624.416666666664</v>
          </cell>
          <cell r="O2273">
            <v>0</v>
          </cell>
          <cell r="P2273" t="str">
            <v>LITE</v>
          </cell>
        </row>
        <row r="2274">
          <cell r="A2274">
            <v>9905</v>
          </cell>
          <cell r="B2274">
            <v>9905</v>
          </cell>
          <cell r="C2274" t="str">
            <v>CERO MATRICULA</v>
          </cell>
          <cell r="D2274" t="str">
            <v>ACTIVO</v>
          </cell>
          <cell r="E2274" t="str">
            <v>CNS609</v>
          </cell>
          <cell r="F2274" t="str">
            <v xml:space="preserve">Medina Bejarano Ovidio Ricardo </v>
          </cell>
          <cell r="G2274" t="str">
            <v>MEDINA BEJARANO OVIDIO RICARDO</v>
          </cell>
          <cell r="H2274" t="str">
            <v>20081583</v>
          </cell>
          <cell r="I2274" t="str">
            <v>INTERBANK</v>
          </cell>
          <cell r="J2274" t="str">
            <v>8983185417222</v>
          </cell>
          <cell r="K2274" t="str">
            <v>DNI</v>
          </cell>
          <cell r="L2274">
            <v>10200815837</v>
          </cell>
          <cell r="M2274" t="str">
            <v>AEROLINEAS</v>
          </cell>
          <cell r="N2274">
            <v>45624.125</v>
          </cell>
          <cell r="O2274">
            <v>0</v>
          </cell>
          <cell r="P2274" t="str">
            <v>COMFORT XL</v>
          </cell>
        </row>
        <row r="2275">
          <cell r="A2275">
            <v>9908</v>
          </cell>
          <cell r="B2275">
            <v>9908</v>
          </cell>
          <cell r="C2275" t="str">
            <v>CERO MATRICULA</v>
          </cell>
          <cell r="D2275" t="str">
            <v>ACTIVO</v>
          </cell>
          <cell r="E2275" t="str">
            <v>CNX456</v>
          </cell>
          <cell r="F2275" t="str">
            <v>Junco Navarro Rony Giovanni</v>
          </cell>
          <cell r="G2275" t="str">
            <v>JUNCO NAVARRO RONY GIOVANNI</v>
          </cell>
          <cell r="H2275" t="str">
            <v>42880761</v>
          </cell>
          <cell r="I2275" t="str">
            <v>INTERBANK</v>
          </cell>
          <cell r="J2275" t="str">
            <v>8983238296112</v>
          </cell>
          <cell r="K2275" t="str">
            <v>DNI</v>
          </cell>
          <cell r="L2275">
            <v>10428807613</v>
          </cell>
          <cell r="M2275" t="str">
            <v>URBANO</v>
          </cell>
          <cell r="N2275">
            <v>45624.416666666664</v>
          </cell>
          <cell r="O2275">
            <v>0</v>
          </cell>
          <cell r="P2275" t="str">
            <v>COMFORT XL</v>
          </cell>
        </row>
        <row r="2276">
          <cell r="A2276">
            <v>9891</v>
          </cell>
          <cell r="B2276">
            <v>9891</v>
          </cell>
          <cell r="C2276" t="str">
            <v>CERO MATRICULA</v>
          </cell>
          <cell r="D2276" t="str">
            <v>ACTIVO</v>
          </cell>
          <cell r="E2276" t="str">
            <v>CND019</v>
          </cell>
          <cell r="F2276" t="str">
            <v>Centeno Cabezas Jhenry Luis</v>
          </cell>
          <cell r="G2276" t="str">
            <v>CENTENO CABEZAS JHENRY LUIS</v>
          </cell>
          <cell r="H2276" t="str">
            <v>44725288</v>
          </cell>
          <cell r="I2276" t="str">
            <v>BCP</v>
          </cell>
          <cell r="J2276" t="str">
            <v>19335521227026</v>
          </cell>
          <cell r="K2276" t="str">
            <v>DNI</v>
          </cell>
          <cell r="L2276">
            <v>10447252886</v>
          </cell>
          <cell r="M2276" t="str">
            <v>AEROPUERTO</v>
          </cell>
          <cell r="N2276">
            <v>45624.416666666664</v>
          </cell>
          <cell r="O2276">
            <v>240</v>
          </cell>
          <cell r="P2276" t="str">
            <v>XL</v>
          </cell>
        </row>
        <row r="2277">
          <cell r="A2277">
            <v>9901</v>
          </cell>
          <cell r="B2277">
            <v>9901</v>
          </cell>
          <cell r="C2277" t="str">
            <v>CERO MATRICULA</v>
          </cell>
          <cell r="D2277" t="str">
            <v>ACTIVO</v>
          </cell>
          <cell r="E2277" t="str">
            <v>CMO157</v>
          </cell>
          <cell r="F2277" t="str">
            <v>De Paula Ponciano Thiago Jose</v>
          </cell>
          <cell r="G2277" t="str">
            <v>PONCIANO DE PAULA THIAGO JOSE</v>
          </cell>
          <cell r="H2277" t="str">
            <v>001536866</v>
          </cell>
          <cell r="I2277" t="str">
            <v>BCP</v>
          </cell>
          <cell r="J2277" t="str">
            <v>19298377504014</v>
          </cell>
          <cell r="K2277" t="str">
            <v>CE</v>
          </cell>
          <cell r="L2277">
            <v>15602087171</v>
          </cell>
          <cell r="M2277" t="str">
            <v>URBANO</v>
          </cell>
          <cell r="N2277">
            <v>45629.083333333336</v>
          </cell>
          <cell r="O2277">
            <v>0</v>
          </cell>
          <cell r="P2277" t="str">
            <v>COMFORT XL</v>
          </cell>
        </row>
        <row r="2278">
          <cell r="A2278">
            <v>9907</v>
          </cell>
          <cell r="B2278">
            <v>9907</v>
          </cell>
          <cell r="C2278" t="str">
            <v>CERO MATRICULA</v>
          </cell>
          <cell r="D2278" t="str">
            <v>ACTIVO</v>
          </cell>
          <cell r="E2278" t="str">
            <v>ALY560</v>
          </cell>
          <cell r="F2278" t="str">
            <v>Maiz Aquino Diosmar</v>
          </cell>
          <cell r="G2278" t="str">
            <v xml:space="preserve"> MAIZ AQUINO DIOSMAR</v>
          </cell>
          <cell r="H2278">
            <v>46501910</v>
          </cell>
          <cell r="I2278" t="str">
            <v>BCP</v>
          </cell>
          <cell r="J2278" t="str">
            <v>36503766735029</v>
          </cell>
          <cell r="K2278" t="str">
            <v>DNI</v>
          </cell>
          <cell r="L2278">
            <v>10465019102</v>
          </cell>
          <cell r="M2278" t="str">
            <v>AEROLINEAS</v>
          </cell>
          <cell r="N2278">
            <v>45624.416666666664</v>
          </cell>
          <cell r="O2278">
            <v>0</v>
          </cell>
          <cell r="P2278" t="str">
            <v>COMFORT</v>
          </cell>
        </row>
        <row r="2279">
          <cell r="A2279">
            <v>9911</v>
          </cell>
          <cell r="B2279">
            <v>9911</v>
          </cell>
          <cell r="C2279" t="str">
            <v>CERO MATRICULA</v>
          </cell>
          <cell r="D2279" t="str">
            <v>ACTIVO</v>
          </cell>
          <cell r="E2279" t="str">
            <v>CNM069</v>
          </cell>
          <cell r="F2279" t="str">
            <v>FARROÑAI LUJAN RAUL</v>
          </cell>
          <cell r="G2279" t="str">
            <v>FARROÑAI LUJAN RAUL</v>
          </cell>
          <cell r="H2279" t="str">
            <v>41524506</v>
          </cell>
          <cell r="I2279" t="str">
            <v>BCP</v>
          </cell>
          <cell r="J2279" t="str">
            <v>19291617576003</v>
          </cell>
          <cell r="K2279" t="str">
            <v>DNI</v>
          </cell>
          <cell r="L2279">
            <v>10415245063</v>
          </cell>
          <cell r="M2279" t="str">
            <v>URBANO</v>
          </cell>
          <cell r="N2279">
            <v>45629.083333333336</v>
          </cell>
          <cell r="O2279">
            <v>0</v>
          </cell>
          <cell r="P2279" t="str">
            <v>LITE</v>
          </cell>
        </row>
        <row r="2280">
          <cell r="A2280">
            <v>9912</v>
          </cell>
          <cell r="B2280">
            <v>9912</v>
          </cell>
          <cell r="C2280" t="str">
            <v>CERO MATRICULA</v>
          </cell>
          <cell r="D2280" t="str">
            <v>ACTIVO</v>
          </cell>
          <cell r="E2280" t="str">
            <v>BSR038</v>
          </cell>
          <cell r="F2280" t="str">
            <v>ROBLES ULLOA VICTOR YONATHAN</v>
          </cell>
          <cell r="G2280" t="str">
            <v>ROBLES ULLOA VICTOR YONATHAN</v>
          </cell>
          <cell r="H2280" t="str">
            <v>73316662</v>
          </cell>
          <cell r="I2280" t="str">
            <v>BCP</v>
          </cell>
          <cell r="J2280" t="str">
            <v>19205749971049</v>
          </cell>
          <cell r="K2280" t="str">
            <v>DNI</v>
          </cell>
          <cell r="L2280">
            <v>10733166628</v>
          </cell>
          <cell r="M2280" t="str">
            <v>URBANO</v>
          </cell>
          <cell r="N2280">
            <v>45629.083333333336</v>
          </cell>
          <cell r="O2280">
            <v>0</v>
          </cell>
          <cell r="P2280" t="str">
            <v>LITE</v>
          </cell>
        </row>
        <row r="2281">
          <cell r="A2281">
            <v>9913</v>
          </cell>
          <cell r="B2281">
            <v>9913</v>
          </cell>
          <cell r="C2281" t="str">
            <v>CERO MATRICULA</v>
          </cell>
          <cell r="D2281" t="str">
            <v>ACTIVO</v>
          </cell>
          <cell r="E2281" t="str">
            <v>ASW016</v>
          </cell>
          <cell r="F2281" t="str">
            <v>Basto Santiago Luz Haidee</v>
          </cell>
          <cell r="G2281" t="str">
            <v>BASTO SANTIAGO LUZ HAIDEE</v>
          </cell>
          <cell r="H2281" t="str">
            <v>002023628</v>
          </cell>
          <cell r="I2281" t="str">
            <v>BCP</v>
          </cell>
          <cell r="J2281" t="str">
            <v>19171818601039</v>
          </cell>
          <cell r="K2281" t="str">
            <v>CE</v>
          </cell>
          <cell r="L2281">
            <v>15603571093</v>
          </cell>
          <cell r="M2281" t="str">
            <v>URBANO</v>
          </cell>
          <cell r="N2281">
            <v>45629.083333333336</v>
          </cell>
          <cell r="O2281">
            <v>0</v>
          </cell>
          <cell r="P2281" t="str">
            <v>LITE</v>
          </cell>
        </row>
        <row r="2282">
          <cell r="A2282">
            <v>9914</v>
          </cell>
          <cell r="B2282">
            <v>9914</v>
          </cell>
          <cell r="C2282" t="str">
            <v>CERO MATRICULA</v>
          </cell>
          <cell r="D2282" t="str">
            <v>ACTIVO</v>
          </cell>
          <cell r="E2282" t="str">
            <v>CMC219</v>
          </cell>
          <cell r="F2282" t="str">
            <v>Benitez García Gabriela Adela</v>
          </cell>
          <cell r="G2282" t="str">
            <v>BENITEZ GARCIA GABRIELA ADELA</v>
          </cell>
          <cell r="H2282" t="str">
            <v>07867651</v>
          </cell>
          <cell r="I2282" t="str">
            <v>BCP</v>
          </cell>
          <cell r="J2282" t="str">
            <v>19195591708079</v>
          </cell>
          <cell r="K2282" t="str">
            <v>DNI</v>
          </cell>
          <cell r="L2282">
            <v>10078676511</v>
          </cell>
          <cell r="M2282" t="str">
            <v>URBANO</v>
          </cell>
          <cell r="N2282">
            <v>45629.083333333336</v>
          </cell>
          <cell r="O2282">
            <v>0</v>
          </cell>
          <cell r="P2282" t="str">
            <v>COMFORT XL</v>
          </cell>
        </row>
        <row r="2283">
          <cell r="A2283">
            <v>9915</v>
          </cell>
          <cell r="B2283">
            <v>9915</v>
          </cell>
          <cell r="C2283" t="str">
            <v>CERO MATRICULA</v>
          </cell>
          <cell r="D2283" t="str">
            <v>ACTIVO</v>
          </cell>
          <cell r="E2283" t="str">
            <v>CES534</v>
          </cell>
          <cell r="F2283" t="str">
            <v xml:space="preserve">Narro Paucar Alvaro </v>
          </cell>
          <cell r="G2283" t="str">
            <v>ARTEAGA SANCHEZ JAVIER DACIO</v>
          </cell>
          <cell r="H2283" t="str">
            <v>08594577</v>
          </cell>
          <cell r="I2283" t="str">
            <v>BCP</v>
          </cell>
          <cell r="J2283" t="str">
            <v>19190676060077</v>
          </cell>
          <cell r="K2283" t="str">
            <v>DNI</v>
          </cell>
          <cell r="L2283">
            <v>10085945772</v>
          </cell>
          <cell r="M2283" t="str">
            <v>URBANO</v>
          </cell>
          <cell r="N2283">
            <v>45629.083333333336</v>
          </cell>
          <cell r="O2283">
            <v>0</v>
          </cell>
          <cell r="P2283" t="str">
            <v>LITE</v>
          </cell>
        </row>
        <row r="2284">
          <cell r="A2284">
            <v>9916</v>
          </cell>
          <cell r="B2284">
            <v>9916</v>
          </cell>
          <cell r="C2284" t="str">
            <v>CERO MATRICULA</v>
          </cell>
          <cell r="D2284" t="str">
            <v>ACTIVO</v>
          </cell>
          <cell r="E2284" t="str">
            <v>CEV363</v>
          </cell>
          <cell r="F2284" t="str">
            <v>Chapoñan Montero Jairo Junior</v>
          </cell>
          <cell r="G2284" t="str">
            <v>CHAPOÑAN MONTERO JAIRO JUNIOR</v>
          </cell>
          <cell r="H2284" t="str">
            <v>70590416</v>
          </cell>
          <cell r="I2284" t="str">
            <v>INTERBANK</v>
          </cell>
          <cell r="J2284" t="str">
            <v>2933158709538</v>
          </cell>
          <cell r="K2284" t="str">
            <v>DNI</v>
          </cell>
          <cell r="L2284">
            <v>10705904168</v>
          </cell>
          <cell r="M2284" t="str">
            <v>URBANO</v>
          </cell>
          <cell r="N2284">
            <v>45629</v>
          </cell>
          <cell r="O2284">
            <v>0</v>
          </cell>
          <cell r="P2284" t="str">
            <v>LITE</v>
          </cell>
        </row>
        <row r="2285">
          <cell r="A2285">
            <v>9917</v>
          </cell>
          <cell r="B2285">
            <v>9917</v>
          </cell>
          <cell r="C2285" t="str">
            <v>CERO MATRICULA</v>
          </cell>
          <cell r="D2285" t="str">
            <v>ACTIVO</v>
          </cell>
          <cell r="E2285" t="str">
            <v>Z7V100</v>
          </cell>
          <cell r="F2285" t="str">
            <v>Foronda Bustamante Wilman Adolfo</v>
          </cell>
          <cell r="G2285" t="str">
            <v>GONZALES HERNANDEZ FLORMIRA</v>
          </cell>
          <cell r="H2285" t="str">
            <v>10559386</v>
          </cell>
          <cell r="I2285" t="str">
            <v>BCP</v>
          </cell>
          <cell r="J2285" t="str">
            <v>19202322671031</v>
          </cell>
          <cell r="K2285" t="str">
            <v>DNI</v>
          </cell>
          <cell r="L2285">
            <v>10105593860</v>
          </cell>
          <cell r="M2285" t="str">
            <v>URBANO</v>
          </cell>
          <cell r="N2285">
            <v>45629.083333333336</v>
          </cell>
          <cell r="O2285">
            <v>0</v>
          </cell>
          <cell r="P2285" t="str">
            <v>LITE</v>
          </cell>
        </row>
        <row r="2286">
          <cell r="A2286">
            <v>9919</v>
          </cell>
          <cell r="B2286">
            <v>9919</v>
          </cell>
          <cell r="C2286" t="str">
            <v>CERO MATRICULA</v>
          </cell>
          <cell r="D2286" t="str">
            <v>ACTIVO</v>
          </cell>
          <cell r="E2286" t="str">
            <v>AVM696</v>
          </cell>
          <cell r="F2286" t="str">
            <v>Otayza De la Cruz Alex</v>
          </cell>
          <cell r="G2286" t="str">
            <v>OTAYZA DE LA CRUZ ALEX</v>
          </cell>
          <cell r="H2286" t="str">
            <v>07450441</v>
          </cell>
          <cell r="I2286" t="str">
            <v>BCP</v>
          </cell>
          <cell r="J2286" t="str">
            <v>19335707964048</v>
          </cell>
          <cell r="K2286" t="str">
            <v>DNI</v>
          </cell>
          <cell r="L2286">
            <v>10074504413</v>
          </cell>
          <cell r="M2286" t="str">
            <v>AEROPUERTO</v>
          </cell>
          <cell r="N2286">
            <v>45629</v>
          </cell>
          <cell r="O2286">
            <v>265</v>
          </cell>
          <cell r="P2286" t="str">
            <v>LITE</v>
          </cell>
        </row>
        <row r="2287">
          <cell r="A2287">
            <v>9921</v>
          </cell>
          <cell r="B2287">
            <v>9921</v>
          </cell>
          <cell r="C2287" t="str">
            <v>CERO MATRICULA</v>
          </cell>
          <cell r="D2287" t="str">
            <v>ACTIVO</v>
          </cell>
          <cell r="E2287" t="str">
            <v>CNG668</v>
          </cell>
          <cell r="F2287" t="str">
            <v>SERRANO TAPIA SANTOS EUSEBIO</v>
          </cell>
          <cell r="G2287" t="str">
            <v>SERRANO TAPIA SANTOS EUSEBIO</v>
          </cell>
          <cell r="H2287" t="str">
            <v>10102161</v>
          </cell>
          <cell r="I2287" t="str">
            <v>BCP</v>
          </cell>
          <cell r="J2287" t="str">
            <v>19135898101006</v>
          </cell>
          <cell r="K2287" t="str">
            <v>DNI</v>
          </cell>
          <cell r="L2287">
            <v>10101021616</v>
          </cell>
          <cell r="M2287" t="str">
            <v>AEROPUERTO</v>
          </cell>
          <cell r="N2287">
            <v>45629.416666666664</v>
          </cell>
          <cell r="O2287">
            <v>235</v>
          </cell>
          <cell r="P2287" t="str">
            <v>COMFORT XL</v>
          </cell>
        </row>
        <row r="2288">
          <cell r="A2288">
            <v>9923</v>
          </cell>
          <cell r="B2288">
            <v>9923</v>
          </cell>
          <cell r="C2288" t="str">
            <v>CERO MATRICULA</v>
          </cell>
          <cell r="D2288" t="str">
            <v>ACTIVO</v>
          </cell>
          <cell r="E2288" t="str">
            <v>CHU406</v>
          </cell>
          <cell r="F2288" t="str">
            <v>Collado Cardenas Principe Jesus</v>
          </cell>
          <cell r="G2288" t="str">
            <v>RIOS ESPINOZA CYNDI SOLEDAD</v>
          </cell>
          <cell r="H2288" t="str">
            <v>47777170</v>
          </cell>
          <cell r="I2288" t="str">
            <v>BCP</v>
          </cell>
          <cell r="J2288" t="str">
            <v>19402933392020</v>
          </cell>
          <cell r="K2288" t="str">
            <v>DNI</v>
          </cell>
          <cell r="L2288">
            <v>10477771705</v>
          </cell>
          <cell r="M2288" t="str">
            <v>AEROLINEAS</v>
          </cell>
          <cell r="N2288">
            <v>45630.125</v>
          </cell>
          <cell r="O2288">
            <v>0</v>
          </cell>
          <cell r="P2288" t="str">
            <v>COMFORT XL</v>
          </cell>
        </row>
        <row r="2289">
          <cell r="A2289">
            <v>9924</v>
          </cell>
          <cell r="B2289">
            <v>9924</v>
          </cell>
          <cell r="C2289" t="str">
            <v>CERO MATRICULA</v>
          </cell>
          <cell r="D2289" t="str">
            <v>ACTIVO</v>
          </cell>
          <cell r="E2289" t="str">
            <v>CFW274</v>
          </cell>
          <cell r="F2289" t="str">
            <v>Sanchez Ruiz Gerson</v>
          </cell>
          <cell r="G2289" t="str">
            <v>SANCHEZ RUIZ GERSON FARID</v>
          </cell>
          <cell r="H2289" t="str">
            <v>76141996</v>
          </cell>
          <cell r="I2289" t="str">
            <v>BCP</v>
          </cell>
          <cell r="J2289" t="str">
            <v>19103536824048</v>
          </cell>
          <cell r="K2289" t="str">
            <v>DNI</v>
          </cell>
          <cell r="L2289">
            <v>10761419965</v>
          </cell>
          <cell r="M2289" t="str">
            <v>AEROLINEAS</v>
          </cell>
          <cell r="N2289">
            <v>45630.125</v>
          </cell>
          <cell r="O2289">
            <v>0</v>
          </cell>
          <cell r="P2289" t="str">
            <v>COMFORT XL</v>
          </cell>
        </row>
        <row r="2290">
          <cell r="A2290">
            <v>9925</v>
          </cell>
          <cell r="B2290">
            <v>9925</v>
          </cell>
          <cell r="C2290" t="str">
            <v>CERO MATRICULA</v>
          </cell>
          <cell r="D2290" t="str">
            <v>ACTIVO</v>
          </cell>
          <cell r="E2290" t="str">
            <v>CDU581</v>
          </cell>
          <cell r="F2290" t="str">
            <v>LAZO GASTELLO JULIO ALBERTO</v>
          </cell>
          <cell r="G2290" t="str">
            <v>LAZO GASTELLO JULIO ALBERTO</v>
          </cell>
          <cell r="H2290" t="str">
            <v>46714385</v>
          </cell>
          <cell r="I2290" t="str">
            <v>INTERBANK</v>
          </cell>
          <cell r="J2290" t="str">
            <v>8213254392099</v>
          </cell>
          <cell r="K2290" t="str">
            <v>DNI</v>
          </cell>
          <cell r="L2290">
            <v>10467143854</v>
          </cell>
          <cell r="M2290" t="str">
            <v>AEROLINEAS</v>
          </cell>
          <cell r="N2290">
            <v>45630.125</v>
          </cell>
          <cell r="O2290">
            <v>0</v>
          </cell>
          <cell r="P2290" t="str">
            <v>COMFORT</v>
          </cell>
        </row>
        <row r="2291">
          <cell r="A2291">
            <v>1580</v>
          </cell>
          <cell r="B2291">
            <v>1580</v>
          </cell>
          <cell r="C2291" t="str">
            <v>CERO MATRICULA</v>
          </cell>
          <cell r="D2291" t="str">
            <v>ACTIVO</v>
          </cell>
          <cell r="E2291" t="str">
            <v>CBW194</v>
          </cell>
          <cell r="F2291" t="str">
            <v>López Muedas Miguel Angel</v>
          </cell>
          <cell r="G2291" t="str">
            <v>LOPEZ MUEDAS MIGUEL ANGEL</v>
          </cell>
          <cell r="H2291" t="str">
            <v>10766288</v>
          </cell>
          <cell r="I2291" t="str">
            <v>BCP</v>
          </cell>
          <cell r="J2291" t="str">
            <v>19196287421019</v>
          </cell>
          <cell r="K2291" t="str">
            <v>DNI</v>
          </cell>
          <cell r="L2291">
            <v>10107662885</v>
          </cell>
          <cell r="M2291" t="str">
            <v>URBANO</v>
          </cell>
          <cell r="N2291">
            <v>45635</v>
          </cell>
          <cell r="O2291">
            <v>0</v>
          </cell>
          <cell r="P2291" t="str">
            <v>XL</v>
          </cell>
        </row>
        <row r="2292">
          <cell r="A2292">
            <v>2924</v>
          </cell>
          <cell r="B2292">
            <v>2924</v>
          </cell>
          <cell r="C2292" t="str">
            <v>CERO MATRICULA</v>
          </cell>
          <cell r="D2292" t="str">
            <v>ACTIVO</v>
          </cell>
          <cell r="E2292" t="str">
            <v>CJH289</v>
          </cell>
          <cell r="F2292" t="str">
            <v>Quispe Villalobos Jorge olmedo</v>
          </cell>
          <cell r="G2292" t="str">
            <v>Quispe Villalobos Jorge olmedo</v>
          </cell>
          <cell r="H2292">
            <v>75261232</v>
          </cell>
          <cell r="I2292" t="str">
            <v>BCP</v>
          </cell>
          <cell r="J2292" t="str">
            <v>19291196641017</v>
          </cell>
          <cell r="K2292" t="str">
            <v>DNI</v>
          </cell>
          <cell r="L2292">
            <v>10752612329</v>
          </cell>
          <cell r="M2292" t="str">
            <v>URBANO</v>
          </cell>
          <cell r="N2292">
            <v>45635</v>
          </cell>
          <cell r="O2292">
            <v>0</v>
          </cell>
          <cell r="P2292" t="str">
            <v>COMFORT XL</v>
          </cell>
        </row>
        <row r="2293">
          <cell r="A2293">
            <v>3326</v>
          </cell>
          <cell r="B2293">
            <v>3326</v>
          </cell>
          <cell r="C2293" t="str">
            <v>CERO MATRICULA</v>
          </cell>
          <cell r="D2293" t="str">
            <v>ACTIVO</v>
          </cell>
          <cell r="E2293" t="str">
            <v>CCI534</v>
          </cell>
          <cell r="F2293" t="str">
            <v xml:space="preserve">GUTIERREZ PEREZ JUAN ANTONIO </v>
          </cell>
          <cell r="G2293" t="str">
            <v>GUTIERREZ PEREZ JUAN</v>
          </cell>
          <cell r="H2293" t="str">
            <v>45112062</v>
          </cell>
          <cell r="I2293" t="str">
            <v>INTERBANK</v>
          </cell>
          <cell r="J2293" t="str">
            <v>057-3127541091</v>
          </cell>
          <cell r="K2293" t="str">
            <v>DNI</v>
          </cell>
          <cell r="L2293">
            <v>10451120625</v>
          </cell>
          <cell r="M2293" t="str">
            <v>URBANO</v>
          </cell>
          <cell r="N2293">
            <v>45635</v>
          </cell>
          <cell r="O2293">
            <v>0</v>
          </cell>
          <cell r="P2293" t="str">
            <v>COMFORT XL</v>
          </cell>
        </row>
        <row r="2294">
          <cell r="A2294">
            <v>9163</v>
          </cell>
          <cell r="B2294">
            <v>9163</v>
          </cell>
          <cell r="C2294" t="str">
            <v>CERO MATRICULA</v>
          </cell>
          <cell r="D2294" t="str">
            <v>ACTIVO</v>
          </cell>
          <cell r="E2294" t="str">
            <v>Bvh174</v>
          </cell>
          <cell r="F2294" t="str">
            <v>Chipana Hoyos SERGIO JANN CARLO</v>
          </cell>
          <cell r="G2294" t="str">
            <v>Chipana Hoyos SERGIO JANN CARLO</v>
          </cell>
          <cell r="H2294">
            <v>46496552</v>
          </cell>
          <cell r="I2294" t="str">
            <v>INTERBANK</v>
          </cell>
          <cell r="J2294" t="str">
            <v>8983226584546</v>
          </cell>
          <cell r="K2294" t="str">
            <v>DNI</v>
          </cell>
          <cell r="L2294">
            <v>10464965527</v>
          </cell>
          <cell r="M2294" t="str">
            <v>URBANO PARTNER</v>
          </cell>
          <cell r="N2294">
            <v>45635</v>
          </cell>
          <cell r="O2294">
            <v>0</v>
          </cell>
          <cell r="P2294" t="str">
            <v>COMFORT</v>
          </cell>
        </row>
        <row r="2295">
          <cell r="A2295">
            <v>9722</v>
          </cell>
          <cell r="B2295">
            <v>9722</v>
          </cell>
          <cell r="C2295" t="str">
            <v>CERO MATRICULA</v>
          </cell>
          <cell r="D2295" t="str">
            <v>ACTIVO</v>
          </cell>
          <cell r="E2295" t="str">
            <v>CMQ366</v>
          </cell>
          <cell r="F2295" t="str">
            <v>Morales Ruiz Martín Alberto</v>
          </cell>
          <cell r="G2295" t="str">
            <v>MORALES RUIZ MARTIN ALBERTO</v>
          </cell>
          <cell r="H2295">
            <v>71838959</v>
          </cell>
          <cell r="I2295" t="str">
            <v>BCP</v>
          </cell>
          <cell r="J2295" t="str">
            <v>19199907073032</v>
          </cell>
          <cell r="K2295" t="str">
            <v>DNI</v>
          </cell>
          <cell r="L2295">
            <v>10718389599</v>
          </cell>
          <cell r="M2295" t="str">
            <v>URBANO</v>
          </cell>
          <cell r="N2295">
            <v>45635</v>
          </cell>
          <cell r="O2295">
            <v>0</v>
          </cell>
          <cell r="P2295" t="str">
            <v>XL</v>
          </cell>
        </row>
        <row r="2296">
          <cell r="A2296">
            <v>9739</v>
          </cell>
          <cell r="B2296">
            <v>9739</v>
          </cell>
          <cell r="C2296" t="str">
            <v>CERO MATRICULA</v>
          </cell>
          <cell r="D2296" t="str">
            <v>ACTIVO</v>
          </cell>
          <cell r="E2296" t="str">
            <v>C6V049</v>
          </cell>
          <cell r="F2296" t="str">
            <v>Romero Hernández Cruz Marino</v>
          </cell>
          <cell r="G2296" t="str">
            <v>Romero Hernández Cruz Marino</v>
          </cell>
          <cell r="H2296">
            <v>10486520</v>
          </cell>
          <cell r="I2296" t="str">
            <v>BCP</v>
          </cell>
          <cell r="J2296" t="str">
            <v>19402293836005</v>
          </cell>
          <cell r="K2296" t="str">
            <v>DNI</v>
          </cell>
          <cell r="L2296">
            <v>10104865203</v>
          </cell>
          <cell r="M2296" t="str">
            <v>URBANO</v>
          </cell>
          <cell r="N2296">
            <v>45635</v>
          </cell>
          <cell r="O2296">
            <v>0</v>
          </cell>
          <cell r="P2296" t="str">
            <v>COMFORT</v>
          </cell>
        </row>
        <row r="2297">
          <cell r="A2297">
            <v>9927</v>
          </cell>
          <cell r="B2297">
            <v>9927</v>
          </cell>
          <cell r="C2297" t="str">
            <v>CERO MATRICULA</v>
          </cell>
          <cell r="D2297" t="str">
            <v>ACTIVO</v>
          </cell>
          <cell r="E2297" t="str">
            <v>BNC409</v>
          </cell>
          <cell r="F2297" t="str">
            <v xml:space="preserve">Trujillo  Carlos David </v>
          </cell>
          <cell r="G2297" t="str">
            <v>TRUJILLO CARLOS DAVID</v>
          </cell>
          <cell r="H2297" t="str">
            <v>002250358</v>
          </cell>
          <cell r="I2297" t="str">
            <v>SCOTIABANK</v>
          </cell>
          <cell r="J2297" t="str">
            <v>0488144593</v>
          </cell>
          <cell r="K2297" t="str">
            <v>CE</v>
          </cell>
          <cell r="L2297">
            <v>15604810652</v>
          </cell>
          <cell r="M2297" t="str">
            <v>URBANO</v>
          </cell>
          <cell r="N2297">
            <v>45636.083333333336</v>
          </cell>
          <cell r="O2297">
            <v>0</v>
          </cell>
          <cell r="P2297" t="str">
            <v>LITE</v>
          </cell>
        </row>
        <row r="2298">
          <cell r="A2298">
            <v>9928</v>
          </cell>
          <cell r="B2298">
            <v>9928</v>
          </cell>
          <cell r="C2298" t="str">
            <v>CERO MATRICULA</v>
          </cell>
          <cell r="D2298" t="str">
            <v>ACTIVO</v>
          </cell>
          <cell r="E2298" t="str">
            <v>Bzk195</v>
          </cell>
          <cell r="F2298" t="str">
            <v xml:space="preserve">Sandoval Calero Ronald oswaldo </v>
          </cell>
          <cell r="G2298" t="str">
            <v>PENDIENTE</v>
          </cell>
          <cell r="H2298" t="str">
            <v>42367231</v>
          </cell>
          <cell r="I2298"/>
          <cell r="J2298"/>
          <cell r="K2298" t="str">
            <v>DNI</v>
          </cell>
          <cell r="L2298"/>
          <cell r="M2298" t="str">
            <v>URBANO</v>
          </cell>
          <cell r="N2298">
            <v>45636</v>
          </cell>
          <cell r="O2298">
            <v>0</v>
          </cell>
          <cell r="P2298" t="str">
            <v>LITE</v>
          </cell>
        </row>
        <row r="2299">
          <cell r="A2299">
            <v>9929</v>
          </cell>
          <cell r="B2299">
            <v>9929</v>
          </cell>
          <cell r="C2299" t="str">
            <v>CERO MATRICULA</v>
          </cell>
          <cell r="D2299" t="str">
            <v>ACTIVO</v>
          </cell>
          <cell r="E2299" t="str">
            <v>CKV664</v>
          </cell>
          <cell r="F2299" t="str">
            <v>RODRIGUEZ ALIAGA VICTOR HUGO</v>
          </cell>
          <cell r="G2299" t="str">
            <v>RODRIGUEZ ALIAGA VICTOR HUGO</v>
          </cell>
          <cell r="H2299" t="str">
            <v>48131307</v>
          </cell>
          <cell r="I2299" t="str">
            <v>INTERBANK</v>
          </cell>
          <cell r="J2299" t="str">
            <v>8983158698341</v>
          </cell>
          <cell r="K2299" t="str">
            <v>DNI</v>
          </cell>
          <cell r="L2299">
            <v>10481313070</v>
          </cell>
          <cell r="M2299" t="str">
            <v>URBANO</v>
          </cell>
          <cell r="N2299">
            <v>45636</v>
          </cell>
          <cell r="O2299">
            <v>0</v>
          </cell>
          <cell r="P2299" t="str">
            <v>LITE</v>
          </cell>
        </row>
        <row r="2300">
          <cell r="A2300">
            <v>9930</v>
          </cell>
          <cell r="B2300">
            <v>9930</v>
          </cell>
          <cell r="C2300" t="str">
            <v>CERO MATRICULA</v>
          </cell>
          <cell r="D2300" t="str">
            <v>ACTIVO</v>
          </cell>
          <cell r="E2300" t="str">
            <v>BES498</v>
          </cell>
          <cell r="F2300" t="str">
            <v>Flores Olivera Luz Neyda</v>
          </cell>
          <cell r="G2300" t="str">
            <v>FLORES OLIVERA LUZ NEYDA</v>
          </cell>
          <cell r="H2300" t="str">
            <v>25820155</v>
          </cell>
          <cell r="I2300" t="str">
            <v>BCP</v>
          </cell>
          <cell r="J2300" t="str">
            <v>19130720536043</v>
          </cell>
          <cell r="K2300" t="str">
            <v>DNI</v>
          </cell>
          <cell r="L2300">
            <v>10258201553</v>
          </cell>
          <cell r="M2300" t="str">
            <v>URBANO</v>
          </cell>
          <cell r="N2300">
            <v>45636</v>
          </cell>
          <cell r="O2300">
            <v>0</v>
          </cell>
          <cell r="P2300" t="str">
            <v>COMFORT</v>
          </cell>
        </row>
        <row r="2301">
          <cell r="A2301">
            <v>9931</v>
          </cell>
          <cell r="B2301">
            <v>9931</v>
          </cell>
          <cell r="C2301" t="str">
            <v>CERO MATRICULA</v>
          </cell>
          <cell r="D2301" t="str">
            <v>ACTIVO</v>
          </cell>
          <cell r="E2301" t="str">
            <v>CEB329</v>
          </cell>
          <cell r="F2301" t="str">
            <v>MENDOZA MEDRANO Edwin Daniel</v>
          </cell>
          <cell r="G2301" t="str">
            <v>MENDOZA MEDRANO EDWIN DANIEL</v>
          </cell>
          <cell r="H2301" t="str">
            <v>42917164</v>
          </cell>
          <cell r="I2301" t="str">
            <v>BBVA</v>
          </cell>
          <cell r="J2301" t="str">
            <v>1100570227899650</v>
          </cell>
          <cell r="K2301" t="str">
            <v>DNI</v>
          </cell>
          <cell r="L2301">
            <v>10429171640</v>
          </cell>
          <cell r="M2301" t="str">
            <v>URBANO</v>
          </cell>
          <cell r="N2301">
            <v>45636.083333333336</v>
          </cell>
          <cell r="O2301">
            <v>0</v>
          </cell>
          <cell r="P2301" t="str">
            <v>COMFORT XL</v>
          </cell>
        </row>
        <row r="2302">
          <cell r="A2302">
            <v>9933</v>
          </cell>
          <cell r="B2302">
            <v>9933</v>
          </cell>
          <cell r="C2302" t="str">
            <v>CERO MATRICULA</v>
          </cell>
          <cell r="D2302" t="str">
            <v>ACTIVO</v>
          </cell>
          <cell r="E2302" t="str">
            <v>BAF493</v>
          </cell>
          <cell r="F2302" t="str">
            <v>Castro Nicho Carlos Adriano</v>
          </cell>
          <cell r="G2302" t="str">
            <v>CASTRO NICHO CARLOS ADRIANO</v>
          </cell>
          <cell r="H2302" t="str">
            <v>08615810</v>
          </cell>
          <cell r="I2302" t="str">
            <v>INTERBANK</v>
          </cell>
          <cell r="J2302" t="str">
            <v>4323275668402</v>
          </cell>
          <cell r="K2302" t="str">
            <v>DNI</v>
          </cell>
          <cell r="L2302">
            <v>10086158103</v>
          </cell>
          <cell r="M2302" t="str">
            <v>AEROPUERTO</v>
          </cell>
          <cell r="N2302">
            <v>45637.416666666664</v>
          </cell>
          <cell r="O2302">
            <v>240</v>
          </cell>
          <cell r="P2302" t="str">
            <v>COMFORT</v>
          </cell>
        </row>
        <row r="2303">
          <cell r="A2303">
            <v>9934</v>
          </cell>
          <cell r="B2303">
            <v>9934</v>
          </cell>
          <cell r="C2303" t="str">
            <v>CERO MATRICULA</v>
          </cell>
          <cell r="D2303" t="str">
            <v>ACTIVO</v>
          </cell>
          <cell r="E2303" t="str">
            <v>CNB360</v>
          </cell>
          <cell r="F2303" t="str">
            <v>Ortega Soto Joe Luiggi</v>
          </cell>
          <cell r="G2303" t="str">
            <v>ORTEGA SOTO JOE LUIGGI</v>
          </cell>
          <cell r="H2303" t="str">
            <v>77689900</v>
          </cell>
          <cell r="I2303" t="str">
            <v>INTERBANK</v>
          </cell>
          <cell r="J2303" t="str">
            <v>8983187337404</v>
          </cell>
          <cell r="K2303" t="str">
            <v>DNI</v>
          </cell>
          <cell r="L2303">
            <v>10776899009</v>
          </cell>
          <cell r="M2303" t="str">
            <v>URBANO</v>
          </cell>
          <cell r="N2303">
            <v>45637.416666666664</v>
          </cell>
          <cell r="O2303">
            <v>0</v>
          </cell>
          <cell r="P2303" t="str">
            <v>COMFORT XL</v>
          </cell>
        </row>
        <row r="2304">
          <cell r="A2304">
            <v>9935</v>
          </cell>
          <cell r="B2304">
            <v>9935</v>
          </cell>
          <cell r="C2304" t="str">
            <v>CERO MATRICULA</v>
          </cell>
          <cell r="D2304" t="str">
            <v>ACTIVO</v>
          </cell>
          <cell r="E2304" t="str">
            <v>CLO230</v>
          </cell>
          <cell r="F2304" t="str">
            <v>Nieto Moncada YOHAN ANTONIO</v>
          </cell>
          <cell r="G2304" t="str">
            <v>NIETO MONCADA YOHAN ANTONIO</v>
          </cell>
          <cell r="H2304" t="str">
            <v>003005033</v>
          </cell>
          <cell r="I2304" t="str">
            <v>BCP</v>
          </cell>
          <cell r="J2304">
            <v>15607172282</v>
          </cell>
          <cell r="K2304" t="str">
            <v>CE</v>
          </cell>
          <cell r="L2304">
            <v>15607172282</v>
          </cell>
          <cell r="M2304" t="str">
            <v>AEROPUERTO</v>
          </cell>
          <cell r="N2304">
            <v>45637.416666666664</v>
          </cell>
          <cell r="O2304">
            <v>235</v>
          </cell>
          <cell r="P2304" t="str">
            <v>COMFORT XL</v>
          </cell>
        </row>
        <row r="2305">
          <cell r="A2305">
            <v>9936</v>
          </cell>
          <cell r="B2305">
            <v>9936</v>
          </cell>
          <cell r="C2305" t="str">
            <v>CERO MATRICULA</v>
          </cell>
          <cell r="D2305" t="str">
            <v>ACTIVO</v>
          </cell>
          <cell r="E2305" t="str">
            <v>BAX214</v>
          </cell>
          <cell r="F2305" t="str">
            <v>Taboada Ledesma Brenda Sabrina</v>
          </cell>
          <cell r="G2305" t="str">
            <v>TABOADA LEDESMA BRENDA SABRINA</v>
          </cell>
          <cell r="H2305" t="str">
            <v>73781784</v>
          </cell>
          <cell r="I2305" t="str">
            <v>BCP</v>
          </cell>
          <cell r="J2305" t="str">
            <v>19193618007041</v>
          </cell>
          <cell r="K2305" t="str">
            <v>DNI</v>
          </cell>
          <cell r="L2305">
            <v>10737817844</v>
          </cell>
          <cell r="M2305" t="str">
            <v>AEROLINEAS</v>
          </cell>
          <cell r="N2305">
            <v>45638.125</v>
          </cell>
          <cell r="O2305">
            <v>0</v>
          </cell>
          <cell r="P2305" t="str">
            <v>COMFORT</v>
          </cell>
        </row>
        <row r="2306">
          <cell r="A2306">
            <v>9937</v>
          </cell>
          <cell r="B2306">
            <v>9937</v>
          </cell>
          <cell r="C2306" t="str">
            <v>CERO MATRICULA</v>
          </cell>
          <cell r="D2306" t="str">
            <v>ACTIVO</v>
          </cell>
          <cell r="E2306" t="str">
            <v>BFJ111</v>
          </cell>
          <cell r="F2306" t="str">
            <v>Vásquez Contreras Jorge Luis</v>
          </cell>
          <cell r="G2306" t="str">
            <v>VASQUEZ CONTRERAS JORGE LUIS</v>
          </cell>
          <cell r="H2306" t="str">
            <v>41903250</v>
          </cell>
          <cell r="I2306" t="str">
            <v>BCP</v>
          </cell>
          <cell r="J2306" t="str">
            <v>19101598826074</v>
          </cell>
          <cell r="K2306" t="str">
            <v>DNI</v>
          </cell>
          <cell r="L2306">
            <v>10419032501</v>
          </cell>
          <cell r="M2306" t="str">
            <v>AEROLINEAS</v>
          </cell>
          <cell r="N2306">
            <v>45638.125</v>
          </cell>
          <cell r="O2306">
            <v>0</v>
          </cell>
          <cell r="P2306" t="str">
            <v>LITE</v>
          </cell>
        </row>
        <row r="2307">
          <cell r="A2307">
            <v>1673</v>
          </cell>
          <cell r="B2307">
            <v>1673</v>
          </cell>
          <cell r="C2307" t="str">
            <v>CERO MATRICULA</v>
          </cell>
          <cell r="D2307" t="str">
            <v>ACTIVO</v>
          </cell>
          <cell r="E2307" t="str">
            <v>BAP782</v>
          </cell>
          <cell r="F2307" t="str">
            <v xml:space="preserve">LLAULLE SANDOVAL DAVID </v>
          </cell>
          <cell r="G2307" t="str">
            <v xml:space="preserve">LLAULLE SANDOVAL DAVID </v>
          </cell>
          <cell r="H2307" t="str">
            <v>09718658</v>
          </cell>
          <cell r="I2307" t="str">
            <v>BCP</v>
          </cell>
          <cell r="J2307" t="str">
            <v>19313574593008</v>
          </cell>
          <cell r="K2307" t="str">
            <v>DNI</v>
          </cell>
          <cell r="L2307">
            <v>10097186583</v>
          </cell>
          <cell r="M2307" t="str">
            <v>AEROPUERTO VAN</v>
          </cell>
          <cell r="N2307">
            <v>44693</v>
          </cell>
          <cell r="O2307">
            <v>240</v>
          </cell>
          <cell r="P2307" t="str">
            <v>VAN</v>
          </cell>
        </row>
        <row r="2308">
          <cell r="A2308">
            <v>2587</v>
          </cell>
          <cell r="B2308">
            <v>2587</v>
          </cell>
          <cell r="C2308" t="str">
            <v>CERO MATRICULA</v>
          </cell>
          <cell r="D2308" t="str">
            <v>ACTIVO</v>
          </cell>
          <cell r="E2308" t="str">
            <v>BRI162</v>
          </cell>
          <cell r="F2308" t="str">
            <v>HOPKINS CAIRO GIAN PIERO</v>
          </cell>
          <cell r="G2308" t="str">
            <v>HOPKINS CAIRO GIAN PIERO</v>
          </cell>
          <cell r="H2308" t="str">
            <v>74090188</v>
          </cell>
          <cell r="I2308" t="str">
            <v>BCP</v>
          </cell>
          <cell r="J2308" t="str">
            <v>191-38909355-0-76</v>
          </cell>
          <cell r="K2308" t="str">
            <v>DNI</v>
          </cell>
          <cell r="L2308">
            <v>10740901881</v>
          </cell>
          <cell r="M2308" t="str">
            <v>URBANO</v>
          </cell>
          <cell r="N2308">
            <v>45153</v>
          </cell>
          <cell r="O2308">
            <v>0</v>
          </cell>
          <cell r="P2308" t="str">
            <v>LITE</v>
          </cell>
        </row>
        <row r="2309">
          <cell r="A2309">
            <v>7043</v>
          </cell>
          <cell r="B2309">
            <v>7043</v>
          </cell>
          <cell r="C2309" t="str">
            <v>CERO MATRICULA</v>
          </cell>
          <cell r="D2309" t="str">
            <v>ACTIVO</v>
          </cell>
          <cell r="E2309" t="str">
            <v>BNR376</v>
          </cell>
          <cell r="F2309" t="str">
            <v>BRICEÑO DIOSES EDGAR EDUARDO</v>
          </cell>
          <cell r="G2309" t="str">
            <v>BRICEÑO DIOSES EDGAR EDUARDO</v>
          </cell>
          <cell r="H2309" t="str">
            <v>003910983</v>
          </cell>
          <cell r="I2309" t="str">
            <v>BCP</v>
          </cell>
          <cell r="J2309" t="str">
            <v>191-92334605-0-76</v>
          </cell>
          <cell r="K2309" t="str">
            <v>CE</v>
          </cell>
          <cell r="L2309">
            <v>15604512180</v>
          </cell>
          <cell r="M2309" t="str">
            <v>AEROPUERTO</v>
          </cell>
          <cell r="N2309">
            <v>44753</v>
          </cell>
          <cell r="O2309">
            <v>240</v>
          </cell>
          <cell r="P2309" t="str">
            <v>XL</v>
          </cell>
        </row>
        <row r="2310">
          <cell r="A2310">
            <v>7597</v>
          </cell>
          <cell r="B2310">
            <v>7597</v>
          </cell>
          <cell r="C2310" t="str">
            <v>CERO MATRICULA</v>
          </cell>
          <cell r="D2310" t="str">
            <v>ACTIVO</v>
          </cell>
          <cell r="E2310">
            <v>0</v>
          </cell>
          <cell r="F2310" t="str">
            <v>VERA GOMEZ FRANKLIN JOSE</v>
          </cell>
          <cell r="G2310" t="str">
            <v>VERA GOMEZ FRANKLIN JOSE</v>
          </cell>
          <cell r="H2310" t="str">
            <v>003259670</v>
          </cell>
          <cell r="I2310" t="str">
            <v>BCP</v>
          </cell>
          <cell r="J2310" t="str">
            <v>19192966924081</v>
          </cell>
          <cell r="K2310" t="str">
            <v>CE</v>
          </cell>
          <cell r="L2310">
            <v>15605599823</v>
          </cell>
          <cell r="M2310" t="str">
            <v>AEROPUERTO</v>
          </cell>
          <cell r="N2310">
            <v>45642</v>
          </cell>
          <cell r="O2310">
            <v>235</v>
          </cell>
          <cell r="P2310" t="str">
            <v>COMFORT XL</v>
          </cell>
        </row>
        <row r="2311">
          <cell r="A2311">
            <v>9886</v>
          </cell>
          <cell r="B2311">
            <v>9886</v>
          </cell>
          <cell r="C2311" t="str">
            <v>CERO MATRICULA</v>
          </cell>
          <cell r="D2311" t="str">
            <v>ACTIVO</v>
          </cell>
          <cell r="E2311" t="str">
            <v>CDY206</v>
          </cell>
          <cell r="F2311" t="str">
            <v>Huaman Peña Duilio Pierre</v>
          </cell>
          <cell r="G2311" t="str">
            <v>HUAMAN PEÑA DUILIO PIERRE</v>
          </cell>
          <cell r="H2311" t="str">
            <v>44849236</v>
          </cell>
          <cell r="I2311" t="str">
            <v>BCP</v>
          </cell>
          <cell r="J2311" t="str">
            <v>19192203146089</v>
          </cell>
          <cell r="K2311" t="str">
            <v>DNI</v>
          </cell>
          <cell r="L2311">
            <v>10448492368</v>
          </cell>
          <cell r="M2311" t="str">
            <v>URBANO</v>
          </cell>
          <cell r="N2311">
            <v>45645.125</v>
          </cell>
          <cell r="O2311">
            <v>0</v>
          </cell>
          <cell r="P2311" t="str">
            <v>COMFORT XL</v>
          </cell>
        </row>
        <row r="2312">
          <cell r="A2312">
            <v>9938</v>
          </cell>
          <cell r="B2312">
            <v>9938</v>
          </cell>
          <cell r="C2312" t="str">
            <v>CERO MATRICULA</v>
          </cell>
          <cell r="D2312" t="str">
            <v>ACTIVO</v>
          </cell>
          <cell r="E2312" t="str">
            <v>CPC255</v>
          </cell>
          <cell r="F2312" t="str">
            <v>Paucar Palomino Juan Carlos</v>
          </cell>
          <cell r="G2312" t="str">
            <v>PAUCAR PALOMINO JUAN CARLOS</v>
          </cell>
          <cell r="H2312">
            <v>7046656</v>
          </cell>
          <cell r="I2312" t="str">
            <v>BCP</v>
          </cell>
          <cell r="J2312" t="str">
            <v>19101860453044</v>
          </cell>
          <cell r="K2312" t="str">
            <v>DNI</v>
          </cell>
          <cell r="L2312">
            <v>10070466568</v>
          </cell>
          <cell r="M2312" t="str">
            <v>AEROPUERTO</v>
          </cell>
          <cell r="N2312">
            <v>45643.416666666664</v>
          </cell>
          <cell r="O2312">
            <v>265</v>
          </cell>
          <cell r="P2312" t="str">
            <v>LITE</v>
          </cell>
        </row>
        <row r="2313">
          <cell r="A2313">
            <v>9941</v>
          </cell>
          <cell r="B2313">
            <v>9941</v>
          </cell>
          <cell r="C2313" t="str">
            <v>CERO MATRICULA</v>
          </cell>
          <cell r="D2313" t="str">
            <v>ACTIVO</v>
          </cell>
          <cell r="E2313" t="str">
            <v>AHK559</v>
          </cell>
          <cell r="F2313" t="str">
            <v>Valbuena Villalobos Ricardo Jose</v>
          </cell>
          <cell r="G2313" t="str">
            <v>VALBUENA VILLALOBOS RICARDO JOSE</v>
          </cell>
          <cell r="H2313" t="str">
            <v>004563147</v>
          </cell>
          <cell r="I2313" t="str">
            <v>INTERBANK</v>
          </cell>
          <cell r="J2313" t="str">
            <v>3783247309658</v>
          </cell>
          <cell r="K2313" t="str">
            <v>CE</v>
          </cell>
          <cell r="L2313">
            <v>15608259853</v>
          </cell>
          <cell r="M2313" t="str">
            <v>AEROPUERTO</v>
          </cell>
          <cell r="N2313">
            <v>45643.416666666664</v>
          </cell>
          <cell r="O2313">
            <v>265</v>
          </cell>
          <cell r="P2313" t="str">
            <v>LITE</v>
          </cell>
        </row>
        <row r="2314">
          <cell r="A2314">
            <v>9942</v>
          </cell>
          <cell r="B2314">
            <v>9942</v>
          </cell>
          <cell r="C2314" t="str">
            <v>CERO MATRICULA</v>
          </cell>
          <cell r="D2314" t="str">
            <v>ACTIVO</v>
          </cell>
          <cell r="E2314" t="str">
            <v>CPB352</v>
          </cell>
          <cell r="F2314" t="str">
            <v>Felipe Bautista Juan Carlos</v>
          </cell>
          <cell r="G2314" t="str">
            <v>FELIPE BAUTISTA JUAN CARLOS</v>
          </cell>
          <cell r="H2314" t="str">
            <v>47548482</v>
          </cell>
          <cell r="I2314" t="str">
            <v>BCP</v>
          </cell>
          <cell r="J2314" t="str">
            <v>19178908537090</v>
          </cell>
          <cell r="K2314" t="str">
            <v>DNI</v>
          </cell>
          <cell r="L2314">
            <v>10475484822</v>
          </cell>
          <cell r="M2314" t="str">
            <v>AEROPUERTO</v>
          </cell>
          <cell r="N2314">
            <v>45643.416666666664</v>
          </cell>
          <cell r="O2314">
            <v>240</v>
          </cell>
          <cell r="P2314" t="str">
            <v>XL</v>
          </cell>
        </row>
        <row r="2315">
          <cell r="A2315">
            <v>9943</v>
          </cell>
          <cell r="B2315">
            <v>9943</v>
          </cell>
          <cell r="C2315" t="str">
            <v>CERO MATRICULA</v>
          </cell>
          <cell r="D2315" t="str">
            <v>ACTIVO</v>
          </cell>
          <cell r="E2315" t="str">
            <v>CPE077</v>
          </cell>
          <cell r="F2315" t="str">
            <v>Zavala Castillo Daniel Humberto</v>
          </cell>
          <cell r="G2315" t="str">
            <v>ZAVALA CASTILLO DANIEL HUMBERTO</v>
          </cell>
          <cell r="H2315" t="str">
            <v>25770415</v>
          </cell>
          <cell r="I2315" t="str">
            <v>INTERBANK</v>
          </cell>
          <cell r="J2315" t="str">
            <v>5303224256428</v>
          </cell>
          <cell r="K2315" t="str">
            <v>DNI</v>
          </cell>
          <cell r="L2315">
            <v>10257704152</v>
          </cell>
          <cell r="M2315" t="str">
            <v>URBANO</v>
          </cell>
          <cell r="N2315">
            <v>45643.083333333336</v>
          </cell>
          <cell r="O2315">
            <v>0</v>
          </cell>
          <cell r="P2315" t="str">
            <v>COMFORT XL</v>
          </cell>
        </row>
        <row r="2316">
          <cell r="A2316">
            <v>9944</v>
          </cell>
          <cell r="B2316">
            <v>9944</v>
          </cell>
          <cell r="C2316" t="str">
            <v>CERO MATRICULA</v>
          </cell>
          <cell r="D2316" t="str">
            <v>ACTIVO</v>
          </cell>
          <cell r="E2316" t="str">
            <v>BHD498</v>
          </cell>
          <cell r="F2316" t="str">
            <v>SANCHEZ RAMOS MICHELOANGELO</v>
          </cell>
          <cell r="G2316" t="str">
            <v>SANCHEZ RAMOS MICHELOANGELO</v>
          </cell>
          <cell r="H2316" t="str">
            <v>10863761</v>
          </cell>
          <cell r="I2316" t="str">
            <v>BCP</v>
          </cell>
          <cell r="J2316" t="str">
            <v>19190822340035</v>
          </cell>
          <cell r="K2316" t="str">
            <v>DNI</v>
          </cell>
          <cell r="L2316">
            <v>10108637612</v>
          </cell>
          <cell r="M2316" t="str">
            <v>URBANO</v>
          </cell>
          <cell r="N2316">
            <v>45643.083333333336</v>
          </cell>
          <cell r="O2316">
            <v>0</v>
          </cell>
          <cell r="P2316" t="str">
            <v>COMFORT XL</v>
          </cell>
        </row>
        <row r="2317">
          <cell r="A2317">
            <v>9945</v>
          </cell>
          <cell r="B2317">
            <v>9945</v>
          </cell>
          <cell r="C2317" t="str">
            <v>CERO MATRICULA</v>
          </cell>
          <cell r="D2317" t="str">
            <v>ACTIVO</v>
          </cell>
          <cell r="E2317" t="str">
            <v>CPD129</v>
          </cell>
          <cell r="F2317" t="str">
            <v>Rivera Honorio Néstor Arturo</v>
          </cell>
          <cell r="G2317" t="str">
            <v xml:space="preserve"> RIVERA HONORIO NESTOR ARTURO</v>
          </cell>
          <cell r="H2317" t="str">
            <v>09359308</v>
          </cell>
          <cell r="I2317" t="str">
            <v>BCP</v>
          </cell>
          <cell r="J2317" t="str">
            <v>19333667578052</v>
          </cell>
          <cell r="K2317" t="str">
            <v>DNI</v>
          </cell>
          <cell r="L2317">
            <v>10093593087</v>
          </cell>
          <cell r="M2317" t="str">
            <v>URBANO PARTNER</v>
          </cell>
          <cell r="N2317">
            <v>45643.083333333336</v>
          </cell>
          <cell r="O2317">
            <v>0</v>
          </cell>
          <cell r="P2317" t="str">
            <v>COMFORT XL</v>
          </cell>
        </row>
        <row r="2318">
          <cell r="A2318">
            <v>9946</v>
          </cell>
          <cell r="B2318">
            <v>9946</v>
          </cell>
          <cell r="C2318" t="str">
            <v>CERO MATRICULA</v>
          </cell>
          <cell r="D2318" t="str">
            <v>ACTIVO</v>
          </cell>
          <cell r="E2318" t="str">
            <v>CJV104</v>
          </cell>
          <cell r="F2318" t="str">
            <v>Tomaylla Cerna Brandy Raul</v>
          </cell>
          <cell r="G2318" t="str">
            <v>TOMAYLLA CERNA BRANDY RAUL</v>
          </cell>
          <cell r="H2318" t="str">
            <v>72895363</v>
          </cell>
          <cell r="I2318" t="str">
            <v>BCP</v>
          </cell>
          <cell r="J2318" t="str">
            <v>19404054820077</v>
          </cell>
          <cell r="K2318" t="str">
            <v>DNI</v>
          </cell>
          <cell r="L2318">
            <v>10728953638</v>
          </cell>
          <cell r="M2318" t="str">
            <v>URBANO PARTNER</v>
          </cell>
          <cell r="N2318">
            <v>45643.083333333336</v>
          </cell>
          <cell r="O2318">
            <v>0</v>
          </cell>
          <cell r="P2318" t="str">
            <v>COMFORT XL</v>
          </cell>
        </row>
        <row r="2319">
          <cell r="A2319">
            <v>9948</v>
          </cell>
          <cell r="B2319">
            <v>9948</v>
          </cell>
          <cell r="C2319" t="str">
            <v>CERO MATRICULA</v>
          </cell>
          <cell r="D2319" t="str">
            <v>ACTIVO</v>
          </cell>
          <cell r="E2319" t="str">
            <v>BKU249</v>
          </cell>
          <cell r="F2319" t="str">
            <v xml:space="preserve">Salcedo Cueva Ysrael Michael </v>
          </cell>
          <cell r="G2319" t="str">
            <v>SALCEDO CUEVA YSRAEL MICHAEL</v>
          </cell>
          <cell r="H2319" t="str">
            <v>09637995</v>
          </cell>
          <cell r="I2319" t="str">
            <v>BCP</v>
          </cell>
          <cell r="J2319" t="str">
            <v>19198329251073</v>
          </cell>
          <cell r="K2319" t="str">
            <v>DNI</v>
          </cell>
          <cell r="L2319">
            <v>10096379957</v>
          </cell>
          <cell r="M2319" t="str">
            <v>AEROLINEAS</v>
          </cell>
          <cell r="N2319">
            <v>45645.125</v>
          </cell>
          <cell r="O2319">
            <v>0</v>
          </cell>
          <cell r="P2319" t="str">
            <v>COMFORT XL</v>
          </cell>
        </row>
        <row r="2320">
          <cell r="A2320">
            <v>9940</v>
          </cell>
          <cell r="B2320">
            <v>9940</v>
          </cell>
          <cell r="C2320" t="str">
            <v>CERO MATRICULA</v>
          </cell>
          <cell r="D2320" t="str">
            <v>ACTIVO</v>
          </cell>
          <cell r="E2320" t="str">
            <v>AXK004</v>
          </cell>
          <cell r="F2320" t="str">
            <v xml:space="preserve">Ramos Montañez Juan Alberto </v>
          </cell>
          <cell r="G2320" t="str">
            <v>RAMOS MONTAÑEZ JUAN ALBERTO</v>
          </cell>
          <cell r="H2320" t="str">
            <v>08024962</v>
          </cell>
          <cell r="I2320" t="str">
            <v>BCP</v>
          </cell>
          <cell r="J2320" t="str">
            <v>19110491446019</v>
          </cell>
          <cell r="K2320" t="str">
            <v>DNI</v>
          </cell>
          <cell r="L2320">
            <v>10080249620</v>
          </cell>
          <cell r="M2320" t="str">
            <v>AEROPUERTO</v>
          </cell>
          <cell r="N2320">
            <v>45649</v>
          </cell>
          <cell r="O2320">
            <v>265</v>
          </cell>
          <cell r="P2320" t="str">
            <v>LITE</v>
          </cell>
        </row>
        <row r="2321">
          <cell r="A2321">
            <v>9951</v>
          </cell>
          <cell r="B2321">
            <v>9951</v>
          </cell>
          <cell r="C2321" t="str">
            <v>CERO MATRICULA</v>
          </cell>
          <cell r="D2321" t="str">
            <v>ACTIVO</v>
          </cell>
          <cell r="E2321" t="str">
            <v>BUf106</v>
          </cell>
          <cell r="F2321" t="str">
            <v>Guizado Cordova Mario Alberto</v>
          </cell>
          <cell r="G2321" t="str">
            <v>JULCA MONTES YESSICA YOVANA</v>
          </cell>
          <cell r="H2321" t="str">
            <v>41882715</v>
          </cell>
          <cell r="I2321" t="str">
            <v>BCP</v>
          </cell>
          <cell r="J2321" t="str">
            <v>19179658656086</v>
          </cell>
          <cell r="K2321" t="str">
            <v>DNI</v>
          </cell>
          <cell r="L2321">
            <v>10418827152</v>
          </cell>
          <cell r="M2321" t="str">
            <v>AEROPUERTO</v>
          </cell>
          <cell r="N2321">
            <v>45650</v>
          </cell>
          <cell r="O2321">
            <v>240</v>
          </cell>
          <cell r="P2321" t="str">
            <v>XL</v>
          </cell>
        </row>
        <row r="2322">
          <cell r="A2322">
            <v>1711</v>
          </cell>
          <cell r="B2322">
            <v>1711</v>
          </cell>
          <cell r="C2322" t="str">
            <v>CERO MATRICULA</v>
          </cell>
          <cell r="D2322" t="str">
            <v>ACTIVO</v>
          </cell>
          <cell r="E2322"/>
          <cell r="F2322" t="str">
            <v>FLOTA PROPIA</v>
          </cell>
          <cell r="G2322" t="str">
            <v>FLOTA PROPIA</v>
          </cell>
          <cell r="H2322" t="str">
            <v>FLOTA PROPIA</v>
          </cell>
          <cell r="I2322" t="str">
            <v>FLOTA PROPIA</v>
          </cell>
          <cell r="J2322" t="str">
            <v>FLOTA PROPIA</v>
          </cell>
          <cell r="K2322" t="str">
            <v>FLOTA PROPIA</v>
          </cell>
          <cell r="L2322" t="str">
            <v>FLOTA PROPIA</v>
          </cell>
          <cell r="M2322" t="str">
            <v>FLOTA PROPIA</v>
          </cell>
          <cell r="N2322">
            <v>45701</v>
          </cell>
          <cell r="O2322">
            <v>0</v>
          </cell>
          <cell r="P2322" t="str">
            <v>COMFORT XL</v>
          </cell>
        </row>
        <row r="2323">
          <cell r="A2323">
            <v>9949</v>
          </cell>
          <cell r="B2323">
            <v>9949</v>
          </cell>
          <cell r="C2323" t="str">
            <v>CERO MATRICULA</v>
          </cell>
          <cell r="D2323" t="str">
            <v>ACTIVO</v>
          </cell>
          <cell r="E2323" t="str">
            <v>Cnv332</v>
          </cell>
          <cell r="F2323" t="str">
            <v>ESPINOZA REYES VICTOR ALFONSO</v>
          </cell>
          <cell r="G2323" t="str">
            <v>ESPINOZA REYES VICTOR ALFONSO</v>
          </cell>
          <cell r="H2323" t="str">
            <v>46070815</v>
          </cell>
          <cell r="I2323" t="str">
            <v>BCP</v>
          </cell>
          <cell r="J2323" t="str">
            <v>1914360663099</v>
          </cell>
          <cell r="K2323" t="str">
            <v>DNI</v>
          </cell>
          <cell r="L2323">
            <v>10460708155</v>
          </cell>
          <cell r="M2323" t="str">
            <v>AEROPUERTO</v>
          </cell>
          <cell r="N2323">
            <v>46021</v>
          </cell>
          <cell r="O2323">
            <v>235</v>
          </cell>
          <cell r="P2323" t="str">
            <v>COMFORT XL</v>
          </cell>
        </row>
        <row r="2324">
          <cell r="A2324">
            <v>2705</v>
          </cell>
          <cell r="B2324">
            <v>2705</v>
          </cell>
          <cell r="C2324" t="str">
            <v>CERO MATRICULA</v>
          </cell>
          <cell r="D2324" t="str">
            <v>ACTIVO</v>
          </cell>
          <cell r="E2324" t="str">
            <v>Z7i213</v>
          </cell>
          <cell r="F2324" t="str">
            <v>Rivas Areinamo Alexander José</v>
          </cell>
          <cell r="G2324" t="str">
            <v>RIVAS AREINAMO ALEXANDER JOSE</v>
          </cell>
          <cell r="H2324" t="str">
            <v>006289430</v>
          </cell>
          <cell r="I2324" t="str">
            <v>BCP</v>
          </cell>
          <cell r="J2324" t="str">
            <v>19205913951086</v>
          </cell>
          <cell r="K2324" t="str">
            <v>CE</v>
          </cell>
          <cell r="L2324">
            <v>15610297924</v>
          </cell>
          <cell r="M2324" t="str">
            <v>AEROPUERTO</v>
          </cell>
          <cell r="N2324">
            <v>45664.416666666664</v>
          </cell>
          <cell r="O2324">
            <v>265</v>
          </cell>
          <cell r="P2324" t="str">
            <v>LITE</v>
          </cell>
        </row>
        <row r="2325">
          <cell r="A2325">
            <v>9918</v>
          </cell>
          <cell r="B2325">
            <v>9918</v>
          </cell>
          <cell r="C2325" t="str">
            <v>CERO MATRICULA</v>
          </cell>
          <cell r="D2325" t="str">
            <v>ACTIVO</v>
          </cell>
          <cell r="E2325" t="str">
            <v>CPO500</v>
          </cell>
          <cell r="F2325" t="str">
            <v>Berrocal Tanta Julian Alberto</v>
          </cell>
          <cell r="G2325" t="str">
            <v>GARCIA ALLASI DALY FRANCHESCA</v>
          </cell>
          <cell r="H2325" t="str">
            <v>46880063</v>
          </cell>
          <cell r="I2325" t="str">
            <v>BCP</v>
          </cell>
          <cell r="J2325" t="str">
            <v>19100585203013</v>
          </cell>
          <cell r="K2325" t="str">
            <v>DNI</v>
          </cell>
          <cell r="L2325">
            <v>10729631561</v>
          </cell>
          <cell r="M2325" t="str">
            <v>AEROPUERTO</v>
          </cell>
          <cell r="N2325">
            <v>45664.416666666664</v>
          </cell>
          <cell r="O2325">
            <v>235</v>
          </cell>
          <cell r="P2325" t="str">
            <v>COMFORT XL</v>
          </cell>
        </row>
        <row r="2326">
          <cell r="A2326">
            <v>9950</v>
          </cell>
          <cell r="B2326">
            <v>9950</v>
          </cell>
          <cell r="C2326" t="str">
            <v>CERO MATRICULA</v>
          </cell>
          <cell r="D2326" t="str">
            <v>ACTIVO</v>
          </cell>
          <cell r="E2326" t="str">
            <v>CMM061</v>
          </cell>
          <cell r="F2326" t="str">
            <v>Silva Guedez Leonardo José</v>
          </cell>
          <cell r="G2326" t="str">
            <v>Leonardo José Silva Guedez</v>
          </cell>
          <cell r="H2326" t="str">
            <v>005515151</v>
          </cell>
          <cell r="I2326" t="str">
            <v>BCP</v>
          </cell>
          <cell r="J2326" t="str">
            <v>19393161606031</v>
          </cell>
          <cell r="K2326" t="str">
            <v>CE</v>
          </cell>
          <cell r="L2326">
            <v>15606237577</v>
          </cell>
          <cell r="M2326" t="str">
            <v>AEROPUERTO</v>
          </cell>
          <cell r="N2326">
            <v>45646.416666666664</v>
          </cell>
          <cell r="O2326">
            <v>265</v>
          </cell>
          <cell r="P2326" t="str">
            <v>LITE</v>
          </cell>
        </row>
        <row r="2327">
          <cell r="A2327">
            <v>9952</v>
          </cell>
          <cell r="B2327">
            <v>9952</v>
          </cell>
          <cell r="C2327" t="str">
            <v>CERO MATRICULA</v>
          </cell>
          <cell r="D2327" t="str">
            <v>ACTIVO</v>
          </cell>
          <cell r="E2327" t="str">
            <v>CNE176</v>
          </cell>
          <cell r="F2327" t="str">
            <v>Perez Nieves Aslel Antonio</v>
          </cell>
          <cell r="G2327" t="str">
            <v>PEREZ NIEVES ASLEL ANTONIO</v>
          </cell>
          <cell r="H2327" t="str">
            <v>002170095</v>
          </cell>
          <cell r="I2327" t="str">
            <v>BCP</v>
          </cell>
          <cell r="J2327" t="str">
            <v>19391045588038</v>
          </cell>
          <cell r="K2327" t="str">
            <v>CE</v>
          </cell>
          <cell r="L2327">
            <v>15605297240</v>
          </cell>
          <cell r="M2327" t="str">
            <v>AEROPUERTO</v>
          </cell>
          <cell r="N2327">
            <v>45664.416666666664</v>
          </cell>
          <cell r="O2327">
            <v>265</v>
          </cell>
          <cell r="P2327" t="str">
            <v>LITE</v>
          </cell>
        </row>
        <row r="2328">
          <cell r="A2328">
            <v>9955</v>
          </cell>
          <cell r="B2328">
            <v>9955</v>
          </cell>
          <cell r="C2328" t="str">
            <v>CERO MATRICULA</v>
          </cell>
          <cell r="D2328" t="str">
            <v>ACTIVO</v>
          </cell>
          <cell r="E2328" t="str">
            <v>CAG125</v>
          </cell>
          <cell r="F2328" t="str">
            <v>Rios Vargas Victor Raul</v>
          </cell>
          <cell r="G2328" t="str">
            <v>RIOS VARGAS VICTOR RAUL</v>
          </cell>
          <cell r="H2328" t="str">
            <v>09861368</v>
          </cell>
          <cell r="I2328" t="str">
            <v>BCP</v>
          </cell>
          <cell r="J2328" t="str">
            <v>19375512075021</v>
          </cell>
          <cell r="K2328" t="str">
            <v>DNI</v>
          </cell>
          <cell r="L2328">
            <v>10098613680</v>
          </cell>
          <cell r="M2328" t="str">
            <v>AEROPUERTO</v>
          </cell>
          <cell r="N2328">
            <v>45666.416666666664</v>
          </cell>
          <cell r="O2328">
            <v>265</v>
          </cell>
          <cell r="P2328" t="str">
            <v>LITE</v>
          </cell>
        </row>
        <row r="2329">
          <cell r="A2329">
            <v>9958</v>
          </cell>
          <cell r="B2329">
            <v>9958</v>
          </cell>
          <cell r="C2329" t="str">
            <v>CERO MATRICULA</v>
          </cell>
          <cell r="D2329" t="str">
            <v>ACTIVO</v>
          </cell>
          <cell r="E2329" t="str">
            <v>CJL518</v>
          </cell>
          <cell r="F2329" t="str">
            <v>Rodríguez Villegas LUIS JOSÉ</v>
          </cell>
          <cell r="G2329" t="str">
            <v>CHUMPITAZ ACEVEDO MARIELA LISSET</v>
          </cell>
          <cell r="H2329">
            <v>41907157</v>
          </cell>
          <cell r="I2329" t="str">
            <v>INTERBANK</v>
          </cell>
          <cell r="J2329" t="str">
            <v>0423217695938</v>
          </cell>
          <cell r="K2329" t="str">
            <v>DNI</v>
          </cell>
          <cell r="L2329">
            <v>10419071574</v>
          </cell>
          <cell r="M2329" t="str">
            <v>AEROPUERTO</v>
          </cell>
          <cell r="N2329">
            <v>45664.416666666664</v>
          </cell>
          <cell r="O2329">
            <v>235</v>
          </cell>
          <cell r="P2329" t="str">
            <v>COMFORT XL</v>
          </cell>
        </row>
        <row r="2330">
          <cell r="A2330">
            <v>9959</v>
          </cell>
          <cell r="B2330">
            <v>9959</v>
          </cell>
          <cell r="C2330" t="str">
            <v>CERO MATRICULA</v>
          </cell>
          <cell r="D2330" t="str">
            <v>ACTIVO</v>
          </cell>
          <cell r="E2330" t="str">
            <v>CLP409</v>
          </cell>
          <cell r="F2330" t="str">
            <v>Gonzalez Gutierrez Jesús Alfredo</v>
          </cell>
          <cell r="G2330" t="str">
            <v>QUIÑONES MORA MASSIEL SHINAR</v>
          </cell>
          <cell r="H2330">
            <v>49042179</v>
          </cell>
          <cell r="I2330" t="str">
            <v>BCP</v>
          </cell>
          <cell r="J2330" t="str">
            <v>19398022482006</v>
          </cell>
          <cell r="K2330" t="str">
            <v>DNI</v>
          </cell>
          <cell r="L2330">
            <v>10490421799</v>
          </cell>
          <cell r="M2330" t="str">
            <v>AEROPUERTO</v>
          </cell>
          <cell r="N2330">
            <v>45664</v>
          </cell>
          <cell r="O2330">
            <v>235</v>
          </cell>
          <cell r="P2330" t="str">
            <v>COMFORT XL</v>
          </cell>
        </row>
        <row r="2331">
          <cell r="A2331">
            <v>9960</v>
          </cell>
          <cell r="B2331">
            <v>9960</v>
          </cell>
          <cell r="C2331" t="str">
            <v>CERO MATRICULA</v>
          </cell>
          <cell r="D2331" t="str">
            <v>ACTIVO</v>
          </cell>
          <cell r="E2331" t="str">
            <v>CLB509</v>
          </cell>
          <cell r="F2331" t="str">
            <v>Pajuelo Borja Juan Carlos</v>
          </cell>
          <cell r="G2331" t="str">
            <v>PAJUELO BORJA JUAN CARLOS</v>
          </cell>
          <cell r="H2331" t="str">
            <v>45832877</v>
          </cell>
          <cell r="I2331" t="str">
            <v>BCP</v>
          </cell>
          <cell r="J2331" t="str">
            <v>19100594198098</v>
          </cell>
          <cell r="K2331" t="str">
            <v>DNI</v>
          </cell>
          <cell r="L2331">
            <v>10458328779</v>
          </cell>
          <cell r="M2331" t="str">
            <v>AEROPUERTO</v>
          </cell>
          <cell r="N2331">
            <v>45664.416666666664</v>
          </cell>
          <cell r="O2331">
            <v>235</v>
          </cell>
          <cell r="P2331" t="str">
            <v>COMFORT XL</v>
          </cell>
        </row>
        <row r="2332">
          <cell r="A2332">
            <v>9962</v>
          </cell>
          <cell r="B2332">
            <v>9962</v>
          </cell>
          <cell r="C2332" t="str">
            <v>CERO MATRICULA</v>
          </cell>
          <cell r="D2332" t="str">
            <v>ACTIVO</v>
          </cell>
          <cell r="E2332" t="str">
            <v>CNY659</v>
          </cell>
          <cell r="F2332" t="str">
            <v>MAGALLANES SANCHEZ CARLOS ORLANDO</v>
          </cell>
          <cell r="G2332" t="str">
            <v>MAGALLANES SANCHEZ CARLOS ORLANDO</v>
          </cell>
          <cell r="H2332" t="str">
            <v>70769727</v>
          </cell>
          <cell r="I2332" t="str">
            <v>BCP</v>
          </cell>
          <cell r="J2332" t="str">
            <v>19108452287062</v>
          </cell>
          <cell r="K2332" t="str">
            <v>DNI</v>
          </cell>
          <cell r="L2332">
            <v>10707697275</v>
          </cell>
          <cell r="M2332" t="str">
            <v>URBANO PARTNER</v>
          </cell>
          <cell r="N2332">
            <v>45664.083333333336</v>
          </cell>
          <cell r="O2332">
            <v>0</v>
          </cell>
          <cell r="P2332" t="str">
            <v>LITE</v>
          </cell>
        </row>
        <row r="2333">
          <cell r="A2333">
            <v>9964</v>
          </cell>
          <cell r="B2333">
            <v>9964</v>
          </cell>
          <cell r="C2333" t="str">
            <v>CERO MATRICULA</v>
          </cell>
          <cell r="D2333" t="str">
            <v>ACTIVO</v>
          </cell>
          <cell r="E2333" t="str">
            <v>BNI126</v>
          </cell>
          <cell r="F2333" t="str">
            <v xml:space="preserve">Cancha Salas Roberto simon </v>
          </cell>
          <cell r="G2333" t="str">
            <v>CANCHA SALAS ROBERTO SIMON</v>
          </cell>
          <cell r="H2333" t="str">
            <v>41702174</v>
          </cell>
          <cell r="I2333" t="str">
            <v>BCP</v>
          </cell>
          <cell r="J2333" t="str">
            <v>19317396159076</v>
          </cell>
          <cell r="K2333" t="str">
            <v>DNI</v>
          </cell>
          <cell r="L2333">
            <v>10417021740</v>
          </cell>
          <cell r="M2333" t="str">
            <v>URBANO</v>
          </cell>
          <cell r="N2333">
            <v>45664.083333333336</v>
          </cell>
          <cell r="O2333">
            <v>0</v>
          </cell>
          <cell r="P2333" t="str">
            <v>LITE</v>
          </cell>
        </row>
        <row r="2334">
          <cell r="A2334">
            <v>9965</v>
          </cell>
          <cell r="B2334">
            <v>9965</v>
          </cell>
          <cell r="C2334" t="str">
            <v>CERO MATRICULA</v>
          </cell>
          <cell r="D2334" t="str">
            <v>ACTIVO</v>
          </cell>
          <cell r="E2334" t="str">
            <v>BNN097</v>
          </cell>
          <cell r="F2334" t="str">
            <v>Berrospi Mallqui Cintya</v>
          </cell>
          <cell r="G2334" t="str">
            <v>BERROSPI MALLQUI CINTYA</v>
          </cell>
          <cell r="H2334" t="str">
            <v>43707841</v>
          </cell>
          <cell r="I2334" t="str">
            <v>BCP</v>
          </cell>
          <cell r="J2334" t="str">
            <v>19495610291049</v>
          </cell>
          <cell r="K2334" t="str">
            <v>DNI</v>
          </cell>
          <cell r="L2334">
            <v>10437078411</v>
          </cell>
          <cell r="M2334" t="str">
            <v>URBANO</v>
          </cell>
          <cell r="N2334">
            <v>45664.083333333336</v>
          </cell>
          <cell r="O2334">
            <v>0</v>
          </cell>
          <cell r="P2334" t="str">
            <v>LITE</v>
          </cell>
        </row>
        <row r="2335">
          <cell r="A2335">
            <v>9967</v>
          </cell>
          <cell r="B2335">
            <v>9967</v>
          </cell>
          <cell r="C2335" t="str">
            <v>CERO MATRICULA</v>
          </cell>
          <cell r="D2335" t="str">
            <v>ACTIVO</v>
          </cell>
          <cell r="E2335" t="str">
            <v>Cfa537</v>
          </cell>
          <cell r="F2335" t="str">
            <v>Rodríguez Martínez Angel Rafael</v>
          </cell>
          <cell r="G2335" t="str">
            <v>RODRIGUEZ MARTINEZ ANGEL RAFAEL</v>
          </cell>
          <cell r="H2335" t="str">
            <v>004446722</v>
          </cell>
          <cell r="I2335" t="str">
            <v>INTERBANK</v>
          </cell>
          <cell r="J2335" t="str">
            <v>284 3249320795</v>
          </cell>
          <cell r="K2335" t="str">
            <v>CE</v>
          </cell>
          <cell r="L2335">
            <v>15608380091</v>
          </cell>
          <cell r="M2335" t="str">
            <v>AEROPUERTO</v>
          </cell>
          <cell r="N2335">
            <v>45666.416666666664</v>
          </cell>
          <cell r="O2335">
            <v>265</v>
          </cell>
          <cell r="P2335" t="str">
            <v>LITE</v>
          </cell>
        </row>
        <row r="2336">
          <cell r="A2336">
            <v>9968</v>
          </cell>
          <cell r="B2336">
            <v>9968</v>
          </cell>
          <cell r="C2336" t="str">
            <v>CERO MATRICULA</v>
          </cell>
          <cell r="D2336" t="str">
            <v>ACTIVO</v>
          </cell>
          <cell r="E2336" t="str">
            <v>CNX150</v>
          </cell>
          <cell r="F2336" t="str">
            <v>Morales Garcia Sebastian Gabriel</v>
          </cell>
          <cell r="G2336" t="str">
            <v>MORALES GARCIA SEBASTIAN GABRIEL</v>
          </cell>
          <cell r="H2336" t="str">
            <v>003013614</v>
          </cell>
          <cell r="I2336" t="str">
            <v>INTERBANK</v>
          </cell>
          <cell r="J2336" t="str">
            <v>1643212183514</v>
          </cell>
          <cell r="K2336" t="str">
            <v>CE</v>
          </cell>
          <cell r="L2336">
            <v>15607180757</v>
          </cell>
          <cell r="M2336" t="str">
            <v>AEROPUERTO</v>
          </cell>
          <cell r="N2336">
            <v>45666.416666666664</v>
          </cell>
          <cell r="O2336">
            <v>265</v>
          </cell>
          <cell r="P2336" t="str">
            <v>LITE</v>
          </cell>
        </row>
        <row r="2337">
          <cell r="A2337">
            <v>9970</v>
          </cell>
          <cell r="B2337">
            <v>9970</v>
          </cell>
          <cell r="C2337" t="str">
            <v>CERO MATRICULA</v>
          </cell>
          <cell r="D2337" t="str">
            <v>ACTIVO</v>
          </cell>
          <cell r="E2337" t="str">
            <v>CPG424</v>
          </cell>
          <cell r="F2337" t="str">
            <v>Kabbabe Wanician Edmon</v>
          </cell>
          <cell r="G2337" t="str">
            <v>KABBABE WANICIAN EDMON</v>
          </cell>
          <cell r="H2337" t="str">
            <v>005206565</v>
          </cell>
          <cell r="I2337" t="str">
            <v>INTERBANK</v>
          </cell>
          <cell r="J2337" t="str">
            <v>1403417065475</v>
          </cell>
          <cell r="K2337" t="str">
            <v>CE</v>
          </cell>
          <cell r="L2337">
            <v>15604075286</v>
          </cell>
          <cell r="M2337" t="str">
            <v>AEROPUERTO</v>
          </cell>
          <cell r="N2337">
            <v>45666.416666666664</v>
          </cell>
          <cell r="O2337">
            <v>265</v>
          </cell>
          <cell r="P2337" t="str">
            <v>LITE</v>
          </cell>
        </row>
        <row r="2338">
          <cell r="A2338">
            <v>3601</v>
          </cell>
          <cell r="B2338">
            <v>3601</v>
          </cell>
          <cell r="C2338" t="str">
            <v>CERO MATRICULA</v>
          </cell>
          <cell r="D2338" t="str">
            <v>ACTIVO</v>
          </cell>
          <cell r="E2338" t="str">
            <v>BFN240</v>
          </cell>
          <cell r="F2338" t="str">
            <v>URBAEZ MAITA ISAIAS JOAQUIN</v>
          </cell>
          <cell r="G2338" t="str">
            <v>URBAEZ MAITA ISAIAS JOAQUIN</v>
          </cell>
          <cell r="H2338" t="str">
            <v>003361090</v>
          </cell>
          <cell r="I2338" t="str">
            <v>BCP</v>
          </cell>
          <cell r="J2338" t="str">
            <v>19293400338074</v>
          </cell>
          <cell r="K2338" t="str">
            <v>CE</v>
          </cell>
          <cell r="L2338">
            <v>15604466951</v>
          </cell>
          <cell r="M2338" t="str">
            <v>AEROLINEAS</v>
          </cell>
          <cell r="N2338">
            <v>45673.166666666664</v>
          </cell>
          <cell r="O2338">
            <v>0</v>
          </cell>
          <cell r="P2338" t="str">
            <v>LITE</v>
          </cell>
        </row>
        <row r="2339">
          <cell r="A2339">
            <v>9922</v>
          </cell>
          <cell r="B2339">
            <v>9922</v>
          </cell>
          <cell r="C2339" t="str">
            <v>CERO MATRICULA</v>
          </cell>
          <cell r="D2339" t="str">
            <v>ACTIVO</v>
          </cell>
          <cell r="E2339" t="str">
            <v>CPM017</v>
          </cell>
          <cell r="F2339" t="str">
            <v>Gonzalez Dominguez Miguel Angel</v>
          </cell>
          <cell r="G2339" t="str">
            <v>GONZALEZ DOMINGUEZ MIGUEL ANGEL</v>
          </cell>
          <cell r="H2339" t="str">
            <v>002315744</v>
          </cell>
          <cell r="I2339" t="str">
            <v>INTERBANK</v>
          </cell>
          <cell r="J2339" t="str">
            <v>3303504822785</v>
          </cell>
          <cell r="K2339" t="str">
            <v>CE</v>
          </cell>
          <cell r="L2339">
            <v>15603307141</v>
          </cell>
          <cell r="M2339" t="str">
            <v>URBANO</v>
          </cell>
          <cell r="N2339">
            <v>45671.083333333336</v>
          </cell>
          <cell r="O2339">
            <v>0</v>
          </cell>
          <cell r="P2339" t="str">
            <v>COMFORT XL</v>
          </cell>
        </row>
        <row r="2340">
          <cell r="A2340">
            <v>9966</v>
          </cell>
          <cell r="B2340">
            <v>9966</v>
          </cell>
          <cell r="C2340" t="str">
            <v>CERO MATRICULA</v>
          </cell>
          <cell r="D2340" t="str">
            <v>ACTIVO</v>
          </cell>
          <cell r="E2340" t="str">
            <v>CNX293</v>
          </cell>
          <cell r="F2340" t="str">
            <v>Dedios Gonzales Jhonnatan Ricardo</v>
          </cell>
          <cell r="G2340" t="str">
            <v>DEDIOS GONZALES JHONNATAN RICARDO</v>
          </cell>
          <cell r="H2340" t="str">
            <v>48079896</v>
          </cell>
          <cell r="I2340" t="str">
            <v>INTERBANK</v>
          </cell>
          <cell r="J2340" t="str">
            <v>3883123248403</v>
          </cell>
          <cell r="K2340" t="str">
            <v>DNI</v>
          </cell>
          <cell r="L2340">
            <v>10480798967</v>
          </cell>
          <cell r="M2340" t="str">
            <v>URBANO PARTNER</v>
          </cell>
          <cell r="N2340">
            <v>45671.083333333336</v>
          </cell>
          <cell r="O2340">
            <v>0</v>
          </cell>
          <cell r="P2340" t="str">
            <v>COMFORT</v>
          </cell>
        </row>
        <row r="2341">
          <cell r="A2341">
            <v>9969</v>
          </cell>
          <cell r="B2341">
            <v>9969</v>
          </cell>
          <cell r="C2341" t="str">
            <v>CERO MATRICULA</v>
          </cell>
          <cell r="D2341" t="str">
            <v>ACTIVO</v>
          </cell>
          <cell r="E2341" t="str">
            <v>BXY033</v>
          </cell>
          <cell r="F2341" t="str">
            <v>Abreu Escalona Benjamín yohany</v>
          </cell>
          <cell r="G2341" t="str">
            <v>QUIÑONES MORA MASSIEL SHINAR</v>
          </cell>
          <cell r="H2341" t="str">
            <v>49042179</v>
          </cell>
          <cell r="I2341" t="str">
            <v>BCP</v>
          </cell>
          <cell r="J2341" t="str">
            <v>19398022482006</v>
          </cell>
          <cell r="K2341" t="str">
            <v>DNI</v>
          </cell>
          <cell r="L2341">
            <v>10490421799</v>
          </cell>
          <cell r="M2341" t="str">
            <v>AEROPUERTO</v>
          </cell>
          <cell r="N2341">
            <v>45666.416666666664</v>
          </cell>
          <cell r="O2341">
            <v>265</v>
          </cell>
          <cell r="P2341" t="str">
            <v>LITE</v>
          </cell>
        </row>
        <row r="2342">
          <cell r="A2342">
            <v>9971</v>
          </cell>
          <cell r="B2342">
            <v>9971</v>
          </cell>
          <cell r="C2342" t="str">
            <v>CERO MATRICULA</v>
          </cell>
          <cell r="D2342" t="str">
            <v>ACTIVO</v>
          </cell>
          <cell r="E2342" t="str">
            <v>CNM495</v>
          </cell>
          <cell r="F2342" t="str">
            <v>Chia Marquez Rolando Antonio</v>
          </cell>
          <cell r="G2342" t="str">
            <v>CHIA MARQUEZ ROLANDO ANTONIO</v>
          </cell>
          <cell r="H2342" t="str">
            <v>45974546</v>
          </cell>
          <cell r="I2342" t="str">
            <v>BCP</v>
          </cell>
          <cell r="J2342" t="str">
            <v>19170502969018</v>
          </cell>
          <cell r="K2342" t="str">
            <v>DNI</v>
          </cell>
          <cell r="L2342">
            <v>10459745462</v>
          </cell>
          <cell r="M2342" t="str">
            <v>URBANO</v>
          </cell>
          <cell r="N2342">
            <v>45671.083333333336</v>
          </cell>
          <cell r="O2342">
            <v>0</v>
          </cell>
          <cell r="P2342" t="str">
            <v>LITE</v>
          </cell>
        </row>
        <row r="2343">
          <cell r="A2343">
            <v>9972</v>
          </cell>
          <cell r="B2343">
            <v>9972</v>
          </cell>
          <cell r="C2343" t="str">
            <v>CERO MATRICULA</v>
          </cell>
          <cell r="D2343" t="str">
            <v>ACTIVO</v>
          </cell>
          <cell r="E2343" t="str">
            <v>BVU599</v>
          </cell>
          <cell r="F2343" t="str">
            <v>RODRIGUEZ MARIN JOHANNES JEFFRIES</v>
          </cell>
          <cell r="G2343" t="str">
            <v>RODRIGUEZ MARIN JOHANNES JEFFRIES</v>
          </cell>
          <cell r="H2343" t="str">
            <v>72755633</v>
          </cell>
          <cell r="I2343" t="str">
            <v>INTERBANK</v>
          </cell>
          <cell r="J2343" t="str">
            <v>2943094620272</v>
          </cell>
          <cell r="K2343" t="str">
            <v>DNI</v>
          </cell>
          <cell r="L2343">
            <v>10727556333</v>
          </cell>
          <cell r="M2343" t="str">
            <v>URBANO</v>
          </cell>
          <cell r="N2343">
            <v>45671.083333333336</v>
          </cell>
          <cell r="O2343">
            <v>0</v>
          </cell>
          <cell r="P2343" t="str">
            <v>COMFORT XL</v>
          </cell>
        </row>
        <row r="2344">
          <cell r="A2344">
            <v>9973</v>
          </cell>
          <cell r="B2344">
            <v>9973</v>
          </cell>
          <cell r="C2344" t="str">
            <v>CERO MATRICULA</v>
          </cell>
          <cell r="D2344" t="str">
            <v>ACTIVO</v>
          </cell>
          <cell r="E2344" t="str">
            <v>BYN699</v>
          </cell>
          <cell r="F2344" t="str">
            <v>Cárdenas Sullcaray Fredy Gerardo</v>
          </cell>
          <cell r="G2344" t="str">
            <v>PECHO PACHECO MARYORY ESTEFANI</v>
          </cell>
          <cell r="H2344" t="str">
            <v>75691616</v>
          </cell>
          <cell r="I2344" t="str">
            <v>INTERBANK</v>
          </cell>
          <cell r="J2344" t="str">
            <v>8983373701299</v>
          </cell>
          <cell r="K2344" t="str">
            <v>DNI</v>
          </cell>
          <cell r="L2344">
            <v>10756916161</v>
          </cell>
          <cell r="M2344" t="str">
            <v>URBANO</v>
          </cell>
          <cell r="N2344">
            <v>45671.083333333336</v>
          </cell>
          <cell r="O2344">
            <v>0</v>
          </cell>
          <cell r="P2344" t="str">
            <v>COMFORT XL</v>
          </cell>
        </row>
        <row r="2345">
          <cell r="A2345">
            <v>9974</v>
          </cell>
          <cell r="B2345">
            <v>9974</v>
          </cell>
          <cell r="C2345" t="str">
            <v>CERO MATRICULA</v>
          </cell>
          <cell r="D2345" t="str">
            <v>ACTIVO</v>
          </cell>
          <cell r="E2345" t="str">
            <v>BLF148</v>
          </cell>
          <cell r="F2345" t="str">
            <v>Melgar Ibáñez Karina</v>
          </cell>
          <cell r="G2345" t="str">
            <v>ESPEJO MELGAR BRUNO</v>
          </cell>
          <cell r="H2345" t="str">
            <v>74654860</v>
          </cell>
          <cell r="I2345" t="str">
            <v>BCP</v>
          </cell>
          <cell r="J2345" t="str">
            <v>19106417419040</v>
          </cell>
          <cell r="K2345" t="str">
            <v>DNI</v>
          </cell>
          <cell r="L2345">
            <v>10746548601</v>
          </cell>
          <cell r="M2345" t="str">
            <v>URBANO</v>
          </cell>
          <cell r="N2345">
            <v>45671.083333333336</v>
          </cell>
          <cell r="O2345">
            <v>0</v>
          </cell>
          <cell r="P2345" t="str">
            <v>COMFORT</v>
          </cell>
        </row>
        <row r="2346">
          <cell r="A2346">
            <v>9975</v>
          </cell>
          <cell r="B2346">
            <v>9975</v>
          </cell>
          <cell r="C2346" t="str">
            <v>CERO MATRICULA</v>
          </cell>
          <cell r="D2346" t="str">
            <v>ACTIVO</v>
          </cell>
          <cell r="E2346" t="str">
            <v>CPO631</v>
          </cell>
          <cell r="F2346" t="str">
            <v>Molina Quispe Carlos ed</v>
          </cell>
          <cell r="G2346" t="str">
            <v>MOLINA QUISPE CARLOS ED</v>
          </cell>
          <cell r="H2346" t="str">
            <v>72076269</v>
          </cell>
          <cell r="I2346" t="str">
            <v>BCP</v>
          </cell>
          <cell r="J2346" t="str">
            <v>20078330388084</v>
          </cell>
          <cell r="K2346" t="str">
            <v>DNI</v>
          </cell>
          <cell r="L2346">
            <v>10720762698</v>
          </cell>
          <cell r="M2346" t="str">
            <v>URBANO</v>
          </cell>
          <cell r="N2346">
            <v>45671.083333333336</v>
          </cell>
          <cell r="O2346">
            <v>0</v>
          </cell>
          <cell r="P2346" t="str">
            <v>LITE</v>
          </cell>
        </row>
        <row r="2347">
          <cell r="A2347">
            <v>9976</v>
          </cell>
          <cell r="B2347">
            <v>9976</v>
          </cell>
          <cell r="C2347" t="str">
            <v>CERO MATRICULA</v>
          </cell>
          <cell r="D2347" t="str">
            <v>ACTIVO</v>
          </cell>
          <cell r="E2347" t="str">
            <v>CNQ585</v>
          </cell>
          <cell r="F2347" t="str">
            <v>Ccente Sinche Silvio</v>
          </cell>
          <cell r="G2347" t="str">
            <v>CCENTE SINCHE SILVIO</v>
          </cell>
          <cell r="H2347" t="str">
            <v>48270077</v>
          </cell>
          <cell r="I2347" t="str">
            <v>BCP</v>
          </cell>
          <cell r="J2347" t="str">
            <v>1977853377072</v>
          </cell>
          <cell r="K2347" t="str">
            <v>DNI</v>
          </cell>
          <cell r="L2347">
            <v>10482700778</v>
          </cell>
          <cell r="M2347" t="str">
            <v>URBANO</v>
          </cell>
          <cell r="N2347">
            <v>45671.083333333336</v>
          </cell>
          <cell r="O2347">
            <v>0</v>
          </cell>
          <cell r="P2347" t="str">
            <v>COMFORT XL</v>
          </cell>
        </row>
        <row r="2348">
          <cell r="A2348">
            <v>9978</v>
          </cell>
          <cell r="B2348">
            <v>9978</v>
          </cell>
          <cell r="C2348" t="str">
            <v>CERO MATRICULA</v>
          </cell>
          <cell r="D2348" t="str">
            <v>ACTIVO</v>
          </cell>
          <cell r="E2348" t="str">
            <v>CJG271</v>
          </cell>
          <cell r="F2348" t="str">
            <v>Tello Reyes Julio Cesar</v>
          </cell>
          <cell r="G2348" t="str">
            <v>TELLO REYES JULIO CESAR</v>
          </cell>
          <cell r="H2348" t="str">
            <v>72789839</v>
          </cell>
          <cell r="I2348" t="str">
            <v>BCP</v>
          </cell>
          <cell r="J2348" t="str">
            <v>19396020692096</v>
          </cell>
          <cell r="K2348" t="str">
            <v>DNI</v>
          </cell>
          <cell r="L2348">
            <v>10727898391</v>
          </cell>
          <cell r="M2348" t="str">
            <v>URBANO</v>
          </cell>
          <cell r="N2348">
            <v>45671.083333333336</v>
          </cell>
          <cell r="O2348">
            <v>0</v>
          </cell>
          <cell r="P2348" t="str">
            <v>COMFORT</v>
          </cell>
        </row>
        <row r="2349">
          <cell r="A2349">
            <v>9979</v>
          </cell>
          <cell r="B2349">
            <v>9979</v>
          </cell>
          <cell r="C2349" t="str">
            <v>CERO MATRICULA</v>
          </cell>
          <cell r="D2349" t="str">
            <v>ACTIVO</v>
          </cell>
          <cell r="E2349" t="str">
            <v>CMJ539</v>
          </cell>
          <cell r="F2349" t="str">
            <v xml:space="preserve">De la Cruz Reyes Juan Ignacio </v>
          </cell>
          <cell r="G2349" t="str">
            <v>DE LA CRUZ REYES JUAN IGNACIO</v>
          </cell>
          <cell r="H2349" t="str">
            <v>06050626</v>
          </cell>
          <cell r="I2349" t="str">
            <v>INTERBANK</v>
          </cell>
          <cell r="J2349" t="str">
            <v>2573453287930</v>
          </cell>
          <cell r="K2349" t="str">
            <v>DNI</v>
          </cell>
          <cell r="L2349">
            <v>10060506260</v>
          </cell>
          <cell r="M2349" t="str">
            <v>URBANO</v>
          </cell>
          <cell r="N2349">
            <v>45671.083333333336</v>
          </cell>
          <cell r="O2349">
            <v>0</v>
          </cell>
          <cell r="P2349" t="str">
            <v>COMFORT XL</v>
          </cell>
        </row>
        <row r="2350">
          <cell r="A2350">
            <v>9980</v>
          </cell>
          <cell r="B2350">
            <v>9980</v>
          </cell>
          <cell r="C2350" t="str">
            <v>CERO MATRICULA</v>
          </cell>
          <cell r="D2350" t="str">
            <v>ACTIVO</v>
          </cell>
          <cell r="E2350" t="str">
            <v>CNW681</v>
          </cell>
          <cell r="F2350" t="str">
            <v>Gamboa Huayta Eduardo Guillermo</v>
          </cell>
          <cell r="G2350" t="str">
            <v>GAMBOA HUAYTA EDUARDO GUILLERMO</v>
          </cell>
          <cell r="H2350" t="str">
            <v>42598388</v>
          </cell>
          <cell r="I2350" t="str">
            <v>BCP</v>
          </cell>
          <cell r="J2350" t="str">
            <v>19338516154004</v>
          </cell>
          <cell r="K2350" t="str">
            <v>DNI</v>
          </cell>
          <cell r="L2350">
            <v>10425983887</v>
          </cell>
          <cell r="M2350" t="str">
            <v>AEROLINEAS</v>
          </cell>
          <cell r="N2350">
            <v>45673.166666666664</v>
          </cell>
          <cell r="O2350">
            <v>0</v>
          </cell>
          <cell r="P2350" t="str">
            <v>COMFORT XL</v>
          </cell>
        </row>
        <row r="2351">
          <cell r="A2351">
            <v>9981</v>
          </cell>
          <cell r="B2351">
            <v>9981</v>
          </cell>
          <cell r="C2351" t="str">
            <v>CERO MATRICULA</v>
          </cell>
          <cell r="D2351" t="str">
            <v>ACTIVO</v>
          </cell>
          <cell r="E2351" t="str">
            <v>BTK123</v>
          </cell>
          <cell r="F2351" t="str">
            <v>RAMOS AGUERO FRANK LUIGUI</v>
          </cell>
          <cell r="G2351" t="str">
            <v>RAMOS AGUERO FRANK LUIGUI</v>
          </cell>
          <cell r="H2351" t="str">
            <v>76539101</v>
          </cell>
          <cell r="I2351" t="str">
            <v>BCP</v>
          </cell>
          <cell r="J2351" t="str">
            <v>19399016273035</v>
          </cell>
          <cell r="K2351" t="str">
            <v>DNI</v>
          </cell>
          <cell r="L2351">
            <v>10765391011</v>
          </cell>
          <cell r="M2351" t="str">
            <v>AEROLINEAS</v>
          </cell>
          <cell r="N2351">
            <v>45673.166666666664</v>
          </cell>
          <cell r="O2351">
            <v>0</v>
          </cell>
          <cell r="P2351" t="str">
            <v>LITE</v>
          </cell>
        </row>
        <row r="2352">
          <cell r="A2352">
            <v>9982</v>
          </cell>
          <cell r="B2352">
            <v>9982</v>
          </cell>
          <cell r="C2352" t="str">
            <v>CERO MATRICULA</v>
          </cell>
          <cell r="D2352" t="str">
            <v>ACTIVO</v>
          </cell>
          <cell r="E2352" t="str">
            <v>CNJ356</v>
          </cell>
          <cell r="F2352" t="str">
            <v>Juape Rojas Carlos Alberto</v>
          </cell>
          <cell r="G2352" t="str">
            <v>JUAPE ROJAS CARLOS ALBERTO</v>
          </cell>
          <cell r="H2352" t="str">
            <v>40361672</v>
          </cell>
          <cell r="I2352" t="str">
            <v>INTERBANK</v>
          </cell>
          <cell r="J2352" t="str">
            <v>898 3460801526</v>
          </cell>
          <cell r="K2352" t="str">
            <v>DNI</v>
          </cell>
          <cell r="L2352">
            <v>10403616724</v>
          </cell>
          <cell r="M2352" t="str">
            <v>AEROLINEAS</v>
          </cell>
          <cell r="N2352">
            <v>45673.166666666664</v>
          </cell>
          <cell r="O2352">
            <v>0</v>
          </cell>
          <cell r="P2352" t="str">
            <v>LITE</v>
          </cell>
        </row>
        <row r="2353">
          <cell r="A2353">
            <v>9983</v>
          </cell>
          <cell r="B2353">
            <v>9983</v>
          </cell>
          <cell r="C2353" t="str">
            <v>CERO MATRICULA</v>
          </cell>
          <cell r="D2353" t="str">
            <v>ACTIVO</v>
          </cell>
          <cell r="E2353" t="str">
            <v>BZA647</v>
          </cell>
          <cell r="F2353" t="str">
            <v>HERNÁNDEZ IZQUIERDO MARCO ANDRE</v>
          </cell>
          <cell r="G2353" t="str">
            <v>HERNANDEZ IZQUIERDO MARCO ANDRE</v>
          </cell>
          <cell r="H2353">
            <v>42952577</v>
          </cell>
          <cell r="I2353" t="str">
            <v>BCP</v>
          </cell>
          <cell r="J2353" t="str">
            <v>19436351614001</v>
          </cell>
          <cell r="K2353" t="str">
            <v>DNI</v>
          </cell>
          <cell r="L2353">
            <v>10429525778</v>
          </cell>
          <cell r="M2353" t="str">
            <v>AEROLINEAS</v>
          </cell>
          <cell r="N2353">
            <v>45673.166666666664</v>
          </cell>
          <cell r="O2353">
            <v>0</v>
          </cell>
          <cell r="P2353" t="str">
            <v>COMFORT</v>
          </cell>
        </row>
        <row r="2354">
          <cell r="A2354">
            <v>9984</v>
          </cell>
          <cell r="B2354">
            <v>9984</v>
          </cell>
          <cell r="C2354" t="str">
            <v>CERO MATRICULA</v>
          </cell>
          <cell r="D2354" t="str">
            <v>ACTIVO</v>
          </cell>
          <cell r="E2354" t="str">
            <v>CNN204</v>
          </cell>
          <cell r="F2354" t="str">
            <v>Pérez Lucart Carlos Julio</v>
          </cell>
          <cell r="G2354" t="str">
            <v>PEREZ LUCART CARLOS JULIO</v>
          </cell>
          <cell r="H2354" t="str">
            <v>003695721</v>
          </cell>
          <cell r="I2354" t="str">
            <v>BBVA</v>
          </cell>
          <cell r="J2354" t="str">
            <v>001102590200386115</v>
          </cell>
          <cell r="K2354" t="str">
            <v>CE</v>
          </cell>
          <cell r="L2354">
            <v>15609767534</v>
          </cell>
          <cell r="M2354" t="str">
            <v>AEROLINEAS</v>
          </cell>
          <cell r="N2354">
            <v>45673.166666666664</v>
          </cell>
          <cell r="O2354">
            <v>0</v>
          </cell>
          <cell r="P2354" t="str">
            <v>COMFORT</v>
          </cell>
        </row>
        <row r="2355">
          <cell r="A2355">
            <v>102</v>
          </cell>
          <cell r="B2355">
            <v>102</v>
          </cell>
          <cell r="C2355" t="str">
            <v>CERO MATRICULA</v>
          </cell>
          <cell r="D2355" t="str">
            <v>ACTIVO</v>
          </cell>
          <cell r="E2355" t="str">
            <v>CPE300</v>
          </cell>
          <cell r="F2355" t="str">
            <v>Cáceres Mendez Chaveli Zulma</v>
          </cell>
          <cell r="G2355" t="str">
            <v>CACERES MENDEZ CHAVELI ZULMA</v>
          </cell>
          <cell r="H2355" t="str">
            <v>47006078</v>
          </cell>
          <cell r="I2355" t="str">
            <v>BCP</v>
          </cell>
          <cell r="J2355" t="str">
            <v>19492375426009</v>
          </cell>
          <cell r="K2355" t="str">
            <v>DNI</v>
          </cell>
          <cell r="L2355">
            <v>10470060781</v>
          </cell>
          <cell r="M2355" t="str">
            <v>URBANO</v>
          </cell>
          <cell r="N2355">
            <v>45679.458333333336</v>
          </cell>
          <cell r="O2355">
            <v>0</v>
          </cell>
          <cell r="P2355">
            <v>0</v>
          </cell>
        </row>
        <row r="2356">
          <cell r="A2356">
            <v>104</v>
          </cell>
          <cell r="B2356">
            <v>104</v>
          </cell>
          <cell r="C2356" t="str">
            <v>CERO MATRICULA</v>
          </cell>
          <cell r="D2356" t="str">
            <v>ACTIVO</v>
          </cell>
          <cell r="E2356" t="str">
            <v>D6O193</v>
          </cell>
          <cell r="F2356" t="str">
            <v>Culqui Malca Wenceslao</v>
          </cell>
          <cell r="G2356" t="str">
            <v>CULQUI MALCA WENCESLAO</v>
          </cell>
          <cell r="H2356" t="str">
            <v>76098882</v>
          </cell>
          <cell r="I2356" t="str">
            <v>INTERBANK</v>
          </cell>
          <cell r="J2356" t="str">
            <v>0823214241807</v>
          </cell>
          <cell r="K2356" t="str">
            <v>DNI</v>
          </cell>
          <cell r="L2356">
            <v>10760988826</v>
          </cell>
          <cell r="M2356" t="str">
            <v>AEROLINEAS</v>
          </cell>
          <cell r="N2356">
            <v>45679.458333333336</v>
          </cell>
          <cell r="O2356">
            <v>0</v>
          </cell>
          <cell r="P2356" t="str">
            <v>LITE</v>
          </cell>
        </row>
        <row r="2357">
          <cell r="A2357">
            <v>105</v>
          </cell>
          <cell r="B2357">
            <v>105</v>
          </cell>
          <cell r="C2357" t="str">
            <v>CERO MATRICULA</v>
          </cell>
          <cell r="D2357" t="str">
            <v>ACTIVO</v>
          </cell>
          <cell r="E2357" t="str">
            <v>CJG370</v>
          </cell>
          <cell r="F2357" t="str">
            <v>CARPIO ORUNA Brenda Paola</v>
          </cell>
          <cell r="G2357" t="str">
            <v>CARPIO ORUNA BRENDA PAOLA</v>
          </cell>
          <cell r="H2357" t="str">
            <v>46623616</v>
          </cell>
          <cell r="I2357" t="str">
            <v>BCP</v>
          </cell>
          <cell r="J2357" t="str">
            <v>19399212645091</v>
          </cell>
          <cell r="K2357" t="str">
            <v>DNI</v>
          </cell>
          <cell r="L2357">
            <v>10466236166</v>
          </cell>
          <cell r="M2357" t="str">
            <v>URBANO</v>
          </cell>
          <cell r="N2357">
            <v>45679.458333333336</v>
          </cell>
          <cell r="O2357">
            <v>0</v>
          </cell>
          <cell r="P2357">
            <v>0</v>
          </cell>
        </row>
        <row r="2358">
          <cell r="A2358">
            <v>108</v>
          </cell>
          <cell r="B2358">
            <v>108</v>
          </cell>
          <cell r="C2358" t="str">
            <v>CERO MATRICULA</v>
          </cell>
          <cell r="D2358" t="str">
            <v>ACTIVO</v>
          </cell>
          <cell r="E2358" t="str">
            <v>CDU306</v>
          </cell>
          <cell r="F2358" t="str">
            <v>ZUÑIGA VELA ABRAHAM JOSE</v>
          </cell>
          <cell r="G2358" t="str">
            <v>ZUÑIGA VELA ABRAHAM JOSE</v>
          </cell>
          <cell r="H2358" t="str">
            <v>10791442</v>
          </cell>
          <cell r="I2358" t="str">
            <v>BBVA</v>
          </cell>
          <cell r="J2358" t="str">
            <v>001100570237790996</v>
          </cell>
          <cell r="K2358" t="str">
            <v>DNI</v>
          </cell>
          <cell r="L2358">
            <v>10107914426</v>
          </cell>
          <cell r="M2358" t="str">
            <v>URBANO</v>
          </cell>
          <cell r="N2358">
            <v>45679.458333333336</v>
          </cell>
          <cell r="O2358">
            <v>0</v>
          </cell>
          <cell r="P2358">
            <v>0</v>
          </cell>
        </row>
        <row r="2359">
          <cell r="A2359">
            <v>1175</v>
          </cell>
          <cell r="B2359">
            <v>1175</v>
          </cell>
          <cell r="C2359" t="str">
            <v>CERO MATRICULA</v>
          </cell>
          <cell r="D2359" t="str">
            <v>ACTIVO</v>
          </cell>
          <cell r="E2359" t="str">
            <v>CPK453</v>
          </cell>
          <cell r="F2359" t="str">
            <v>Alcantara Coronado José Ignacio</v>
          </cell>
          <cell r="G2359" t="str">
            <v>ALCANTARA CORONADO JOSE IGNACIO</v>
          </cell>
          <cell r="H2359" t="str">
            <v>004320075</v>
          </cell>
          <cell r="I2359" t="str">
            <v>BCP</v>
          </cell>
          <cell r="J2359" t="str">
            <v>19195513005081</v>
          </cell>
          <cell r="K2359" t="str">
            <v>CE</v>
          </cell>
          <cell r="L2359">
            <v>15605672385</v>
          </cell>
          <cell r="M2359" t="str">
            <v>AEROLINEAS</v>
          </cell>
          <cell r="N2359">
            <v>45680.125</v>
          </cell>
          <cell r="O2359">
            <v>0</v>
          </cell>
          <cell r="P2359" t="str">
            <v>LITE</v>
          </cell>
        </row>
        <row r="2360">
          <cell r="A2360">
            <v>1537</v>
          </cell>
          <cell r="B2360">
            <v>1537</v>
          </cell>
          <cell r="C2360" t="str">
            <v>CERO MATRICULA</v>
          </cell>
          <cell r="D2360" t="str">
            <v>ACTIVO</v>
          </cell>
          <cell r="E2360" t="str">
            <v>BAP580</v>
          </cell>
          <cell r="F2360" t="str">
            <v>Calderon Chinchay Nilver</v>
          </cell>
          <cell r="G2360" t="str">
            <v>QUISPE LAGOS HAYDEE</v>
          </cell>
          <cell r="H2360" t="str">
            <v>40530039</v>
          </cell>
          <cell r="I2360" t="str">
            <v>INTERBANK</v>
          </cell>
          <cell r="J2360" t="str">
            <v>8983456321234</v>
          </cell>
          <cell r="K2360" t="str">
            <v>DNI</v>
          </cell>
          <cell r="L2360">
            <v>10405300392</v>
          </cell>
          <cell r="M2360" t="str">
            <v>AEROLINEAS</v>
          </cell>
          <cell r="N2360">
            <v>45680.125</v>
          </cell>
          <cell r="O2360">
            <v>0</v>
          </cell>
          <cell r="P2360" t="str">
            <v>COMFORT</v>
          </cell>
        </row>
        <row r="2361">
          <cell r="A2361">
            <v>1538</v>
          </cell>
          <cell r="B2361">
            <v>1538</v>
          </cell>
          <cell r="C2361" t="str">
            <v>CERO MATRICULA</v>
          </cell>
          <cell r="D2361" t="str">
            <v>ACTIVO</v>
          </cell>
          <cell r="E2361" t="str">
            <v>CPF081</v>
          </cell>
          <cell r="F2361" t="str">
            <v>MASUDA CANALES TEODORO ALEJANDRO</v>
          </cell>
          <cell r="G2361" t="str">
            <v xml:space="preserve"> MASUDA NIEVES KENYI ALEJANDRO</v>
          </cell>
          <cell r="H2361" t="str">
            <v>15748644</v>
          </cell>
          <cell r="I2361" t="str">
            <v>BCP</v>
          </cell>
          <cell r="J2361" t="str">
            <v>19403744310030</v>
          </cell>
          <cell r="K2361" t="str">
            <v>DNI</v>
          </cell>
          <cell r="L2361">
            <v>10743608301</v>
          </cell>
          <cell r="M2361" t="str">
            <v>AEROLINEAS</v>
          </cell>
          <cell r="N2361">
            <v>45680.125</v>
          </cell>
          <cell r="O2361">
            <v>0</v>
          </cell>
          <cell r="P2361" t="str">
            <v>COMFORT XL</v>
          </cell>
        </row>
        <row r="2362">
          <cell r="A2362">
            <v>1633</v>
          </cell>
          <cell r="B2362">
            <v>1633</v>
          </cell>
          <cell r="C2362" t="str">
            <v>CERO MATRICULA</v>
          </cell>
          <cell r="D2362" t="str">
            <v>ACTIVO</v>
          </cell>
          <cell r="E2362" t="str">
            <v>BPF172</v>
          </cell>
          <cell r="F2362" t="str">
            <v>Villanueva Tapia Alexander Daniel</v>
          </cell>
          <cell r="G2362" t="str">
            <v>AEDO MARIÑOS CAROLAY MADELEYNE</v>
          </cell>
          <cell r="H2362" t="str">
            <v>70558084</v>
          </cell>
          <cell r="I2362" t="str">
            <v>INTERBANK</v>
          </cell>
          <cell r="J2362" t="str">
            <v>8983451614268</v>
          </cell>
          <cell r="K2362" t="str">
            <v>DNI</v>
          </cell>
          <cell r="L2362">
            <v>10705580842</v>
          </cell>
          <cell r="M2362" t="str">
            <v>AEROPUERTO</v>
          </cell>
          <cell r="N2362">
            <v>45678.416666666664</v>
          </cell>
          <cell r="O2362">
            <v>235</v>
          </cell>
          <cell r="P2362" t="str">
            <v>COMFORT XL</v>
          </cell>
        </row>
        <row r="2363">
          <cell r="A2363">
            <v>1712</v>
          </cell>
          <cell r="B2363">
            <v>1712</v>
          </cell>
          <cell r="C2363" t="str">
            <v>CERO MATRICULA</v>
          </cell>
          <cell r="D2363" t="str">
            <v>ACTIVO</v>
          </cell>
          <cell r="E2363" t="str">
            <v>AUC271</v>
          </cell>
          <cell r="F2363" t="str">
            <v>Sanchez Avellaneda Joan Manuel</v>
          </cell>
          <cell r="G2363" t="str">
            <v>SANCHEZ AVELLANEDA JOAN MANUEL</v>
          </cell>
          <cell r="H2363" t="str">
            <v>06674149</v>
          </cell>
          <cell r="I2363" t="str">
            <v>BCP</v>
          </cell>
          <cell r="J2363" t="str">
            <v>19436421267057</v>
          </cell>
          <cell r="K2363" t="str">
            <v>DNI</v>
          </cell>
          <cell r="L2363">
            <v>10066741490</v>
          </cell>
          <cell r="M2363" t="str">
            <v>URBANO</v>
          </cell>
          <cell r="N2363">
            <v>45678.083333333336</v>
          </cell>
          <cell r="O2363">
            <v>0</v>
          </cell>
          <cell r="P2363" t="str">
            <v>COMFORT</v>
          </cell>
        </row>
        <row r="2364">
          <cell r="A2364">
            <v>1713</v>
          </cell>
          <cell r="B2364">
            <v>1713</v>
          </cell>
          <cell r="C2364" t="str">
            <v>CERO MATRICULA</v>
          </cell>
          <cell r="D2364" t="str">
            <v>ACTIVO</v>
          </cell>
          <cell r="E2364" t="str">
            <v>CPJ630</v>
          </cell>
          <cell r="F2364" t="str">
            <v>De Loayza Aguilar Claudio Alfredo</v>
          </cell>
          <cell r="G2364" t="str">
            <v>DE LOAYZA AGUILAR CLAUDIO ALFREDO</v>
          </cell>
          <cell r="H2364" t="str">
            <v>08245304</v>
          </cell>
          <cell r="I2364" t="str">
            <v>INTERBANK</v>
          </cell>
          <cell r="J2364" t="str">
            <v>2473111458883</v>
          </cell>
          <cell r="K2364" t="str">
            <v>DNI</v>
          </cell>
          <cell r="L2364">
            <v>10082453046</v>
          </cell>
          <cell r="M2364" t="str">
            <v>URBANO</v>
          </cell>
          <cell r="N2364">
            <v>45678.083333333336</v>
          </cell>
          <cell r="O2364">
            <v>0</v>
          </cell>
          <cell r="P2364" t="str">
            <v>XL</v>
          </cell>
        </row>
        <row r="2365">
          <cell r="A2365">
            <v>1714</v>
          </cell>
          <cell r="B2365">
            <v>1714</v>
          </cell>
          <cell r="C2365" t="str">
            <v>CERO MATRICULA</v>
          </cell>
          <cell r="D2365" t="str">
            <v>ACTIVO</v>
          </cell>
          <cell r="E2365" t="str">
            <v>Z7U195</v>
          </cell>
          <cell r="F2365" t="str">
            <v>Paredes Chavez Jhon francis</v>
          </cell>
          <cell r="G2365" t="str">
            <v>PAREDES CHAVEZ JHON FRANCIS</v>
          </cell>
          <cell r="H2365" t="str">
            <v>72613180</v>
          </cell>
          <cell r="I2365" t="str">
            <v>BCP</v>
          </cell>
          <cell r="J2365" t="str">
            <v>19138374405024</v>
          </cell>
          <cell r="K2365" t="str">
            <v>DNI</v>
          </cell>
          <cell r="L2365">
            <v>10726131801</v>
          </cell>
          <cell r="M2365" t="str">
            <v>URBANO</v>
          </cell>
          <cell r="N2365">
            <v>45678.083333333336</v>
          </cell>
          <cell r="O2365">
            <v>0</v>
          </cell>
          <cell r="P2365" t="str">
            <v>LITE</v>
          </cell>
        </row>
        <row r="2366">
          <cell r="A2366">
            <v>1715</v>
          </cell>
          <cell r="B2366">
            <v>1715</v>
          </cell>
          <cell r="C2366" t="str">
            <v>CERO MATRICULA</v>
          </cell>
          <cell r="D2366" t="str">
            <v>ACTIVO</v>
          </cell>
          <cell r="E2366" t="str">
            <v>BSJ141</v>
          </cell>
          <cell r="F2366" t="str">
            <v xml:space="preserve">Caceda Ruiz Ostin Manfredo </v>
          </cell>
          <cell r="G2366" t="str">
            <v>CACEDA RUIZ OSTIN MANFREDO</v>
          </cell>
          <cell r="H2366" t="str">
            <v>18903842</v>
          </cell>
          <cell r="I2366" t="str">
            <v>BCP</v>
          </cell>
          <cell r="J2366" t="str">
            <v>19194811964058</v>
          </cell>
          <cell r="K2366" t="str">
            <v>DNI</v>
          </cell>
          <cell r="L2366">
            <v>10189038424</v>
          </cell>
          <cell r="M2366" t="str">
            <v>URBANO</v>
          </cell>
          <cell r="N2366">
            <v>45678.083333333336</v>
          </cell>
          <cell r="O2366">
            <v>0</v>
          </cell>
          <cell r="P2366" t="str">
            <v>COMFORT</v>
          </cell>
        </row>
        <row r="2367">
          <cell r="A2367">
            <v>1716</v>
          </cell>
          <cell r="B2367">
            <v>1716</v>
          </cell>
          <cell r="C2367" t="str">
            <v>CERO MATRICULA</v>
          </cell>
          <cell r="D2367" t="str">
            <v>ACTIVO</v>
          </cell>
          <cell r="E2367" t="str">
            <v>ASG694</v>
          </cell>
          <cell r="F2367" t="str">
            <v>Peña Tueros Joan</v>
          </cell>
          <cell r="G2367" t="str">
            <v>PEÑA TUEROS JOAN EDER</v>
          </cell>
          <cell r="H2367" t="str">
            <v>42638028</v>
          </cell>
          <cell r="I2367" t="str">
            <v>BBVA</v>
          </cell>
          <cell r="J2367" t="str">
            <v>001101470200791460</v>
          </cell>
          <cell r="K2367" t="str">
            <v>DNI</v>
          </cell>
          <cell r="L2367">
            <v>10426380281</v>
          </cell>
          <cell r="M2367" t="str">
            <v>URBANO</v>
          </cell>
          <cell r="N2367">
            <v>45678.083333333336</v>
          </cell>
          <cell r="O2367">
            <v>0</v>
          </cell>
          <cell r="P2367" t="str">
            <v>COMFORT</v>
          </cell>
        </row>
        <row r="2368">
          <cell r="A2368">
            <v>1717</v>
          </cell>
          <cell r="B2368">
            <v>1717</v>
          </cell>
          <cell r="C2368" t="str">
            <v>CERO MATRICULA</v>
          </cell>
          <cell r="D2368" t="str">
            <v>ACTIVO</v>
          </cell>
          <cell r="E2368" t="str">
            <v>AXS564</v>
          </cell>
          <cell r="F2368" t="str">
            <v>Bustamante Romero Raúl Alberto</v>
          </cell>
          <cell r="G2368" t="str">
            <v>BUSTAMANTE ROMERO RAUL ALBERTO</v>
          </cell>
          <cell r="H2368" t="str">
            <v>08620141</v>
          </cell>
          <cell r="I2368" t="str">
            <v>BANCO DE LA NACIÓN</v>
          </cell>
          <cell r="J2368" t="str">
            <v>04005885723</v>
          </cell>
          <cell r="K2368" t="str">
            <v>DNI</v>
          </cell>
          <cell r="L2368">
            <v>10086201416</v>
          </cell>
          <cell r="M2368" t="str">
            <v>AEROLINEAS</v>
          </cell>
          <cell r="N2368">
            <v>45678.083333333336</v>
          </cell>
          <cell r="O2368">
            <v>0</v>
          </cell>
          <cell r="P2368" t="str">
            <v>COMFORT</v>
          </cell>
        </row>
        <row r="2369">
          <cell r="A2369">
            <v>1718</v>
          </cell>
          <cell r="B2369">
            <v>1718</v>
          </cell>
          <cell r="C2369" t="str">
            <v>CERO MATRICULA</v>
          </cell>
          <cell r="D2369" t="str">
            <v>ACTIVO</v>
          </cell>
          <cell r="E2369" t="str">
            <v>CNF450</v>
          </cell>
          <cell r="F2369" t="str">
            <v>Nonato Panduro Richard Antonio</v>
          </cell>
          <cell r="G2369" t="str">
            <v>NONATO PANDURO RICHARD ANTONIO</v>
          </cell>
          <cell r="H2369" t="str">
            <v>40211018</v>
          </cell>
          <cell r="I2369" t="str">
            <v>BBVA</v>
          </cell>
          <cell r="J2369" t="str">
            <v>001108140224227952</v>
          </cell>
          <cell r="K2369" t="str">
            <v>DNI</v>
          </cell>
          <cell r="L2369">
            <v>10402110185</v>
          </cell>
          <cell r="M2369" t="str">
            <v>URBANO</v>
          </cell>
          <cell r="N2369">
            <v>45678.083333333336</v>
          </cell>
          <cell r="O2369">
            <v>0</v>
          </cell>
          <cell r="P2369" t="str">
            <v>XL</v>
          </cell>
        </row>
        <row r="2370">
          <cell r="A2370">
            <v>9963</v>
          </cell>
          <cell r="B2370">
            <v>9963</v>
          </cell>
          <cell r="C2370" t="str">
            <v>CERO MATRICULA</v>
          </cell>
          <cell r="D2370" t="str">
            <v>ACTIVO</v>
          </cell>
          <cell r="E2370" t="str">
            <v>CPG628</v>
          </cell>
          <cell r="F2370" t="str">
            <v>GRAJEDA MONTES JOSE ANTONIO</v>
          </cell>
          <cell r="G2370" t="str">
            <v>GRAJEDA MONTES JOSE ANTONIO</v>
          </cell>
          <cell r="H2370" t="str">
            <v>40472609</v>
          </cell>
          <cell r="I2370" t="str">
            <v>BCP</v>
          </cell>
          <cell r="J2370" t="str">
            <v>19498125352015</v>
          </cell>
          <cell r="K2370" t="str">
            <v>DNI</v>
          </cell>
          <cell r="L2370">
            <v>10404726094</v>
          </cell>
          <cell r="M2370" t="str">
            <v>URBANO</v>
          </cell>
          <cell r="N2370">
            <v>45678.083333333336</v>
          </cell>
          <cell r="O2370">
            <v>0</v>
          </cell>
          <cell r="P2370" t="str">
            <v>COMFORT XL</v>
          </cell>
        </row>
        <row r="2371">
          <cell r="A2371">
            <v>9987</v>
          </cell>
          <cell r="B2371">
            <v>9987</v>
          </cell>
          <cell r="C2371" t="str">
            <v>CERO MATRICULA</v>
          </cell>
          <cell r="D2371" t="str">
            <v>ACTIVO</v>
          </cell>
          <cell r="E2371" t="str">
            <v>BEX354</v>
          </cell>
          <cell r="F2371" t="str">
            <v>PRADO ESPINOZA ADLER ARNOL</v>
          </cell>
          <cell r="G2371" t="str">
            <v>ESPINOZA PITTMAN CARMEN ROSA</v>
          </cell>
          <cell r="H2371" t="str">
            <v>31825170</v>
          </cell>
          <cell r="I2371" t="str">
            <v>INTERBANK</v>
          </cell>
          <cell r="J2371" t="str">
            <v>1613419576221</v>
          </cell>
          <cell r="K2371" t="str">
            <v>DNI</v>
          </cell>
          <cell r="L2371">
            <v>10318251709</v>
          </cell>
          <cell r="M2371" t="str">
            <v>URBANO PARTNER</v>
          </cell>
          <cell r="N2371">
            <v>45680.416666666664</v>
          </cell>
          <cell r="O2371">
            <v>0</v>
          </cell>
          <cell r="P2371" t="str">
            <v>LITE</v>
          </cell>
        </row>
        <row r="2372">
          <cell r="A2372">
            <v>9988</v>
          </cell>
          <cell r="B2372">
            <v>9988</v>
          </cell>
          <cell r="C2372" t="str">
            <v>CERO MATRICULA</v>
          </cell>
          <cell r="D2372" t="str">
            <v>ACTIVO</v>
          </cell>
          <cell r="E2372" t="str">
            <v>CHJ527</v>
          </cell>
          <cell r="F2372" t="str">
            <v xml:space="preserve">Collanqui Condori José Wilfredo </v>
          </cell>
          <cell r="G2372" t="str">
            <v>COLLANQUI CONDORI JOSE WILFREDO</v>
          </cell>
          <cell r="H2372" t="str">
            <v>09486578</v>
          </cell>
          <cell r="I2372" t="str">
            <v>INTERBANK</v>
          </cell>
          <cell r="J2372" t="str">
            <v>3783360467235</v>
          </cell>
          <cell r="K2372" t="str">
            <v>DNI</v>
          </cell>
          <cell r="L2372">
            <v>10094865781</v>
          </cell>
          <cell r="M2372" t="str">
            <v>AEROPUERTO</v>
          </cell>
          <cell r="N2372">
            <v>45678.416666666664</v>
          </cell>
          <cell r="O2372">
            <v>240</v>
          </cell>
          <cell r="P2372" t="str">
            <v>XL</v>
          </cell>
        </row>
        <row r="2373">
          <cell r="A2373">
            <v>9989</v>
          </cell>
          <cell r="B2373">
            <v>9989</v>
          </cell>
          <cell r="C2373" t="str">
            <v>CERO MATRICULA</v>
          </cell>
          <cell r="D2373" t="str">
            <v>ACTIVO</v>
          </cell>
          <cell r="E2373" t="str">
            <v>CHZ048</v>
          </cell>
          <cell r="F2373" t="str">
            <v xml:space="preserve">VALLEJO SUSANIBAR VICTOR SEBASTIAN </v>
          </cell>
          <cell r="G2373" t="str">
            <v>VALLEJO SUSANIBAR VICTOR SEBASTIAN</v>
          </cell>
          <cell r="H2373" t="str">
            <v>43229227</v>
          </cell>
          <cell r="I2373" t="str">
            <v>BCP</v>
          </cell>
          <cell r="J2373" t="str">
            <v>37527099382069</v>
          </cell>
          <cell r="K2373" t="str">
            <v>DNI</v>
          </cell>
          <cell r="L2373">
            <v>10432292270</v>
          </cell>
          <cell r="M2373" t="str">
            <v>AEROPUERTO</v>
          </cell>
          <cell r="N2373">
            <v>45678.416666666664</v>
          </cell>
          <cell r="O2373">
            <v>240</v>
          </cell>
          <cell r="P2373" t="str">
            <v>XL</v>
          </cell>
        </row>
        <row r="2374">
          <cell r="A2374">
            <v>9997</v>
          </cell>
          <cell r="B2374">
            <v>9997</v>
          </cell>
          <cell r="C2374" t="str">
            <v>CERO MATRICULA</v>
          </cell>
          <cell r="D2374" t="str">
            <v>ACTIVO</v>
          </cell>
          <cell r="E2374" t="str">
            <v>CNI624</v>
          </cell>
          <cell r="F2374" t="str">
            <v>Valladares Rojas Jhonny Germit</v>
          </cell>
          <cell r="G2374" t="str">
            <v>VALLADARES ROJAS JHONNY GERMIT</v>
          </cell>
          <cell r="H2374" t="str">
            <v>006101771</v>
          </cell>
          <cell r="I2374" t="str">
            <v>BCP</v>
          </cell>
          <cell r="J2374" t="str">
            <v>19192058771055</v>
          </cell>
          <cell r="K2374" t="str">
            <v>CE</v>
          </cell>
          <cell r="L2374">
            <v>15608548481</v>
          </cell>
          <cell r="M2374" t="str">
            <v>AEROPUERTO</v>
          </cell>
          <cell r="N2374">
            <v>45678.416666666664</v>
          </cell>
          <cell r="O2374">
            <v>265</v>
          </cell>
          <cell r="P2374" t="str">
            <v>LITE</v>
          </cell>
        </row>
        <row r="2375">
          <cell r="A2375">
            <v>1087</v>
          </cell>
          <cell r="B2375">
            <v>1087</v>
          </cell>
          <cell r="C2375" t="str">
            <v>CERO MATRICULA</v>
          </cell>
          <cell r="D2375" t="str">
            <v>ACTIVO</v>
          </cell>
          <cell r="E2375" t="str">
            <v>CNL577</v>
          </cell>
          <cell r="F2375" t="str">
            <v>Condori Vasquez Geraldo Jesus</v>
          </cell>
          <cell r="G2375" t="str">
            <v>CONDORI VASQUEZ GERALDO JESUS</v>
          </cell>
          <cell r="H2375" t="str">
            <v>75749651</v>
          </cell>
          <cell r="I2375" t="str">
            <v>INTERBANK</v>
          </cell>
          <cell r="J2375" t="str">
            <v>7443213707824</v>
          </cell>
          <cell r="K2375" t="str">
            <v>DNI</v>
          </cell>
          <cell r="L2375">
            <v>10757496513</v>
          </cell>
          <cell r="M2375" t="str">
            <v>URBANO PARTNER</v>
          </cell>
          <cell r="N2375">
            <v>45680.416666666664</v>
          </cell>
          <cell r="O2375">
            <v>0</v>
          </cell>
          <cell r="P2375" t="str">
            <v>XL</v>
          </cell>
        </row>
        <row r="2376">
          <cell r="A2376">
            <v>1279</v>
          </cell>
          <cell r="B2376">
            <v>1279</v>
          </cell>
          <cell r="C2376" t="str">
            <v>CERO MATRICULA</v>
          </cell>
          <cell r="D2376" t="str">
            <v>ACTIVO</v>
          </cell>
          <cell r="E2376" t="str">
            <v>CPO422</v>
          </cell>
          <cell r="F2376" t="str">
            <v>Gomez Morillo Christian</v>
          </cell>
          <cell r="G2376" t="str">
            <v>GOMEZ MORILLO CHRISTIAN DANIEL</v>
          </cell>
          <cell r="H2376" t="str">
            <v>003219974</v>
          </cell>
          <cell r="I2376" t="str">
            <v>BCP</v>
          </cell>
          <cell r="J2376" t="str">
            <v>19490937553011</v>
          </cell>
          <cell r="K2376" t="str">
            <v>CE</v>
          </cell>
          <cell r="L2376">
            <v>15605317640</v>
          </cell>
          <cell r="M2376" t="str">
            <v>AEROLINEAS</v>
          </cell>
          <cell r="N2376">
            <v>45687.125</v>
          </cell>
          <cell r="O2376">
            <v>0</v>
          </cell>
          <cell r="P2376" t="str">
            <v>XL</v>
          </cell>
        </row>
        <row r="2377">
          <cell r="A2377">
            <v>1541</v>
          </cell>
          <cell r="B2377">
            <v>1541</v>
          </cell>
          <cell r="C2377" t="str">
            <v>CERO MATRICULA</v>
          </cell>
          <cell r="D2377" t="str">
            <v>ACTIVO</v>
          </cell>
          <cell r="E2377" t="str">
            <v>CAL418</v>
          </cell>
          <cell r="F2377" t="str">
            <v>Goitia Henríquez José Daniel</v>
          </cell>
          <cell r="G2377" t="str">
            <v>GOITIA HENRIQUEZ JOSE DANIEL</v>
          </cell>
          <cell r="H2377" t="str">
            <v>005901776</v>
          </cell>
          <cell r="I2377" t="str">
            <v>BCP</v>
          </cell>
          <cell r="J2377" t="str">
            <v>19105658532087</v>
          </cell>
          <cell r="K2377" t="str">
            <v>CE</v>
          </cell>
          <cell r="L2377">
            <v>15608747874</v>
          </cell>
          <cell r="M2377" t="str">
            <v>AEROPUERTO</v>
          </cell>
          <cell r="N2377">
            <v>45685.416666666664</v>
          </cell>
          <cell r="O2377">
            <v>265</v>
          </cell>
          <cell r="P2377" t="str">
            <v>LITE</v>
          </cell>
        </row>
        <row r="2378">
          <cell r="A2378">
            <v>1542</v>
          </cell>
          <cell r="B2378">
            <v>1542</v>
          </cell>
          <cell r="C2378" t="str">
            <v>CERO MATRICULA</v>
          </cell>
          <cell r="D2378" t="str">
            <v>ACTIVO</v>
          </cell>
          <cell r="E2378" t="str">
            <v>D5W334</v>
          </cell>
          <cell r="F2378" t="str">
            <v>Urrutia Honores José Antonio</v>
          </cell>
          <cell r="G2378" t="str">
            <v>URRUTIA HONORES JOSE ANTONIO</v>
          </cell>
          <cell r="H2378" t="str">
            <v>44050113</v>
          </cell>
          <cell r="I2378" t="str">
            <v>BCP</v>
          </cell>
          <cell r="J2378" t="str">
            <v>19498357972084</v>
          </cell>
          <cell r="K2378" t="str">
            <v>DNI</v>
          </cell>
          <cell r="L2378">
            <v>10440501139</v>
          </cell>
          <cell r="M2378" t="str">
            <v>URBANO</v>
          </cell>
          <cell r="N2378">
            <v>45685.083333333336</v>
          </cell>
          <cell r="O2378">
            <v>0</v>
          </cell>
          <cell r="P2378" t="str">
            <v>LITE</v>
          </cell>
        </row>
        <row r="2379">
          <cell r="A2379">
            <v>1543</v>
          </cell>
          <cell r="B2379">
            <v>1543</v>
          </cell>
          <cell r="C2379" t="str">
            <v>CERO MATRICULA</v>
          </cell>
          <cell r="D2379" t="str">
            <v>ACTIVO</v>
          </cell>
          <cell r="E2379" t="str">
            <v>APC386</v>
          </cell>
          <cell r="F2379" t="str">
            <v xml:space="preserve">Rojas Terraza Juan Antonio </v>
          </cell>
          <cell r="G2379" t="str">
            <v>ROJAS TERRAZAS JUAN ANTONIO</v>
          </cell>
          <cell r="H2379" t="str">
            <v>10193330</v>
          </cell>
          <cell r="I2379" t="str">
            <v>BBVA</v>
          </cell>
          <cell r="J2379" t="str">
            <v>001108140254172346</v>
          </cell>
          <cell r="K2379" t="str">
            <v>DNI</v>
          </cell>
          <cell r="L2379">
            <v>10101933305</v>
          </cell>
          <cell r="M2379" t="str">
            <v>URBANO</v>
          </cell>
          <cell r="N2379">
            <v>45685.083333333336</v>
          </cell>
          <cell r="O2379">
            <v>0</v>
          </cell>
          <cell r="P2379" t="str">
            <v>LITE</v>
          </cell>
        </row>
        <row r="2380">
          <cell r="A2380">
            <v>1545</v>
          </cell>
          <cell r="B2380">
            <v>1545</v>
          </cell>
          <cell r="C2380" t="str">
            <v>CERO MATRICULA</v>
          </cell>
          <cell r="D2380" t="str">
            <v>ACTIVO</v>
          </cell>
          <cell r="E2380" t="str">
            <v>BTE300</v>
          </cell>
          <cell r="F2380" t="str">
            <v>Edquen Sacatoma Angel Edhu</v>
          </cell>
          <cell r="G2380" t="str">
            <v>ARTEAGA SANCHEZ JAVIER DACIO</v>
          </cell>
          <cell r="H2380" t="str">
            <v>08594577</v>
          </cell>
          <cell r="I2380" t="str">
            <v>BCP</v>
          </cell>
          <cell r="J2380" t="str">
            <v>19190676060077</v>
          </cell>
          <cell r="K2380" t="str">
            <v>DNI</v>
          </cell>
          <cell r="L2380">
            <v>10085945772</v>
          </cell>
          <cell r="M2380" t="str">
            <v>URBANO</v>
          </cell>
          <cell r="N2380">
            <v>45685.083333333336</v>
          </cell>
          <cell r="O2380">
            <v>0</v>
          </cell>
          <cell r="P2380" t="str">
            <v>LITE</v>
          </cell>
        </row>
        <row r="2381">
          <cell r="A2381">
            <v>1546</v>
          </cell>
          <cell r="B2381">
            <v>1546</v>
          </cell>
          <cell r="C2381" t="str">
            <v>CERO MATRICULA</v>
          </cell>
          <cell r="D2381" t="str">
            <v>ACTIVO</v>
          </cell>
          <cell r="E2381" t="str">
            <v>BZO404</v>
          </cell>
          <cell r="F2381" t="str">
            <v>Giron Montero Oswaldo Daniel</v>
          </cell>
          <cell r="G2381" t="str">
            <v>GIRON MONTERO OSWALDO DANIEL</v>
          </cell>
          <cell r="H2381" t="str">
            <v>40119710</v>
          </cell>
          <cell r="I2381" t="str">
            <v>BBVA</v>
          </cell>
          <cell r="J2381" t="str">
            <v>001100570228900126</v>
          </cell>
          <cell r="K2381" t="str">
            <v>DNI</v>
          </cell>
          <cell r="L2381">
            <v>10401197104</v>
          </cell>
          <cell r="M2381" t="str">
            <v>URBANO</v>
          </cell>
          <cell r="N2381">
            <v>45685.083333333336</v>
          </cell>
          <cell r="O2381">
            <v>0</v>
          </cell>
          <cell r="P2381" t="str">
            <v>COMFORT XL</v>
          </cell>
        </row>
        <row r="2382">
          <cell r="A2382">
            <v>1547</v>
          </cell>
          <cell r="B2382">
            <v>1547</v>
          </cell>
          <cell r="C2382" t="str">
            <v>CERO MATRICULA</v>
          </cell>
          <cell r="D2382" t="str">
            <v>ACTIVO</v>
          </cell>
          <cell r="E2382" t="str">
            <v>BWR581</v>
          </cell>
          <cell r="F2382" t="str">
            <v>Tineo Casas Romina María</v>
          </cell>
          <cell r="G2382" t="str">
            <v>TINEO CASAS ROMINA MARIA</v>
          </cell>
          <cell r="H2382" t="str">
            <v>72914560</v>
          </cell>
          <cell r="I2382" t="str">
            <v>BBVA</v>
          </cell>
          <cell r="J2382" t="str">
            <v>001108140269583520</v>
          </cell>
          <cell r="K2382" t="str">
            <v>DNI</v>
          </cell>
          <cell r="L2382">
            <v>10729145608</v>
          </cell>
          <cell r="M2382" t="str">
            <v>URBANO</v>
          </cell>
          <cell r="N2382">
            <v>45685.083333333336</v>
          </cell>
          <cell r="O2382">
            <v>0</v>
          </cell>
          <cell r="P2382" t="str">
            <v>COMFORT</v>
          </cell>
        </row>
        <row r="2383">
          <cell r="A2383">
            <v>1548</v>
          </cell>
          <cell r="B2383">
            <v>1548</v>
          </cell>
          <cell r="C2383" t="str">
            <v>CERO MATRICULA</v>
          </cell>
          <cell r="D2383" t="str">
            <v>ACTIVO</v>
          </cell>
          <cell r="E2383" t="str">
            <v>BYH176</v>
          </cell>
          <cell r="F2383" t="str">
            <v>Olaya Rosillo Wilfredo Pascual</v>
          </cell>
          <cell r="G2383" t="str">
            <v>OLAYA ROSILLO WILFREDO PASCUAL</v>
          </cell>
          <cell r="H2383" t="str">
            <v>25710685</v>
          </cell>
          <cell r="I2383" t="str">
            <v>BCP</v>
          </cell>
          <cell r="J2383" t="str">
            <v>19196762995096</v>
          </cell>
          <cell r="K2383" t="str">
            <v>DNI</v>
          </cell>
          <cell r="L2383">
            <v>10257106859</v>
          </cell>
          <cell r="M2383" t="str">
            <v>URBANO</v>
          </cell>
          <cell r="N2383">
            <v>45685.083333333336</v>
          </cell>
          <cell r="O2383">
            <v>0</v>
          </cell>
          <cell r="P2383" t="str">
            <v>COMFORT XL</v>
          </cell>
        </row>
        <row r="2384">
          <cell r="A2384">
            <v>1549</v>
          </cell>
          <cell r="B2384">
            <v>1549</v>
          </cell>
          <cell r="C2384" t="str">
            <v>CERO MATRICULA</v>
          </cell>
          <cell r="D2384" t="str">
            <v>ACTIVO</v>
          </cell>
          <cell r="E2384" t="str">
            <v>CPY354</v>
          </cell>
          <cell r="F2384" t="str">
            <v>Quintero Ramírez Yelitza nakary</v>
          </cell>
          <cell r="G2384" t="str">
            <v>QUINTERO RAMIREZ YELITZA NAKARY</v>
          </cell>
          <cell r="H2384" t="str">
            <v>002454611</v>
          </cell>
          <cell r="I2384" t="str">
            <v>BCP</v>
          </cell>
          <cell r="J2384" t="str">
            <v>19290348726037</v>
          </cell>
          <cell r="K2384" t="str">
            <v>CE</v>
          </cell>
          <cell r="L2384">
            <v>15613689246</v>
          </cell>
          <cell r="M2384" t="str">
            <v>MEMBRESÍA URBANO</v>
          </cell>
          <cell r="N2384">
            <v>45685.083333333336</v>
          </cell>
          <cell r="O2384">
            <v>280</v>
          </cell>
          <cell r="P2384" t="str">
            <v>COMFORT</v>
          </cell>
        </row>
        <row r="2385">
          <cell r="A2385">
            <v>1551</v>
          </cell>
          <cell r="B2385">
            <v>1551</v>
          </cell>
          <cell r="C2385" t="str">
            <v>CERO MATRICULA</v>
          </cell>
          <cell r="D2385" t="str">
            <v>ACTIVO</v>
          </cell>
          <cell r="E2385" t="str">
            <v>CNX519</v>
          </cell>
          <cell r="F2385" t="str">
            <v>Carrera Tejeda Julio cesar</v>
          </cell>
          <cell r="G2385" t="str">
            <v>CARRERA TEJEDA JULIO CESAR</v>
          </cell>
          <cell r="H2385" t="str">
            <v>47618415</v>
          </cell>
          <cell r="I2385" t="str">
            <v>BCP</v>
          </cell>
          <cell r="J2385" t="str">
            <v>19194984381016</v>
          </cell>
          <cell r="K2385" t="str">
            <v>DNI</v>
          </cell>
          <cell r="L2385">
            <v>10476184156</v>
          </cell>
          <cell r="M2385" t="str">
            <v>AEROPUERTO</v>
          </cell>
          <cell r="N2385">
            <v>45685.416666666664</v>
          </cell>
          <cell r="O2385">
            <v>235</v>
          </cell>
          <cell r="P2385" t="str">
            <v>COMFORT XL</v>
          </cell>
        </row>
        <row r="2386">
          <cell r="A2386">
            <v>1552</v>
          </cell>
          <cell r="B2386">
            <v>1552</v>
          </cell>
          <cell r="C2386" t="str">
            <v>CERO MATRICULA</v>
          </cell>
          <cell r="D2386" t="str">
            <v>ACTIVO</v>
          </cell>
          <cell r="E2386" t="str">
            <v>BPB491</v>
          </cell>
          <cell r="F2386" t="str">
            <v>Barrientos Quero Williams Alejando</v>
          </cell>
          <cell r="G2386" t="str">
            <v>BARRIENTOS QUERO WILLIAMS ALEJANDRO</v>
          </cell>
          <cell r="H2386" t="str">
            <v>005141696</v>
          </cell>
          <cell r="I2386" t="str">
            <v>BCP</v>
          </cell>
          <cell r="J2386" t="str">
            <v>19171428795095</v>
          </cell>
          <cell r="K2386" t="str">
            <v>CE</v>
          </cell>
          <cell r="L2386">
            <v>15610634211</v>
          </cell>
          <cell r="M2386" t="str">
            <v>AEROPUERTO</v>
          </cell>
          <cell r="N2386">
            <v>45687.416666666664</v>
          </cell>
          <cell r="O2386">
            <v>265</v>
          </cell>
          <cell r="P2386" t="str">
            <v>LITE</v>
          </cell>
        </row>
        <row r="2387">
          <cell r="A2387">
            <v>1594</v>
          </cell>
          <cell r="B2387">
            <v>1594</v>
          </cell>
          <cell r="C2387" t="str">
            <v>CERO MATRICULA</v>
          </cell>
          <cell r="D2387" t="str">
            <v>ACTIVO</v>
          </cell>
          <cell r="E2387" t="str">
            <v>BPR063</v>
          </cell>
          <cell r="F2387" t="str">
            <v>Benitez Lopez Juan Carlos</v>
          </cell>
          <cell r="G2387" t="str">
            <v>BENITEZ LOPEZ JUAN CARLOS</v>
          </cell>
          <cell r="H2387" t="str">
            <v>002724330</v>
          </cell>
          <cell r="I2387" t="str">
            <v>BCP</v>
          </cell>
          <cell r="J2387" t="str">
            <v>19390606320033</v>
          </cell>
          <cell r="K2387" t="str">
            <v>CE</v>
          </cell>
          <cell r="L2387">
            <v>15604054114</v>
          </cell>
          <cell r="M2387" t="str">
            <v>AEROPUERTO</v>
          </cell>
          <cell r="N2387">
            <v>45685.416666666664</v>
          </cell>
          <cell r="O2387">
            <v>265</v>
          </cell>
          <cell r="P2387" t="str">
            <v>LITE</v>
          </cell>
        </row>
        <row r="2388">
          <cell r="A2388">
            <v>1597</v>
          </cell>
          <cell r="B2388">
            <v>1597</v>
          </cell>
          <cell r="C2388" t="str">
            <v>CERO MATRICULA</v>
          </cell>
          <cell r="D2388" t="str">
            <v>ACTIVO</v>
          </cell>
          <cell r="E2388" t="str">
            <v>CMB194</v>
          </cell>
          <cell r="F2388" t="str">
            <v>CHANAME TELLO SUHEYL</v>
          </cell>
          <cell r="G2388" t="str">
            <v>CHANAME TELLO SUHEYL</v>
          </cell>
          <cell r="H2388" t="str">
            <v>40056133</v>
          </cell>
          <cell r="I2388" t="str">
            <v>BCP</v>
          </cell>
          <cell r="J2388" t="str">
            <v>19198440824074</v>
          </cell>
          <cell r="K2388" t="str">
            <v>DNI</v>
          </cell>
          <cell r="L2388">
            <v>10400561333</v>
          </cell>
          <cell r="M2388" t="str">
            <v>AEROLINEAS</v>
          </cell>
          <cell r="N2388">
            <v>45687.125</v>
          </cell>
          <cell r="O2388">
            <v>0</v>
          </cell>
          <cell r="P2388" t="str">
            <v>LITE</v>
          </cell>
        </row>
        <row r="2389">
          <cell r="A2389">
            <v>1598</v>
          </cell>
          <cell r="B2389">
            <v>1598</v>
          </cell>
          <cell r="C2389" t="str">
            <v>CERO MATRICULA</v>
          </cell>
          <cell r="D2389" t="str">
            <v>ACTIVO</v>
          </cell>
          <cell r="E2389" t="str">
            <v>BEU459</v>
          </cell>
          <cell r="F2389" t="str">
            <v>Panduro Ribeiro Firmo Darwin</v>
          </cell>
          <cell r="G2389" t="str">
            <v>PANDURO RIBEIRO FIRMO DARWIN</v>
          </cell>
          <cell r="H2389" t="str">
            <v>25822826</v>
          </cell>
          <cell r="I2389" t="str">
            <v>BCP</v>
          </cell>
          <cell r="J2389" t="str">
            <v>19198487944069</v>
          </cell>
          <cell r="K2389" t="str">
            <v>DNI</v>
          </cell>
          <cell r="L2389">
            <v>10258228265</v>
          </cell>
          <cell r="M2389" t="str">
            <v>AEROLINEAS</v>
          </cell>
          <cell r="N2389">
            <v>45687.125</v>
          </cell>
          <cell r="O2389">
            <v>0</v>
          </cell>
          <cell r="P2389" t="str">
            <v>XL</v>
          </cell>
        </row>
        <row r="2390">
          <cell r="A2390">
            <v>1599</v>
          </cell>
          <cell r="B2390">
            <v>1599</v>
          </cell>
          <cell r="C2390" t="str">
            <v>CERO MATRICULA</v>
          </cell>
          <cell r="D2390" t="str">
            <v>ACTIVO</v>
          </cell>
          <cell r="E2390" t="str">
            <v>BXY430</v>
          </cell>
          <cell r="F2390" t="str">
            <v>Rojas Ruiz Christian Alexander</v>
          </cell>
          <cell r="G2390" t="str">
            <v>ROJAS RUIZ CHRISTIAN ALEXANDER</v>
          </cell>
          <cell r="H2390" t="str">
            <v>45946639</v>
          </cell>
          <cell r="I2390" t="str">
            <v>BCP</v>
          </cell>
          <cell r="J2390" t="str">
            <v>19471682010069</v>
          </cell>
          <cell r="K2390" t="str">
            <v>DNI</v>
          </cell>
          <cell r="L2390">
            <v>10459466393</v>
          </cell>
          <cell r="M2390" t="str">
            <v>AEROLINEAS</v>
          </cell>
          <cell r="N2390">
            <v>45687.125</v>
          </cell>
          <cell r="O2390">
            <v>0</v>
          </cell>
          <cell r="P2390" t="str">
            <v>COMFORT</v>
          </cell>
        </row>
        <row r="2391">
          <cell r="A2391">
            <v>1737</v>
          </cell>
          <cell r="B2391">
            <v>1737</v>
          </cell>
          <cell r="C2391" t="str">
            <v>CERO MATRICULA</v>
          </cell>
          <cell r="D2391" t="str">
            <v>ACTIVO</v>
          </cell>
          <cell r="E2391" t="str">
            <v>AWF420</v>
          </cell>
          <cell r="F2391" t="str">
            <v>Martinez  Darwin jose</v>
          </cell>
          <cell r="G2391" t="str">
            <v>MARTINEZ DARWIN JOSE</v>
          </cell>
          <cell r="H2391" t="str">
            <v>006047715</v>
          </cell>
          <cell r="I2391" t="str">
            <v>BCP</v>
          </cell>
          <cell r="J2391" t="str">
            <v>19191055626078</v>
          </cell>
          <cell r="K2391" t="str">
            <v>CE</v>
          </cell>
          <cell r="L2391">
            <v>15613724475</v>
          </cell>
          <cell r="M2391" t="str">
            <v>AEROPUERTO</v>
          </cell>
          <cell r="N2391">
            <v>45687.416666666664</v>
          </cell>
          <cell r="O2391">
            <v>265</v>
          </cell>
          <cell r="P2391" t="str">
            <v>LITE</v>
          </cell>
        </row>
        <row r="2392">
          <cell r="A2392">
            <v>9794</v>
          </cell>
          <cell r="B2392">
            <v>9794</v>
          </cell>
          <cell r="C2392" t="str">
            <v>CERO MATRICULA</v>
          </cell>
          <cell r="D2392" t="str">
            <v>ACTIVO</v>
          </cell>
          <cell r="E2392" t="str">
            <v>CLX409</v>
          </cell>
          <cell r="F2392" t="str">
            <v>Buendia Sierra Nildo</v>
          </cell>
          <cell r="G2392" t="str">
            <v>BUENDIA SIERRA NILDO</v>
          </cell>
          <cell r="H2392" t="str">
            <v>75825970</v>
          </cell>
          <cell r="I2392" t="str">
            <v>BCP</v>
          </cell>
          <cell r="J2392" t="str">
            <v>19104839502084</v>
          </cell>
          <cell r="K2392" t="str">
            <v>DNI</v>
          </cell>
          <cell r="L2392">
            <v>10758259701</v>
          </cell>
          <cell r="M2392" t="str">
            <v>URBANO PARTNER</v>
          </cell>
          <cell r="N2392">
            <v>45685.083333333336</v>
          </cell>
          <cell r="O2392">
            <v>0</v>
          </cell>
          <cell r="P2392" t="str">
            <v>XL</v>
          </cell>
        </row>
        <row r="2393">
          <cell r="A2393">
            <v>9961</v>
          </cell>
          <cell r="B2393">
            <v>9961</v>
          </cell>
          <cell r="C2393" t="str">
            <v>CERO MATRICULA</v>
          </cell>
          <cell r="D2393" t="str">
            <v>ACTIVO</v>
          </cell>
          <cell r="E2393" t="str">
            <v>BRB089</v>
          </cell>
          <cell r="F2393" t="str">
            <v>Felix Rojo Jorge Raul</v>
          </cell>
          <cell r="G2393" t="str">
            <v>FELIX ROJO JORGE RAUL</v>
          </cell>
          <cell r="H2393" t="str">
            <v>46660680</v>
          </cell>
          <cell r="I2393" t="str">
            <v>BCP</v>
          </cell>
          <cell r="J2393" t="str">
            <v>19492114546094</v>
          </cell>
          <cell r="K2393" t="str">
            <v>DNI</v>
          </cell>
          <cell r="L2393">
            <v>10466606800</v>
          </cell>
          <cell r="M2393" t="str">
            <v>URBANO</v>
          </cell>
          <cell r="N2393">
            <v>45685.083333333336</v>
          </cell>
          <cell r="O2393">
            <v>0</v>
          </cell>
          <cell r="P2393" t="str">
            <v>COMFORT</v>
          </cell>
        </row>
        <row r="2394">
          <cell r="A2394">
            <v>126</v>
          </cell>
          <cell r="B2394">
            <v>126</v>
          </cell>
          <cell r="C2394" t="str">
            <v>CERO MATRICULA</v>
          </cell>
          <cell r="D2394" t="str">
            <v>ACTIVO</v>
          </cell>
          <cell r="E2394" t="str">
            <v>F2X516</v>
          </cell>
          <cell r="F2394" t="str">
            <v>Ancajima Magallanes Andy</v>
          </cell>
          <cell r="G2394" t="str">
            <v>ANCAJIMA MAGALLANES ANGELITA DEL CARMEN</v>
          </cell>
          <cell r="H2394" t="str">
            <v>10351645</v>
          </cell>
          <cell r="I2394" t="str">
            <v>BBVA</v>
          </cell>
          <cell r="J2394" t="str">
            <v>001108140270186950</v>
          </cell>
          <cell r="K2394" t="str">
            <v>DNI</v>
          </cell>
          <cell r="L2394">
            <v>10103516451</v>
          </cell>
          <cell r="M2394" t="str">
            <v>AEROLINEAS</v>
          </cell>
          <cell r="N2394">
            <v>45693.416666666664</v>
          </cell>
          <cell r="O2394">
            <v>0</v>
          </cell>
          <cell r="P2394">
            <v>0</v>
          </cell>
        </row>
        <row r="2395">
          <cell r="A2395">
            <v>127</v>
          </cell>
          <cell r="B2395">
            <v>127</v>
          </cell>
          <cell r="C2395" t="str">
            <v>CERO MATRICULA</v>
          </cell>
          <cell r="D2395" t="str">
            <v>ACTIVO</v>
          </cell>
          <cell r="E2395" t="str">
            <v>CRB664</v>
          </cell>
          <cell r="F2395" t="str">
            <v>Sonan Kague Christian alfonso</v>
          </cell>
          <cell r="G2395" t="str">
            <v>SONAN KAGUE CHRISTIAN ALFONSO</v>
          </cell>
          <cell r="H2395" t="str">
            <v>44281735</v>
          </cell>
          <cell r="I2395" t="str">
            <v>INTERBANK</v>
          </cell>
          <cell r="J2395" t="str">
            <v>6433120129854</v>
          </cell>
          <cell r="K2395" t="str">
            <v>DNI</v>
          </cell>
          <cell r="L2395">
            <v>10442817354</v>
          </cell>
          <cell r="M2395" t="str">
            <v>AEROLINEAS</v>
          </cell>
          <cell r="N2395">
            <v>45693.416666666664</v>
          </cell>
          <cell r="O2395">
            <v>0</v>
          </cell>
          <cell r="P2395" t="str">
            <v>COMFORT XL</v>
          </cell>
        </row>
        <row r="2396">
          <cell r="A2396">
            <v>1595</v>
          </cell>
          <cell r="B2396">
            <v>1595</v>
          </cell>
          <cell r="C2396" t="str">
            <v>CERO MATRICULA</v>
          </cell>
          <cell r="D2396" t="str">
            <v>ACTIVO</v>
          </cell>
          <cell r="E2396" t="str">
            <v>CNQ366</v>
          </cell>
          <cell r="F2396" t="str">
            <v>ROSARIO YANEZ JOSE MIGUEL</v>
          </cell>
          <cell r="G2396" t="str">
            <v>ROSARIO YANEZ JOSE MIGUEL</v>
          </cell>
          <cell r="H2396" t="str">
            <v>003536430</v>
          </cell>
          <cell r="I2396" t="str">
            <v>INTERBANK</v>
          </cell>
          <cell r="J2396" t="str">
            <v>8983456587366</v>
          </cell>
          <cell r="K2396" t="str">
            <v>CE</v>
          </cell>
          <cell r="L2396">
            <v>15604216998</v>
          </cell>
          <cell r="M2396" t="str">
            <v>AEROPUERTO</v>
          </cell>
          <cell r="N2396">
            <v>45685.416666666664</v>
          </cell>
          <cell r="O2396">
            <v>235</v>
          </cell>
          <cell r="P2396" t="str">
            <v>COMFORT XL</v>
          </cell>
        </row>
        <row r="2397">
          <cell r="A2397">
            <v>1720</v>
          </cell>
          <cell r="B2397">
            <v>1720</v>
          </cell>
          <cell r="C2397" t="str">
            <v>CERO MATRICULA</v>
          </cell>
          <cell r="D2397" t="str">
            <v>ACTIVO</v>
          </cell>
          <cell r="E2397" t="str">
            <v>CAB005</v>
          </cell>
          <cell r="F2397" t="str">
            <v>Hernández Contreras Jose Gregorio (Notion)</v>
          </cell>
          <cell r="G2397" t="str">
            <v>SAENZ TORNERO LORENA</v>
          </cell>
          <cell r="H2397" t="str">
            <v>46577113</v>
          </cell>
          <cell r="I2397" t="str">
            <v>INTERBANK</v>
          </cell>
          <cell r="J2397" t="str">
            <v>8983408888079</v>
          </cell>
          <cell r="K2397" t="str">
            <v>DNI</v>
          </cell>
          <cell r="L2397">
            <v>10465771131</v>
          </cell>
          <cell r="M2397" t="str">
            <v>AEROLINEAS</v>
          </cell>
          <cell r="N2397">
            <v>45687.416666666664</v>
          </cell>
          <cell r="O2397">
            <v>0</v>
          </cell>
          <cell r="P2397" t="str">
            <v>LITE</v>
          </cell>
        </row>
        <row r="2398">
          <cell r="A2398">
            <v>1736</v>
          </cell>
          <cell r="B2398">
            <v>1736</v>
          </cell>
          <cell r="C2398" t="str">
            <v>CERO MATRICULA</v>
          </cell>
          <cell r="D2398" t="str">
            <v>ACTIVO</v>
          </cell>
          <cell r="E2398" t="str">
            <v>CMH361</v>
          </cell>
          <cell r="F2398" t="str">
            <v xml:space="preserve">Briceño Sánchez Cristiand Robert </v>
          </cell>
          <cell r="G2398" t="str">
            <v>BRICEÑO SANCHEZ CRISTIAND ROBERT</v>
          </cell>
          <cell r="H2398" t="str">
            <v>18215245</v>
          </cell>
          <cell r="I2398" t="str">
            <v>BCP</v>
          </cell>
          <cell r="J2398" t="str">
            <v>19198984873017</v>
          </cell>
          <cell r="K2398" t="str">
            <v>DNI</v>
          </cell>
          <cell r="L2398">
            <v>10182152451</v>
          </cell>
          <cell r="M2398" t="str">
            <v>AEROPUERTO</v>
          </cell>
          <cell r="N2398">
            <v>45687.416666666664</v>
          </cell>
          <cell r="O2398">
            <v>235</v>
          </cell>
          <cell r="P2398" t="str">
            <v>COMFORT XL</v>
          </cell>
        </row>
        <row r="2399">
          <cell r="A2399">
            <v>1738</v>
          </cell>
          <cell r="B2399">
            <v>1738</v>
          </cell>
          <cell r="C2399" t="str">
            <v>CERO MATRICULA</v>
          </cell>
          <cell r="D2399" t="str">
            <v>ACTIVO</v>
          </cell>
          <cell r="E2399" t="str">
            <v>CBP374</v>
          </cell>
          <cell r="F2399" t="str">
            <v>Andonayre Quiroz Jesus Josue</v>
          </cell>
          <cell r="G2399" t="str">
            <v>ANDONAYRE QUIROZ JESUS JOSUE</v>
          </cell>
          <cell r="H2399" t="str">
            <v>48307232</v>
          </cell>
          <cell r="I2399" t="str">
            <v>BCP</v>
          </cell>
          <cell r="J2399" t="str">
            <v>19177175649099</v>
          </cell>
          <cell r="K2399" t="str">
            <v>DNI</v>
          </cell>
          <cell r="L2399">
            <v>10483072321</v>
          </cell>
          <cell r="M2399" t="str">
            <v>AEROLINEAS</v>
          </cell>
          <cell r="N2399">
            <v>45694.125</v>
          </cell>
          <cell r="O2399">
            <v>0</v>
          </cell>
          <cell r="P2399" t="str">
            <v>COMFORT XL</v>
          </cell>
        </row>
        <row r="2400">
          <cell r="A2400">
            <v>1740</v>
          </cell>
          <cell r="B2400">
            <v>1740</v>
          </cell>
          <cell r="C2400" t="str">
            <v>CERO MATRICULA</v>
          </cell>
          <cell r="D2400" t="str">
            <v>ACTIVO</v>
          </cell>
          <cell r="E2400" t="str">
            <v>CPV685</v>
          </cell>
          <cell r="F2400" t="str">
            <v>Ordaya Sanchez Peter Hugo</v>
          </cell>
          <cell r="G2400" t="str">
            <v>ORDAYA SANCHEZ PETER HUGO</v>
          </cell>
          <cell r="H2400" t="str">
            <v>10249367</v>
          </cell>
          <cell r="I2400" t="str">
            <v>BCP</v>
          </cell>
          <cell r="J2400" t="str">
            <v>19104834244073</v>
          </cell>
          <cell r="K2400" t="str">
            <v>DNI</v>
          </cell>
          <cell r="L2400">
            <v>10102493678</v>
          </cell>
          <cell r="M2400" t="str">
            <v>AEROPUERTO</v>
          </cell>
          <cell r="N2400">
            <v>45692.416666666664</v>
          </cell>
          <cell r="O2400">
            <v>235</v>
          </cell>
          <cell r="P2400" t="str">
            <v>COMFORT XL</v>
          </cell>
        </row>
        <row r="2401">
          <cell r="A2401">
            <v>1741</v>
          </cell>
          <cell r="B2401">
            <v>1741</v>
          </cell>
          <cell r="C2401" t="str">
            <v>CERO MATRICULA</v>
          </cell>
          <cell r="D2401" t="str">
            <v>ACTIVO</v>
          </cell>
          <cell r="E2401" t="str">
            <v>CPR616</v>
          </cell>
          <cell r="F2401" t="str">
            <v>SOLANO BECERRA JAVIER MAURICIO</v>
          </cell>
          <cell r="G2401" t="str">
            <v>SOLANO BECERRA JAVIER MAURICIO</v>
          </cell>
          <cell r="H2401" t="str">
            <v>43313056</v>
          </cell>
          <cell r="I2401" t="str">
            <v>BBVA</v>
          </cell>
          <cell r="J2401" t="str">
            <v>001103960200447934</v>
          </cell>
          <cell r="K2401" t="str">
            <v>DNI</v>
          </cell>
          <cell r="L2401">
            <v>10433130567</v>
          </cell>
          <cell r="M2401" t="str">
            <v>AEROPUERTO</v>
          </cell>
          <cell r="N2401">
            <v>45692.416666666664</v>
          </cell>
          <cell r="O2401">
            <v>240</v>
          </cell>
          <cell r="P2401" t="str">
            <v>XL</v>
          </cell>
        </row>
        <row r="2402">
          <cell r="A2402">
            <v>1744</v>
          </cell>
          <cell r="B2402">
            <v>1744</v>
          </cell>
          <cell r="C2402" t="str">
            <v>CERO MATRICULA</v>
          </cell>
          <cell r="D2402" t="str">
            <v>ACTIVO</v>
          </cell>
          <cell r="E2402" t="str">
            <v>CKJ171</v>
          </cell>
          <cell r="F2402" t="str">
            <v>Ugarte Avila Nueva Luz</v>
          </cell>
          <cell r="G2402" t="str">
            <v>UGARTE AVILA NUEVA LUZ</v>
          </cell>
          <cell r="H2402" t="str">
            <v>42919060</v>
          </cell>
          <cell r="I2402" t="str">
            <v>BCP</v>
          </cell>
          <cell r="J2402" t="str">
            <v>19491411085027</v>
          </cell>
          <cell r="K2402" t="str">
            <v>DNI</v>
          </cell>
          <cell r="L2402">
            <v>10429190601</v>
          </cell>
          <cell r="M2402" t="str">
            <v>URBANO</v>
          </cell>
          <cell r="N2402">
            <v>45692.083333333336</v>
          </cell>
          <cell r="O2402">
            <v>0</v>
          </cell>
          <cell r="P2402" t="str">
            <v>COMFORT</v>
          </cell>
        </row>
        <row r="2403">
          <cell r="A2403">
            <v>1745</v>
          </cell>
          <cell r="B2403">
            <v>1745</v>
          </cell>
          <cell r="C2403" t="str">
            <v>CERO MATRICULA</v>
          </cell>
          <cell r="D2403" t="str">
            <v>ACTIVO</v>
          </cell>
          <cell r="E2403" t="str">
            <v>CMQ699</v>
          </cell>
          <cell r="F2403" t="str">
            <v xml:space="preserve">AVENDAÑO BELLEZA YVAN NELSON </v>
          </cell>
          <cell r="G2403" t="str">
            <v>AVENDAÑO BELLEZA YVAN NELSON</v>
          </cell>
          <cell r="H2403" t="str">
            <v>41591619</v>
          </cell>
          <cell r="I2403" t="str">
            <v>BCP</v>
          </cell>
          <cell r="J2403" t="str">
            <v>19293827906060</v>
          </cell>
          <cell r="K2403" t="str">
            <v>DNI</v>
          </cell>
          <cell r="L2403">
            <v>10415916197</v>
          </cell>
          <cell r="M2403" t="str">
            <v>URBANO</v>
          </cell>
          <cell r="N2403">
            <v>45692.083333333336</v>
          </cell>
          <cell r="O2403">
            <v>0</v>
          </cell>
          <cell r="P2403" t="str">
            <v>XL</v>
          </cell>
        </row>
        <row r="2404">
          <cell r="A2404">
            <v>1746</v>
          </cell>
          <cell r="B2404">
            <v>1746</v>
          </cell>
          <cell r="C2404" t="str">
            <v>CERO MATRICULA</v>
          </cell>
          <cell r="D2404" t="str">
            <v>ACTIVO</v>
          </cell>
          <cell r="E2404" t="str">
            <v>CPR220</v>
          </cell>
          <cell r="F2404" t="str">
            <v>Elias Luna Reynaldo Raúl</v>
          </cell>
          <cell r="G2404" t="str">
            <v>ELIAS LUNA REYNALDO RAUL</v>
          </cell>
          <cell r="H2404" t="str">
            <v>41230845</v>
          </cell>
          <cell r="I2404" t="str">
            <v>INTERBANK</v>
          </cell>
          <cell r="J2404" t="str">
            <v>8983308939598</v>
          </cell>
          <cell r="K2404" t="str">
            <v>DNI</v>
          </cell>
          <cell r="L2404">
            <v>10412308455</v>
          </cell>
          <cell r="M2404" t="str">
            <v>URBANO</v>
          </cell>
          <cell r="N2404">
            <v>45692.083333333336</v>
          </cell>
          <cell r="O2404">
            <v>0</v>
          </cell>
          <cell r="P2404" t="str">
            <v>COMFORT</v>
          </cell>
        </row>
        <row r="2405">
          <cell r="A2405">
            <v>1747</v>
          </cell>
          <cell r="B2405">
            <v>1747</v>
          </cell>
          <cell r="C2405" t="str">
            <v>CERO MATRICULA</v>
          </cell>
          <cell r="D2405" t="str">
            <v>ACTIVO</v>
          </cell>
          <cell r="E2405" t="str">
            <v>CJQ159</v>
          </cell>
          <cell r="F2405" t="str">
            <v>Castillo Medina Candice Vanessa</v>
          </cell>
          <cell r="G2405" t="str">
            <v>CASTILLO MEDINA CANDICE VANESSA</v>
          </cell>
          <cell r="H2405" t="str">
            <v>40598846</v>
          </cell>
          <cell r="I2405" t="str">
            <v>INTERBANK</v>
          </cell>
          <cell r="J2405" t="str">
            <v>8983169995674</v>
          </cell>
          <cell r="K2405" t="str">
            <v>DNI</v>
          </cell>
          <cell r="L2405">
            <v>10405988467</v>
          </cell>
          <cell r="M2405" t="str">
            <v>URBANO</v>
          </cell>
          <cell r="N2405">
            <v>45692.083333333336</v>
          </cell>
          <cell r="O2405">
            <v>0</v>
          </cell>
          <cell r="P2405" t="str">
            <v>COMFORT</v>
          </cell>
        </row>
        <row r="2406">
          <cell r="A2406">
            <v>1771</v>
          </cell>
          <cell r="B2406">
            <v>1771</v>
          </cell>
          <cell r="C2406" t="str">
            <v>CERO MATRICULA</v>
          </cell>
          <cell r="D2406" t="str">
            <v>ACTIVO</v>
          </cell>
          <cell r="E2406" t="str">
            <v>CPV378</v>
          </cell>
          <cell r="F2406" t="str">
            <v>Chauca Ramos Guido pio</v>
          </cell>
          <cell r="G2406" t="str">
            <v>CHAUCA RAMOS GUIDO PIO</v>
          </cell>
          <cell r="H2406" t="str">
            <v>25800040</v>
          </cell>
          <cell r="I2406" t="str">
            <v>INTERBANK</v>
          </cell>
          <cell r="J2406" t="str">
            <v>8983334681450</v>
          </cell>
          <cell r="K2406" t="str">
            <v>DNI</v>
          </cell>
          <cell r="L2406">
            <v>10258000400</v>
          </cell>
          <cell r="M2406" t="str">
            <v>AEROLINEAS</v>
          </cell>
          <cell r="N2406">
            <v>45694.125</v>
          </cell>
          <cell r="O2406">
            <v>0</v>
          </cell>
          <cell r="P2406" t="str">
            <v>XL</v>
          </cell>
        </row>
        <row r="2407">
          <cell r="A2407">
            <v>1772</v>
          </cell>
          <cell r="B2407">
            <v>1772</v>
          </cell>
          <cell r="C2407" t="str">
            <v>CERO MATRICULA</v>
          </cell>
          <cell r="D2407" t="str">
            <v>ACTIVO</v>
          </cell>
          <cell r="E2407" t="str">
            <v>CCV063</v>
          </cell>
          <cell r="F2407" t="str">
            <v>Ruiz Chirinos John Robert</v>
          </cell>
          <cell r="G2407" t="str">
            <v>RUIZ CHIRINOS JOHN ROBERT</v>
          </cell>
          <cell r="H2407" t="str">
            <v>25835918</v>
          </cell>
          <cell r="I2407" t="str">
            <v>BBVA</v>
          </cell>
          <cell r="J2407" t="str">
            <v>001101620200747994</v>
          </cell>
          <cell r="K2407" t="str">
            <v>DNI</v>
          </cell>
          <cell r="L2407">
            <v>10258359181</v>
          </cell>
          <cell r="M2407" t="str">
            <v>AEROLINEAS</v>
          </cell>
          <cell r="N2407">
            <v>45694.125</v>
          </cell>
          <cell r="O2407">
            <v>0</v>
          </cell>
          <cell r="P2407" t="str">
            <v>COMFORT</v>
          </cell>
        </row>
        <row r="2408">
          <cell r="A2408">
            <v>1742</v>
          </cell>
          <cell r="B2408">
            <v>1742</v>
          </cell>
          <cell r="C2408" t="str">
            <v>CERO MATRICULA</v>
          </cell>
          <cell r="D2408" t="str">
            <v>ACTIVO</v>
          </cell>
          <cell r="E2408" t="str">
            <v>CDZ108</v>
          </cell>
          <cell r="F2408" t="str">
            <v>ZEGARRA GONZALES LUIS ENRIQUE</v>
          </cell>
          <cell r="G2408" t="str">
            <v>RAYMI TRAVEL PERU S.A.C.</v>
          </cell>
          <cell r="H2408" t="str">
            <v>20612423173</v>
          </cell>
          <cell r="I2408" t="str">
            <v>BCP</v>
          </cell>
          <cell r="J2408" t="str">
            <v>1944202525046</v>
          </cell>
          <cell r="K2408" t="str">
            <v>RUC</v>
          </cell>
          <cell r="L2408">
            <v>20612423173</v>
          </cell>
          <cell r="M2408" t="str">
            <v>AEROPUERTO VAN</v>
          </cell>
          <cell r="N2408">
            <v>45692.416666666664</v>
          </cell>
          <cell r="O2408">
            <v>240</v>
          </cell>
          <cell r="P2408" t="str">
            <v>VAN</v>
          </cell>
        </row>
        <row r="2409">
          <cell r="A2409">
            <v>1773</v>
          </cell>
          <cell r="B2409">
            <v>1773</v>
          </cell>
          <cell r="C2409" t="str">
            <v>CERO MATRICULA</v>
          </cell>
          <cell r="D2409" t="str">
            <v>ACTIVO</v>
          </cell>
          <cell r="E2409" t="str">
            <v>AZY630</v>
          </cell>
          <cell r="F2409" t="str">
            <v>Mavila Torres Kid Yeager</v>
          </cell>
          <cell r="G2409" t="str">
            <v>VERA HUAMAN DEGIANIRA MASIEL</v>
          </cell>
          <cell r="H2409" t="str">
            <v>48608357</v>
          </cell>
          <cell r="I2409" t="str">
            <v>BCP</v>
          </cell>
          <cell r="J2409" t="str">
            <v>19404296163057</v>
          </cell>
          <cell r="K2409" t="str">
            <v>DNI</v>
          </cell>
          <cell r="L2409">
            <v>10486083579</v>
          </cell>
          <cell r="M2409" t="str">
            <v>AEROPUERTO</v>
          </cell>
          <cell r="N2409">
            <v>45699.416666666664</v>
          </cell>
          <cell r="O2409">
            <v>235</v>
          </cell>
          <cell r="P2409" t="str">
            <v>COMFORT XL</v>
          </cell>
        </row>
        <row r="2410">
          <cell r="A2410">
            <v>1774</v>
          </cell>
          <cell r="B2410">
            <v>1774</v>
          </cell>
          <cell r="C2410" t="str">
            <v>CERO MATRICULA</v>
          </cell>
          <cell r="D2410" t="str">
            <v>ACTIVO</v>
          </cell>
          <cell r="E2410" t="str">
            <v>CBZ617</v>
          </cell>
          <cell r="F2410" t="str">
            <v>APONTE GONZALES ANDRES JESUS</v>
          </cell>
          <cell r="G2410" t="str">
            <v>APONTE GONZALES ANDRES JESUS</v>
          </cell>
          <cell r="H2410" t="str">
            <v>43108567</v>
          </cell>
          <cell r="I2410" t="str">
            <v>BCP</v>
          </cell>
          <cell r="J2410" t="str">
            <v>19198535404009</v>
          </cell>
          <cell r="K2410" t="str">
            <v>DNI</v>
          </cell>
          <cell r="L2410">
            <v>10431085670</v>
          </cell>
          <cell r="M2410" t="str">
            <v>AEROPUERTO</v>
          </cell>
          <cell r="N2410">
            <v>45699.416666666664</v>
          </cell>
          <cell r="O2410">
            <v>240</v>
          </cell>
          <cell r="P2410" t="str">
            <v>XL</v>
          </cell>
        </row>
        <row r="2411">
          <cell r="A2411">
            <v>1779</v>
          </cell>
          <cell r="B2411">
            <v>1779</v>
          </cell>
          <cell r="C2411" t="str">
            <v>CERO MATRICULA</v>
          </cell>
          <cell r="D2411" t="str">
            <v>ACTIVO</v>
          </cell>
          <cell r="E2411" t="str">
            <v>CNU129</v>
          </cell>
          <cell r="F2411" t="str">
            <v>Peña Aguirre Jhon alexander</v>
          </cell>
          <cell r="G2411" t="str">
            <v>Maryed nathaly Briceño Abastidas</v>
          </cell>
          <cell r="H2411" t="str">
            <v>007155003</v>
          </cell>
          <cell r="I2411" t="str">
            <v>BCP</v>
          </cell>
          <cell r="J2411" t="str">
            <v>19405544847054</v>
          </cell>
          <cell r="K2411" t="str">
            <v>CE</v>
          </cell>
          <cell r="L2411">
            <v>15614232959</v>
          </cell>
          <cell r="M2411" t="str">
            <v>URBANO</v>
          </cell>
          <cell r="N2411">
            <v>45699.083333333336</v>
          </cell>
          <cell r="O2411">
            <v>0</v>
          </cell>
          <cell r="P2411" t="str">
            <v>COMFORT</v>
          </cell>
        </row>
        <row r="2412">
          <cell r="A2412">
            <v>1780</v>
          </cell>
          <cell r="B2412">
            <v>1780</v>
          </cell>
          <cell r="C2412" t="str">
            <v>CERO MATRICULA</v>
          </cell>
          <cell r="D2412" t="str">
            <v>ACTIVO</v>
          </cell>
          <cell r="E2412" t="str">
            <v>BJJ639</v>
          </cell>
          <cell r="F2412" t="str">
            <v>Porras Flores Marco Antonio</v>
          </cell>
          <cell r="G2412" t="str">
            <v>PORRAS FLORES MARCO ANTONIO</v>
          </cell>
          <cell r="H2412" t="str">
            <v>44424986</v>
          </cell>
          <cell r="I2412" t="str">
            <v>BCP</v>
          </cell>
          <cell r="J2412" t="str">
            <v>35506726374053</v>
          </cell>
          <cell r="K2412" t="str">
            <v>DNI</v>
          </cell>
          <cell r="L2412">
            <v>10444249868</v>
          </cell>
          <cell r="M2412" t="str">
            <v>URBANO</v>
          </cell>
          <cell r="N2412">
            <v>45699.083333333336</v>
          </cell>
          <cell r="O2412">
            <v>0</v>
          </cell>
          <cell r="P2412" t="str">
            <v>COMFORT</v>
          </cell>
        </row>
        <row r="2413">
          <cell r="A2413">
            <v>1781</v>
          </cell>
          <cell r="B2413">
            <v>1781</v>
          </cell>
          <cell r="C2413" t="str">
            <v>CERO MATRICULA</v>
          </cell>
          <cell r="D2413" t="str">
            <v>ACTIVO</v>
          </cell>
          <cell r="E2413" t="str">
            <v>CPG311</v>
          </cell>
          <cell r="F2413" t="str">
            <v>Pasache Vega Willy armando</v>
          </cell>
          <cell r="G2413" t="str">
            <v>PASACHE VEGA WILLY ARMANDO</v>
          </cell>
          <cell r="H2413" t="str">
            <v>10298228</v>
          </cell>
          <cell r="I2413" t="str">
            <v>INTERBANK</v>
          </cell>
          <cell r="J2413" t="str">
            <v>8983167827790</v>
          </cell>
          <cell r="K2413" t="str">
            <v>DNI</v>
          </cell>
          <cell r="L2413">
            <v>10102982288</v>
          </cell>
          <cell r="M2413" t="str">
            <v>URBANO</v>
          </cell>
          <cell r="N2413">
            <v>45699.083333333336</v>
          </cell>
          <cell r="O2413">
            <v>0</v>
          </cell>
          <cell r="P2413" t="str">
            <v>COMFORT</v>
          </cell>
        </row>
        <row r="2414">
          <cell r="A2414">
            <v>9939</v>
          </cell>
          <cell r="B2414">
            <v>9939</v>
          </cell>
          <cell r="C2414" t="str">
            <v>CERO MATRICULA</v>
          </cell>
          <cell r="D2414" t="str">
            <v>ACTIVO</v>
          </cell>
          <cell r="E2414" t="str">
            <v>CPF278</v>
          </cell>
          <cell r="F2414" t="str">
            <v>Sifontes Urbina samuel sofonias</v>
          </cell>
          <cell r="G2414" t="str">
            <v>SIFONTES URBINA SAMUEL SOFONIAS</v>
          </cell>
          <cell r="H2414" t="str">
            <v>002744968</v>
          </cell>
          <cell r="I2414" t="str">
            <v>BCP</v>
          </cell>
          <cell r="J2414" t="str">
            <v>19107299843077</v>
          </cell>
          <cell r="K2414" t="str">
            <v>CE</v>
          </cell>
          <cell r="L2414">
            <v>15606931104</v>
          </cell>
          <cell r="M2414" t="str">
            <v>AEROPUERTO</v>
          </cell>
          <cell r="N2414">
            <v>45646</v>
          </cell>
          <cell r="O2414">
            <v>265</v>
          </cell>
          <cell r="P2414" t="str">
            <v>LITE</v>
          </cell>
        </row>
        <row r="2415">
          <cell r="A2415">
            <v>125</v>
          </cell>
          <cell r="B2415">
            <v>125</v>
          </cell>
          <cell r="C2415" t="str">
            <v>CERO MATRICULA</v>
          </cell>
          <cell r="D2415" t="str">
            <v>ACTIVO</v>
          </cell>
          <cell r="E2415" t="str">
            <v>D3P000</v>
          </cell>
          <cell r="F2415" t="str">
            <v>Zarsoza Aguilar Jhair Alfredo</v>
          </cell>
          <cell r="G2415" t="str">
            <v>ZARSOZA AGUILAR JHAIR ALFREDO</v>
          </cell>
          <cell r="H2415" t="str">
            <v>71545080</v>
          </cell>
          <cell r="I2415" t="str">
            <v>BCP</v>
          </cell>
          <cell r="J2415" t="str">
            <v>19191643398086</v>
          </cell>
          <cell r="K2415" t="str">
            <v>DNI</v>
          </cell>
          <cell r="L2415">
            <v>10715450807</v>
          </cell>
          <cell r="M2415" t="str">
            <v>URBANO</v>
          </cell>
          <cell r="N2415">
            <v>45707.416666666664</v>
          </cell>
          <cell r="O2415">
            <v>0</v>
          </cell>
          <cell r="P2415">
            <v>0</v>
          </cell>
        </row>
        <row r="2416">
          <cell r="A2416">
            <v>129</v>
          </cell>
          <cell r="B2416">
            <v>129</v>
          </cell>
          <cell r="C2416" t="str">
            <v>CERO MATRICULA</v>
          </cell>
          <cell r="D2416" t="str">
            <v>ACTIVO</v>
          </cell>
          <cell r="E2416" t="str">
            <v>D7C131</v>
          </cell>
          <cell r="F2416" t="str">
            <v>Palao Guerra Alvaro</v>
          </cell>
          <cell r="G2416" t="str">
            <v>PALAO GUERRA ALVARO</v>
          </cell>
          <cell r="H2416" t="str">
            <v>77015054</v>
          </cell>
          <cell r="I2416" t="str">
            <v>BCP</v>
          </cell>
          <cell r="J2416" t="str">
            <v>19403657166005</v>
          </cell>
          <cell r="K2416" t="str">
            <v>DNI</v>
          </cell>
          <cell r="L2416">
            <v>10770150545</v>
          </cell>
          <cell r="M2416" t="str">
            <v>URBANO</v>
          </cell>
          <cell r="N2416">
            <v>45707.416666666664</v>
          </cell>
          <cell r="O2416">
            <v>0</v>
          </cell>
          <cell r="P2416">
            <v>0</v>
          </cell>
        </row>
        <row r="2417">
          <cell r="A2417">
            <v>1544</v>
          </cell>
          <cell r="B2417">
            <v>1544</v>
          </cell>
          <cell r="C2417" t="str">
            <v>CERO MATRICULA</v>
          </cell>
          <cell r="D2417" t="str">
            <v>ACTIVO</v>
          </cell>
          <cell r="E2417" t="str">
            <v>CKN446</v>
          </cell>
          <cell r="F2417" t="str">
            <v>Angeles Marchena Robert Luis</v>
          </cell>
          <cell r="G2417" t="str">
            <v>AVALOS CASTILLO VDA DE VASQUEZ ELISABETH</v>
          </cell>
          <cell r="H2417" t="str">
            <v>07474910</v>
          </cell>
          <cell r="I2417" t="str">
            <v>BCP</v>
          </cell>
          <cell r="J2417" t="str">
            <v>19326890499018</v>
          </cell>
          <cell r="K2417" t="str">
            <v>DNI</v>
          </cell>
          <cell r="L2417">
            <v>10074749106</v>
          </cell>
          <cell r="M2417" t="str">
            <v>URBANO</v>
          </cell>
          <cell r="N2417">
            <v>45708.083333333336</v>
          </cell>
          <cell r="O2417">
            <v>0</v>
          </cell>
          <cell r="P2417" t="str">
            <v>LITE</v>
          </cell>
        </row>
        <row r="2418">
          <cell r="A2418">
            <v>1775</v>
          </cell>
          <cell r="B2418">
            <v>1775</v>
          </cell>
          <cell r="C2418" t="str">
            <v>CERO MATRICULA</v>
          </cell>
          <cell r="D2418" t="str">
            <v>ACTIVO</v>
          </cell>
          <cell r="E2418" t="str">
            <v>CKM137</v>
          </cell>
          <cell r="F2418" t="str">
            <v>Padilla Orellana Carlos Alberto</v>
          </cell>
          <cell r="G2418" t="str">
            <v>PADILLA ORELLANA CARLOS ALBERTO</v>
          </cell>
          <cell r="H2418" t="str">
            <v>10134071</v>
          </cell>
          <cell r="I2418" t="str">
            <v>BBVA</v>
          </cell>
          <cell r="J2418" t="str">
            <v xml:space="preserve"> 001108140249002068</v>
          </cell>
          <cell r="K2418" t="str">
            <v>DNI</v>
          </cell>
          <cell r="L2418">
            <v>10101340711</v>
          </cell>
          <cell r="M2418" t="str">
            <v>AEROPUERTO</v>
          </cell>
          <cell r="N2418">
            <v>45699.416666666664</v>
          </cell>
          <cell r="O2418">
            <v>235</v>
          </cell>
          <cell r="P2418" t="str">
            <v>COMFORT XL</v>
          </cell>
        </row>
        <row r="2419">
          <cell r="A2419">
            <v>1785</v>
          </cell>
          <cell r="B2419">
            <v>1785</v>
          </cell>
          <cell r="C2419" t="str">
            <v>CERO MATRICULA</v>
          </cell>
          <cell r="D2419" t="str">
            <v>ACTIVO</v>
          </cell>
          <cell r="E2419" t="str">
            <v>CPD599</v>
          </cell>
          <cell r="F2419" t="str">
            <v>Patiño Mamani Jhon Alexander</v>
          </cell>
          <cell r="G2419" t="str">
            <v>PATIÑO MAMANI JHON ALEXANDER</v>
          </cell>
          <cell r="H2419" t="str">
            <v>44821161</v>
          </cell>
          <cell r="I2419" t="str">
            <v>INTERBANK</v>
          </cell>
          <cell r="J2419" t="str">
            <v>0563164570405</v>
          </cell>
          <cell r="K2419" t="str">
            <v>DNI</v>
          </cell>
          <cell r="L2419">
            <v>10448211610</v>
          </cell>
          <cell r="M2419" t="str">
            <v>URBANO PARTNER</v>
          </cell>
          <cell r="N2419">
            <v>45708.083333333336</v>
          </cell>
          <cell r="O2419">
            <v>0</v>
          </cell>
          <cell r="P2419" t="str">
            <v>COMFORT</v>
          </cell>
        </row>
        <row r="2420">
          <cell r="A2420">
            <v>1786</v>
          </cell>
          <cell r="B2420">
            <v>1786</v>
          </cell>
          <cell r="C2420" t="str">
            <v>CERO MATRICULA</v>
          </cell>
          <cell r="D2420" t="str">
            <v>ACTIVO</v>
          </cell>
          <cell r="E2420" t="str">
            <v>CPZ341</v>
          </cell>
          <cell r="F2420" t="str">
            <v>Guevara Arce Vitaliano Raul</v>
          </cell>
          <cell r="G2420" t="str">
            <v>GUEVARA RIVERA RAUL FERNANDO</v>
          </cell>
          <cell r="H2420" t="str">
            <v>76302502</v>
          </cell>
          <cell r="I2420" t="str">
            <v>INTERBANK</v>
          </cell>
          <cell r="J2420" t="str">
            <v>2433364971205</v>
          </cell>
          <cell r="K2420" t="str">
            <v>DNI</v>
          </cell>
          <cell r="L2420">
            <v>10763025026</v>
          </cell>
          <cell r="M2420" t="str">
            <v>URBANO</v>
          </cell>
          <cell r="N2420">
            <v>45708.083333333336</v>
          </cell>
          <cell r="O2420">
            <v>0</v>
          </cell>
          <cell r="P2420" t="str">
            <v>LITE</v>
          </cell>
        </row>
        <row r="2421">
          <cell r="A2421">
            <v>1787</v>
          </cell>
          <cell r="B2421">
            <v>1787</v>
          </cell>
          <cell r="C2421" t="str">
            <v>CERO MATRICULA</v>
          </cell>
          <cell r="D2421" t="str">
            <v>ACTIVO</v>
          </cell>
          <cell r="E2421" t="str">
            <v>CLK213</v>
          </cell>
          <cell r="F2421" t="str">
            <v>Castillo Eca Itala Francia</v>
          </cell>
          <cell r="G2421" t="str">
            <v>CASTILLO ECA ITALA FRANCIA</v>
          </cell>
          <cell r="H2421" t="str">
            <v>46868398</v>
          </cell>
          <cell r="I2421" t="str">
            <v>BCP</v>
          </cell>
          <cell r="J2421" t="str">
            <v>19135216003019</v>
          </cell>
          <cell r="K2421" t="str">
            <v>DNI</v>
          </cell>
          <cell r="L2421">
            <v>10468683984</v>
          </cell>
          <cell r="M2421" t="str">
            <v>URBANO</v>
          </cell>
          <cell r="N2421">
            <v>45708.083333333336</v>
          </cell>
          <cell r="O2421">
            <v>0</v>
          </cell>
          <cell r="P2421" t="str">
            <v>COMFORT XL</v>
          </cell>
        </row>
        <row r="2422">
          <cell r="A2422">
            <v>1789</v>
          </cell>
          <cell r="B2422">
            <v>1789</v>
          </cell>
          <cell r="C2422" t="str">
            <v>CERO MATRICULA</v>
          </cell>
          <cell r="D2422" t="str">
            <v>ACTIVO</v>
          </cell>
          <cell r="E2422" t="str">
            <v>CHD401</v>
          </cell>
          <cell r="F2422" t="str">
            <v>Gamarra Britto Milagros Andrea</v>
          </cell>
          <cell r="G2422" t="str">
            <v>GAMARRA BRITTO MILAGROS ANDREA</v>
          </cell>
          <cell r="H2422" t="str">
            <v>45152984</v>
          </cell>
          <cell r="I2422" t="str">
            <v>INTERBANK</v>
          </cell>
          <cell r="J2422" t="str">
            <v>2693156877899</v>
          </cell>
          <cell r="K2422" t="str">
            <v>DNI</v>
          </cell>
          <cell r="L2422">
            <v>10451529841</v>
          </cell>
          <cell r="M2422" t="str">
            <v>URBANO</v>
          </cell>
          <cell r="N2422">
            <v>45708.083333333336</v>
          </cell>
          <cell r="O2422">
            <v>0</v>
          </cell>
          <cell r="P2422" t="str">
            <v>COMFORT</v>
          </cell>
        </row>
        <row r="2423">
          <cell r="A2423">
            <v>1790</v>
          </cell>
          <cell r="B2423">
            <v>1790</v>
          </cell>
          <cell r="C2423" t="str">
            <v>CERO MATRICULA</v>
          </cell>
          <cell r="D2423" t="str">
            <v>ACTIVO</v>
          </cell>
          <cell r="E2423" t="str">
            <v>CAM645</v>
          </cell>
          <cell r="F2423" t="str">
            <v>Montañez Lomote Cesar Augusto</v>
          </cell>
          <cell r="G2423" t="str">
            <v>MONTAÑEZ MURRUGARRA JENNIFER NICOLEE</v>
          </cell>
          <cell r="H2423" t="str">
            <v>72617690</v>
          </cell>
          <cell r="I2423" t="str">
            <v>BCP</v>
          </cell>
          <cell r="J2423" t="str">
            <v>19105555169080</v>
          </cell>
          <cell r="K2423" t="str">
            <v>DNI</v>
          </cell>
          <cell r="L2423">
            <v>10726176901</v>
          </cell>
          <cell r="M2423" t="str">
            <v>URBANO</v>
          </cell>
          <cell r="N2423">
            <v>45708.083333333336</v>
          </cell>
          <cell r="O2423">
            <v>0</v>
          </cell>
          <cell r="P2423" t="str">
            <v>COMFORT XL</v>
          </cell>
        </row>
        <row r="2424">
          <cell r="A2424">
            <v>1791</v>
          </cell>
          <cell r="B2424">
            <v>1791</v>
          </cell>
          <cell r="C2424" t="str">
            <v>CERO MATRICULA</v>
          </cell>
          <cell r="D2424" t="str">
            <v>ACTIVO</v>
          </cell>
          <cell r="E2424" t="str">
            <v>CKA009</v>
          </cell>
          <cell r="F2424" t="str">
            <v>Fernandez Baca VICTOR EDUARDO</v>
          </cell>
          <cell r="G2424" t="str">
            <v>FERNANDEZ BACA VICTOR EDUARDO</v>
          </cell>
          <cell r="H2424" t="str">
            <v>76503402</v>
          </cell>
          <cell r="I2424" t="str">
            <v>BCP</v>
          </cell>
          <cell r="J2424" t="str">
            <v>19105991921044</v>
          </cell>
          <cell r="K2424" t="str">
            <v>DNI</v>
          </cell>
          <cell r="L2424">
            <v>10765034022</v>
          </cell>
          <cell r="M2424" t="str">
            <v>URBANO</v>
          </cell>
          <cell r="N2424">
            <v>45708.083333333336</v>
          </cell>
          <cell r="O2424">
            <v>0</v>
          </cell>
          <cell r="P2424" t="str">
            <v>COMFORT</v>
          </cell>
        </row>
        <row r="2425">
          <cell r="A2425">
            <v>1778</v>
          </cell>
          <cell r="B2425">
            <v>1778</v>
          </cell>
          <cell r="C2425" t="str">
            <v>CERO MATRICULA</v>
          </cell>
          <cell r="D2425" t="str">
            <v>ACTIVO</v>
          </cell>
          <cell r="E2425" t="str">
            <v>CRC382</v>
          </cell>
          <cell r="F2425" t="str">
            <v>Gaspar Escobedo Jimmy Javier</v>
          </cell>
          <cell r="G2425" t="str">
            <v>GASPAR ESCOBEDO JIMMY JAVIER</v>
          </cell>
          <cell r="H2425" t="str">
            <v>40346226</v>
          </cell>
          <cell r="I2425" t="str">
            <v>BCP</v>
          </cell>
          <cell r="J2425" t="str">
            <v>19198321491035</v>
          </cell>
          <cell r="K2425" t="str">
            <v>DNI</v>
          </cell>
          <cell r="L2425">
            <v>10403462263</v>
          </cell>
          <cell r="M2425" t="str">
            <v>URBANO</v>
          </cell>
          <cell r="N2425">
            <v>45713.083333333336</v>
          </cell>
          <cell r="O2425">
            <v>0</v>
          </cell>
          <cell r="P2425" t="str">
            <v>COMFORT XL</v>
          </cell>
        </row>
        <row r="2426">
          <cell r="A2426">
            <v>1782</v>
          </cell>
          <cell r="B2426">
            <v>1782</v>
          </cell>
          <cell r="C2426" t="str">
            <v>CERO MATRICULA</v>
          </cell>
          <cell r="D2426" t="str">
            <v>ACTIVO</v>
          </cell>
          <cell r="E2426" t="str">
            <v>CPL527</v>
          </cell>
          <cell r="F2426" t="str">
            <v>Mantilla Yupanqui Raul</v>
          </cell>
          <cell r="G2426" t="str">
            <v>MANTILLA YUPANQUI RAUL</v>
          </cell>
          <cell r="H2426" t="str">
            <v>42181497</v>
          </cell>
          <cell r="I2426" t="str">
            <v>BCP</v>
          </cell>
          <cell r="J2426" t="str">
            <v>19296774343059</v>
          </cell>
          <cell r="K2426" t="str">
            <v>DNI</v>
          </cell>
          <cell r="L2426">
            <v>10421814975</v>
          </cell>
          <cell r="M2426" t="str">
            <v>AEROPUERTO</v>
          </cell>
          <cell r="N2426">
            <v>45701.416666666664</v>
          </cell>
          <cell r="O2426">
            <v>235</v>
          </cell>
          <cell r="P2426" t="str">
            <v>COMFORT XL</v>
          </cell>
        </row>
        <row r="2427">
          <cell r="A2427">
            <v>1795</v>
          </cell>
          <cell r="B2427">
            <v>1795</v>
          </cell>
          <cell r="C2427" t="str">
            <v>CERO MATRICULA</v>
          </cell>
          <cell r="D2427" t="str">
            <v>ACTIVO</v>
          </cell>
          <cell r="E2427" t="str">
            <v>CNN576</v>
          </cell>
          <cell r="F2427" t="str">
            <v>Nolaya Avila Yorvis Jose</v>
          </cell>
          <cell r="G2427" t="str">
            <v>NOLAYA AVILA YORVIS JOSE</v>
          </cell>
          <cell r="H2427" t="str">
            <v>003404987</v>
          </cell>
          <cell r="I2427" t="str">
            <v>INTERBANK</v>
          </cell>
          <cell r="J2427" t="str">
            <v>2003131206840</v>
          </cell>
          <cell r="K2427" t="str">
            <v>CE</v>
          </cell>
          <cell r="L2427">
            <v>15607491612</v>
          </cell>
          <cell r="M2427" t="str">
            <v>AEROPUERTO</v>
          </cell>
          <cell r="N2427">
            <v>45713.416666666664</v>
          </cell>
          <cell r="O2427">
            <v>235</v>
          </cell>
          <cell r="P2427" t="str">
            <v>COMFORT XL</v>
          </cell>
        </row>
        <row r="2428">
          <cell r="A2428">
            <v>1796</v>
          </cell>
          <cell r="B2428">
            <v>1796</v>
          </cell>
          <cell r="C2428" t="str">
            <v>CERO MATRICULA</v>
          </cell>
          <cell r="D2428" t="str">
            <v>ACTIVO</v>
          </cell>
          <cell r="E2428" t="str">
            <v>U1F699</v>
          </cell>
          <cell r="F2428" t="str">
            <v>Ruiz Villacorta Jhonatan Moises</v>
          </cell>
          <cell r="G2428" t="str">
            <v>RUIZ VILLACORTA JHONATAN MOISES</v>
          </cell>
          <cell r="H2428" t="str">
            <v>42808858</v>
          </cell>
          <cell r="I2428" t="str">
            <v>BCP</v>
          </cell>
          <cell r="J2428" t="str">
            <v>19279348905007</v>
          </cell>
          <cell r="K2428" t="str">
            <v>DNI</v>
          </cell>
          <cell r="L2428">
            <v>10428088587</v>
          </cell>
          <cell r="M2428" t="str">
            <v>URBANO</v>
          </cell>
          <cell r="N2428">
            <v>45713.083333333336</v>
          </cell>
          <cell r="O2428">
            <v>0</v>
          </cell>
          <cell r="P2428" t="str">
            <v>LITE</v>
          </cell>
        </row>
        <row r="2429">
          <cell r="A2429">
            <v>1797</v>
          </cell>
          <cell r="B2429">
            <v>1797</v>
          </cell>
          <cell r="C2429" t="str">
            <v>CERO MATRICULA</v>
          </cell>
          <cell r="D2429" t="str">
            <v>ACTIVO</v>
          </cell>
          <cell r="E2429" t="str">
            <v>CFN499</v>
          </cell>
          <cell r="F2429" t="str">
            <v xml:space="preserve">AYCA CASTILLO IVAN ENRIQUE </v>
          </cell>
          <cell r="G2429" t="str">
            <v>AYCA CASTILLO IVAN ENRIQUE</v>
          </cell>
          <cell r="H2429" t="str">
            <v>25740983</v>
          </cell>
          <cell r="I2429" t="str">
            <v>BCP</v>
          </cell>
          <cell r="J2429" t="str">
            <v>19221866779053</v>
          </cell>
          <cell r="K2429" t="str">
            <v>DNI</v>
          </cell>
          <cell r="L2429">
            <v>10257409835</v>
          </cell>
          <cell r="M2429" t="str">
            <v>URBANO PARTNER</v>
          </cell>
          <cell r="N2429">
            <v>45713.083333333336</v>
          </cell>
          <cell r="O2429">
            <v>0</v>
          </cell>
          <cell r="P2429" t="str">
            <v>COMFORT</v>
          </cell>
        </row>
        <row r="2430">
          <cell r="A2430">
            <v>1799</v>
          </cell>
          <cell r="B2430">
            <v>1799</v>
          </cell>
          <cell r="C2430" t="str">
            <v>CERO MATRICULA</v>
          </cell>
          <cell r="D2430" t="str">
            <v>ACTIVO</v>
          </cell>
          <cell r="E2430" t="str">
            <v>CRE318</v>
          </cell>
          <cell r="F2430" t="str">
            <v>Román Damián Carlos Enrique</v>
          </cell>
          <cell r="G2430" t="str">
            <v>ROMAN DAMIAN CARLOS ENRIQUE</v>
          </cell>
          <cell r="H2430" t="str">
            <v>25704772</v>
          </cell>
          <cell r="I2430" t="str">
            <v>BCP</v>
          </cell>
          <cell r="J2430" t="str">
            <v>19305381398054</v>
          </cell>
          <cell r="K2430" t="str">
            <v>DNI</v>
          </cell>
          <cell r="L2430">
            <v>10257047721</v>
          </cell>
          <cell r="M2430" t="str">
            <v>URBANO PARTNER</v>
          </cell>
          <cell r="N2430">
            <v>45713.083333333336</v>
          </cell>
          <cell r="O2430">
            <v>0</v>
          </cell>
          <cell r="P2430" t="str">
            <v>LITE</v>
          </cell>
        </row>
        <row r="2431">
          <cell r="A2431">
            <v>1806</v>
          </cell>
          <cell r="B2431">
            <v>1806</v>
          </cell>
          <cell r="C2431" t="str">
            <v>CERO MATRICULA</v>
          </cell>
          <cell r="D2431" t="str">
            <v>ACTIVO</v>
          </cell>
          <cell r="E2431" t="str">
            <v>CKL616</v>
          </cell>
          <cell r="F2431" t="str">
            <v>Capuñay Chavesta Edgar Johel</v>
          </cell>
          <cell r="G2431" t="str">
            <v>CAPUÑAY CHAVESTA EDGAR JOHEL</v>
          </cell>
          <cell r="H2431" t="str">
            <v>44645819</v>
          </cell>
          <cell r="I2431" t="str">
            <v>INTERBANK</v>
          </cell>
          <cell r="J2431" t="str">
            <v>8983161089623</v>
          </cell>
          <cell r="K2431" t="str">
            <v>DNI</v>
          </cell>
          <cell r="L2431">
            <v>10446458197</v>
          </cell>
          <cell r="M2431" t="str">
            <v>URBANO PARTNER</v>
          </cell>
          <cell r="N2431">
            <v>45713.083333333336</v>
          </cell>
          <cell r="O2431">
            <v>0</v>
          </cell>
          <cell r="P2431" t="str">
            <v>COMFORT XL</v>
          </cell>
        </row>
        <row r="2432">
          <cell r="A2432">
            <v>1808</v>
          </cell>
          <cell r="B2432">
            <v>1808</v>
          </cell>
          <cell r="C2432" t="str">
            <v>CERO MATRICULA</v>
          </cell>
          <cell r="D2432" t="str">
            <v>ACTIVO</v>
          </cell>
          <cell r="E2432" t="str">
            <v>CPV577</v>
          </cell>
          <cell r="F2432" t="str">
            <v>Vilela Serrato Galantin Eli</v>
          </cell>
          <cell r="G2432" t="str">
            <v>VILELA SERRATO GALANTIN ELI</v>
          </cell>
          <cell r="H2432" t="str">
            <v>77912542</v>
          </cell>
          <cell r="I2432" t="str">
            <v>INTERBANK</v>
          </cell>
          <cell r="J2432" t="str">
            <v>1513264351076</v>
          </cell>
          <cell r="K2432" t="str">
            <v>DNI</v>
          </cell>
          <cell r="L2432">
            <v>10779125420</v>
          </cell>
          <cell r="M2432" t="str">
            <v>URBANO PARTNER</v>
          </cell>
          <cell r="N2432">
            <v>45713.083333333336</v>
          </cell>
          <cell r="O2432">
            <v>0</v>
          </cell>
          <cell r="P2432" t="str">
            <v>COMFORT</v>
          </cell>
        </row>
        <row r="2433">
          <cell r="A2433">
            <v>1809</v>
          </cell>
          <cell r="B2433">
            <v>1809</v>
          </cell>
          <cell r="C2433" t="str">
            <v>CERO MATRICULA</v>
          </cell>
          <cell r="D2433" t="str">
            <v>ACTIVO</v>
          </cell>
          <cell r="E2433" t="str">
            <v>BXC549</v>
          </cell>
          <cell r="F2433" t="str">
            <v>Rojas Crisostomo Jhonatan Rodolfo</v>
          </cell>
          <cell r="G2433" t="str">
            <v>ROJAS CRISOSTOMO JHONATAN RODOLFO</v>
          </cell>
          <cell r="H2433" t="str">
            <v>46309064</v>
          </cell>
          <cell r="I2433" t="str">
            <v>BCP</v>
          </cell>
          <cell r="J2433" t="str">
            <v>19102909399084</v>
          </cell>
          <cell r="K2433" t="str">
            <v>DNI</v>
          </cell>
          <cell r="L2433">
            <v>10463090641</v>
          </cell>
          <cell r="M2433" t="str">
            <v>AEROLINEAS</v>
          </cell>
          <cell r="N2433">
            <v>45715.125</v>
          </cell>
          <cell r="O2433">
            <v>0</v>
          </cell>
          <cell r="P2433" t="str">
            <v>XL</v>
          </cell>
        </row>
        <row r="2434">
          <cell r="A2434">
            <v>1776</v>
          </cell>
          <cell r="B2434">
            <v>1776</v>
          </cell>
          <cell r="C2434" t="str">
            <v>CERO MATRICULA</v>
          </cell>
          <cell r="D2434" t="str">
            <v>ACTIVO</v>
          </cell>
          <cell r="E2434" t="str">
            <v>BYO412</v>
          </cell>
          <cell r="F2434" t="str">
            <v>HERNANDEZ Uribe Edwin Jesus</v>
          </cell>
          <cell r="G2434" t="str">
            <v>GONZALEZ CARRASQUEL JOSSBETH DE LOS ANGELES</v>
          </cell>
          <cell r="H2434" t="str">
            <v>008808310</v>
          </cell>
          <cell r="I2434" t="str">
            <v>BCP</v>
          </cell>
          <cell r="J2434" t="str">
            <v>19404839586068</v>
          </cell>
          <cell r="K2434" t="str">
            <v>CE</v>
          </cell>
          <cell r="L2434">
            <v>15609737210</v>
          </cell>
          <cell r="M2434" t="str">
            <v>AEROPUERTO</v>
          </cell>
          <cell r="N2434">
            <v>45701.416666666664</v>
          </cell>
          <cell r="O2434">
            <v>265</v>
          </cell>
          <cell r="P2434" t="str">
            <v>LITE</v>
          </cell>
        </row>
        <row r="2435">
          <cell r="A2435">
            <v>1792</v>
          </cell>
          <cell r="B2435">
            <v>1792</v>
          </cell>
          <cell r="C2435" t="str">
            <v>CERO MATRICULA</v>
          </cell>
          <cell r="D2435" t="str">
            <v>ACTIVO</v>
          </cell>
          <cell r="E2435" t="str">
            <v>CRD677</v>
          </cell>
          <cell r="F2435" t="str">
            <v>Pozo Castillon Hemer Brando</v>
          </cell>
          <cell r="G2435" t="str">
            <v>POZO CASTILLON HEMER BRANDO</v>
          </cell>
          <cell r="H2435" t="str">
            <v>75435571</v>
          </cell>
          <cell r="I2435" t="str">
            <v>INTERBANK</v>
          </cell>
          <cell r="J2435" t="str">
            <v>2003331827652</v>
          </cell>
          <cell r="K2435" t="str">
            <v>DNI</v>
          </cell>
          <cell r="L2435">
            <v>10754355714</v>
          </cell>
          <cell r="M2435" t="str">
            <v>AEROPUERTO</v>
          </cell>
          <cell r="N2435">
            <v>45713.416666666664</v>
          </cell>
          <cell r="O2435">
            <v>235</v>
          </cell>
          <cell r="P2435" t="str">
            <v>COMFORT XL</v>
          </cell>
        </row>
        <row r="2436">
          <cell r="A2436">
            <v>1793</v>
          </cell>
          <cell r="B2436">
            <v>1793</v>
          </cell>
          <cell r="C2436" t="str">
            <v>CERO MATRICULA</v>
          </cell>
          <cell r="D2436" t="str">
            <v>ACTIVO</v>
          </cell>
          <cell r="E2436" t="str">
            <v>CCA032</v>
          </cell>
          <cell r="F2436" t="str">
            <v>Espeza Bravo Rosebet</v>
          </cell>
          <cell r="G2436" t="str">
            <v>ESPEZA BRAVO ROSEBET</v>
          </cell>
          <cell r="H2436" t="str">
            <v>47019860</v>
          </cell>
          <cell r="I2436" t="str">
            <v>INTERBANK</v>
          </cell>
          <cell r="J2436" t="str">
            <v>6453504590351</v>
          </cell>
          <cell r="K2436" t="str">
            <v>DNI</v>
          </cell>
          <cell r="L2436">
            <v>10470198601</v>
          </cell>
          <cell r="M2436" t="str">
            <v>AEROPUERTO</v>
          </cell>
          <cell r="N2436">
            <v>45708.416666666664</v>
          </cell>
          <cell r="O2436">
            <v>265</v>
          </cell>
          <cell r="P2436" t="str">
            <v>LITE</v>
          </cell>
        </row>
        <row r="2437">
          <cell r="A2437">
            <v>1794</v>
          </cell>
          <cell r="B2437">
            <v>1794</v>
          </cell>
          <cell r="C2437" t="str">
            <v>CERO MATRICULA</v>
          </cell>
          <cell r="D2437" t="str">
            <v>ACTIVO</v>
          </cell>
          <cell r="E2437" t="str">
            <v>CPY315</v>
          </cell>
          <cell r="F2437" t="str">
            <v>PALENQUE CACHARI DEIVY ADAM</v>
          </cell>
          <cell r="G2437" t="str">
            <v>PALENQUE CACHARI DEIVY ADAM</v>
          </cell>
          <cell r="H2437" t="str">
            <v>49047319</v>
          </cell>
          <cell r="I2437" t="str">
            <v>INTERBANK</v>
          </cell>
          <cell r="J2437" t="str">
            <v>8983364413361</v>
          </cell>
          <cell r="K2437" t="str">
            <v>DNI</v>
          </cell>
          <cell r="L2437">
            <v>15553203497</v>
          </cell>
          <cell r="M2437" t="str">
            <v>AEROPUERTO</v>
          </cell>
          <cell r="N2437">
            <v>45713.416666666664</v>
          </cell>
          <cell r="O2437">
            <v>235</v>
          </cell>
          <cell r="P2437" t="str">
            <v>COMFORT XL</v>
          </cell>
        </row>
        <row r="2438">
          <cell r="A2438">
            <v>1813</v>
          </cell>
          <cell r="B2438">
            <v>1813</v>
          </cell>
          <cell r="C2438" t="str">
            <v>CERO MATRICULA</v>
          </cell>
          <cell r="D2438" t="str">
            <v>ACTIVO</v>
          </cell>
          <cell r="E2438" t="str">
            <v>AZC631</v>
          </cell>
          <cell r="F2438" t="str">
            <v>Ugaz Luna Nicolás Daniel</v>
          </cell>
          <cell r="G2438" t="str">
            <v>UGAZ LUNA NICOLAS DANIEL</v>
          </cell>
          <cell r="H2438" t="str">
            <v>47081944</v>
          </cell>
          <cell r="I2438" t="str">
            <v>INTERBANK</v>
          </cell>
          <cell r="J2438" t="str">
            <v>8983474062947</v>
          </cell>
          <cell r="K2438" t="str">
            <v>DNI</v>
          </cell>
          <cell r="L2438">
            <v>10470819443</v>
          </cell>
          <cell r="M2438" t="str">
            <v>AEROPUERTO</v>
          </cell>
          <cell r="N2438">
            <v>45721.416666666664</v>
          </cell>
          <cell r="O2438">
            <v>235</v>
          </cell>
          <cell r="P2438" t="str">
            <v>COMFORT XL</v>
          </cell>
        </row>
        <row r="2439">
          <cell r="A2439">
            <v>1814</v>
          </cell>
          <cell r="B2439">
            <v>1814</v>
          </cell>
          <cell r="C2439" t="str">
            <v>CERO MATRICULA</v>
          </cell>
          <cell r="D2439" t="str">
            <v>ACTIVO</v>
          </cell>
          <cell r="E2439" t="str">
            <v>AXL278</v>
          </cell>
          <cell r="F2439" t="str">
            <v>Castillo Castillo Peter Anthony</v>
          </cell>
          <cell r="G2439" t="str">
            <v>PERNIA GUERRA MONICA NAYIBER</v>
          </cell>
          <cell r="H2439" t="str">
            <v>007529123</v>
          </cell>
          <cell r="I2439" t="str">
            <v>INTERBANK</v>
          </cell>
          <cell r="J2439" t="str">
            <v>0233456475319</v>
          </cell>
          <cell r="K2439" t="str">
            <v>CE</v>
          </cell>
          <cell r="L2439">
            <v>15613701734</v>
          </cell>
          <cell r="M2439" t="str">
            <v>AEROPUERTO</v>
          </cell>
          <cell r="N2439">
            <v>45721.416666666664</v>
          </cell>
          <cell r="O2439">
            <v>240</v>
          </cell>
          <cell r="P2439" t="str">
            <v>COMFORT</v>
          </cell>
        </row>
        <row r="2440">
          <cell r="A2440">
            <v>1819</v>
          </cell>
          <cell r="B2440">
            <v>1819</v>
          </cell>
          <cell r="C2440" t="str">
            <v>CERO MATRICULA</v>
          </cell>
          <cell r="D2440" t="str">
            <v>ACTIVO</v>
          </cell>
          <cell r="E2440" t="str">
            <v>Z7T696</v>
          </cell>
          <cell r="F2440" t="str">
            <v>Melendez Meza Miguel Angel</v>
          </cell>
          <cell r="G2440" t="str">
            <v>MELENDEZ MEZA MIGUEL ANGEL</v>
          </cell>
          <cell r="H2440" t="str">
            <v>32989178</v>
          </cell>
          <cell r="I2440" t="str">
            <v>BCP</v>
          </cell>
          <cell r="J2440" t="str">
            <v>19102124451009</v>
          </cell>
          <cell r="K2440" t="str">
            <v>DNI</v>
          </cell>
          <cell r="L2440">
            <v>10329891785</v>
          </cell>
          <cell r="M2440" t="str">
            <v>URBANO PARTNER</v>
          </cell>
          <cell r="N2440">
            <v>45721.416666666664</v>
          </cell>
          <cell r="O2440">
            <v>0</v>
          </cell>
          <cell r="P2440" t="str">
            <v>COMFORT</v>
          </cell>
        </row>
        <row r="2441">
          <cell r="A2441">
            <v>1822</v>
          </cell>
          <cell r="B2441">
            <v>1822</v>
          </cell>
          <cell r="C2441" t="str">
            <v>CERO MATRICULA</v>
          </cell>
          <cell r="D2441" t="str">
            <v>ACTIVO</v>
          </cell>
          <cell r="E2441" t="str">
            <v>CNA558</v>
          </cell>
          <cell r="F2441" t="str">
            <v>Plaza Medina Ronald Augusto</v>
          </cell>
          <cell r="G2441" t="str">
            <v>PLAZA MEDINA RONALD AUGUSTO</v>
          </cell>
          <cell r="H2441" t="str">
            <v>40884073</v>
          </cell>
          <cell r="I2441" t="str">
            <v>BCP</v>
          </cell>
          <cell r="J2441" t="str">
            <v>19495205888061</v>
          </cell>
          <cell r="K2441" t="str">
            <v>DNI</v>
          </cell>
          <cell r="L2441">
            <v>10408840738</v>
          </cell>
          <cell r="M2441" t="str">
            <v>URBANO PARTNER</v>
          </cell>
          <cell r="N2441">
            <v>45721.416666666664</v>
          </cell>
          <cell r="O2441">
            <v>0</v>
          </cell>
          <cell r="P2441">
            <v>0</v>
          </cell>
        </row>
        <row r="2442">
          <cell r="A2442">
            <v>1823</v>
          </cell>
          <cell r="B2442">
            <v>1823</v>
          </cell>
          <cell r="C2442" t="str">
            <v>CERO MATRICULA</v>
          </cell>
          <cell r="D2442" t="str">
            <v>ACTIVO</v>
          </cell>
          <cell r="E2442" t="str">
            <v>Z7V437</v>
          </cell>
          <cell r="F2442" t="str">
            <v>Sánchez Zanabria Erick Rubén</v>
          </cell>
          <cell r="G2442" t="str">
            <v>SANCHEZ ZANABRIA ERICK RUBEN</v>
          </cell>
          <cell r="H2442" t="str">
            <v>72722113</v>
          </cell>
          <cell r="I2442" t="str">
            <v>BCP</v>
          </cell>
          <cell r="J2442" t="str">
            <v>19236970299034</v>
          </cell>
          <cell r="K2442" t="str">
            <v>DNI</v>
          </cell>
          <cell r="L2442">
            <v>10727221137</v>
          </cell>
          <cell r="M2442" t="str">
            <v>AEROLINEAS</v>
          </cell>
          <cell r="N2442">
            <v>45723.125</v>
          </cell>
          <cell r="O2442">
            <v>0</v>
          </cell>
          <cell r="P2442" t="str">
            <v>COMFORT</v>
          </cell>
        </row>
        <row r="2443">
          <cell r="A2443">
            <v>1824</v>
          </cell>
          <cell r="B2443">
            <v>1824</v>
          </cell>
          <cell r="C2443" t="str">
            <v>CERO MATRICULA</v>
          </cell>
          <cell r="D2443" t="str">
            <v>ACTIVO</v>
          </cell>
          <cell r="E2443" t="str">
            <v>CRN619</v>
          </cell>
          <cell r="F2443" t="str">
            <v>Perea Pantoja Hans Alexainder</v>
          </cell>
          <cell r="G2443" t="str">
            <v>PEREA PANTOJA HANS ALEXAINDER</v>
          </cell>
          <cell r="H2443" t="str">
            <v>46384389</v>
          </cell>
          <cell r="I2443" t="str">
            <v>BBVA</v>
          </cell>
          <cell r="J2443" t="str">
            <v>001108140272064224</v>
          </cell>
          <cell r="K2443" t="str">
            <v>DNI</v>
          </cell>
          <cell r="L2443">
            <v>10463843894</v>
          </cell>
          <cell r="M2443" t="str">
            <v>AEROLINEAS</v>
          </cell>
          <cell r="N2443">
            <v>45723.125</v>
          </cell>
          <cell r="O2443">
            <v>0</v>
          </cell>
          <cell r="P2443" t="str">
            <v>COMFORT XL</v>
          </cell>
        </row>
        <row r="2444">
          <cell r="A2444">
            <v>1825</v>
          </cell>
          <cell r="B2444">
            <v>1825</v>
          </cell>
          <cell r="C2444" t="str">
            <v>CERO MATRICULA</v>
          </cell>
          <cell r="D2444" t="str">
            <v>ACTIVO</v>
          </cell>
          <cell r="E2444" t="str">
            <v>CJG271</v>
          </cell>
          <cell r="F2444" t="str">
            <v>Tello Contreras Julio Cesar</v>
          </cell>
          <cell r="G2444" t="str">
            <v>TELLO CONTRERAS JULIO CESAR</v>
          </cell>
          <cell r="H2444" t="str">
            <v>06092463</v>
          </cell>
          <cell r="I2444" t="str">
            <v>INTERBANK</v>
          </cell>
          <cell r="J2444" t="str">
            <v>1553027522308</v>
          </cell>
          <cell r="K2444" t="str">
            <v>DNI</v>
          </cell>
          <cell r="L2444">
            <v>10060924631</v>
          </cell>
          <cell r="M2444" t="str">
            <v>AEROLINEAS</v>
          </cell>
          <cell r="N2444">
            <v>45723.125</v>
          </cell>
          <cell r="O2444">
            <v>0</v>
          </cell>
          <cell r="P2444" t="str">
            <v>COMFORT</v>
          </cell>
        </row>
        <row r="2445">
          <cell r="A2445">
            <v>1818</v>
          </cell>
          <cell r="B2445">
            <v>1818</v>
          </cell>
          <cell r="C2445" t="str">
            <v>CERO MATRICULA</v>
          </cell>
          <cell r="D2445" t="str">
            <v>ACTIVO</v>
          </cell>
          <cell r="E2445" t="str">
            <v>BWY540</v>
          </cell>
          <cell r="F2445" t="str">
            <v>BALLARTA OLIVERA JOSE LUIS</v>
          </cell>
          <cell r="G2445" t="str">
            <v>BALLARTA OLIVERA JOSE LUIS</v>
          </cell>
          <cell r="H2445" t="str">
            <v>43537552</v>
          </cell>
          <cell r="I2445" t="str">
            <v>BBVA</v>
          </cell>
          <cell r="J2445" t="str">
            <v>001108140262148659</v>
          </cell>
          <cell r="K2445" t="str">
            <v>DNI</v>
          </cell>
          <cell r="L2445" t="str">
            <v>10435375524</v>
          </cell>
          <cell r="M2445" t="str">
            <v>URBANO PARTNER</v>
          </cell>
          <cell r="N2445">
            <v>45740</v>
          </cell>
          <cell r="O2445">
            <v>0</v>
          </cell>
          <cell r="P2445" t="str">
            <v>COMFORT XL</v>
          </cell>
        </row>
        <row r="2446">
          <cell r="A2446">
            <v>1812</v>
          </cell>
          <cell r="B2446">
            <v>1812</v>
          </cell>
          <cell r="C2446" t="str">
            <v>CERO MATRICULA</v>
          </cell>
          <cell r="D2446" t="str">
            <v>ACTIVO</v>
          </cell>
          <cell r="E2446" t="str">
            <v>Cku640</v>
          </cell>
          <cell r="F2446" t="str">
            <v>Montilla Valenzuela Gilmer Xavier</v>
          </cell>
          <cell r="G2446" t="str">
            <v>MONTILLA VALENZUELA GILMER XAVIER</v>
          </cell>
          <cell r="H2446" t="str">
            <v>004920028</v>
          </cell>
          <cell r="I2446" t="str">
            <v>BCP</v>
          </cell>
          <cell r="J2446" t="str">
            <v xml:space="preserve">	19291643275062</v>
          </cell>
          <cell r="K2446" t="str">
            <v>CE</v>
          </cell>
          <cell r="L2446">
            <v>15608324612</v>
          </cell>
          <cell r="M2446" t="str">
            <v>AEROPUERTO</v>
          </cell>
          <cell r="N2446">
            <v>45721.416666666664</v>
          </cell>
          <cell r="O2446">
            <v>265</v>
          </cell>
          <cell r="P2446" t="str">
            <v>LITE</v>
          </cell>
        </row>
        <row r="2447">
          <cell r="A2447">
            <v>1815</v>
          </cell>
          <cell r="B2447">
            <v>1815</v>
          </cell>
          <cell r="C2447" t="str">
            <v>CERO MATRICULA</v>
          </cell>
          <cell r="D2447" t="str">
            <v>ACTIVO</v>
          </cell>
          <cell r="E2447" t="str">
            <v>CNZ168</v>
          </cell>
          <cell r="F2447" t="str">
            <v>Minez Vasquez Jhon jesus</v>
          </cell>
          <cell r="G2447" t="str">
            <v>ANICAMA GUTIERREZ JANIRA LISBETH</v>
          </cell>
          <cell r="H2447" t="str">
            <v>70897559</v>
          </cell>
          <cell r="I2447" t="str">
            <v>BCP</v>
          </cell>
          <cell r="J2447" t="str">
            <v>19105784944076</v>
          </cell>
          <cell r="K2447" t="str">
            <v>DNI</v>
          </cell>
          <cell r="L2447">
            <v>10708975597</v>
          </cell>
          <cell r="M2447" t="str">
            <v>AEROPUERTO VAN</v>
          </cell>
          <cell r="N2447">
            <v>45727.416666666664</v>
          </cell>
          <cell r="O2447">
            <v>240</v>
          </cell>
          <cell r="P2447" t="str">
            <v>VAN</v>
          </cell>
        </row>
        <row r="2448">
          <cell r="A2448">
            <v>1817</v>
          </cell>
          <cell r="B2448">
            <v>1817</v>
          </cell>
          <cell r="C2448" t="str">
            <v>CERO MATRICULA</v>
          </cell>
          <cell r="D2448" t="str">
            <v>ACTIVO</v>
          </cell>
          <cell r="E2448" t="str">
            <v>CLO230</v>
          </cell>
          <cell r="F2448" t="str">
            <v>Castillo Quiroz Roque Jacinto</v>
          </cell>
          <cell r="G2448" t="str">
            <v>CASTILLO QUIROZ ROQUE JACINTO</v>
          </cell>
          <cell r="H2448" t="str">
            <v>002510298</v>
          </cell>
          <cell r="I2448" t="str">
            <v>BBVA</v>
          </cell>
          <cell r="J2448" t="str">
            <v>001103190200396280</v>
          </cell>
          <cell r="K2448" t="str">
            <v>CE</v>
          </cell>
          <cell r="L2448">
            <v>15606474773</v>
          </cell>
          <cell r="M2448" t="str">
            <v>AEROPUERTO</v>
          </cell>
          <cell r="N2448">
            <v>45721.416666666664</v>
          </cell>
          <cell r="O2448">
            <v>265</v>
          </cell>
          <cell r="P2448" t="str">
            <v>LITE</v>
          </cell>
        </row>
        <row r="2449">
          <cell r="A2449">
            <v>1826</v>
          </cell>
          <cell r="B2449">
            <v>1826</v>
          </cell>
          <cell r="C2449" t="str">
            <v>CERO MATRICULA</v>
          </cell>
          <cell r="D2449" t="str">
            <v>ACTIVO</v>
          </cell>
          <cell r="E2449" t="str">
            <v>CNJ446</v>
          </cell>
          <cell r="F2449" t="str">
            <v>Calero Martinez Atilio</v>
          </cell>
          <cell r="G2449" t="str">
            <v>CALERO MARTINEZ ATILIO</v>
          </cell>
          <cell r="H2449" t="str">
            <v>09275220</v>
          </cell>
          <cell r="I2449" t="str">
            <v>BCP</v>
          </cell>
          <cell r="J2449" t="str">
            <v>19196268057059</v>
          </cell>
          <cell r="K2449" t="str">
            <v>DNI</v>
          </cell>
          <cell r="L2449">
            <v>10092752203</v>
          </cell>
          <cell r="M2449" t="str">
            <v>URBANO PARTNER</v>
          </cell>
          <cell r="N2449">
            <v>45727.416666666664</v>
          </cell>
          <cell r="O2449">
            <v>0</v>
          </cell>
          <cell r="P2449" t="str">
            <v>COMFORT XL</v>
          </cell>
        </row>
        <row r="2450">
          <cell r="A2450">
            <v>1827</v>
          </cell>
          <cell r="B2450">
            <v>1827</v>
          </cell>
          <cell r="C2450" t="str">
            <v>CERO MATRICULA</v>
          </cell>
          <cell r="D2450" t="str">
            <v>ACTIVO</v>
          </cell>
          <cell r="E2450" t="str">
            <v>CMY256</v>
          </cell>
          <cell r="F2450" t="str">
            <v xml:space="preserve">Yañez Rocha Jan Cristopher </v>
          </cell>
          <cell r="G2450" t="str">
            <v>YANEZ ROCHA JAN CRISTOPHER</v>
          </cell>
          <cell r="H2450" t="str">
            <v>06309114</v>
          </cell>
          <cell r="I2450" t="str">
            <v>BCP</v>
          </cell>
          <cell r="J2450" t="str">
            <v>19303941876091</v>
          </cell>
          <cell r="K2450" t="str">
            <v>DNI</v>
          </cell>
          <cell r="L2450">
            <v>10063091141</v>
          </cell>
          <cell r="M2450" t="str">
            <v>URBANO PARTNER</v>
          </cell>
          <cell r="N2450">
            <v>45727.416666666664</v>
          </cell>
          <cell r="O2450">
            <v>0</v>
          </cell>
          <cell r="P2450" t="str">
            <v>COMFORT XL</v>
          </cell>
        </row>
        <row r="2451">
          <cell r="A2451">
            <v>1829</v>
          </cell>
          <cell r="B2451">
            <v>1829</v>
          </cell>
          <cell r="C2451" t="str">
            <v>CERO MATRICULA</v>
          </cell>
          <cell r="D2451" t="str">
            <v>ACTIVO</v>
          </cell>
          <cell r="E2451" t="str">
            <v>CPV581</v>
          </cell>
          <cell r="F2451" t="str">
            <v>Alvarado Cruz Gianmarlo Hermes</v>
          </cell>
          <cell r="G2451" t="str">
            <v>SANDOVAL ESPINOZA KARINA VICTORIA</v>
          </cell>
          <cell r="H2451">
            <v>44353995</v>
          </cell>
          <cell r="I2451" t="str">
            <v>BCP</v>
          </cell>
          <cell r="J2451" t="str">
            <v>19179430905036</v>
          </cell>
          <cell r="K2451" t="str">
            <v>DNI</v>
          </cell>
          <cell r="L2451">
            <v>10443539951</v>
          </cell>
          <cell r="M2451" t="str">
            <v>AEROPUERTO</v>
          </cell>
          <cell r="N2451">
            <v>45729.416666666664</v>
          </cell>
          <cell r="O2451">
            <v>235</v>
          </cell>
          <cell r="P2451" t="str">
            <v>COMFORT XL</v>
          </cell>
        </row>
        <row r="2452">
          <cell r="A2452">
            <v>1831</v>
          </cell>
          <cell r="B2452">
            <v>1831</v>
          </cell>
          <cell r="C2452" t="str">
            <v>CERO MATRICULA</v>
          </cell>
          <cell r="D2452" t="str">
            <v>ACTIVO</v>
          </cell>
          <cell r="E2452" t="str">
            <v>ASR514</v>
          </cell>
          <cell r="F2452" t="str">
            <v>Vara Huaman Steven Eduardo</v>
          </cell>
          <cell r="G2452" t="str">
            <v>VARA HUAMAN STEVEN EDUARDO</v>
          </cell>
          <cell r="H2452" t="str">
            <v>72815367</v>
          </cell>
          <cell r="I2452" t="str">
            <v>BCP</v>
          </cell>
          <cell r="J2452" t="str">
            <v>19138433222035</v>
          </cell>
          <cell r="K2452" t="str">
            <v>DNI</v>
          </cell>
          <cell r="L2452">
            <v>10728153674</v>
          </cell>
          <cell r="M2452" t="str">
            <v>URBANO PARTNER</v>
          </cell>
          <cell r="N2452">
            <v>45727.083333333336</v>
          </cell>
          <cell r="O2452">
            <v>0</v>
          </cell>
          <cell r="P2452" t="str">
            <v>LITE</v>
          </cell>
        </row>
        <row r="2453">
          <cell r="A2453">
            <v>1832</v>
          </cell>
          <cell r="B2453">
            <v>1832</v>
          </cell>
          <cell r="C2453" t="str">
            <v>CERO MATRICULA</v>
          </cell>
          <cell r="D2453" t="str">
            <v>ACTIVO</v>
          </cell>
          <cell r="E2453" t="str">
            <v>BCU072</v>
          </cell>
          <cell r="F2453" t="str">
            <v>Silva Canales Luiggi</v>
          </cell>
          <cell r="G2453" t="str">
            <v>SILVA CANALES LUIGGI</v>
          </cell>
          <cell r="H2453" t="str">
            <v>74717816</v>
          </cell>
          <cell r="I2453" t="str">
            <v>BCP</v>
          </cell>
          <cell r="J2453" t="str">
            <v>19100908613089</v>
          </cell>
          <cell r="K2453" t="str">
            <v>DNI</v>
          </cell>
          <cell r="L2453">
            <v>10747178165</v>
          </cell>
          <cell r="M2453" t="str">
            <v>URBANO PARTNER</v>
          </cell>
          <cell r="N2453">
            <v>45727.083333333336</v>
          </cell>
          <cell r="O2453">
            <v>0</v>
          </cell>
          <cell r="P2453" t="str">
            <v>LITE</v>
          </cell>
        </row>
        <row r="2454">
          <cell r="A2454">
            <v>1833</v>
          </cell>
          <cell r="B2454">
            <v>1833</v>
          </cell>
          <cell r="C2454" t="str">
            <v>CERO MATRICULA</v>
          </cell>
          <cell r="D2454" t="str">
            <v>ACTIVO</v>
          </cell>
          <cell r="E2454" t="str">
            <v>BMO605</v>
          </cell>
          <cell r="F2454" t="str">
            <v>REYES HAYA JUAN GABRIEL</v>
          </cell>
          <cell r="G2454" t="str">
            <v>REYES HAYA JUAN GABRIEL</v>
          </cell>
          <cell r="H2454" t="str">
            <v>43464914</v>
          </cell>
          <cell r="I2454" t="str">
            <v>BBVA</v>
          </cell>
          <cell r="J2454" t="str">
            <v>00110614-020015967</v>
          </cell>
          <cell r="K2454" t="str">
            <v>DNI</v>
          </cell>
          <cell r="L2454">
            <v>10434649141</v>
          </cell>
          <cell r="M2454" t="str">
            <v>URBANO PARTNER</v>
          </cell>
          <cell r="N2454">
            <v>45727.083333333336</v>
          </cell>
          <cell r="O2454">
            <v>0</v>
          </cell>
          <cell r="P2454" t="str">
            <v>COMFORT</v>
          </cell>
        </row>
        <row r="2455">
          <cell r="A2455">
            <v>1835</v>
          </cell>
          <cell r="B2455">
            <v>1835</v>
          </cell>
          <cell r="C2455" t="str">
            <v>CERO MATRICULA</v>
          </cell>
          <cell r="D2455" t="str">
            <v>ACTIVO</v>
          </cell>
          <cell r="E2455" t="str">
            <v>BSZ236</v>
          </cell>
          <cell r="F2455" t="str">
            <v>Rodríguez Sotelo Fernando</v>
          </cell>
          <cell r="G2455" t="str">
            <v>RODRIGUEZ SOTELO FERNANDO</v>
          </cell>
          <cell r="H2455" t="str">
            <v>72528634</v>
          </cell>
          <cell r="I2455" t="str">
            <v>INTERBANK</v>
          </cell>
          <cell r="J2455" t="str">
            <v>1073377439299</v>
          </cell>
          <cell r="K2455" t="str">
            <v>DNI</v>
          </cell>
          <cell r="L2455">
            <v>10725286347</v>
          </cell>
          <cell r="M2455" t="str">
            <v>URBANO PARTNER</v>
          </cell>
          <cell r="N2455">
            <v>45727.083333333336</v>
          </cell>
          <cell r="O2455">
            <v>0</v>
          </cell>
          <cell r="P2455" t="str">
            <v>LITE</v>
          </cell>
        </row>
        <row r="2456">
          <cell r="A2456">
            <v>1836</v>
          </cell>
          <cell r="B2456">
            <v>1836</v>
          </cell>
          <cell r="C2456" t="str">
            <v>CERO MATRICULA</v>
          </cell>
          <cell r="D2456" t="str">
            <v>ACTIVO</v>
          </cell>
          <cell r="E2456" t="str">
            <v>CEP307</v>
          </cell>
          <cell r="F2456" t="str">
            <v>Garcia Pineda Manuel Antonio</v>
          </cell>
          <cell r="G2456" t="str">
            <v>GARCIA PINEDA MANUEL ANTONIO</v>
          </cell>
          <cell r="H2456" t="str">
            <v>74450208</v>
          </cell>
          <cell r="I2456" t="str">
            <v>BBVA</v>
          </cell>
          <cell r="J2456" t="str">
            <v>001108570200142594</v>
          </cell>
          <cell r="K2456" t="str">
            <v>DNI</v>
          </cell>
          <cell r="L2456">
            <v>10744502085</v>
          </cell>
          <cell r="M2456" t="str">
            <v>URBANO PARTNER</v>
          </cell>
          <cell r="N2456">
            <v>45727.083333333336</v>
          </cell>
          <cell r="O2456">
            <v>0</v>
          </cell>
          <cell r="P2456" t="str">
            <v>COMFORT</v>
          </cell>
        </row>
        <row r="2457">
          <cell r="A2457">
            <v>1841</v>
          </cell>
          <cell r="B2457">
            <v>1841</v>
          </cell>
          <cell r="C2457" t="str">
            <v>CERO MATRICULA</v>
          </cell>
          <cell r="D2457" t="str">
            <v>ACTIVO</v>
          </cell>
          <cell r="E2457" t="str">
            <v>CMJ393</v>
          </cell>
          <cell r="F2457" t="str">
            <v>Alvarez Dávila Ruddy</v>
          </cell>
          <cell r="G2457" t="str">
            <v>Helen yannet mora carrillo</v>
          </cell>
          <cell r="H2457" t="str">
            <v>40633742</v>
          </cell>
          <cell r="I2457" t="str">
            <v>BCP</v>
          </cell>
          <cell r="J2457" t="str">
            <v>19104247352053</v>
          </cell>
          <cell r="K2457" t="str">
            <v>DNI</v>
          </cell>
          <cell r="L2457">
            <v>10406337427</v>
          </cell>
          <cell r="M2457" t="str">
            <v>AEROLINEAS</v>
          </cell>
          <cell r="N2457">
            <v>45729.125</v>
          </cell>
          <cell r="O2457">
            <v>0</v>
          </cell>
          <cell r="P2457" t="str">
            <v>COMFORT XL</v>
          </cell>
        </row>
        <row r="2458">
          <cell r="A2458">
            <v>1842</v>
          </cell>
          <cell r="B2458">
            <v>1842</v>
          </cell>
          <cell r="C2458" t="str">
            <v>CERO MATRICULA</v>
          </cell>
          <cell r="D2458" t="str">
            <v>ACTIVO</v>
          </cell>
          <cell r="E2458" t="str">
            <v>BTM109</v>
          </cell>
          <cell r="F2458" t="str">
            <v>ATENCIA CRISOSTOMO ADNAN JOYNER</v>
          </cell>
          <cell r="G2458" t="str">
            <v>ATENCIA CRISOSTOMO ADNAN JOYNER</v>
          </cell>
          <cell r="H2458" t="str">
            <v>44530153</v>
          </cell>
          <cell r="I2458" t="str">
            <v>BCP</v>
          </cell>
          <cell r="J2458" t="str">
            <v>19136733244085</v>
          </cell>
          <cell r="K2458" t="str">
            <v>DNI</v>
          </cell>
          <cell r="L2458">
            <v>10445301537</v>
          </cell>
          <cell r="M2458" t="str">
            <v>AEROLINEAS</v>
          </cell>
          <cell r="N2458">
            <v>45729.125</v>
          </cell>
          <cell r="O2458">
            <v>0</v>
          </cell>
          <cell r="P2458" t="str">
            <v>COMFORT</v>
          </cell>
        </row>
        <row r="2459">
          <cell r="A2459">
            <v>1843</v>
          </cell>
          <cell r="B2459">
            <v>1843</v>
          </cell>
          <cell r="C2459" t="str">
            <v>CERO MATRICULA</v>
          </cell>
          <cell r="D2459" t="str">
            <v>ACTIVO</v>
          </cell>
          <cell r="E2459" t="str">
            <v>CAX274</v>
          </cell>
          <cell r="F2459" t="str">
            <v xml:space="preserve">Corvetto Pineda Moises Domingo </v>
          </cell>
          <cell r="G2459" t="str">
            <v>CORVETTO PINEDA MOISES DOMINGO</v>
          </cell>
          <cell r="H2459" t="str">
            <v>25682010</v>
          </cell>
          <cell r="I2459" t="str">
            <v>INTERBANK</v>
          </cell>
          <cell r="J2459" t="str">
            <v>1553020942085</v>
          </cell>
          <cell r="K2459" t="str">
            <v>DNI</v>
          </cell>
          <cell r="L2459">
            <v>10256820108</v>
          </cell>
          <cell r="M2459" t="str">
            <v>AEROLINEAS</v>
          </cell>
          <cell r="N2459">
            <v>45729.125</v>
          </cell>
          <cell r="O2459">
            <v>0</v>
          </cell>
          <cell r="P2459" t="str">
            <v>COMFORT XL</v>
          </cell>
        </row>
        <row r="2460">
          <cell r="A2460">
            <v>1844</v>
          </cell>
          <cell r="B2460">
            <v>1844</v>
          </cell>
          <cell r="C2460" t="str">
            <v>CERO MATRICULA</v>
          </cell>
          <cell r="D2460" t="str">
            <v>ACTIVO</v>
          </cell>
          <cell r="E2460" t="str">
            <v>CPV632</v>
          </cell>
          <cell r="F2460" t="str">
            <v>Betancourt Campos José Alberto</v>
          </cell>
          <cell r="G2460" t="str">
            <v>BETANCOURT CAMPOS JOSE ALBERTO</v>
          </cell>
          <cell r="H2460" t="str">
            <v>007200353</v>
          </cell>
          <cell r="I2460" t="str">
            <v>BCP</v>
          </cell>
          <cell r="J2460" t="str">
            <v>19298022626052</v>
          </cell>
          <cell r="K2460" t="str">
            <v>CE</v>
          </cell>
          <cell r="L2460">
            <v>15613838021</v>
          </cell>
          <cell r="M2460" t="str">
            <v>AEROLINEAS</v>
          </cell>
          <cell r="N2460">
            <v>45729.125</v>
          </cell>
          <cell r="O2460">
            <v>0</v>
          </cell>
          <cell r="P2460" t="str">
            <v>COMFORT XL</v>
          </cell>
        </row>
        <row r="2461">
          <cell r="A2461">
            <v>1816</v>
          </cell>
          <cell r="B2461">
            <v>1816</v>
          </cell>
          <cell r="C2461" t="str">
            <v>CERO MATRICULA</v>
          </cell>
          <cell r="D2461" t="str">
            <v>ACTIVO</v>
          </cell>
          <cell r="E2461" t="str">
            <v>CPZ297</v>
          </cell>
          <cell r="F2461" t="str">
            <v>Lino Cruces Walter Oswaldo</v>
          </cell>
          <cell r="G2461" t="str">
            <v>LINO CRUCES WALTER OSWALDO</v>
          </cell>
          <cell r="H2461" t="str">
            <v>10450456</v>
          </cell>
          <cell r="I2461" t="str">
            <v>BCP</v>
          </cell>
          <cell r="J2461" t="str">
            <v>19137171023087</v>
          </cell>
          <cell r="K2461" t="str">
            <v>DNI</v>
          </cell>
          <cell r="L2461">
            <v>10104504561</v>
          </cell>
          <cell r="M2461" t="str">
            <v>AEROPUERTO</v>
          </cell>
          <cell r="N2461">
            <v>45721.416666666664</v>
          </cell>
          <cell r="O2461">
            <v>235</v>
          </cell>
          <cell r="P2461" t="str">
            <v>COMFORT XL</v>
          </cell>
        </row>
        <row r="2462">
          <cell r="A2462">
            <v>1834</v>
          </cell>
          <cell r="B2462">
            <v>1834</v>
          </cell>
          <cell r="C2462" t="str">
            <v>CERO MATRICULA</v>
          </cell>
          <cell r="D2462" t="str">
            <v>ACTIVO</v>
          </cell>
          <cell r="E2462" t="str">
            <v>CJF530</v>
          </cell>
          <cell r="F2462" t="str">
            <v>Dominguez Paz Kevin Augusto</v>
          </cell>
          <cell r="G2462" t="str">
            <v xml:space="preserve"> DOMINGUEZ PAZ KEVIN AUGUSTO</v>
          </cell>
          <cell r="H2462" t="str">
            <v>75157029</v>
          </cell>
          <cell r="I2462" t="str">
            <v>INTERBANK</v>
          </cell>
          <cell r="J2462" t="str">
            <v>8983462192365</v>
          </cell>
          <cell r="K2462" t="str">
            <v>DNI</v>
          </cell>
          <cell r="L2462">
            <v>10751570291</v>
          </cell>
          <cell r="M2462" t="str">
            <v>URBANO PARTNER</v>
          </cell>
          <cell r="N2462">
            <v>45734.083333333336</v>
          </cell>
          <cell r="O2462">
            <v>0</v>
          </cell>
          <cell r="P2462" t="str">
            <v>COMFORT XL</v>
          </cell>
        </row>
        <row r="2463">
          <cell r="A2463">
            <v>1839</v>
          </cell>
          <cell r="B2463">
            <v>1839</v>
          </cell>
          <cell r="C2463" t="str">
            <v>CERO MATRICULA</v>
          </cell>
          <cell r="D2463" t="str">
            <v>ACTIVO</v>
          </cell>
          <cell r="E2463" t="str">
            <v>CMM142</v>
          </cell>
          <cell r="F2463" t="str">
            <v>Dugarte Aguilar Jurgen</v>
          </cell>
          <cell r="G2463" t="str">
            <v>DUGARTE AGUILAR JURGEN RAFAEL</v>
          </cell>
          <cell r="H2463" t="str">
            <v>003155113</v>
          </cell>
          <cell r="I2463" t="str">
            <v>BCP</v>
          </cell>
          <cell r="J2463" t="str">
            <v>19497688827080</v>
          </cell>
          <cell r="K2463" t="str">
            <v>CE</v>
          </cell>
          <cell r="L2463">
            <v>15604042604</v>
          </cell>
          <cell r="M2463" t="str">
            <v>URBANO PARTNER</v>
          </cell>
          <cell r="N2463">
            <v>45729.416666666664</v>
          </cell>
          <cell r="O2463">
            <v>0</v>
          </cell>
          <cell r="P2463" t="str">
            <v>COMFORT XL</v>
          </cell>
        </row>
        <row r="2464">
          <cell r="A2464">
            <v>1846</v>
          </cell>
          <cell r="B2464">
            <v>1846</v>
          </cell>
          <cell r="C2464" t="str">
            <v>CERO MATRICULA</v>
          </cell>
          <cell r="D2464" t="str">
            <v>ACTIVO</v>
          </cell>
          <cell r="E2464" t="str">
            <v>ATW684</v>
          </cell>
          <cell r="F2464" t="str">
            <v>HERRERA YARANGA FREDY RONAND</v>
          </cell>
          <cell r="G2464" t="str">
            <v>HERRERA YARANGA FREDY RONAND</v>
          </cell>
          <cell r="H2464" t="str">
            <v>42707131</v>
          </cell>
          <cell r="I2464" t="str">
            <v>BCP</v>
          </cell>
          <cell r="J2464" t="str">
            <v>19137831124055</v>
          </cell>
          <cell r="K2464" t="str">
            <v>DNI</v>
          </cell>
          <cell r="L2464">
            <v>10427071311</v>
          </cell>
          <cell r="M2464" t="str">
            <v>AEROLINEAS</v>
          </cell>
          <cell r="N2464">
            <v>45734.416666666664</v>
          </cell>
          <cell r="O2464">
            <v>0</v>
          </cell>
          <cell r="P2464" t="str">
            <v>LITE</v>
          </cell>
        </row>
        <row r="2465">
          <cell r="A2465">
            <v>1847</v>
          </cell>
          <cell r="B2465">
            <v>1847</v>
          </cell>
          <cell r="C2465" t="str">
            <v>CERO MATRICULA</v>
          </cell>
          <cell r="D2465" t="str">
            <v>ACTIVO</v>
          </cell>
          <cell r="E2465" t="str">
            <v>CRI080</v>
          </cell>
          <cell r="F2465" t="str">
            <v>GUERRERO RIGUETTI MARCO ANTONIO</v>
          </cell>
          <cell r="G2465" t="str">
            <v>GUERRERO RIGUETTI MARCO ANTONIO</v>
          </cell>
          <cell r="H2465" t="str">
            <v>21868851</v>
          </cell>
          <cell r="I2465" t="str">
            <v>BCP</v>
          </cell>
          <cell r="J2465" t="str">
            <v>19105122991037</v>
          </cell>
          <cell r="K2465" t="str">
            <v>DNI</v>
          </cell>
          <cell r="L2465">
            <v>10218688514</v>
          </cell>
          <cell r="M2465" t="str">
            <v>AEROPUERTO</v>
          </cell>
          <cell r="N2465">
            <v>45734.416666666664</v>
          </cell>
          <cell r="O2465">
            <v>235</v>
          </cell>
          <cell r="P2465" t="str">
            <v>COMFORT XL</v>
          </cell>
        </row>
        <row r="2466">
          <cell r="A2466">
            <v>1848</v>
          </cell>
          <cell r="B2466">
            <v>1848</v>
          </cell>
          <cell r="C2466" t="str">
            <v>CERO MATRICULA</v>
          </cell>
          <cell r="D2466" t="str">
            <v>ACTIVO</v>
          </cell>
          <cell r="E2466" t="str">
            <v>CNW580</v>
          </cell>
          <cell r="F2466" t="str">
            <v>Reverol Escorcha Omar Alfredo</v>
          </cell>
          <cell r="G2466" t="str">
            <v>NOLAYA AVILA YORVIS JOSE</v>
          </cell>
          <cell r="H2466" t="str">
            <v>003404987</v>
          </cell>
          <cell r="I2466" t="str">
            <v>INTERBANK</v>
          </cell>
          <cell r="J2466" t="str">
            <v>2003131206840</v>
          </cell>
          <cell r="K2466" t="str">
            <v>CE</v>
          </cell>
          <cell r="L2466">
            <v>15607491612</v>
          </cell>
          <cell r="M2466" t="str">
            <v>AEROPUERTO</v>
          </cell>
          <cell r="N2466">
            <v>45734.416666666664</v>
          </cell>
          <cell r="O2466">
            <v>235</v>
          </cell>
          <cell r="P2466" t="str">
            <v>COMFORT XL</v>
          </cell>
        </row>
        <row r="2467">
          <cell r="A2467">
            <v>1850</v>
          </cell>
          <cell r="B2467">
            <v>1850</v>
          </cell>
          <cell r="C2467" t="str">
            <v>CERO MATRICULA</v>
          </cell>
          <cell r="D2467" t="str">
            <v>ACTIVO</v>
          </cell>
          <cell r="E2467" t="str">
            <v>BKN611</v>
          </cell>
          <cell r="F2467" t="str">
            <v>Samanez Atoche Diego Paoli</v>
          </cell>
          <cell r="G2467" t="str">
            <v>SAMANEZ ATOCHE DIEGO PAOLI</v>
          </cell>
          <cell r="H2467" t="str">
            <v>46713088</v>
          </cell>
          <cell r="I2467" t="str">
            <v>BCP</v>
          </cell>
          <cell r="J2467" t="str">
            <v>19126354790098</v>
          </cell>
          <cell r="K2467" t="str">
            <v>DNI</v>
          </cell>
          <cell r="L2467">
            <v>10467130884</v>
          </cell>
          <cell r="M2467" t="str">
            <v>URBANO PARTNER</v>
          </cell>
          <cell r="N2467">
            <v>45734.083333333336</v>
          </cell>
          <cell r="O2467">
            <v>0</v>
          </cell>
          <cell r="P2467" t="str">
            <v>LITE</v>
          </cell>
        </row>
        <row r="2468">
          <cell r="A2468">
            <v>1851</v>
          </cell>
          <cell r="B2468">
            <v>1851</v>
          </cell>
          <cell r="C2468" t="str">
            <v>CERO MATRICULA</v>
          </cell>
          <cell r="D2468" t="str">
            <v>ACTIVO</v>
          </cell>
          <cell r="E2468" t="str">
            <v>CKM087</v>
          </cell>
          <cell r="F2468" t="str">
            <v>Leiva Millan Wilmer</v>
          </cell>
          <cell r="G2468" t="str">
            <v>CHERO YARANGO MARIA PAOLA</v>
          </cell>
          <cell r="H2468" t="str">
            <v>46658063</v>
          </cell>
          <cell r="I2468" t="str">
            <v>BBVA</v>
          </cell>
          <cell r="J2468" t="str">
            <v>001108140248978436</v>
          </cell>
          <cell r="K2468" t="str">
            <v>DNI</v>
          </cell>
          <cell r="L2468">
            <v>10466580631</v>
          </cell>
          <cell r="M2468" t="str">
            <v>URBANO PARTNER</v>
          </cell>
          <cell r="N2468">
            <v>45734.083333333336</v>
          </cell>
          <cell r="O2468">
            <v>0</v>
          </cell>
          <cell r="P2468" t="str">
            <v>COMFORT XL</v>
          </cell>
        </row>
        <row r="2469">
          <cell r="A2469">
            <v>1852</v>
          </cell>
          <cell r="B2469">
            <v>1852</v>
          </cell>
          <cell r="C2469" t="str">
            <v>CERO MATRICULA</v>
          </cell>
          <cell r="D2469" t="str">
            <v>ACTIVO</v>
          </cell>
          <cell r="E2469" t="str">
            <v>CNO463</v>
          </cell>
          <cell r="F2469" t="str">
            <v xml:space="preserve">López Acuña Ulises Arístides </v>
          </cell>
          <cell r="G2469" t="str">
            <v>LOPEZ ACUÑA ULISES ARISTIDES</v>
          </cell>
          <cell r="H2469" t="str">
            <v>41754399</v>
          </cell>
          <cell r="I2469" t="str">
            <v>BCP</v>
          </cell>
          <cell r="J2469" t="str">
            <v>19404702751052</v>
          </cell>
          <cell r="K2469" t="str">
            <v>DNI</v>
          </cell>
          <cell r="L2469">
            <v>10417543991</v>
          </cell>
          <cell r="M2469" t="str">
            <v>URBANO PARTNER</v>
          </cell>
          <cell r="N2469">
            <v>45734.083333333336</v>
          </cell>
          <cell r="O2469">
            <v>0</v>
          </cell>
          <cell r="P2469" t="str">
            <v>COMFORT XL</v>
          </cell>
        </row>
        <row r="2470">
          <cell r="A2470">
            <v>1853</v>
          </cell>
          <cell r="B2470">
            <v>1853</v>
          </cell>
          <cell r="C2470" t="str">
            <v>CERO MATRICULA</v>
          </cell>
          <cell r="D2470" t="str">
            <v>ACTIVO</v>
          </cell>
          <cell r="E2470" t="str">
            <v>Z6W698</v>
          </cell>
          <cell r="F2470" t="str">
            <v>Campos García Pedro Roberto</v>
          </cell>
          <cell r="G2470" t="str">
            <v>CAMPOS GARCIA PEDRO ROBERTO</v>
          </cell>
          <cell r="H2470" t="str">
            <v>06018928</v>
          </cell>
          <cell r="I2470" t="str">
            <v>BCP</v>
          </cell>
          <cell r="J2470" t="str">
            <v>193-07116461043</v>
          </cell>
          <cell r="K2470" t="str">
            <v>DNI</v>
          </cell>
          <cell r="L2470">
            <v>10060189281</v>
          </cell>
          <cell r="M2470" t="str">
            <v>URBANO PARTNER</v>
          </cell>
          <cell r="N2470">
            <v>45734.083333333336</v>
          </cell>
          <cell r="O2470">
            <v>0</v>
          </cell>
          <cell r="P2470" t="str">
            <v>COMFORT</v>
          </cell>
        </row>
        <row r="2471">
          <cell r="A2471">
            <v>1854</v>
          </cell>
          <cell r="B2471">
            <v>1854</v>
          </cell>
          <cell r="C2471" t="str">
            <v>CERO MATRICULA</v>
          </cell>
          <cell r="D2471" t="str">
            <v>ACTIVO</v>
          </cell>
          <cell r="E2471" t="str">
            <v>CHV006</v>
          </cell>
          <cell r="F2471" t="str">
            <v>Huaman Huaman Ricardo David</v>
          </cell>
          <cell r="G2471" t="str">
            <v xml:space="preserve">Ricardo David Huaman Huaman </v>
          </cell>
          <cell r="H2471" t="str">
            <v>47575862</v>
          </cell>
          <cell r="I2471" t="str">
            <v>BBVA</v>
          </cell>
          <cell r="J2471" t="str">
            <v>1100570223835060</v>
          </cell>
          <cell r="K2471" t="str">
            <v>DNI</v>
          </cell>
          <cell r="L2471">
            <v>10475758621</v>
          </cell>
          <cell r="M2471" t="str">
            <v>URBANO PARTNER</v>
          </cell>
          <cell r="N2471">
            <v>45734.083333333336</v>
          </cell>
          <cell r="O2471">
            <v>0</v>
          </cell>
          <cell r="P2471" t="str">
            <v>LITE</v>
          </cell>
        </row>
        <row r="2472">
          <cell r="A2472">
            <v>1860</v>
          </cell>
          <cell r="B2472">
            <v>1860</v>
          </cell>
          <cell r="C2472" t="str">
            <v>CERO MATRICULA</v>
          </cell>
          <cell r="D2472" t="str">
            <v>ACTIVO</v>
          </cell>
          <cell r="E2472" t="str">
            <v>BSB379</v>
          </cell>
          <cell r="F2472" t="str">
            <v>Rosales Pariona Rolly Jair</v>
          </cell>
          <cell r="G2472" t="str">
            <v>ROSALES PARIONA ROLLY JAIR</v>
          </cell>
          <cell r="H2472" t="str">
            <v>44484441</v>
          </cell>
          <cell r="I2472" t="str">
            <v>INTERBANK</v>
          </cell>
          <cell r="J2472" t="str">
            <v>8983385343541</v>
          </cell>
          <cell r="K2472" t="str">
            <v>DNI</v>
          </cell>
          <cell r="L2472">
            <v>10444844413</v>
          </cell>
          <cell r="M2472" t="str">
            <v>AEROLINEAS</v>
          </cell>
          <cell r="N2472">
            <v>45736.125</v>
          </cell>
          <cell r="O2472">
            <v>0</v>
          </cell>
          <cell r="P2472" t="str">
            <v>COMFORT XL</v>
          </cell>
        </row>
        <row r="2473">
          <cell r="A2473">
            <v>1861</v>
          </cell>
          <cell r="B2473">
            <v>1861</v>
          </cell>
          <cell r="C2473" t="str">
            <v>CERO MATRICULA</v>
          </cell>
          <cell r="D2473" t="str">
            <v>ACTIVO</v>
          </cell>
          <cell r="E2473" t="str">
            <v>CEY132</v>
          </cell>
          <cell r="F2473" t="str">
            <v>López l Chumbile Luis Alberto</v>
          </cell>
          <cell r="G2473" t="str">
            <v>LOPEZ CHUMBILE LUIS ALBERTO</v>
          </cell>
          <cell r="H2473" t="str">
            <v>09405111</v>
          </cell>
          <cell r="I2473" t="str">
            <v>BBVA</v>
          </cell>
          <cell r="J2473" t="str">
            <v>001101350201204784</v>
          </cell>
          <cell r="K2473" t="str">
            <v>DNI</v>
          </cell>
          <cell r="L2473">
            <v>10094051113</v>
          </cell>
          <cell r="M2473" t="str">
            <v>AEROLINEAS</v>
          </cell>
          <cell r="N2473">
            <v>45736.125</v>
          </cell>
          <cell r="O2473">
            <v>0</v>
          </cell>
          <cell r="P2473" t="str">
            <v>XL</v>
          </cell>
        </row>
        <row r="2474">
          <cell r="A2474">
            <v>1862</v>
          </cell>
          <cell r="B2474">
            <v>1862</v>
          </cell>
          <cell r="C2474" t="str">
            <v>CERO MATRICULA</v>
          </cell>
          <cell r="D2474" t="str">
            <v>ACTIVO</v>
          </cell>
          <cell r="E2474" t="str">
            <v>CRF527</v>
          </cell>
          <cell r="F2474" t="str">
            <v>La Cruz Olaya Julian Ramon</v>
          </cell>
          <cell r="G2474" t="str">
            <v>LA CRUZ OLAYA JULIAN RAMON</v>
          </cell>
          <cell r="H2474">
            <v>25831187</v>
          </cell>
          <cell r="I2474" t="str">
            <v>INTERBANK</v>
          </cell>
          <cell r="J2474" t="str">
            <v>8983156452000</v>
          </cell>
          <cell r="K2474" t="str">
            <v>DNI</v>
          </cell>
          <cell r="L2474">
            <v>10258311871</v>
          </cell>
          <cell r="M2474" t="str">
            <v>AEROLINEAS</v>
          </cell>
          <cell r="N2474">
            <v>45736.125</v>
          </cell>
          <cell r="O2474">
            <v>0</v>
          </cell>
          <cell r="P2474" t="str">
            <v>XL</v>
          </cell>
        </row>
        <row r="2475">
          <cell r="A2475">
            <v>1863</v>
          </cell>
          <cell r="B2475">
            <v>1863</v>
          </cell>
          <cell r="C2475" t="str">
            <v>CERO MATRICULA</v>
          </cell>
          <cell r="D2475" t="str">
            <v>ACTIVO</v>
          </cell>
          <cell r="E2475" t="str">
            <v>BZS915</v>
          </cell>
          <cell r="F2475" t="str">
            <v>Huillca Sifuentes Andree Ayrton</v>
          </cell>
          <cell r="G2475" t="str">
            <v>HUILLCA SIFUENTES ANDREE AYRTON</v>
          </cell>
          <cell r="H2475">
            <v>73520748</v>
          </cell>
          <cell r="I2475" t="str">
            <v>BCP</v>
          </cell>
          <cell r="J2475" t="str">
            <v>37570764385032</v>
          </cell>
          <cell r="K2475" t="str">
            <v>DNI</v>
          </cell>
          <cell r="L2475">
            <v>10735207488</v>
          </cell>
          <cell r="M2475" t="str">
            <v>AEROLINEAS</v>
          </cell>
          <cell r="N2475">
            <v>45736.125</v>
          </cell>
          <cell r="O2475">
            <v>0</v>
          </cell>
          <cell r="P2475" t="str">
            <v>XL</v>
          </cell>
        </row>
        <row r="2476">
          <cell r="A2476">
            <v>9522</v>
          </cell>
          <cell r="B2476">
            <v>9522</v>
          </cell>
          <cell r="C2476" t="str">
            <v>CERO MATRICULA</v>
          </cell>
          <cell r="D2476" t="str">
            <v>ACTIVO</v>
          </cell>
          <cell r="E2476" t="str">
            <v>CKF666</v>
          </cell>
          <cell r="F2476" t="str">
            <v>Gonzales Yaipen Eduardo jeancarlo</v>
          </cell>
          <cell r="G2476" t="str">
            <v>GONZALES YAIPEN EDUARDO JEANCARLO</v>
          </cell>
          <cell r="H2476" t="str">
            <v>47482455</v>
          </cell>
          <cell r="I2476" t="str">
            <v>BCP</v>
          </cell>
          <cell r="J2476" t="str">
            <v>19101873390011</v>
          </cell>
          <cell r="K2476" t="str">
            <v>DNI</v>
          </cell>
          <cell r="L2476">
            <v>10474824557</v>
          </cell>
          <cell r="M2476" t="str">
            <v>URBANO PARTNER</v>
          </cell>
          <cell r="N2476">
            <v>45734.416666666664</v>
          </cell>
          <cell r="O2476">
            <v>0</v>
          </cell>
          <cell r="P2476" t="str">
            <v>COMFORT XL</v>
          </cell>
        </row>
        <row r="2477">
          <cell r="A2477">
            <v>1828</v>
          </cell>
          <cell r="B2477">
            <v>1828</v>
          </cell>
          <cell r="C2477" t="str">
            <v>CERO MATRICULA</v>
          </cell>
          <cell r="D2477" t="str">
            <v>ACTIVO</v>
          </cell>
          <cell r="E2477" t="str">
            <v>CCH552</v>
          </cell>
          <cell r="F2477" t="str">
            <v>Llauce Damian PABLO RAMOS</v>
          </cell>
          <cell r="G2477" t="str">
            <v>Llauce Morante José Leonardo</v>
          </cell>
          <cell r="H2477" t="str">
            <v>17624249</v>
          </cell>
          <cell r="I2477" t="str">
            <v>INTERBANK</v>
          </cell>
          <cell r="J2477" t="str">
            <v>0893355396737</v>
          </cell>
          <cell r="K2477" t="str">
            <v>DNI</v>
          </cell>
          <cell r="L2477">
            <v>10176242499</v>
          </cell>
          <cell r="M2477" t="str">
            <v>AEROPUERTO</v>
          </cell>
          <cell r="N2477">
            <v>45734.416666666664</v>
          </cell>
          <cell r="O2477">
            <v>240</v>
          </cell>
          <cell r="P2477" t="str">
            <v>XL</v>
          </cell>
        </row>
        <row r="2478">
          <cell r="A2478">
            <v>1856</v>
          </cell>
          <cell r="B2478">
            <v>1856</v>
          </cell>
          <cell r="C2478" t="str">
            <v>CERO MATRICULA</v>
          </cell>
          <cell r="D2478" t="str">
            <v>ACTIVO</v>
          </cell>
          <cell r="E2478" t="str">
            <v>CPY047</v>
          </cell>
          <cell r="F2478" t="str">
            <v>Valdera Monja Segundo Víctor</v>
          </cell>
          <cell r="G2478" t="str">
            <v>TRIGOSO SANCHEZ JORGE ENRIQUE</v>
          </cell>
          <cell r="H2478" t="str">
            <v>45989133</v>
          </cell>
          <cell r="I2478" t="str">
            <v>BCP</v>
          </cell>
          <cell r="J2478" t="str">
            <v>44077060141049</v>
          </cell>
          <cell r="K2478" t="str">
            <v>DNI</v>
          </cell>
          <cell r="L2478">
            <v>10459891337</v>
          </cell>
          <cell r="M2478" t="str">
            <v>AEROPUERTO</v>
          </cell>
          <cell r="N2478">
            <v>45741.416666666664</v>
          </cell>
          <cell r="O2478">
            <v>235</v>
          </cell>
          <cell r="P2478" t="str">
            <v>COMFORT XL</v>
          </cell>
        </row>
        <row r="2479">
          <cell r="A2479">
            <v>1858</v>
          </cell>
          <cell r="B2479">
            <v>1858</v>
          </cell>
          <cell r="C2479" t="str">
            <v>CERO MATRICULA</v>
          </cell>
          <cell r="D2479" t="str">
            <v>ACTIVO</v>
          </cell>
          <cell r="E2479" t="str">
            <v>CRU146</v>
          </cell>
          <cell r="F2479" t="str">
            <v>Quintana Rea Nestor Adrian</v>
          </cell>
          <cell r="G2479" t="str">
            <v>QUINTANA REA NESTOR ADRIAN</v>
          </cell>
          <cell r="H2479" t="str">
            <v>004764280</v>
          </cell>
          <cell r="I2479" t="str">
            <v>BCP</v>
          </cell>
          <cell r="J2479" t="str">
            <v>19493757341082</v>
          </cell>
          <cell r="K2479" t="str">
            <v>CE</v>
          </cell>
          <cell r="L2479">
            <v>15608262897</v>
          </cell>
          <cell r="M2479" t="str">
            <v>AEROPUERTO</v>
          </cell>
          <cell r="N2479">
            <v>45736.416666666664</v>
          </cell>
          <cell r="O2479">
            <v>240</v>
          </cell>
          <cell r="P2479" t="str">
            <v>COMFORT</v>
          </cell>
        </row>
        <row r="2480">
          <cell r="A2480">
            <v>1859</v>
          </cell>
          <cell r="B2480">
            <v>1859</v>
          </cell>
          <cell r="C2480" t="str">
            <v>CERO MATRICULA</v>
          </cell>
          <cell r="D2480" t="str">
            <v>ACTIVO</v>
          </cell>
          <cell r="E2480" t="str">
            <v>CRH571</v>
          </cell>
          <cell r="F2480" t="str">
            <v>Angulo Quintana Carlos Alberto</v>
          </cell>
          <cell r="G2480" t="str">
            <v>ANGULO QUINTANA CARLOS ALBERTO</v>
          </cell>
          <cell r="H2480" t="str">
            <v>08226387</v>
          </cell>
          <cell r="I2480" t="str">
            <v>BCP</v>
          </cell>
          <cell r="J2480" t="str">
            <v>19477566796096</v>
          </cell>
          <cell r="K2480" t="str">
            <v>DNI</v>
          </cell>
          <cell r="L2480">
            <v>10082263875</v>
          </cell>
          <cell r="M2480" t="str">
            <v>AEROLINEAS</v>
          </cell>
          <cell r="N2480">
            <v>45743.125</v>
          </cell>
          <cell r="O2480">
            <v>0</v>
          </cell>
          <cell r="P2480" t="str">
            <v>COMFORT XL</v>
          </cell>
        </row>
        <row r="2481">
          <cell r="A2481">
            <v>1868</v>
          </cell>
          <cell r="B2481">
            <v>1868</v>
          </cell>
          <cell r="C2481" t="str">
            <v>CERO MATRICULA</v>
          </cell>
          <cell r="D2481" t="str">
            <v>ACTIVO</v>
          </cell>
          <cell r="E2481" t="str">
            <v>BRW381</v>
          </cell>
          <cell r="F2481" t="str">
            <v>Coronado Effio César Alfonso</v>
          </cell>
          <cell r="G2481" t="str">
            <v>CORONADO EFFIO CESAR ALFONSO</v>
          </cell>
          <cell r="H2481" t="str">
            <v>06779187</v>
          </cell>
          <cell r="I2481" t="str">
            <v>Interbank</v>
          </cell>
          <cell r="J2481" t="str">
            <v>8983509387682</v>
          </cell>
          <cell r="K2481" t="str">
            <v>DNI</v>
          </cell>
          <cell r="L2481">
            <v>10067791873</v>
          </cell>
          <cell r="M2481" t="str">
            <v>URBANO PARTNER</v>
          </cell>
          <cell r="N2481">
            <v>45741.083333333336</v>
          </cell>
          <cell r="O2481">
            <v>0</v>
          </cell>
          <cell r="P2481" t="str">
            <v>XL</v>
          </cell>
        </row>
        <row r="2482">
          <cell r="A2482">
            <v>1869</v>
          </cell>
          <cell r="B2482">
            <v>1869</v>
          </cell>
          <cell r="C2482" t="str">
            <v>CERO MATRICULA</v>
          </cell>
          <cell r="D2482" t="str">
            <v>ACTIVO</v>
          </cell>
          <cell r="E2482" t="str">
            <v>CCG534</v>
          </cell>
          <cell r="F2482" t="str">
            <v>CHAVEZ HUIZA JUNIOR MAXIMO</v>
          </cell>
          <cell r="G2482" t="str">
            <v xml:space="preserve"> CHAVEZ HUIZA JUNIOR MAXIMO</v>
          </cell>
          <cell r="H2482" t="str">
            <v>44438316</v>
          </cell>
          <cell r="I2482" t="str">
            <v>BCP</v>
          </cell>
          <cell r="J2482" t="str">
            <v>19191833343050</v>
          </cell>
          <cell r="K2482" t="str">
            <v>DNI</v>
          </cell>
          <cell r="L2482">
            <v>10444383165</v>
          </cell>
          <cell r="M2482" t="str">
            <v>URBANO PARTNER</v>
          </cell>
          <cell r="N2482">
            <v>45741.416666666664</v>
          </cell>
          <cell r="O2482">
            <v>0</v>
          </cell>
          <cell r="P2482" t="str">
            <v>XL</v>
          </cell>
        </row>
        <row r="2483">
          <cell r="A2483">
            <v>1870</v>
          </cell>
          <cell r="B2483">
            <v>1870</v>
          </cell>
          <cell r="C2483" t="str">
            <v>CERO MATRICULA</v>
          </cell>
          <cell r="D2483" t="str">
            <v>ACTIVO</v>
          </cell>
          <cell r="E2483" t="str">
            <v>CKK127</v>
          </cell>
          <cell r="F2483" t="str">
            <v>Canchapoma Aguirre Boris</v>
          </cell>
          <cell r="G2483" t="str">
            <v>CANCHAPOMA AGUIRRE BORIS</v>
          </cell>
          <cell r="H2483" t="str">
            <v>71541932</v>
          </cell>
          <cell r="I2483" t="str">
            <v>BBVA</v>
          </cell>
          <cell r="J2483" t="str">
            <v>0011-0174-0201230818</v>
          </cell>
          <cell r="K2483" t="str">
            <v>DNI</v>
          </cell>
          <cell r="L2483">
            <v>10715419322</v>
          </cell>
          <cell r="M2483" t="str">
            <v>URBANO PARTNER</v>
          </cell>
          <cell r="N2483">
            <v>45741.083333333336</v>
          </cell>
          <cell r="O2483">
            <v>0</v>
          </cell>
          <cell r="P2483" t="str">
            <v>COMFORT</v>
          </cell>
        </row>
        <row r="2484">
          <cell r="A2484">
            <v>1871</v>
          </cell>
          <cell r="B2484">
            <v>1871</v>
          </cell>
          <cell r="C2484" t="str">
            <v>CERO MATRICULA</v>
          </cell>
          <cell r="D2484" t="str">
            <v>ACTIVO</v>
          </cell>
          <cell r="E2484" t="str">
            <v>CRR321</v>
          </cell>
          <cell r="F2484" t="str">
            <v>Pisconti Rivero Luis Samuel</v>
          </cell>
          <cell r="G2484" t="str">
            <v>PISCONTI RIVERO LUIS SAMUEL</v>
          </cell>
          <cell r="H2484" t="str">
            <v>70359792</v>
          </cell>
          <cell r="I2484" t="str">
            <v>BCP</v>
          </cell>
          <cell r="J2484" t="str">
            <v>10199093198037</v>
          </cell>
          <cell r="K2484" t="str">
            <v>DNI</v>
          </cell>
          <cell r="L2484">
            <v>10703597926</v>
          </cell>
          <cell r="M2484" t="str">
            <v>URBANO PARTNER</v>
          </cell>
          <cell r="N2484">
            <v>45741.083333333336</v>
          </cell>
          <cell r="O2484">
            <v>0</v>
          </cell>
          <cell r="P2484" t="str">
            <v>COMFORT XL</v>
          </cell>
        </row>
        <row r="2485">
          <cell r="A2485">
            <v>1872</v>
          </cell>
          <cell r="B2485">
            <v>1872</v>
          </cell>
          <cell r="C2485" t="str">
            <v>CERO MATRICULA</v>
          </cell>
          <cell r="D2485" t="str">
            <v>ACTIVO</v>
          </cell>
          <cell r="E2485" t="str">
            <v>CRL062</v>
          </cell>
          <cell r="F2485" t="str">
            <v>Medina Trillo Fernando Gonzalo</v>
          </cell>
          <cell r="G2485" t="str">
            <v>MEDINA TRILLO FERNANDO GONZALO</v>
          </cell>
          <cell r="H2485" t="str">
            <v>45563820</v>
          </cell>
          <cell r="I2485" t="str">
            <v>BCP</v>
          </cell>
          <cell r="J2485" t="str">
            <v>19192027824096</v>
          </cell>
          <cell r="K2485" t="str">
            <v>DNI</v>
          </cell>
          <cell r="L2485">
            <v>10455638203</v>
          </cell>
          <cell r="M2485" t="str">
            <v>AEROLINEAS</v>
          </cell>
          <cell r="N2485">
            <v>45743.125</v>
          </cell>
          <cell r="O2485">
            <v>0</v>
          </cell>
          <cell r="P2485" t="str">
            <v>COMFORT</v>
          </cell>
        </row>
        <row r="2486">
          <cell r="A2486">
            <v>1873</v>
          </cell>
          <cell r="B2486">
            <v>1873</v>
          </cell>
          <cell r="C2486" t="str">
            <v>CERO MATRICULA</v>
          </cell>
          <cell r="D2486" t="str">
            <v>ACTIVO</v>
          </cell>
          <cell r="E2486" t="str">
            <v>CPQ014</v>
          </cell>
          <cell r="F2486" t="str">
            <v>Garcia Carreño Jonaiber</v>
          </cell>
          <cell r="G2486" t="str">
            <v>GARCIA CARREÑO JONAIBER DANIEL</v>
          </cell>
          <cell r="H2486" t="str">
            <v>001750574</v>
          </cell>
          <cell r="I2486" t="str">
            <v>BCP</v>
          </cell>
          <cell r="J2486" t="str">
            <v>19136892595045</v>
          </cell>
          <cell r="K2486" t="str">
            <v>CE</v>
          </cell>
          <cell r="L2486">
            <v>15602347769</v>
          </cell>
          <cell r="M2486" t="str">
            <v>AEROLINEAS</v>
          </cell>
          <cell r="N2486">
            <v>45743.125</v>
          </cell>
          <cell r="O2486">
            <v>0</v>
          </cell>
          <cell r="P2486" t="str">
            <v>COMFORT</v>
          </cell>
        </row>
        <row r="2487">
          <cell r="A2487">
            <v>1874</v>
          </cell>
          <cell r="B2487">
            <v>1874</v>
          </cell>
          <cell r="C2487" t="str">
            <v>CERO MATRICULA</v>
          </cell>
          <cell r="D2487" t="str">
            <v>ACTIVO</v>
          </cell>
          <cell r="E2487" t="str">
            <v>CLV415</v>
          </cell>
          <cell r="F2487" t="str">
            <v>Bocaranda Colmenares Victor Manuel</v>
          </cell>
          <cell r="G2487" t="str">
            <v>Bocaranda Colmenares Victor Manuel</v>
          </cell>
          <cell r="H2487" t="str">
            <v>002238922</v>
          </cell>
          <cell r="I2487" t="str">
            <v>INTERBANK</v>
          </cell>
          <cell r="J2487" t="str">
            <v xml:space="preserve">170 3186115320 </v>
          </cell>
          <cell r="K2487" t="str">
            <v>CE</v>
          </cell>
          <cell r="L2487">
            <v>15603407838</v>
          </cell>
          <cell r="M2487" t="str">
            <v>AEROLINEAS</v>
          </cell>
          <cell r="N2487">
            <v>45743.125</v>
          </cell>
          <cell r="O2487">
            <v>0</v>
          </cell>
          <cell r="P2487" t="str">
            <v>XL</v>
          </cell>
        </row>
        <row r="2488">
          <cell r="A2488">
            <v>1875</v>
          </cell>
          <cell r="B2488">
            <v>1875</v>
          </cell>
          <cell r="C2488" t="str">
            <v>CERO MATRICULA</v>
          </cell>
          <cell r="D2488" t="str">
            <v>ACTIVO</v>
          </cell>
          <cell r="E2488" t="str">
            <v>BMF370</v>
          </cell>
          <cell r="F2488" t="str">
            <v>Manrique Rodríguez Alfonso</v>
          </cell>
          <cell r="G2488" t="str">
            <v>MANRIQUE RODRIGUEZ ALFONSO</v>
          </cell>
          <cell r="H2488" t="str">
            <v>09191117</v>
          </cell>
          <cell r="I2488" t="str">
            <v>SCOTIABANK</v>
          </cell>
          <cell r="J2488" t="str">
            <v>0407245521</v>
          </cell>
          <cell r="K2488" t="str">
            <v>DNI</v>
          </cell>
          <cell r="L2488">
            <v>10091911171</v>
          </cell>
          <cell r="M2488" t="str">
            <v>AEROLINEAS</v>
          </cell>
          <cell r="N2488">
            <v>45743.125</v>
          </cell>
          <cell r="O2488">
            <v>0</v>
          </cell>
          <cell r="P2488" t="str">
            <v>LITE</v>
          </cell>
        </row>
        <row r="2489">
          <cell r="A2489">
            <v>1855</v>
          </cell>
          <cell r="B2489">
            <v>1855</v>
          </cell>
          <cell r="C2489" t="str">
            <v>CERO MATRICULA</v>
          </cell>
          <cell r="D2489" t="str">
            <v>ACTIVO</v>
          </cell>
          <cell r="E2489" t="str">
            <v>CKJ112</v>
          </cell>
          <cell r="F2489" t="str">
            <v>Olivos Melgarejo Hans cristhian</v>
          </cell>
          <cell r="G2489" t="str">
            <v>BERROCAL CACERES MARILYN</v>
          </cell>
          <cell r="H2489" t="str">
            <v>76627273</v>
          </cell>
          <cell r="I2489" t="str">
            <v>BCP</v>
          </cell>
          <cell r="J2489" t="str">
            <v>19191161705029</v>
          </cell>
          <cell r="K2489" t="str">
            <v>DNI</v>
          </cell>
          <cell r="L2489">
            <v>10766272733</v>
          </cell>
          <cell r="M2489" t="str">
            <v>AEROPUERTO</v>
          </cell>
          <cell r="N2489">
            <v>45736.416666666664</v>
          </cell>
          <cell r="O2489">
            <v>235</v>
          </cell>
          <cell r="P2489" t="str">
            <v>COMFORT XL</v>
          </cell>
        </row>
        <row r="2490">
          <cell r="A2490">
            <v>1867</v>
          </cell>
          <cell r="B2490">
            <v>1867</v>
          </cell>
          <cell r="C2490" t="str">
            <v>CERO MATRICULA</v>
          </cell>
          <cell r="D2490" t="str">
            <v>ACTIVO</v>
          </cell>
          <cell r="E2490" t="str">
            <v>BFW652</v>
          </cell>
          <cell r="F2490" t="str">
            <v>Castillo Gutiérrez Antonio José</v>
          </cell>
          <cell r="G2490" t="str">
            <v>CASTILLO GUTIERREZ ANTONIO JOSE</v>
          </cell>
          <cell r="H2490" t="str">
            <v>004532363</v>
          </cell>
          <cell r="I2490" t="str">
            <v>INTERBANK</v>
          </cell>
          <cell r="J2490" t="str">
            <v>0753226566798</v>
          </cell>
          <cell r="K2490" t="str">
            <v>CE</v>
          </cell>
          <cell r="L2490">
            <v>15605246041</v>
          </cell>
          <cell r="M2490" t="str">
            <v>AEROPUERTO</v>
          </cell>
          <cell r="N2490">
            <v>45741.416666666664</v>
          </cell>
          <cell r="O2490">
            <v>265</v>
          </cell>
          <cell r="P2490" t="str">
            <v>LITE</v>
          </cell>
        </row>
        <row r="2491">
          <cell r="A2491">
            <v>1878</v>
          </cell>
          <cell r="B2491">
            <v>1878</v>
          </cell>
          <cell r="C2491" t="str">
            <v>CERO MATRICULA</v>
          </cell>
          <cell r="D2491" t="str">
            <v>ACTIVO</v>
          </cell>
          <cell r="E2491" t="str">
            <v>CNS407</v>
          </cell>
          <cell r="F2491" t="str">
            <v>Huaman Huillca Jaime</v>
          </cell>
          <cell r="G2491" t="str">
            <v>HUAMAN HUILLCA JAIME</v>
          </cell>
          <cell r="H2491">
            <v>44140427</v>
          </cell>
          <cell r="I2491" t="str">
            <v>INTERBANK</v>
          </cell>
          <cell r="J2491" t="str">
            <v>8983311542313</v>
          </cell>
          <cell r="K2491" t="str">
            <v>DNI</v>
          </cell>
          <cell r="L2491">
            <v>10441404277</v>
          </cell>
          <cell r="M2491" t="str">
            <v>AEROPUERTO</v>
          </cell>
          <cell r="N2491">
            <v>45744.416666666664</v>
          </cell>
          <cell r="O2491">
            <v>235</v>
          </cell>
          <cell r="P2491" t="str">
            <v>COMFORT XL</v>
          </cell>
        </row>
        <row r="2492">
          <cell r="A2492">
            <v>1881</v>
          </cell>
          <cell r="B2492">
            <v>1881</v>
          </cell>
          <cell r="C2492" t="str">
            <v>CERO MATRICULA</v>
          </cell>
          <cell r="D2492" t="str">
            <v>ACTIVO</v>
          </cell>
          <cell r="E2492" t="str">
            <v>Bsh469</v>
          </cell>
          <cell r="F2492" t="str">
            <v>Méndez Marquez Omar Jesús</v>
          </cell>
          <cell r="G2492" t="str">
            <v>MENDEZ MARQUEZ OMAR JESUS</v>
          </cell>
          <cell r="H2492" t="str">
            <v>002519151</v>
          </cell>
          <cell r="I2492" t="str">
            <v>BCP</v>
          </cell>
          <cell r="J2492" t="str">
            <v>19493105388044</v>
          </cell>
          <cell r="K2492" t="str">
            <v>CE</v>
          </cell>
          <cell r="L2492">
            <v>15605929297</v>
          </cell>
          <cell r="M2492" t="str">
            <v>URBANO PARTNER</v>
          </cell>
          <cell r="N2492">
            <v>45744.416666666664</v>
          </cell>
          <cell r="O2492">
            <v>0</v>
          </cell>
          <cell r="P2492" t="str">
            <v>LITE</v>
          </cell>
        </row>
        <row r="2493">
          <cell r="A2493">
            <v>1882</v>
          </cell>
          <cell r="B2493">
            <v>1882</v>
          </cell>
          <cell r="C2493" t="str">
            <v>CERO MATRICULA</v>
          </cell>
          <cell r="D2493" t="str">
            <v>ACTIVO</v>
          </cell>
          <cell r="E2493" t="str">
            <v>CPS153</v>
          </cell>
          <cell r="F2493" t="str">
            <v>Napan Durand Judith Evelyn</v>
          </cell>
          <cell r="G2493" t="str">
            <v>NAPAN DURAND JUDITH EVELYN</v>
          </cell>
          <cell r="H2493" t="str">
            <v>42126936</v>
          </cell>
          <cell r="I2493" t="str">
            <v>BCP</v>
          </cell>
          <cell r="J2493" t="str">
            <v>19104633154052</v>
          </cell>
          <cell r="K2493" t="str">
            <v>DNI</v>
          </cell>
          <cell r="L2493">
            <v>10421269365</v>
          </cell>
          <cell r="M2493" t="str">
            <v>URBANO PARTNER</v>
          </cell>
          <cell r="N2493">
            <v>45747.083333333336</v>
          </cell>
          <cell r="O2493">
            <v>0</v>
          </cell>
          <cell r="P2493" t="str">
            <v>XL</v>
          </cell>
        </row>
        <row r="2494">
          <cell r="A2494">
            <v>1883</v>
          </cell>
          <cell r="B2494">
            <v>1883</v>
          </cell>
          <cell r="C2494" t="str">
            <v>CERO MATRICULA</v>
          </cell>
          <cell r="D2494" t="str">
            <v>ACTIVO</v>
          </cell>
          <cell r="E2494" t="str">
            <v>CHC309</v>
          </cell>
          <cell r="F2494" t="str">
            <v>Rojas Atuncar Ckristopher Anderson</v>
          </cell>
          <cell r="G2494" t="str">
            <v>ROJAS ATUNCAR CKRISTOPHER ANDERSON</v>
          </cell>
          <cell r="H2494" t="str">
            <v>73883319</v>
          </cell>
          <cell r="I2494" t="str">
            <v>BCP</v>
          </cell>
          <cell r="J2494" t="str">
            <v>19399510107058</v>
          </cell>
          <cell r="K2494" t="str">
            <v>DNI</v>
          </cell>
          <cell r="L2494">
            <v>10738833193</v>
          </cell>
          <cell r="M2494" t="str">
            <v>URBANO PARTNER</v>
          </cell>
          <cell r="N2494">
            <v>45747.083333333336</v>
          </cell>
          <cell r="O2494">
            <v>0</v>
          </cell>
          <cell r="P2494" t="str">
            <v>COMFORT XL</v>
          </cell>
        </row>
        <row r="2495">
          <cell r="A2495">
            <v>1884</v>
          </cell>
          <cell r="B2495">
            <v>1884</v>
          </cell>
          <cell r="C2495" t="str">
            <v>CERO MATRICULA</v>
          </cell>
          <cell r="D2495" t="str">
            <v>ACTIVO</v>
          </cell>
          <cell r="E2495" t="str">
            <v>CRV665</v>
          </cell>
          <cell r="F2495" t="str">
            <v>Luyo Flores Kenny Jesus</v>
          </cell>
          <cell r="G2495" t="str">
            <v>LUYO FLORES KENNY JESUS</v>
          </cell>
          <cell r="H2495" t="str">
            <v>48550530</v>
          </cell>
          <cell r="I2495" t="str">
            <v>INTERBANK</v>
          </cell>
          <cell r="J2495" t="str">
            <v>8983432904123</v>
          </cell>
          <cell r="K2495" t="str">
            <v>DNI</v>
          </cell>
          <cell r="L2495">
            <v>10485505305</v>
          </cell>
          <cell r="M2495" t="str">
            <v>URBANO PARTNER</v>
          </cell>
          <cell r="N2495">
            <v>45747.083333333336</v>
          </cell>
          <cell r="O2495">
            <v>0</v>
          </cell>
          <cell r="P2495" t="str">
            <v>COMFORT XL</v>
          </cell>
        </row>
        <row r="2496">
          <cell r="A2496">
            <v>1886</v>
          </cell>
          <cell r="B2496">
            <v>1886</v>
          </cell>
          <cell r="C2496" t="str">
            <v>CERO MATRICULA</v>
          </cell>
          <cell r="D2496" t="str">
            <v>ACTIVO</v>
          </cell>
          <cell r="E2496" t="str">
            <v>BYP676</v>
          </cell>
          <cell r="F2496" t="str">
            <v xml:space="preserve">RAVINES LONZOY JORGE WILFREDO </v>
          </cell>
          <cell r="G2496" t="str">
            <v>Jorge Wilfredo Ravines Lonzoy</v>
          </cell>
          <cell r="H2496" t="str">
            <v>07260307</v>
          </cell>
          <cell r="I2496" t="str">
            <v>BCP</v>
          </cell>
          <cell r="J2496" t="str">
            <v>19317815218068</v>
          </cell>
          <cell r="K2496" t="str">
            <v>DNI</v>
          </cell>
          <cell r="L2496">
            <v>10072603074</v>
          </cell>
          <cell r="M2496" t="str">
            <v>URBANO PARTNER</v>
          </cell>
          <cell r="N2496">
            <v>45747.083333333336</v>
          </cell>
          <cell r="O2496">
            <v>0</v>
          </cell>
          <cell r="P2496" t="str">
            <v>COMFORT XL</v>
          </cell>
        </row>
        <row r="2497">
          <cell r="A2497">
            <v>1887</v>
          </cell>
          <cell r="B2497">
            <v>1887</v>
          </cell>
          <cell r="C2497" t="str">
            <v>CERO MATRICULA</v>
          </cell>
          <cell r="D2497" t="str">
            <v>ACTIVO</v>
          </cell>
          <cell r="E2497" t="str">
            <v>Cer063</v>
          </cell>
          <cell r="F2497" t="str">
            <v>Mendoza Ramírez José Luis</v>
          </cell>
          <cell r="G2497" t="str">
            <v>MENDOZA RAMIREZ JOSE LUIS</v>
          </cell>
          <cell r="H2497" t="str">
            <v>10686706</v>
          </cell>
          <cell r="I2497" t="str">
            <v>INTERBANK</v>
          </cell>
          <cell r="J2497" t="str">
            <v>8983444758521</v>
          </cell>
          <cell r="K2497" t="str">
            <v>DNI</v>
          </cell>
          <cell r="L2497">
            <v>10106867068</v>
          </cell>
          <cell r="M2497" t="str">
            <v>URBANO PARTNER</v>
          </cell>
          <cell r="N2497">
            <v>45748.416666666664</v>
          </cell>
          <cell r="O2497">
            <v>0</v>
          </cell>
          <cell r="P2497" t="str">
            <v>LITE</v>
          </cell>
        </row>
        <row r="2498">
          <cell r="A2498">
            <v>1892</v>
          </cell>
          <cell r="B2498">
            <v>1892</v>
          </cell>
          <cell r="C2498" t="str">
            <v>CERO MATRICULA</v>
          </cell>
          <cell r="D2498" t="str">
            <v>ACTIVO</v>
          </cell>
          <cell r="E2498" t="str">
            <v>BRI297</v>
          </cell>
          <cell r="F2498" t="str">
            <v xml:space="preserve">Mendoza Contreras Ánderson Esteban </v>
          </cell>
          <cell r="G2498" t="str">
            <v>MENDOZA CONTRERAS ANDERSON ESTEBAN</v>
          </cell>
          <cell r="H2498" t="str">
            <v>003301442</v>
          </cell>
          <cell r="I2498" t="str">
            <v>BCP</v>
          </cell>
          <cell r="J2498" t="str">
            <v>19172525222098</v>
          </cell>
          <cell r="K2498" t="str">
            <v>CE</v>
          </cell>
          <cell r="L2498">
            <v>15604099835</v>
          </cell>
          <cell r="M2498" t="str">
            <v>AEROLINEAS</v>
          </cell>
          <cell r="N2498">
            <v>45750.125</v>
          </cell>
          <cell r="O2498">
            <v>0</v>
          </cell>
          <cell r="P2498" t="str">
            <v>LITE</v>
          </cell>
        </row>
        <row r="2499">
          <cell r="A2499">
            <v>1893</v>
          </cell>
          <cell r="B2499">
            <v>1893</v>
          </cell>
          <cell r="C2499" t="str">
            <v>CERO MATRICULA</v>
          </cell>
          <cell r="D2499" t="str">
            <v>ACTIVO</v>
          </cell>
          <cell r="E2499" t="str">
            <v>CRO292</v>
          </cell>
          <cell r="F2499" t="str">
            <v>Estrada Curay John Charles</v>
          </cell>
          <cell r="G2499" t="str">
            <v>ESTRADA CURAY JOHN CHARLES</v>
          </cell>
          <cell r="H2499" t="str">
            <v>40748204</v>
          </cell>
          <cell r="I2499" t="str">
            <v>BCP</v>
          </cell>
          <cell r="J2499" t="str">
            <v>19295866819068</v>
          </cell>
          <cell r="K2499" t="str">
            <v>DNI</v>
          </cell>
          <cell r="L2499">
            <v>10407482048</v>
          </cell>
          <cell r="M2499" t="str">
            <v>AEROLINEAS</v>
          </cell>
          <cell r="N2499">
            <v>45750.125</v>
          </cell>
          <cell r="O2499">
            <v>0</v>
          </cell>
          <cell r="P2499" t="str">
            <v>XL</v>
          </cell>
        </row>
        <row r="2500">
          <cell r="A2500">
            <v>1894</v>
          </cell>
          <cell r="B2500">
            <v>1894</v>
          </cell>
          <cell r="C2500" t="str">
            <v>CERO MATRICULA</v>
          </cell>
          <cell r="D2500" t="str">
            <v>ACTIVO</v>
          </cell>
          <cell r="E2500" t="str">
            <v>BPM133</v>
          </cell>
          <cell r="F2500" t="str">
            <v>Huaman Quispe Jimmy Joseph</v>
          </cell>
          <cell r="G2500" t="str">
            <v>HUAMAN QUISPE JIMMY JOSEPH</v>
          </cell>
          <cell r="H2500" t="str">
            <v>61864720</v>
          </cell>
          <cell r="I2500" t="str">
            <v>BBVA</v>
          </cell>
          <cell r="J2500" t="str">
            <v>0011097002004305</v>
          </cell>
          <cell r="K2500" t="str">
            <v>DNI</v>
          </cell>
          <cell r="L2500">
            <v>10618647205</v>
          </cell>
          <cell r="M2500" t="str">
            <v>AEROLINEAS</v>
          </cell>
          <cell r="N2500">
            <v>45750.125</v>
          </cell>
          <cell r="O2500">
            <v>0</v>
          </cell>
          <cell r="P2500" t="str">
            <v>COMFORT XL</v>
          </cell>
        </row>
        <row r="2501">
          <cell r="A2501">
            <v>1895</v>
          </cell>
          <cell r="B2501">
            <v>1895</v>
          </cell>
          <cell r="C2501" t="str">
            <v>CERO MATRICULA</v>
          </cell>
          <cell r="D2501" t="str">
            <v>ACTIVO</v>
          </cell>
          <cell r="E2501" t="str">
            <v>CMY066</v>
          </cell>
          <cell r="F2501" t="str">
            <v>Velazco Ley Luis Bonet</v>
          </cell>
          <cell r="G2501" t="str">
            <v>VELAZCO LEY LUIS BONET</v>
          </cell>
          <cell r="H2501" t="str">
            <v>73442056</v>
          </cell>
          <cell r="I2501" t="str">
            <v>BBVA</v>
          </cell>
          <cell r="J2501" t="str">
            <v>001108140236607440</v>
          </cell>
          <cell r="K2501" t="str">
            <v>DNI</v>
          </cell>
          <cell r="L2501">
            <v>10734420561</v>
          </cell>
          <cell r="M2501" t="str">
            <v>AEROLINEAS</v>
          </cell>
          <cell r="N2501">
            <v>45750.125</v>
          </cell>
          <cell r="O2501">
            <v>0</v>
          </cell>
          <cell r="P2501" t="str">
            <v>COMFORT XL</v>
          </cell>
        </row>
        <row r="2502">
          <cell r="A2502">
            <v>1896</v>
          </cell>
          <cell r="B2502">
            <v>1896</v>
          </cell>
          <cell r="C2502" t="str">
            <v>CERO MATRICULA</v>
          </cell>
          <cell r="D2502" t="str">
            <v>ACTIVO</v>
          </cell>
          <cell r="E2502" t="str">
            <v>CHF053</v>
          </cell>
          <cell r="F2502" t="str">
            <v>Martinez Montalvo Yrwin Humberto</v>
          </cell>
          <cell r="G2502" t="str">
            <v>MARTINEZ MONTALVO YRWIN HUMBERTO</v>
          </cell>
          <cell r="H2502" t="str">
            <v>46400540</v>
          </cell>
          <cell r="I2502" t="str">
            <v>BCP</v>
          </cell>
          <cell r="J2502" t="str">
            <v>19173787726054</v>
          </cell>
          <cell r="K2502" t="str">
            <v>DNI</v>
          </cell>
          <cell r="L2502">
            <v>10464005400</v>
          </cell>
          <cell r="M2502" t="str">
            <v>AEROLINEAS</v>
          </cell>
          <cell r="N2502">
            <v>45750.125</v>
          </cell>
          <cell r="O2502">
            <v>0</v>
          </cell>
          <cell r="P2502" t="str">
            <v>COMFORT XL</v>
          </cell>
        </row>
        <row r="2503">
          <cell r="A2503">
            <v>9778</v>
          </cell>
          <cell r="B2503">
            <v>9778</v>
          </cell>
          <cell r="C2503" t="str">
            <v>CERO MATRICULA</v>
          </cell>
          <cell r="D2503" t="str">
            <v>ACTIVO</v>
          </cell>
          <cell r="E2503" t="str">
            <v>BRD479</v>
          </cell>
          <cell r="F2503" t="str">
            <v>Gonzalez Medina Hector jesus</v>
          </cell>
          <cell r="G2503" t="str">
            <v>GONZALEZ MEDINA HECTOR JESUS</v>
          </cell>
          <cell r="H2503" t="str">
            <v>002764093</v>
          </cell>
          <cell r="I2503" t="str">
            <v>BBVA</v>
          </cell>
          <cell r="J2503" t="str">
            <v>001107910200312009</v>
          </cell>
          <cell r="K2503" t="str">
            <v>CE</v>
          </cell>
          <cell r="L2503">
            <v>15604561857</v>
          </cell>
          <cell r="M2503" t="str">
            <v>URBANO PARTNER</v>
          </cell>
          <cell r="N2503">
            <v>45747.083333333336</v>
          </cell>
          <cell r="O2503">
            <v>0</v>
          </cell>
          <cell r="P2503" t="str">
            <v>LITE</v>
          </cell>
        </row>
        <row r="2504">
          <cell r="A2504">
            <v>1877</v>
          </cell>
          <cell r="B2504">
            <v>1877</v>
          </cell>
          <cell r="C2504" t="str">
            <v>CERO MATRICULA</v>
          </cell>
          <cell r="D2504" t="str">
            <v>ACTIVO</v>
          </cell>
          <cell r="E2504" t="str">
            <v>VCN277</v>
          </cell>
          <cell r="F2504" t="str">
            <v xml:space="preserve">Elescano Vicente Marco Antonio </v>
          </cell>
          <cell r="G2504" t="str">
            <v>ELESCANO VICENTE MARCO ANTONIO</v>
          </cell>
          <cell r="H2504">
            <v>44211481</v>
          </cell>
          <cell r="I2504" t="str">
            <v>INTERBANK</v>
          </cell>
          <cell r="J2504" t="str">
            <v>1543100178455</v>
          </cell>
          <cell r="K2504" t="str">
            <v>DNI</v>
          </cell>
          <cell r="L2504">
            <v>10442114817</v>
          </cell>
          <cell r="M2504" t="str">
            <v>AEROPUERTO</v>
          </cell>
          <cell r="N2504">
            <v>45744.416666666664</v>
          </cell>
          <cell r="O2504">
            <v>265</v>
          </cell>
          <cell r="P2504" t="str">
            <v>LITE</v>
          </cell>
        </row>
        <row r="2505">
          <cell r="A2505">
            <v>1879</v>
          </cell>
          <cell r="B2505">
            <v>1879</v>
          </cell>
          <cell r="C2505" t="str">
            <v>CERO MATRICULA</v>
          </cell>
          <cell r="D2505" t="str">
            <v>ACTIVO</v>
          </cell>
          <cell r="E2505" t="str">
            <v>Bri294</v>
          </cell>
          <cell r="F2505" t="str">
            <v>Durango Muñoz Franklin</v>
          </cell>
          <cell r="G2505" t="str">
            <v>DURANGO MUÑOZ FRANKLIN</v>
          </cell>
          <cell r="H2505" t="str">
            <v>006246302</v>
          </cell>
          <cell r="I2505" t="str">
            <v>BCP</v>
          </cell>
          <cell r="J2505" t="str">
            <v>19107075726097</v>
          </cell>
          <cell r="K2505" t="str">
            <v>CE</v>
          </cell>
          <cell r="L2505">
            <v>15614016164</v>
          </cell>
          <cell r="M2505" t="str">
            <v>AEROPUERTO</v>
          </cell>
          <cell r="N2505">
            <v>45744.416666666664</v>
          </cell>
          <cell r="O2505">
            <v>265</v>
          </cell>
          <cell r="P2505" t="str">
            <v>LITE</v>
          </cell>
        </row>
        <row r="2506">
          <cell r="A2506">
            <v>2652</v>
          </cell>
          <cell r="B2506">
            <v>2652</v>
          </cell>
          <cell r="C2506" t="str">
            <v>CERO MATRICULA</v>
          </cell>
          <cell r="D2506" t="str">
            <v>ACTIVO</v>
          </cell>
          <cell r="E2506" t="str">
            <v>CLZ639</v>
          </cell>
          <cell r="F2506" t="str">
            <v>Beraun Baca Isaac</v>
          </cell>
          <cell r="G2506" t="str">
            <v>BERAUN SOLANO HUBERT</v>
          </cell>
          <cell r="H2506" t="str">
            <v>09061925</v>
          </cell>
          <cell r="I2506" t="str">
            <v>BCP</v>
          </cell>
          <cell r="J2506" t="str">
            <v>19104626183010</v>
          </cell>
          <cell r="K2506" t="str">
            <v>DNI</v>
          </cell>
          <cell r="L2506">
            <v>10090619255</v>
          </cell>
          <cell r="M2506" t="str">
            <v>URBANO PARTNER</v>
          </cell>
          <cell r="N2506">
            <v>45755.083333333336</v>
          </cell>
          <cell r="O2506">
            <v>0</v>
          </cell>
          <cell r="P2506" t="str">
            <v>COMFORT XL</v>
          </cell>
        </row>
        <row r="2507">
          <cell r="A2507">
            <v>2711</v>
          </cell>
          <cell r="B2507">
            <v>2711</v>
          </cell>
          <cell r="C2507" t="str">
            <v>CERO MATRICULA</v>
          </cell>
          <cell r="D2507" t="str">
            <v>ACTIVO</v>
          </cell>
          <cell r="E2507" t="str">
            <v>AHO618</v>
          </cell>
          <cell r="F2507" t="str">
            <v>Rubio Montalvo Juan Carlos</v>
          </cell>
          <cell r="G2507" t="str">
            <v>RUBIO MONTALVO JUAN CARLOS</v>
          </cell>
          <cell r="H2507" t="str">
            <v>41778534</v>
          </cell>
          <cell r="I2507" t="str">
            <v>BCP</v>
          </cell>
          <cell r="J2507" t="str">
            <v>19498437468083</v>
          </cell>
          <cell r="K2507" t="str">
            <v>DNI</v>
          </cell>
          <cell r="L2507">
            <v>10417785341</v>
          </cell>
          <cell r="M2507" t="str">
            <v>URBANO PARTNER</v>
          </cell>
          <cell r="N2507">
            <v>45755.083333333336</v>
          </cell>
          <cell r="O2507">
            <v>0</v>
          </cell>
          <cell r="P2507" t="str">
            <v>LITE</v>
          </cell>
        </row>
        <row r="2508">
          <cell r="A2508">
            <v>2712</v>
          </cell>
          <cell r="B2508">
            <v>2712</v>
          </cell>
          <cell r="C2508" t="str">
            <v>CERO MATRICULA</v>
          </cell>
          <cell r="D2508" t="str">
            <v>ACTIVO</v>
          </cell>
          <cell r="E2508" t="str">
            <v>CRV007</v>
          </cell>
          <cell r="F2508" t="str">
            <v>Reyes Saavedra Pedro Manuel</v>
          </cell>
          <cell r="G2508" t="str">
            <v>REYES SAAVEDRA PEDRO MANUEL</v>
          </cell>
          <cell r="H2508" t="str">
            <v>33591254</v>
          </cell>
          <cell r="I2508" t="str">
            <v>BCP</v>
          </cell>
          <cell r="J2508" t="str">
            <v>19100623498094</v>
          </cell>
          <cell r="K2508" t="str">
            <v>DNI</v>
          </cell>
          <cell r="L2508">
            <v>10335912549</v>
          </cell>
          <cell r="M2508" t="str">
            <v>URBANO PARTNER</v>
          </cell>
          <cell r="N2508">
            <v>45755.083333333336</v>
          </cell>
          <cell r="O2508">
            <v>0</v>
          </cell>
          <cell r="P2508" t="str">
            <v>XL</v>
          </cell>
        </row>
        <row r="2509">
          <cell r="A2509">
            <v>2715</v>
          </cell>
          <cell r="B2509">
            <v>2715</v>
          </cell>
          <cell r="C2509" t="str">
            <v>CERO MATRICULA</v>
          </cell>
          <cell r="D2509" t="str">
            <v>ACTIVO</v>
          </cell>
          <cell r="E2509" t="str">
            <v>CCG246</v>
          </cell>
          <cell r="F2509" t="str">
            <v>Barrantes Saucedo Junior Jose David</v>
          </cell>
          <cell r="G2509" t="str">
            <v>BARRANTES SAUCEDO JUNIOR JOSE DAVID</v>
          </cell>
          <cell r="H2509" t="str">
            <v>72316531</v>
          </cell>
          <cell r="I2509" t="str">
            <v>BCP</v>
          </cell>
          <cell r="J2509" t="str">
            <v>19105971753072</v>
          </cell>
          <cell r="K2509" t="str">
            <v>DNI</v>
          </cell>
          <cell r="L2509">
            <v>10723165313</v>
          </cell>
          <cell r="M2509" t="str">
            <v>AEROPUERTO</v>
          </cell>
          <cell r="N2509">
            <v>45755.083333333336</v>
          </cell>
          <cell r="O2509">
            <v>240</v>
          </cell>
          <cell r="P2509" t="str">
            <v>COMFORT</v>
          </cell>
        </row>
        <row r="2510">
          <cell r="A2510">
            <v>2716</v>
          </cell>
          <cell r="B2510">
            <v>2716</v>
          </cell>
          <cell r="C2510" t="str">
            <v>CERO MATRICULA</v>
          </cell>
          <cell r="D2510" t="str">
            <v>ACTIVO</v>
          </cell>
          <cell r="E2510" t="str">
            <v>CRN309</v>
          </cell>
          <cell r="F2510" t="str">
            <v>Contreras Sosa ANGEL JACKSON</v>
          </cell>
          <cell r="G2510" t="str">
            <v>CONTRERAS SOSA ANGEL JACKSON</v>
          </cell>
          <cell r="H2510" t="str">
            <v>43007613</v>
          </cell>
          <cell r="I2510" t="str">
            <v>INTERBANK</v>
          </cell>
          <cell r="J2510" t="str">
            <v>2843095087235</v>
          </cell>
          <cell r="K2510" t="str">
            <v>DNI</v>
          </cell>
          <cell r="L2510">
            <v>10430076138</v>
          </cell>
          <cell r="M2510" t="str">
            <v>URBANO PARTNER</v>
          </cell>
          <cell r="N2510">
            <v>45755.083333333336</v>
          </cell>
          <cell r="O2510">
            <v>0</v>
          </cell>
          <cell r="P2510" t="str">
            <v>COMFORT</v>
          </cell>
        </row>
        <row r="2511">
          <cell r="A2511">
            <v>2717</v>
          </cell>
          <cell r="B2511">
            <v>2717</v>
          </cell>
          <cell r="C2511" t="str">
            <v>CERO MATRICULA</v>
          </cell>
          <cell r="D2511" t="str">
            <v>ACTIVO</v>
          </cell>
          <cell r="E2511" t="str">
            <v>CRM304</v>
          </cell>
          <cell r="F2511" t="str">
            <v>Russoniello Bermudez Erían Daniel</v>
          </cell>
          <cell r="G2511" t="str">
            <v>RUSSONIELLO BERMUDEZ ERIAN DANIEL</v>
          </cell>
          <cell r="H2511" t="str">
            <v>003128957</v>
          </cell>
          <cell r="I2511" t="str">
            <v>BBVA</v>
          </cell>
          <cell r="J2511" t="str">
            <v>0011-0659-0200140595</v>
          </cell>
          <cell r="K2511" t="str">
            <v>CE</v>
          </cell>
          <cell r="L2511">
            <v>15606577319</v>
          </cell>
          <cell r="M2511" t="str">
            <v>URBANO PARTNER</v>
          </cell>
          <cell r="N2511">
            <v>45755.083333333336</v>
          </cell>
          <cell r="O2511">
            <v>0</v>
          </cell>
          <cell r="P2511" t="str">
            <v>XL</v>
          </cell>
        </row>
        <row r="2512">
          <cell r="A2512">
            <v>2718</v>
          </cell>
          <cell r="B2512">
            <v>2718</v>
          </cell>
          <cell r="C2512" t="str">
            <v>CERO MATRICULA</v>
          </cell>
          <cell r="D2512" t="str">
            <v>ACTIVO</v>
          </cell>
          <cell r="E2512" t="str">
            <v>CHO205</v>
          </cell>
          <cell r="F2512" t="str">
            <v>Yaranga Hinojosa Nieri Martel</v>
          </cell>
          <cell r="G2512" t="str">
            <v>YARANGA HINOJOSA NIERI MARTEL</v>
          </cell>
          <cell r="H2512" t="str">
            <v>07559094</v>
          </cell>
          <cell r="I2512" t="str">
            <v>INTERBANK</v>
          </cell>
          <cell r="J2512" t="str">
            <v>3653294082883</v>
          </cell>
          <cell r="K2512" t="str">
            <v>DNI</v>
          </cell>
          <cell r="L2512">
            <v>10075590941</v>
          </cell>
          <cell r="M2512" t="str">
            <v>URBANO PARTNER</v>
          </cell>
          <cell r="N2512">
            <v>45755.083333333336</v>
          </cell>
          <cell r="O2512">
            <v>0</v>
          </cell>
          <cell r="P2512" t="str">
            <v>COMFORT XL</v>
          </cell>
        </row>
        <row r="2513">
          <cell r="A2513">
            <v>2719</v>
          </cell>
          <cell r="B2513">
            <v>2719</v>
          </cell>
          <cell r="C2513" t="str">
            <v>CERO MATRICULA</v>
          </cell>
          <cell r="D2513" t="str">
            <v>ACTIVO</v>
          </cell>
          <cell r="E2513" t="str">
            <v>CRX494</v>
          </cell>
          <cell r="F2513" t="str">
            <v>Almendras Gonzales Jorge Luis</v>
          </cell>
          <cell r="G2513" t="str">
            <v>ALMENDRAS GONZALES JORGE LUIS</v>
          </cell>
          <cell r="H2513" t="str">
            <v>07614437</v>
          </cell>
          <cell r="I2513" t="str">
            <v>INTERBANK</v>
          </cell>
          <cell r="J2513" t="str">
            <v>8983460340138</v>
          </cell>
          <cell r="K2513" t="str">
            <v>DNI</v>
          </cell>
          <cell r="L2513">
            <v>10076144376</v>
          </cell>
          <cell r="M2513" t="str">
            <v>URBANO PARTNER</v>
          </cell>
          <cell r="N2513">
            <v>45755.083333333336</v>
          </cell>
          <cell r="O2513">
            <v>0</v>
          </cell>
          <cell r="P2513" t="str">
            <v>COMFORT XL</v>
          </cell>
        </row>
        <row r="2514">
          <cell r="A2514">
            <v>2720</v>
          </cell>
          <cell r="B2514">
            <v>2720</v>
          </cell>
          <cell r="C2514" t="str">
            <v>CERO MATRICULA</v>
          </cell>
          <cell r="D2514" t="str">
            <v>ACTIVO</v>
          </cell>
          <cell r="E2514" t="str">
            <v>BNZ512</v>
          </cell>
          <cell r="F2514" t="str">
            <v>Lozada Duran Erick gregorio</v>
          </cell>
          <cell r="G2514" t="str">
            <v>LOZADA DURAN ERICK GREGORIO</v>
          </cell>
          <cell r="H2514" t="str">
            <v>003416110</v>
          </cell>
          <cell r="I2514" t="str">
            <v>BCP</v>
          </cell>
          <cell r="J2514" t="str">
            <v>19100657768010</v>
          </cell>
          <cell r="K2514" t="str">
            <v>CE</v>
          </cell>
          <cell r="L2514">
            <v>15607486970</v>
          </cell>
          <cell r="M2514" t="str">
            <v>URBANO PARTNER</v>
          </cell>
          <cell r="N2514">
            <v>45755.083333333336</v>
          </cell>
          <cell r="O2514">
            <v>0</v>
          </cell>
          <cell r="P2514" t="str">
            <v>LITE</v>
          </cell>
        </row>
        <row r="2515">
          <cell r="A2515">
            <v>2721</v>
          </cell>
          <cell r="B2515">
            <v>2721</v>
          </cell>
          <cell r="C2515" t="str">
            <v>CERO MATRICULA</v>
          </cell>
          <cell r="D2515" t="str">
            <v>ACTIVO</v>
          </cell>
          <cell r="E2515" t="str">
            <v>Z6X064</v>
          </cell>
          <cell r="F2515" t="str">
            <v>Jaramillo Paiva Gerson Paul</v>
          </cell>
          <cell r="G2515" t="str">
            <v>JARAMILLO PAIVA GERSON PAUL</v>
          </cell>
          <cell r="H2515" t="str">
            <v>45690522</v>
          </cell>
          <cell r="I2515" t="str">
            <v>INTERBANK</v>
          </cell>
          <cell r="J2515" t="str">
            <v>8983280218601</v>
          </cell>
          <cell r="K2515" t="str">
            <v>DNI</v>
          </cell>
          <cell r="L2515">
            <v>10456905221</v>
          </cell>
          <cell r="M2515" t="str">
            <v>URBANO PARTNER</v>
          </cell>
          <cell r="N2515">
            <v>45758.125</v>
          </cell>
          <cell r="O2515">
            <v>0</v>
          </cell>
          <cell r="P2515" t="str">
            <v>COMFORT XL</v>
          </cell>
        </row>
        <row r="2516">
          <cell r="A2516">
            <v>2724</v>
          </cell>
          <cell r="B2516">
            <v>2724</v>
          </cell>
          <cell r="C2516" t="str">
            <v>CERO MATRICULA</v>
          </cell>
          <cell r="D2516" t="str">
            <v>ACTIVO</v>
          </cell>
          <cell r="E2516" t="str">
            <v>CRU208</v>
          </cell>
          <cell r="F2516" t="str">
            <v>Verano Sacramento Miguel angel</v>
          </cell>
          <cell r="G2516" t="str">
            <v>VERANO SACRAMENTO MIGUEL ANGEL</v>
          </cell>
          <cell r="H2516" t="str">
            <v>74465517</v>
          </cell>
          <cell r="I2516" t="str">
            <v>BCP</v>
          </cell>
          <cell r="J2516" t="str">
            <v>19105412920095</v>
          </cell>
          <cell r="K2516" t="str">
            <v>DNI</v>
          </cell>
          <cell r="L2516">
            <v>10744655175</v>
          </cell>
          <cell r="M2516" t="str">
            <v>URBANO PARTNER</v>
          </cell>
          <cell r="N2516">
            <v>45758.125</v>
          </cell>
          <cell r="O2516">
            <v>0</v>
          </cell>
          <cell r="P2516" t="str">
            <v>COMFORT XL</v>
          </cell>
        </row>
        <row r="2517">
          <cell r="A2517">
            <v>3336</v>
          </cell>
          <cell r="B2517">
            <v>3336</v>
          </cell>
          <cell r="C2517" t="str">
            <v>CERO MATRICULA</v>
          </cell>
          <cell r="D2517" t="str">
            <v>ACTIVO</v>
          </cell>
          <cell r="E2517" t="str">
            <v>CAB290</v>
          </cell>
          <cell r="F2517" t="str">
            <v>COLONIA NAUPAY ELVIS</v>
          </cell>
          <cell r="G2517" t="str">
            <v>COLONIA NAUPAY ELVIS</v>
          </cell>
          <cell r="H2517" t="str">
            <v>10778951</v>
          </cell>
          <cell r="I2517" t="str">
            <v>BCP</v>
          </cell>
          <cell r="J2517" t="str">
            <v>192-70061530021</v>
          </cell>
          <cell r="K2517" t="str">
            <v>DNI</v>
          </cell>
          <cell r="L2517">
            <v>10107789516</v>
          </cell>
          <cell r="M2517" t="str">
            <v>URBANO PARTNER</v>
          </cell>
          <cell r="N2517">
            <v>45758</v>
          </cell>
          <cell r="O2517">
            <v>0</v>
          </cell>
          <cell r="P2517" t="str">
            <v>COMFORT</v>
          </cell>
        </row>
        <row r="2518">
          <cell r="A2518">
            <v>9610</v>
          </cell>
          <cell r="B2518">
            <v>9610</v>
          </cell>
          <cell r="C2518" t="str">
            <v>CERO MATRICULA</v>
          </cell>
          <cell r="D2518" t="str">
            <v>ACTIVO</v>
          </cell>
          <cell r="E2518" t="str">
            <v>CMH328</v>
          </cell>
          <cell r="F2518" t="str">
            <v>Rodriguez Fernández Xavier Euclides</v>
          </cell>
          <cell r="G2518" t="str">
            <v xml:space="preserve">Xavier Euclides Rodríguez Fernández </v>
          </cell>
          <cell r="H2518" t="str">
            <v>002074510</v>
          </cell>
          <cell r="I2518" t="str">
            <v>BCP</v>
          </cell>
          <cell r="J2518" t="str">
            <v>19394779553019</v>
          </cell>
          <cell r="K2518" t="str">
            <v>CE</v>
          </cell>
          <cell r="L2518">
            <v>15602644038</v>
          </cell>
          <cell r="M2518" t="str">
            <v>AEROPUERTO</v>
          </cell>
          <cell r="N2518">
            <v>45756</v>
          </cell>
          <cell r="O2518">
            <v>235</v>
          </cell>
          <cell r="P2518" t="str">
            <v>COMFORT XL</v>
          </cell>
        </row>
        <row r="2519">
          <cell r="A2519">
            <v>9657</v>
          </cell>
          <cell r="B2519">
            <v>9657</v>
          </cell>
          <cell r="C2519" t="str">
            <v>CERO MATRICULA</v>
          </cell>
          <cell r="D2519" t="str">
            <v>ACTIVO</v>
          </cell>
          <cell r="E2519" t="str">
            <v>CMA025</v>
          </cell>
          <cell r="F2519" t="str">
            <v>GONZALEZ DIAZ JOSE DANIEL</v>
          </cell>
          <cell r="G2519" t="str">
            <v>Ariana carolina Torres silva</v>
          </cell>
          <cell r="H2519" t="str">
            <v>003216315</v>
          </cell>
          <cell r="I2519" t="str">
            <v>INTERBANK</v>
          </cell>
          <cell r="J2519" t="str">
            <v>488 3239100001</v>
          </cell>
          <cell r="K2519" t="str">
            <v>CE</v>
          </cell>
          <cell r="L2519">
            <v>15607376473</v>
          </cell>
          <cell r="M2519" t="str">
            <v>AEROPUERTO</v>
          </cell>
          <cell r="N2519">
            <v>45751</v>
          </cell>
          <cell r="O2519">
            <v>235</v>
          </cell>
          <cell r="P2519" t="str">
            <v>COMFORT XL</v>
          </cell>
        </row>
        <row r="2520">
          <cell r="A2520">
            <v>9704</v>
          </cell>
          <cell r="B2520">
            <v>9704</v>
          </cell>
          <cell r="C2520" t="str">
            <v>CERO MATRICULA</v>
          </cell>
          <cell r="D2520" t="str">
            <v>ACTIVO</v>
          </cell>
          <cell r="E2520" t="str">
            <v>CLL483</v>
          </cell>
          <cell r="F2520" t="str">
            <v>Valdivieso Vaccaro Giovanni</v>
          </cell>
          <cell r="G2520" t="str">
            <v xml:space="preserve"> VALDIVIESO VACCARO GIOVANNI ALBERTO</v>
          </cell>
          <cell r="H2520" t="str">
            <v>46899025</v>
          </cell>
          <cell r="I2520" t="str">
            <v>INTERBANK</v>
          </cell>
          <cell r="J2520" t="str">
            <v>6433078183762</v>
          </cell>
          <cell r="K2520" t="str">
            <v>DNI</v>
          </cell>
          <cell r="L2520">
            <v>10468990259</v>
          </cell>
          <cell r="M2520" t="str">
            <v>AEROPUERTO</v>
          </cell>
          <cell r="N2520">
            <v>45758</v>
          </cell>
          <cell r="O2520">
            <v>235</v>
          </cell>
          <cell r="P2520" t="str">
            <v>COMFORT XL</v>
          </cell>
        </row>
        <row r="2521">
          <cell r="A2521">
            <v>9842</v>
          </cell>
          <cell r="B2521">
            <v>9842</v>
          </cell>
          <cell r="C2521" t="str">
            <v>CERO MATRICULA</v>
          </cell>
          <cell r="D2521" t="str">
            <v>ACTIVO</v>
          </cell>
          <cell r="E2521" t="str">
            <v>Ckq581</v>
          </cell>
          <cell r="F2521" t="str">
            <v>Robles Rivas Brigido Nelton</v>
          </cell>
          <cell r="G2521" t="str">
            <v>ROBLES RIVAS BRIGIDO NELTON</v>
          </cell>
          <cell r="H2521" t="str">
            <v>002944508</v>
          </cell>
          <cell r="I2521" t="str">
            <v>BCP</v>
          </cell>
          <cell r="J2521" t="str">
            <v>19495450125066</v>
          </cell>
          <cell r="K2521" t="str">
            <v>CE</v>
          </cell>
          <cell r="L2521">
            <v>15605870161</v>
          </cell>
          <cell r="M2521" t="str">
            <v>URBANO PARTNER</v>
          </cell>
          <cell r="N2521">
            <v>45756</v>
          </cell>
          <cell r="O2521">
            <v>0</v>
          </cell>
          <cell r="P2521" t="str">
            <v>LITE</v>
          </cell>
        </row>
        <row r="2522">
          <cell r="A2522">
            <v>9995</v>
          </cell>
          <cell r="B2522">
            <v>9995</v>
          </cell>
          <cell r="C2522" t="str">
            <v>CERO MATRICULA</v>
          </cell>
          <cell r="D2522" t="str">
            <v>ACTIVO</v>
          </cell>
          <cell r="E2522" t="str">
            <v>CPL482</v>
          </cell>
          <cell r="F2522" t="str">
            <v>Cristobal Huamani Newman erick</v>
          </cell>
          <cell r="G2522" t="str">
            <v>CRISTOBAL HUAMANI NEWMAN ERICK</v>
          </cell>
          <cell r="H2522" t="str">
            <v>71250557</v>
          </cell>
          <cell r="I2522" t="str">
            <v>BCP</v>
          </cell>
          <cell r="J2522" t="str">
            <v>19292771024003</v>
          </cell>
          <cell r="K2522" t="str">
            <v>DNI</v>
          </cell>
          <cell r="L2522">
            <v>10712505571</v>
          </cell>
          <cell r="M2522" t="str">
            <v>AEROPUERTO</v>
          </cell>
          <cell r="N2522">
            <v>45754</v>
          </cell>
          <cell r="O2522">
            <v>235</v>
          </cell>
          <cell r="P2522" t="str">
            <v>COMFORT XL</v>
          </cell>
        </row>
        <row r="2523">
          <cell r="A2523">
            <v>1876</v>
          </cell>
          <cell r="B2523">
            <v>1876</v>
          </cell>
          <cell r="C2523" t="str">
            <v>CERO MATRICULA</v>
          </cell>
          <cell r="D2523" t="str">
            <v>ACTIVO</v>
          </cell>
          <cell r="E2523" t="str">
            <v>BRK092</v>
          </cell>
          <cell r="F2523" t="str">
            <v>Wilden Baffigo Alejandro Sergio</v>
          </cell>
          <cell r="G2523" t="str">
            <v>ROSPIGLIOSI TELLO DE WILDEN INGRID ELIZABETH VERONICA</v>
          </cell>
          <cell r="H2523" t="str">
            <v>06626962</v>
          </cell>
          <cell r="I2523" t="str">
            <v>BCP</v>
          </cell>
          <cell r="J2523" t="str">
            <v>19419950795016</v>
          </cell>
          <cell r="K2523" t="str">
            <v>DNI</v>
          </cell>
          <cell r="L2523">
            <v>10066269626</v>
          </cell>
          <cell r="M2523" t="str">
            <v>AEROPUERTO</v>
          </cell>
          <cell r="N2523">
            <v>45748.416666666664</v>
          </cell>
          <cell r="O2523">
            <v>265</v>
          </cell>
          <cell r="P2523" t="str">
            <v>LITE</v>
          </cell>
        </row>
        <row r="2524">
          <cell r="A2524">
            <v>1890</v>
          </cell>
          <cell r="B2524">
            <v>1890</v>
          </cell>
          <cell r="C2524" t="str">
            <v>CERO MATRICULA</v>
          </cell>
          <cell r="D2524" t="str">
            <v>ACTIVO</v>
          </cell>
          <cell r="E2524" t="str">
            <v>CLO230</v>
          </cell>
          <cell r="F2524" t="str">
            <v>Cabrera Alvarado Jesús</v>
          </cell>
          <cell r="G2524" t="str">
            <v>TRANSPORTE DE CARGA JERUSALEM E.I.R.L</v>
          </cell>
          <cell r="H2524">
            <v>20613789392</v>
          </cell>
          <cell r="I2524" t="str">
            <v>BCP</v>
          </cell>
          <cell r="J2524" t="str">
            <v xml:space="preserve">1927133330037 </v>
          </cell>
          <cell r="K2524" t="str">
            <v>RUC</v>
          </cell>
          <cell r="L2524">
            <v>20613789392</v>
          </cell>
          <cell r="M2524" t="str">
            <v>AEROPUERTO</v>
          </cell>
          <cell r="N2524">
            <v>45750.416666666664</v>
          </cell>
          <cell r="O2524">
            <v>235</v>
          </cell>
          <cell r="P2524" t="str">
            <v>COMFORT XL</v>
          </cell>
        </row>
        <row r="2525">
          <cell r="A2525">
            <v>1891</v>
          </cell>
          <cell r="B2525">
            <v>1891</v>
          </cell>
          <cell r="C2525" t="str">
            <v>CERO MATRICULA</v>
          </cell>
          <cell r="D2525" t="str">
            <v>ACTIVO</v>
          </cell>
          <cell r="E2525" t="str">
            <v>CRD692</v>
          </cell>
          <cell r="F2525" t="str">
            <v>Miranda Arteaga Lino felicito</v>
          </cell>
          <cell r="G2525" t="str">
            <v xml:space="preserve"> MIRANDA ARTEAGA LINO FELICITO</v>
          </cell>
          <cell r="H2525" t="str">
            <v>07483688</v>
          </cell>
          <cell r="I2525" t="str">
            <v>BCP</v>
          </cell>
          <cell r="J2525" t="str">
            <v>19498306930027</v>
          </cell>
          <cell r="K2525" t="str">
            <v>DNI</v>
          </cell>
          <cell r="L2525">
            <v>10074836882</v>
          </cell>
          <cell r="M2525" t="str">
            <v>AEROPUERTO</v>
          </cell>
          <cell r="N2525">
            <v>45750.416666666664</v>
          </cell>
          <cell r="O2525">
            <v>240</v>
          </cell>
          <cell r="P2525" t="str">
            <v>XL</v>
          </cell>
        </row>
        <row r="2526">
          <cell r="A2526">
            <v>2710</v>
          </cell>
          <cell r="B2526">
            <v>2710</v>
          </cell>
          <cell r="C2526" t="str">
            <v>CERO MATRICULA</v>
          </cell>
          <cell r="D2526" t="str">
            <v>ACTIVO</v>
          </cell>
          <cell r="E2526" t="str">
            <v>CEH185</v>
          </cell>
          <cell r="F2526" t="str">
            <v>Cornejo Saldaña Cesar</v>
          </cell>
          <cell r="G2526" t="str">
            <v>CORNEJO SALDAÑA CESAR</v>
          </cell>
          <cell r="H2526" t="str">
            <v>10592667</v>
          </cell>
          <cell r="I2526" t="str">
            <v>BCP</v>
          </cell>
          <cell r="J2526" t="str">
            <v>19172858815060</v>
          </cell>
          <cell r="K2526" t="str">
            <v>DNI</v>
          </cell>
          <cell r="L2526">
            <v>10105926672</v>
          </cell>
          <cell r="M2526" t="str">
            <v>URBANO PARTNER</v>
          </cell>
          <cell r="N2526">
            <v>45762.083333333336</v>
          </cell>
          <cell r="O2526">
            <v>0</v>
          </cell>
          <cell r="P2526" t="str">
            <v>COMFORT XL</v>
          </cell>
        </row>
        <row r="2527">
          <cell r="A2527">
            <v>2713</v>
          </cell>
          <cell r="B2527">
            <v>2713</v>
          </cell>
          <cell r="C2527" t="str">
            <v>CERO MATRICULA</v>
          </cell>
          <cell r="D2527" t="str">
            <v>ACTIVO</v>
          </cell>
          <cell r="E2527" t="str">
            <v>CRT392</v>
          </cell>
          <cell r="F2527" t="str">
            <v>VIDAL LEON FRAN ROGGER</v>
          </cell>
          <cell r="G2527" t="str">
            <v>VIDAL ALVAREZ CIELO ANJHELINE</v>
          </cell>
          <cell r="H2527" t="str">
            <v xml:space="preserve"> 76196325</v>
          </cell>
          <cell r="I2527" t="str">
            <v>BCP</v>
          </cell>
          <cell r="J2527" t="str">
            <v>19191290724051</v>
          </cell>
          <cell r="K2527" t="str">
            <v>DNI</v>
          </cell>
          <cell r="L2527">
            <v>10761963258</v>
          </cell>
          <cell r="M2527" t="str">
            <v>URBANO PARTNER</v>
          </cell>
          <cell r="N2527">
            <v>45762.083333333336</v>
          </cell>
          <cell r="O2527">
            <v>0</v>
          </cell>
          <cell r="P2527" t="str">
            <v>XL</v>
          </cell>
        </row>
        <row r="2528">
          <cell r="A2528">
            <v>2727</v>
          </cell>
          <cell r="B2528">
            <v>2727</v>
          </cell>
          <cell r="C2528" t="str">
            <v>CERO MATRICULA</v>
          </cell>
          <cell r="D2528" t="str">
            <v>ACTIVO</v>
          </cell>
          <cell r="E2528" t="str">
            <v>CRL411</v>
          </cell>
          <cell r="F2528" t="str">
            <v>Huamaní Rodriguez Fidel Aurelio</v>
          </cell>
          <cell r="G2528" t="str">
            <v>HUAMANI RODRIGUEZ FIDEL AURELIO</v>
          </cell>
          <cell r="H2528" t="str">
            <v>74844317</v>
          </cell>
          <cell r="I2528" t="str">
            <v>INTERBANK</v>
          </cell>
          <cell r="J2528" t="str">
            <v>8983466209815</v>
          </cell>
          <cell r="K2528" t="str">
            <v>DNI</v>
          </cell>
          <cell r="L2528">
            <v>10748443172</v>
          </cell>
          <cell r="M2528" t="str">
            <v>URBANO PARTNER</v>
          </cell>
          <cell r="N2528">
            <v>45762.083333333336</v>
          </cell>
          <cell r="O2528">
            <v>0</v>
          </cell>
          <cell r="P2528" t="str">
            <v>COMFORT XL</v>
          </cell>
        </row>
        <row r="2529">
          <cell r="A2529">
            <v>2728</v>
          </cell>
          <cell r="B2529">
            <v>2728</v>
          </cell>
          <cell r="C2529" t="str">
            <v>CERO MATRICULA</v>
          </cell>
          <cell r="D2529" t="str">
            <v>ACTIVO</v>
          </cell>
          <cell r="E2529" t="str">
            <v>CMF641</v>
          </cell>
          <cell r="F2529" t="str">
            <v>Cañizalez Zambrano Kevin</v>
          </cell>
          <cell r="G2529" t="str">
            <v>CAÑIZALEZ ZAMBRANO KEVIN DANIEL</v>
          </cell>
          <cell r="H2529" t="str">
            <v>003383745</v>
          </cell>
          <cell r="I2529" t="str">
            <v>BCP</v>
          </cell>
          <cell r="J2529" t="str">
            <v>19392859583055</v>
          </cell>
          <cell r="K2529" t="str">
            <v>CE</v>
          </cell>
          <cell r="L2529">
            <v>15603993427</v>
          </cell>
          <cell r="M2529" t="str">
            <v>URBANO PARTNER</v>
          </cell>
          <cell r="N2529">
            <v>45762.083333333336</v>
          </cell>
          <cell r="O2529">
            <v>0</v>
          </cell>
          <cell r="P2529" t="str">
            <v>COMFORT XL</v>
          </cell>
        </row>
        <row r="2530">
          <cell r="A2530">
            <v>2729</v>
          </cell>
          <cell r="B2530">
            <v>2729</v>
          </cell>
          <cell r="C2530" t="str">
            <v>CERO MATRICULA</v>
          </cell>
          <cell r="D2530" t="str">
            <v>ACTIVO</v>
          </cell>
          <cell r="E2530" t="str">
            <v>CES429</v>
          </cell>
          <cell r="F2530" t="str">
            <v>Camarena Salazar Luis Eduardo</v>
          </cell>
          <cell r="G2530" t="str">
            <v>CAMARENA SALAZAR LUIS EDUARDO</v>
          </cell>
          <cell r="H2530" t="str">
            <v>44700159</v>
          </cell>
          <cell r="I2530" t="str">
            <v>BBVA</v>
          </cell>
          <cell r="J2530" t="str">
            <v>001101360200548051</v>
          </cell>
          <cell r="K2530" t="str">
            <v>DNI</v>
          </cell>
          <cell r="L2530">
            <v>10447001590</v>
          </cell>
          <cell r="M2530" t="str">
            <v>URBANO PARTNER</v>
          </cell>
          <cell r="N2530">
            <v>45762.083333333336</v>
          </cell>
          <cell r="O2530">
            <v>0</v>
          </cell>
          <cell r="P2530" t="str">
            <v>XL</v>
          </cell>
        </row>
        <row r="2531">
          <cell r="A2531">
            <v>2730</v>
          </cell>
          <cell r="B2531">
            <v>2730</v>
          </cell>
          <cell r="C2531" t="str">
            <v>CERO MATRICULA</v>
          </cell>
          <cell r="D2531" t="str">
            <v>ACTIVO</v>
          </cell>
          <cell r="E2531" t="str">
            <v>B7C200</v>
          </cell>
          <cell r="F2531" t="str">
            <v>Ayllon Noriega Sheila Violeta</v>
          </cell>
          <cell r="G2531" t="str">
            <v>AYLLON NORIEGA SHEILA VIOLETA</v>
          </cell>
          <cell r="H2531" t="str">
            <v>09335806</v>
          </cell>
          <cell r="I2531" t="str">
            <v>INTERBANK</v>
          </cell>
          <cell r="J2531" t="str">
            <v>898 3468640548</v>
          </cell>
          <cell r="K2531" t="str">
            <v>DNI</v>
          </cell>
          <cell r="L2531">
            <v>10093358061</v>
          </cell>
          <cell r="M2531" t="str">
            <v>URBANO PARTNER</v>
          </cell>
          <cell r="N2531">
            <v>45762.083333333336</v>
          </cell>
          <cell r="O2531">
            <v>0</v>
          </cell>
          <cell r="P2531" t="str">
            <v>LITE</v>
          </cell>
        </row>
        <row r="2532">
          <cell r="A2532">
            <v>2826</v>
          </cell>
          <cell r="B2532">
            <v>2826</v>
          </cell>
          <cell r="C2532" t="str">
            <v>CERO MATRICULA</v>
          </cell>
          <cell r="D2532" t="str">
            <v>ACTIVO</v>
          </cell>
          <cell r="E2532" t="str">
            <v>AHA546</v>
          </cell>
          <cell r="F2532" t="str">
            <v>Sánchez Garcés Luis Alberto</v>
          </cell>
          <cell r="G2532" t="str">
            <v>SANCHEZ GARCES LUIS ALBERTO</v>
          </cell>
          <cell r="H2532" t="str">
            <v>09845933</v>
          </cell>
          <cell r="I2532" t="str">
            <v>INTERBANK</v>
          </cell>
          <cell r="J2532" t="str">
            <v>3683102659598</v>
          </cell>
          <cell r="K2532" t="str">
            <v>DNI</v>
          </cell>
          <cell r="L2532">
            <v>10098459338</v>
          </cell>
          <cell r="M2532" t="str">
            <v>URBANO PARTNER</v>
          </cell>
          <cell r="N2532">
            <v>45762.083333333336</v>
          </cell>
          <cell r="O2532">
            <v>0</v>
          </cell>
          <cell r="P2532" t="str">
            <v>LITE</v>
          </cell>
        </row>
        <row r="2533">
          <cell r="A2533">
            <v>2827</v>
          </cell>
          <cell r="B2533">
            <v>2827</v>
          </cell>
          <cell r="C2533" t="str">
            <v>CERO MATRICULA</v>
          </cell>
          <cell r="D2533" t="str">
            <v>ACTIVO</v>
          </cell>
          <cell r="E2533" t="str">
            <v>CRU527</v>
          </cell>
          <cell r="F2533" t="str">
            <v>Pancca Ticona Marco Antonio</v>
          </cell>
          <cell r="G2533" t="str">
            <v>PANCCA TICONA MARCO ANTONIO</v>
          </cell>
          <cell r="H2533" t="str">
            <v>43566540</v>
          </cell>
          <cell r="I2533" t="str">
            <v>BCP</v>
          </cell>
          <cell r="J2533" t="str">
            <v xml:space="preserve"> 19415218478098</v>
          </cell>
          <cell r="K2533" t="str">
            <v>DNI</v>
          </cell>
          <cell r="L2533">
            <v>10435665409</v>
          </cell>
          <cell r="M2533" t="str">
            <v>AEROLINEAS</v>
          </cell>
          <cell r="N2533">
            <v>45762.083333333336</v>
          </cell>
          <cell r="O2533">
            <v>0</v>
          </cell>
          <cell r="P2533" t="str">
            <v>COMFORT XL</v>
          </cell>
        </row>
        <row r="2534">
          <cell r="A2534">
            <v>2828</v>
          </cell>
          <cell r="B2534">
            <v>2828</v>
          </cell>
          <cell r="C2534" t="str">
            <v>CERO MATRICULA</v>
          </cell>
          <cell r="D2534" t="str">
            <v>ACTIVO</v>
          </cell>
          <cell r="E2534" t="str">
            <v>BRV424</v>
          </cell>
          <cell r="F2534" t="str">
            <v>Díaz Espinal Raúl Elizban</v>
          </cell>
          <cell r="G2534" t="str">
            <v>DIAZ ESPINAL RAUL ELIZBAN</v>
          </cell>
          <cell r="H2534" t="str">
            <v>80023100</v>
          </cell>
          <cell r="I2534" t="str">
            <v>BCP</v>
          </cell>
          <cell r="J2534" t="str">
            <v>19496947734001</v>
          </cell>
          <cell r="K2534" t="str">
            <v>DNI</v>
          </cell>
          <cell r="L2534">
            <v>10800231006</v>
          </cell>
          <cell r="M2534" t="str">
            <v>URBANO PARTNER</v>
          </cell>
          <cell r="N2534">
            <v>45762.083333333336</v>
          </cell>
          <cell r="O2534">
            <v>0</v>
          </cell>
          <cell r="P2534" t="str">
            <v>COMFORT</v>
          </cell>
        </row>
        <row r="2535">
          <cell r="A2535">
            <v>2844</v>
          </cell>
          <cell r="B2535">
            <v>2844</v>
          </cell>
          <cell r="C2535" t="str">
            <v>CERO MATRICULA</v>
          </cell>
          <cell r="D2535" t="str">
            <v>ACTIVO</v>
          </cell>
          <cell r="E2535" t="str">
            <v>CSC323</v>
          </cell>
          <cell r="F2535" t="str">
            <v>Prado Principe Jefferson Luis</v>
          </cell>
          <cell r="G2535" t="str">
            <v>PRADO PRINCIPE JEFFERSON LUIS</v>
          </cell>
          <cell r="H2535" t="str">
            <v>46989245</v>
          </cell>
          <cell r="I2535" t="str">
            <v>BCP</v>
          </cell>
          <cell r="J2535" t="str">
            <v>19103336589090</v>
          </cell>
          <cell r="K2535" t="str">
            <v>DNI</v>
          </cell>
          <cell r="L2535">
            <v>10469892455</v>
          </cell>
          <cell r="M2535" t="str">
            <v>AEROLINEAS</v>
          </cell>
          <cell r="N2535">
            <v>45763.125</v>
          </cell>
          <cell r="O2535">
            <v>0</v>
          </cell>
          <cell r="P2535" t="str">
            <v>COMFORT XL</v>
          </cell>
        </row>
        <row r="2536">
          <cell r="A2536">
            <v>2890</v>
          </cell>
          <cell r="B2536">
            <v>2890</v>
          </cell>
          <cell r="C2536" t="str">
            <v>CERO MATRICULA</v>
          </cell>
          <cell r="D2536" t="str">
            <v>ACTIVO</v>
          </cell>
          <cell r="E2536" t="str">
            <v>FLOTA PROPIA</v>
          </cell>
          <cell r="F2536" t="str">
            <v>FLOTA PROPIA</v>
          </cell>
          <cell r="G2536" t="str">
            <v>FLOTA PROPIA</v>
          </cell>
          <cell r="H2536" t="str">
            <v>FLOTA PROPIA</v>
          </cell>
          <cell r="I2536" t="str">
            <v>FLOTA PROPIA</v>
          </cell>
          <cell r="J2536" t="str">
            <v>FLOTA PROPIA</v>
          </cell>
          <cell r="K2536" t="str">
            <v>FLOTA PROPIA</v>
          </cell>
          <cell r="L2536" t="str">
            <v>FLOTA PROPIA</v>
          </cell>
          <cell r="M2536" t="str">
            <v>FLOTA PROPIA</v>
          </cell>
          <cell r="N2536">
            <v>45782</v>
          </cell>
          <cell r="O2536">
            <v>0</v>
          </cell>
          <cell r="P2536" t="str">
            <v>COMFORT XL</v>
          </cell>
        </row>
        <row r="2537">
          <cell r="A2537">
            <v>315</v>
          </cell>
          <cell r="B2537">
            <v>315</v>
          </cell>
          <cell r="C2537" t="str">
            <v>CERO MATRICULA</v>
          </cell>
          <cell r="D2537" t="str">
            <v>ACTIVO</v>
          </cell>
          <cell r="E2537" t="str">
            <v>CCC592</v>
          </cell>
          <cell r="F2537" t="str">
            <v>Rodriguez Huachen Jonathan Alexander</v>
          </cell>
          <cell r="G2537" t="str">
            <v>RODRIGUEZ HUACHEN JONATHAN ALEXANDER</v>
          </cell>
          <cell r="H2537" t="str">
            <v>41943475</v>
          </cell>
          <cell r="I2537" t="str">
            <v>BCP</v>
          </cell>
          <cell r="J2537" t="str">
            <v>19423358161000</v>
          </cell>
          <cell r="K2537" t="str">
            <v>DNI</v>
          </cell>
          <cell r="L2537">
            <v>10419434758</v>
          </cell>
          <cell r="M2537" t="str">
            <v>URBANO PARTNER</v>
          </cell>
          <cell r="N2537">
            <v>45769.083333333336</v>
          </cell>
          <cell r="O2537">
            <v>0</v>
          </cell>
          <cell r="P2537" t="str">
            <v>COMFORT XL</v>
          </cell>
        </row>
        <row r="2538">
          <cell r="A2538">
            <v>1080</v>
          </cell>
          <cell r="B2538">
            <v>1080</v>
          </cell>
          <cell r="C2538" t="str">
            <v>CERO MATRICULA</v>
          </cell>
          <cell r="D2538" t="str">
            <v>ACTIVO</v>
          </cell>
          <cell r="E2538" t="str">
            <v>CNM145</v>
          </cell>
          <cell r="F2538" t="str">
            <v>Mogollon Sandoval Henry Jordan</v>
          </cell>
          <cell r="G2538" t="str">
            <v>GRADOS ORTIZ GABRIELA BRENDA SUE</v>
          </cell>
          <cell r="H2538" t="str">
            <v>47624624</v>
          </cell>
          <cell r="I2538" t="str">
            <v>BCP</v>
          </cell>
          <cell r="J2538" t="str">
            <v>19100909597082</v>
          </cell>
          <cell r="K2538" t="str">
            <v>DNI</v>
          </cell>
          <cell r="L2538">
            <v>10476246241</v>
          </cell>
          <cell r="M2538" t="str">
            <v>AEROLINEAS</v>
          </cell>
          <cell r="N2538">
            <v>45772.125</v>
          </cell>
          <cell r="O2538">
            <v>0</v>
          </cell>
          <cell r="P2538" t="str">
            <v>LITE</v>
          </cell>
        </row>
        <row r="2539">
          <cell r="A2539">
            <v>1719</v>
          </cell>
          <cell r="B2539">
            <v>1719</v>
          </cell>
          <cell r="C2539" t="str">
            <v>CERO MATRICULA</v>
          </cell>
          <cell r="D2539" t="str">
            <v>ACTIVO</v>
          </cell>
          <cell r="E2539" t="str">
            <v>CPZ350</v>
          </cell>
          <cell r="F2539" t="str">
            <v>Ugaz Jibaja Sandra Catherine</v>
          </cell>
          <cell r="G2539" t="str">
            <v>UGAZ JIBAJA SANDRA CATHERINE</v>
          </cell>
          <cell r="H2539" t="str">
            <v>42097553</v>
          </cell>
          <cell r="I2539" t="str">
            <v>INTERBANK</v>
          </cell>
          <cell r="J2539" t="str">
            <v>2983229673236</v>
          </cell>
          <cell r="K2539" t="str">
            <v>DNI</v>
          </cell>
          <cell r="L2539">
            <v>10420975533</v>
          </cell>
          <cell r="M2539" t="str">
            <v>URBANO PARTNER</v>
          </cell>
          <cell r="N2539">
            <v>45772.125</v>
          </cell>
          <cell r="O2539">
            <v>0</v>
          </cell>
          <cell r="P2539" t="str">
            <v>COMFORT XL</v>
          </cell>
        </row>
        <row r="2540">
          <cell r="A2540">
            <v>2646</v>
          </cell>
          <cell r="B2540">
            <v>2646</v>
          </cell>
          <cell r="C2540" t="str">
            <v>CERO MATRICULA</v>
          </cell>
          <cell r="D2540" t="str">
            <v>ACTIVO</v>
          </cell>
          <cell r="E2540" t="str">
            <v>BNI413</v>
          </cell>
          <cell r="F2540" t="str">
            <v>Varas Salazar Henry Alexander</v>
          </cell>
          <cell r="G2540" t="str">
            <v>VARAS SALAZAR HENRY ALEXANDER</v>
          </cell>
          <cell r="H2540" t="str">
            <v>46356642</v>
          </cell>
          <cell r="I2540" t="str">
            <v>INTERBANK</v>
          </cell>
          <cell r="J2540" t="str">
            <v>1003063459273</v>
          </cell>
          <cell r="K2540" t="str">
            <v>DNI</v>
          </cell>
          <cell r="L2540">
            <v>10463566424</v>
          </cell>
          <cell r="M2540" t="str">
            <v>URBANO PARTNER</v>
          </cell>
          <cell r="N2540">
            <v>45769.083333333336</v>
          </cell>
          <cell r="O2540">
            <v>0</v>
          </cell>
          <cell r="P2540" t="str">
            <v>LITE</v>
          </cell>
        </row>
        <row r="2541">
          <cell r="A2541">
            <v>2690</v>
          </cell>
          <cell r="B2541">
            <v>2690</v>
          </cell>
          <cell r="C2541" t="str">
            <v>CERO MATRICULA</v>
          </cell>
          <cell r="D2541" t="str">
            <v>ACTIVO</v>
          </cell>
          <cell r="E2541" t="str">
            <v>BLR278</v>
          </cell>
          <cell r="F2541" t="str">
            <v>RAMIREZ AZOCAR MICHAEL JESUS</v>
          </cell>
          <cell r="G2541" t="str">
            <v>RAMIREZ AZOCAR MICHAEL JESUS</v>
          </cell>
          <cell r="H2541" t="str">
            <v>002812142</v>
          </cell>
          <cell r="I2541" t="str">
            <v>BCP</v>
          </cell>
          <cell r="J2541" t="str">
            <v>19100517482007</v>
          </cell>
          <cell r="K2541" t="str">
            <v>CE</v>
          </cell>
          <cell r="L2541">
            <v>15604962240</v>
          </cell>
          <cell r="M2541" t="str">
            <v>URBANO</v>
          </cell>
          <cell r="N2541">
            <v>45205</v>
          </cell>
          <cell r="O2541">
            <v>0</v>
          </cell>
          <cell r="P2541" t="str">
            <v>COMFORT</v>
          </cell>
        </row>
        <row r="2542">
          <cell r="A2542">
            <v>2722</v>
          </cell>
          <cell r="B2542">
            <v>2722</v>
          </cell>
          <cell r="C2542" t="str">
            <v>CERO MATRICULA</v>
          </cell>
          <cell r="D2542" t="str">
            <v>ACTIVO</v>
          </cell>
          <cell r="E2542" t="str">
            <v>CNW182</v>
          </cell>
          <cell r="F2542" t="str">
            <v>Carbajal Tamariz William Alberto</v>
          </cell>
          <cell r="G2542" t="str">
            <v>CARBAJAL TAMARIZ WILLIAN ALBERTO</v>
          </cell>
          <cell r="H2542" t="str">
            <v>21887630</v>
          </cell>
          <cell r="I2542" t="str">
            <v>BCP</v>
          </cell>
          <cell r="J2542" t="str">
            <v>19177974722043</v>
          </cell>
          <cell r="K2542" t="str">
            <v>DNI</v>
          </cell>
          <cell r="L2542">
            <v>10218876302</v>
          </cell>
          <cell r="M2542" t="str">
            <v>AEROPUERTO</v>
          </cell>
          <cell r="N2542">
            <v>45758.416666666664</v>
          </cell>
          <cell r="O2542">
            <v>235</v>
          </cell>
          <cell r="P2542" t="str">
            <v>COMFORT XL</v>
          </cell>
        </row>
        <row r="2543">
          <cell r="A2543">
            <v>2725</v>
          </cell>
          <cell r="B2543">
            <v>2725</v>
          </cell>
          <cell r="C2543" t="str">
            <v>CERO MATRICULA</v>
          </cell>
          <cell r="D2543" t="str">
            <v>ACTIVO</v>
          </cell>
          <cell r="E2543" t="str">
            <v>CML108</v>
          </cell>
          <cell r="F2543" t="str">
            <v>Santos Licali Julber</v>
          </cell>
          <cell r="G2543" t="str">
            <v>SANTOS LICALI JULBER</v>
          </cell>
          <cell r="H2543" t="str">
            <v>47156902</v>
          </cell>
          <cell r="I2543" t="str">
            <v>BCP</v>
          </cell>
          <cell r="J2543" t="str">
            <v>19334903181036</v>
          </cell>
          <cell r="K2543" t="str">
            <v>DNI</v>
          </cell>
          <cell r="L2543">
            <v>10471569025</v>
          </cell>
          <cell r="M2543" t="str">
            <v>AEROPUERTO</v>
          </cell>
          <cell r="N2543">
            <v>45770.416666666664</v>
          </cell>
          <cell r="O2543">
            <v>240</v>
          </cell>
          <cell r="P2543" t="str">
            <v>XL</v>
          </cell>
        </row>
        <row r="2544">
          <cell r="A2544">
            <v>2763</v>
          </cell>
          <cell r="B2544">
            <v>2763</v>
          </cell>
          <cell r="C2544" t="str">
            <v>CERO MATRICULA</v>
          </cell>
          <cell r="D2544" t="str">
            <v>ACTIVO</v>
          </cell>
          <cell r="E2544" t="str">
            <v>CEY483</v>
          </cell>
          <cell r="F2544" t="str">
            <v>RIVERA  HARO  LUIS FRANCISCO</v>
          </cell>
          <cell r="G2544" t="str">
            <v>RIVERA  HARO  LUIS FRANCISCO</v>
          </cell>
          <cell r="H2544" t="str">
            <v>09612238</v>
          </cell>
          <cell r="I2544" t="str">
            <v>BCP</v>
          </cell>
          <cell r="J2544" t="str">
            <v>19172699524060</v>
          </cell>
          <cell r="K2544" t="str">
            <v>DNI</v>
          </cell>
          <cell r="L2544">
            <v>15182079313</v>
          </cell>
          <cell r="M2544" t="str">
            <v>URBANO</v>
          </cell>
          <cell r="N2544">
            <v>45239</v>
          </cell>
          <cell r="O2544">
            <v>0</v>
          </cell>
          <cell r="P2544" t="str">
            <v>XL</v>
          </cell>
        </row>
        <row r="2545">
          <cell r="A2545">
            <v>2839</v>
          </cell>
          <cell r="B2545">
            <v>2839</v>
          </cell>
          <cell r="C2545" t="str">
            <v>CERO MATRICULA</v>
          </cell>
          <cell r="D2545" t="str">
            <v>ACTIVO</v>
          </cell>
          <cell r="E2545" t="str">
            <v>CRV254</v>
          </cell>
          <cell r="F2545" t="str">
            <v>Molina Reyes Piero Fareh</v>
          </cell>
          <cell r="G2545" t="str">
            <v xml:space="preserve"> MOLINA REYES PIERO FAREH</v>
          </cell>
          <cell r="H2545" t="str">
            <v>70033625</v>
          </cell>
          <cell r="I2545" t="str">
            <v>BCP</v>
          </cell>
          <cell r="J2545" t="str">
            <v>19494073500036</v>
          </cell>
          <cell r="K2545" t="str">
            <v>DNI</v>
          </cell>
          <cell r="L2545">
            <v>10700336251</v>
          </cell>
          <cell r="M2545" t="str">
            <v>AEROPUERTO</v>
          </cell>
          <cell r="N2545">
            <v>45763.416666666664</v>
          </cell>
          <cell r="O2545">
            <v>235</v>
          </cell>
          <cell r="P2545" t="str">
            <v>COMFORT XL</v>
          </cell>
        </row>
        <row r="2546">
          <cell r="A2546">
            <v>2841</v>
          </cell>
          <cell r="B2546">
            <v>2841</v>
          </cell>
          <cell r="C2546" t="str">
            <v>CERO MATRICULA</v>
          </cell>
          <cell r="D2546" t="str">
            <v>ACTIVO</v>
          </cell>
          <cell r="E2546" t="str">
            <v>CPY047</v>
          </cell>
          <cell r="F2546" t="str">
            <v>Yauli Ruiz Manuel Isaac</v>
          </cell>
          <cell r="G2546" t="str">
            <v>TRIGOSO SANCHEZ JORGE ENRIQUE</v>
          </cell>
          <cell r="H2546" t="str">
            <v>45989133</v>
          </cell>
          <cell r="I2546" t="str">
            <v>BCP</v>
          </cell>
          <cell r="J2546" t="str">
            <v>44077060141049</v>
          </cell>
          <cell r="K2546" t="str">
            <v>DNI</v>
          </cell>
          <cell r="L2546">
            <v>10459891337</v>
          </cell>
          <cell r="M2546" t="str">
            <v>AEROPUERTO</v>
          </cell>
          <cell r="N2546">
            <v>45763.416666666664</v>
          </cell>
          <cell r="O2546">
            <v>235</v>
          </cell>
          <cell r="P2546" t="str">
            <v>COMFORT XL</v>
          </cell>
        </row>
        <row r="2547">
          <cell r="A2547">
            <v>2845</v>
          </cell>
          <cell r="B2547">
            <v>2845</v>
          </cell>
          <cell r="C2547" t="str">
            <v>CERO MATRICULA</v>
          </cell>
          <cell r="D2547" t="str">
            <v>ACTIVO</v>
          </cell>
          <cell r="E2547" t="str">
            <v>CRV455</v>
          </cell>
          <cell r="F2547" t="str">
            <v xml:space="preserve">Anselmo Torres Juan Carlos </v>
          </cell>
          <cell r="G2547" t="str">
            <v>ANSELMO TORRES JUAN CARLOS</v>
          </cell>
          <cell r="H2547" t="str">
            <v>80371450</v>
          </cell>
          <cell r="I2547" t="str">
            <v>BCP</v>
          </cell>
          <cell r="J2547" t="str">
            <v>19399240846077</v>
          </cell>
          <cell r="K2547" t="str">
            <v>DNI</v>
          </cell>
          <cell r="L2547">
            <v>10803714504</v>
          </cell>
          <cell r="M2547" t="str">
            <v>URBANO PARTNER</v>
          </cell>
          <cell r="N2547">
            <v>45769.083333333336</v>
          </cell>
          <cell r="O2547">
            <v>0</v>
          </cell>
          <cell r="P2547" t="str">
            <v>COMFORT XL</v>
          </cell>
        </row>
        <row r="2548">
          <cell r="A2548">
            <v>2846</v>
          </cell>
          <cell r="B2548">
            <v>2846</v>
          </cell>
          <cell r="C2548" t="str">
            <v>CERO MATRICULA</v>
          </cell>
          <cell r="D2548" t="str">
            <v>ACTIVO</v>
          </cell>
          <cell r="E2548" t="str">
            <v>AYM320</v>
          </cell>
          <cell r="F2548" t="str">
            <v>Violeta Tapia Antony Juniors</v>
          </cell>
          <cell r="G2548" t="str">
            <v>VIOLETA TAPIA ANTONY JUNIORS</v>
          </cell>
          <cell r="H2548" t="str">
            <v>71784418</v>
          </cell>
          <cell r="I2548" t="str">
            <v>INTERBANK</v>
          </cell>
          <cell r="J2548" t="str">
            <v>2823121965770</v>
          </cell>
          <cell r="K2548" t="str">
            <v>DNI</v>
          </cell>
          <cell r="L2548">
            <v>10717844187</v>
          </cell>
          <cell r="M2548" t="str">
            <v>URBANO PARTNER</v>
          </cell>
          <cell r="N2548">
            <v>45769.083333333336</v>
          </cell>
          <cell r="O2548">
            <v>0</v>
          </cell>
          <cell r="P2548" t="str">
            <v>LITE</v>
          </cell>
        </row>
        <row r="2549">
          <cell r="A2549">
            <v>2847</v>
          </cell>
          <cell r="B2549">
            <v>2847</v>
          </cell>
          <cell r="C2549" t="str">
            <v>CERO MATRICULA</v>
          </cell>
          <cell r="D2549" t="str">
            <v>ACTIVO</v>
          </cell>
          <cell r="E2549" t="str">
            <v>AXL438</v>
          </cell>
          <cell r="F2549" t="str">
            <v>Dueñas Torres Daniel Alessandre</v>
          </cell>
          <cell r="G2549" t="str">
            <v>DUEÑAS TORRES DANIEL ALESSANDRE</v>
          </cell>
          <cell r="H2549" t="str">
            <v>46321290</v>
          </cell>
          <cell r="I2549" t="str">
            <v>BCP</v>
          </cell>
          <cell r="J2549" t="str">
            <v>19105636288018</v>
          </cell>
          <cell r="K2549" t="str">
            <v>DNI</v>
          </cell>
          <cell r="L2549">
            <v>10463212908</v>
          </cell>
          <cell r="M2549" t="str">
            <v>AEROPUERTO</v>
          </cell>
          <cell r="N2549">
            <v>45770.416666666664</v>
          </cell>
          <cell r="O2549">
            <v>265</v>
          </cell>
          <cell r="P2549" t="str">
            <v>LITE</v>
          </cell>
        </row>
        <row r="2550">
          <cell r="A2550">
            <v>2854</v>
          </cell>
          <cell r="B2550">
            <v>2854</v>
          </cell>
          <cell r="C2550" t="str">
            <v>CERO MATRICULA</v>
          </cell>
          <cell r="D2550" t="str">
            <v>ACTIVO</v>
          </cell>
          <cell r="E2550" t="str">
            <v>CRS134</v>
          </cell>
          <cell r="F2550" t="str">
            <v>Leon Zavaleta Edison Félix</v>
          </cell>
          <cell r="G2550" t="str">
            <v>Edison Félix León zavaleta</v>
          </cell>
          <cell r="H2550" t="str">
            <v>44816849</v>
          </cell>
          <cell r="I2550" t="str">
            <v>BCP</v>
          </cell>
          <cell r="J2550" t="str">
            <v>19203061214035</v>
          </cell>
          <cell r="K2550" t="str">
            <v>DNI</v>
          </cell>
          <cell r="L2550">
            <v>10448168498</v>
          </cell>
          <cell r="M2550" t="str">
            <v>AEROLINEAS</v>
          </cell>
          <cell r="N2550">
            <v>45772.125</v>
          </cell>
          <cell r="O2550">
            <v>0</v>
          </cell>
          <cell r="P2550" t="str">
            <v>LITE</v>
          </cell>
        </row>
        <row r="2551">
          <cell r="A2551">
            <v>2855</v>
          </cell>
          <cell r="B2551">
            <v>2855</v>
          </cell>
          <cell r="C2551" t="str">
            <v>CERO MATRICULA</v>
          </cell>
          <cell r="D2551" t="str">
            <v>ACTIVO</v>
          </cell>
          <cell r="E2551" t="str">
            <v>BMN336</v>
          </cell>
          <cell r="F2551" t="str">
            <v>Alvarado González Pedro Antonio</v>
          </cell>
          <cell r="G2551" t="str">
            <v>LUIS DE ALVARADO MARIA EUGENIA</v>
          </cell>
          <cell r="H2551" t="str">
            <v>003409100</v>
          </cell>
          <cell r="I2551" t="str">
            <v>BCP</v>
          </cell>
          <cell r="J2551" t="str">
            <v>19103006107071</v>
          </cell>
          <cell r="K2551" t="str">
            <v>CE</v>
          </cell>
          <cell r="L2551">
            <v>15607499711</v>
          </cell>
          <cell r="M2551" t="str">
            <v>AEROLINEAS</v>
          </cell>
          <cell r="N2551">
            <v>45772.125</v>
          </cell>
          <cell r="O2551">
            <v>0</v>
          </cell>
          <cell r="P2551" t="str">
            <v>LITE</v>
          </cell>
        </row>
        <row r="2552">
          <cell r="A2552">
            <v>9669</v>
          </cell>
          <cell r="B2552">
            <v>9669</v>
          </cell>
          <cell r="C2552" t="str">
            <v>CERO MATRICULA</v>
          </cell>
          <cell r="D2552" t="str">
            <v>ACTIVO</v>
          </cell>
          <cell r="E2552" t="str">
            <v>BNX324</v>
          </cell>
          <cell r="F2552" t="str">
            <v>GUERRERO BERRU NEISER ESWUIN</v>
          </cell>
          <cell r="G2552" t="str">
            <v>GUERRERO BERRU NEISER ESWUIN</v>
          </cell>
          <cell r="H2552" t="str">
            <v>75797076</v>
          </cell>
          <cell r="I2552" t="str">
            <v>INTERBANK</v>
          </cell>
          <cell r="J2552" t="str">
            <v>8983412788739</v>
          </cell>
          <cell r="K2552" t="str">
            <v>DNI</v>
          </cell>
          <cell r="L2552">
            <v>10757970762</v>
          </cell>
          <cell r="M2552" t="str">
            <v>URBANO</v>
          </cell>
          <cell r="N2552">
            <v>45547</v>
          </cell>
          <cell r="O2552">
            <v>0</v>
          </cell>
          <cell r="P2552" t="str">
            <v>LITE</v>
          </cell>
        </row>
        <row r="2553">
          <cell r="A2553">
            <v>9695</v>
          </cell>
          <cell r="B2553">
            <v>9695</v>
          </cell>
          <cell r="C2553" t="str">
            <v>CERO MATRICULA</v>
          </cell>
          <cell r="D2553" t="str">
            <v>ACTIVO</v>
          </cell>
          <cell r="E2553" t="str">
            <v>CEQ139</v>
          </cell>
          <cell r="F2553" t="str">
            <v>LUNA OCAÑA DIXON DAVID</v>
          </cell>
          <cell r="G2553" t="str">
            <v>LUNA OCAÑA DIXON DAVID</v>
          </cell>
          <cell r="H2553" t="str">
            <v>42281047</v>
          </cell>
          <cell r="I2553" t="str">
            <v>BANCO DE LA NACIÓN</v>
          </cell>
          <cell r="J2553" t="str">
            <v>01800000415071088504</v>
          </cell>
          <cell r="K2553" t="str">
            <v>DNI</v>
          </cell>
          <cell r="L2553">
            <v>10422810477</v>
          </cell>
          <cell r="M2553" t="str">
            <v>URBANO</v>
          </cell>
          <cell r="N2553">
            <v>45555</v>
          </cell>
          <cell r="O2553">
            <v>0</v>
          </cell>
          <cell r="P2553" t="str">
            <v>XL</v>
          </cell>
        </row>
        <row r="2554">
          <cell r="A2554">
            <v>2940</v>
          </cell>
          <cell r="B2554">
            <v>2940</v>
          </cell>
          <cell r="C2554" t="str">
            <v>CERO MATRICULA</v>
          </cell>
          <cell r="D2554" t="str">
            <v>ACTIVO</v>
          </cell>
          <cell r="E2554">
            <v>0</v>
          </cell>
          <cell r="F2554" t="str">
            <v>FLOTA PROPIA</v>
          </cell>
          <cell r="G2554" t="str">
            <v>FLOTA PROPIA</v>
          </cell>
          <cell r="H2554" t="str">
            <v>FLOTA PROPIA</v>
          </cell>
          <cell r="I2554" t="str">
            <v>FLOTA PROPIA</v>
          </cell>
          <cell r="J2554" t="str">
            <v>FLOTA PROPIA</v>
          </cell>
          <cell r="K2554" t="str">
            <v>FLOTA PROPIA</v>
          </cell>
          <cell r="L2554" t="str">
            <v>FLOTA PROPIA</v>
          </cell>
          <cell r="M2554" t="str">
            <v>FLOTA PROPIA</v>
          </cell>
          <cell r="N2554">
            <v>45789</v>
          </cell>
          <cell r="O2554">
            <v>0</v>
          </cell>
          <cell r="P2554" t="str">
            <v>VAN</v>
          </cell>
        </row>
        <row r="2555">
          <cell r="A2555">
            <v>2941</v>
          </cell>
          <cell r="B2555">
            <v>2941</v>
          </cell>
          <cell r="C2555" t="str">
            <v>CERO MATRICULA</v>
          </cell>
          <cell r="D2555" t="str">
            <v>ACTIVO</v>
          </cell>
          <cell r="E2555">
            <v>0</v>
          </cell>
          <cell r="F2555" t="str">
            <v>FLOTA PROPIA</v>
          </cell>
          <cell r="G2555" t="str">
            <v>FLOTA PROPIA</v>
          </cell>
          <cell r="H2555" t="str">
            <v>FLOTA PROPIA</v>
          </cell>
          <cell r="I2555" t="str">
            <v>FLOTA PROPIA</v>
          </cell>
          <cell r="J2555" t="str">
            <v>FLOTA PROPIA</v>
          </cell>
          <cell r="K2555" t="str">
            <v>FLOTA PROPIA</v>
          </cell>
          <cell r="L2555" t="str">
            <v>FLOTA PROPIA</v>
          </cell>
          <cell r="M2555" t="str">
            <v>FLOTA PROPIA</v>
          </cell>
          <cell r="N2555">
            <v>45789</v>
          </cell>
          <cell r="O2555">
            <v>0</v>
          </cell>
          <cell r="P2555" t="str">
            <v>VAN</v>
          </cell>
        </row>
        <row r="2556">
          <cell r="A2556">
            <v>2942</v>
          </cell>
          <cell r="B2556">
            <v>2942</v>
          </cell>
          <cell r="C2556" t="str">
            <v>CERO MATRICULA</v>
          </cell>
          <cell r="D2556" t="str">
            <v>ACTIVO</v>
          </cell>
          <cell r="E2556">
            <v>0</v>
          </cell>
          <cell r="F2556" t="str">
            <v>FLOTA PROPIA</v>
          </cell>
          <cell r="G2556" t="str">
            <v>FLOTA PROPIA</v>
          </cell>
          <cell r="H2556" t="str">
            <v>FLOTA PROPIA</v>
          </cell>
          <cell r="I2556" t="str">
            <v>FLOTA PROPIA</v>
          </cell>
          <cell r="J2556" t="str">
            <v>FLOTA PROPIA</v>
          </cell>
          <cell r="K2556" t="str">
            <v>FLOTA PROPIA</v>
          </cell>
          <cell r="L2556" t="str">
            <v>FLOTA PROPIA</v>
          </cell>
          <cell r="M2556" t="str">
            <v>FLOTA PROPIA</v>
          </cell>
          <cell r="N2556">
            <v>45789</v>
          </cell>
          <cell r="O2556">
            <v>0</v>
          </cell>
          <cell r="P2556" t="str">
            <v>VAN</v>
          </cell>
        </row>
        <row r="2557">
          <cell r="A2557">
            <v>2943</v>
          </cell>
          <cell r="B2557">
            <v>2943</v>
          </cell>
          <cell r="C2557" t="str">
            <v>CERO MATRICULA</v>
          </cell>
          <cell r="D2557" t="str">
            <v>ACTIVO</v>
          </cell>
          <cell r="E2557">
            <v>0</v>
          </cell>
          <cell r="F2557" t="str">
            <v>FLOTA PROPIA</v>
          </cell>
          <cell r="G2557" t="str">
            <v>FLOTA PROPIA</v>
          </cell>
          <cell r="H2557" t="str">
            <v>FLOTA PROPIA</v>
          </cell>
          <cell r="I2557" t="str">
            <v>FLOTA PROPIA</v>
          </cell>
          <cell r="J2557" t="str">
            <v>FLOTA PROPIA</v>
          </cell>
          <cell r="K2557" t="str">
            <v>FLOTA PROPIA</v>
          </cell>
          <cell r="L2557" t="str">
            <v>FLOTA PROPIA</v>
          </cell>
          <cell r="M2557" t="str">
            <v>FLOTA PROPIA</v>
          </cell>
          <cell r="N2557">
            <v>45789</v>
          </cell>
          <cell r="O2557">
            <v>0</v>
          </cell>
          <cell r="P2557" t="str">
            <v>VAN</v>
          </cell>
        </row>
        <row r="2558">
          <cell r="A2558">
            <v>2944</v>
          </cell>
          <cell r="B2558">
            <v>2944</v>
          </cell>
          <cell r="C2558" t="str">
            <v>CERO MATRICULA</v>
          </cell>
          <cell r="D2558" t="str">
            <v>ACTIVO</v>
          </cell>
          <cell r="E2558">
            <v>0</v>
          </cell>
          <cell r="F2558" t="str">
            <v>FLOTA PROPIA</v>
          </cell>
          <cell r="G2558" t="str">
            <v>FLOTA PROPIA</v>
          </cell>
          <cell r="H2558" t="str">
            <v>FLOTA PROPIA</v>
          </cell>
          <cell r="I2558" t="str">
            <v>FLOTA PROPIA</v>
          </cell>
          <cell r="J2558" t="str">
            <v>FLOTA PROPIA</v>
          </cell>
          <cell r="K2558" t="str">
            <v>FLOTA PROPIA</v>
          </cell>
          <cell r="L2558" t="str">
            <v>FLOTA PROPIA</v>
          </cell>
          <cell r="M2558" t="str">
            <v>FLOTA PROPIA</v>
          </cell>
          <cell r="N2558">
            <v>45789</v>
          </cell>
          <cell r="O2558">
            <v>0</v>
          </cell>
          <cell r="P2558" t="str">
            <v>VAN</v>
          </cell>
        </row>
        <row r="2559">
          <cell r="A2559">
            <v>2945</v>
          </cell>
          <cell r="B2559">
            <v>2945</v>
          </cell>
          <cell r="C2559" t="str">
            <v>CERO MATRICULA</v>
          </cell>
          <cell r="D2559" t="str">
            <v>ACTIVO</v>
          </cell>
          <cell r="E2559">
            <v>0</v>
          </cell>
          <cell r="F2559" t="str">
            <v>FLOTA PROPIA</v>
          </cell>
          <cell r="G2559" t="str">
            <v>FLOTA PROPIA</v>
          </cell>
          <cell r="H2559" t="str">
            <v>FLOTA PROPIA</v>
          </cell>
          <cell r="I2559" t="str">
            <v>FLOTA PROPIA</v>
          </cell>
          <cell r="J2559" t="str">
            <v>FLOTA PROPIA</v>
          </cell>
          <cell r="K2559" t="str">
            <v>FLOTA PROPIA</v>
          </cell>
          <cell r="L2559" t="str">
            <v>FLOTA PROPIA</v>
          </cell>
          <cell r="M2559" t="str">
            <v>FLOTA PROPIA</v>
          </cell>
          <cell r="N2559">
            <v>45789</v>
          </cell>
          <cell r="O2559">
            <v>0</v>
          </cell>
          <cell r="P2559" t="str">
            <v>VAN</v>
          </cell>
        </row>
        <row r="2560">
          <cell r="A2560">
            <v>2946</v>
          </cell>
          <cell r="B2560">
            <v>2946</v>
          </cell>
          <cell r="C2560" t="str">
            <v>CERO MATRICULA</v>
          </cell>
          <cell r="D2560" t="str">
            <v>ACTIVO</v>
          </cell>
          <cell r="E2560">
            <v>0</v>
          </cell>
          <cell r="F2560" t="str">
            <v>FLOTA PROPIA</v>
          </cell>
          <cell r="G2560" t="str">
            <v>FLOTA PROPIA</v>
          </cell>
          <cell r="H2560" t="str">
            <v>FLOTA PROPIA</v>
          </cell>
          <cell r="I2560" t="str">
            <v>FLOTA PROPIA</v>
          </cell>
          <cell r="J2560" t="str">
            <v>FLOTA PROPIA</v>
          </cell>
          <cell r="K2560" t="str">
            <v>FLOTA PROPIA</v>
          </cell>
          <cell r="L2560" t="str">
            <v>FLOTA PROPIA</v>
          </cell>
          <cell r="M2560" t="str">
            <v>FLOTA PROPIA</v>
          </cell>
          <cell r="N2560">
            <v>45789</v>
          </cell>
          <cell r="O2560">
            <v>0</v>
          </cell>
          <cell r="P2560" t="str">
            <v>VAN</v>
          </cell>
        </row>
        <row r="2561">
          <cell r="A2561">
            <v>2949</v>
          </cell>
          <cell r="B2561">
            <v>2949</v>
          </cell>
          <cell r="C2561" t="str">
            <v>CERO MATRICULA</v>
          </cell>
          <cell r="D2561" t="str">
            <v>ACTIVO</v>
          </cell>
          <cell r="E2561">
            <v>0</v>
          </cell>
          <cell r="F2561" t="str">
            <v>FLOTA PROPIA</v>
          </cell>
          <cell r="G2561" t="str">
            <v>FLOTA PROPIA</v>
          </cell>
          <cell r="H2561" t="str">
            <v>FLOTA PROPIA</v>
          </cell>
          <cell r="I2561" t="str">
            <v>FLOTA PROPIA</v>
          </cell>
          <cell r="J2561" t="str">
            <v>FLOTA PROPIA</v>
          </cell>
          <cell r="K2561" t="str">
            <v>FLOTA PROPIA</v>
          </cell>
          <cell r="L2561" t="str">
            <v>FLOTA PROPIA</v>
          </cell>
          <cell r="M2561" t="str">
            <v>FLOTA PROPIA</v>
          </cell>
          <cell r="N2561">
            <v>45789</v>
          </cell>
          <cell r="O2561">
            <v>0</v>
          </cell>
          <cell r="P2561" t="str">
            <v>VAN</v>
          </cell>
        </row>
        <row r="2562">
          <cell r="A2562">
            <v>2714</v>
          </cell>
          <cell r="B2562">
            <v>2714</v>
          </cell>
          <cell r="C2562" t="str">
            <v>CERO MATRICULA</v>
          </cell>
          <cell r="D2562" t="str">
            <v>ACTIVO</v>
          </cell>
          <cell r="E2562" t="str">
            <v>CRI550</v>
          </cell>
          <cell r="F2562" t="str">
            <v>Campos Panduro Bryan Steve</v>
          </cell>
          <cell r="G2562" t="str">
            <v>CAMPOS PANDURO BRYAN STEVE</v>
          </cell>
          <cell r="H2562" t="str">
            <v>45724221</v>
          </cell>
          <cell r="I2562" t="str">
            <v>BCP</v>
          </cell>
          <cell r="J2562" t="str">
            <v>19499694401013</v>
          </cell>
          <cell r="K2562" t="str">
            <v>DNI</v>
          </cell>
          <cell r="L2562">
            <v>10457242218</v>
          </cell>
          <cell r="M2562" t="str">
            <v>AEROPUERTO</v>
          </cell>
          <cell r="N2562">
            <v>45758.416666666664</v>
          </cell>
          <cell r="O2562">
            <v>235</v>
          </cell>
          <cell r="P2562" t="str">
            <v>COMFORT XL</v>
          </cell>
        </row>
        <row r="2563">
          <cell r="A2563">
            <v>2829</v>
          </cell>
          <cell r="B2563">
            <v>2829</v>
          </cell>
          <cell r="C2563" t="str">
            <v>CERO MATRICULA</v>
          </cell>
          <cell r="D2563" t="str">
            <v>ACTIVO</v>
          </cell>
          <cell r="E2563" t="str">
            <v>CSA591</v>
          </cell>
          <cell r="F2563" t="str">
            <v>Ypanaque Murrieta Edinson Ricardo</v>
          </cell>
          <cell r="G2563" t="str">
            <v>YPANAQUE MURRIETA EDINSON RICARDO</v>
          </cell>
          <cell r="H2563" t="str">
            <v>80059199</v>
          </cell>
          <cell r="I2563" t="str">
            <v>BBVA</v>
          </cell>
          <cell r="J2563" t="str">
            <v>001109700200431612</v>
          </cell>
          <cell r="K2563" t="str">
            <v>DNI</v>
          </cell>
          <cell r="L2563">
            <v>10800591991</v>
          </cell>
          <cell r="M2563" t="str">
            <v>AEROPUERTO</v>
          </cell>
          <cell r="N2563">
            <v>45763.416666666664</v>
          </cell>
          <cell r="O2563">
            <v>240</v>
          </cell>
          <cell r="P2563" t="str">
            <v>COMFORT</v>
          </cell>
        </row>
        <row r="2564">
          <cell r="A2564">
            <v>2835</v>
          </cell>
          <cell r="B2564">
            <v>2835</v>
          </cell>
          <cell r="C2564" t="str">
            <v>CERO MATRICULA</v>
          </cell>
          <cell r="D2564" t="str">
            <v>ACTIVO</v>
          </cell>
          <cell r="E2564" t="str">
            <v>CPZ171</v>
          </cell>
          <cell r="F2564" t="str">
            <v>Ganoza Aniceto Victor Manuel</v>
          </cell>
          <cell r="G2564" t="str">
            <v>GANOZA ANICETO VICTOR MANUEL</v>
          </cell>
          <cell r="H2564" t="str">
            <v>25542926</v>
          </cell>
          <cell r="I2564" t="str">
            <v>BBVA</v>
          </cell>
          <cell r="J2564" t="str">
            <v>001101420200224356</v>
          </cell>
          <cell r="K2564" t="str">
            <v>DNI</v>
          </cell>
          <cell r="L2564">
            <v>10255429260</v>
          </cell>
          <cell r="M2564" t="str">
            <v>AEROPUERTO</v>
          </cell>
          <cell r="N2564">
            <v>45763.416666666664</v>
          </cell>
          <cell r="O2564">
            <v>240</v>
          </cell>
          <cell r="P2564" t="str">
            <v>XL</v>
          </cell>
        </row>
        <row r="2565">
          <cell r="A2565">
            <v>2842</v>
          </cell>
          <cell r="B2565">
            <v>2842</v>
          </cell>
          <cell r="C2565" t="str">
            <v>CERO MATRICULA</v>
          </cell>
          <cell r="D2565" t="str">
            <v>ACTIVO</v>
          </cell>
          <cell r="E2565" t="str">
            <v>CRV357</v>
          </cell>
          <cell r="F2565" t="str">
            <v>Gonzales Guerrero Ruddy Anthony</v>
          </cell>
          <cell r="G2565" t="str">
            <v>GONZALES GUERRERO RUDDY ANTHONY</v>
          </cell>
          <cell r="H2565" t="str">
            <v>41349425</v>
          </cell>
          <cell r="I2565" t="str">
            <v>BCP</v>
          </cell>
          <cell r="J2565" t="str">
            <v>19177124392024</v>
          </cell>
          <cell r="K2565" t="str">
            <v>DNI</v>
          </cell>
          <cell r="L2565">
            <v>10413494252</v>
          </cell>
          <cell r="M2565" t="str">
            <v>AEROPUERTO</v>
          </cell>
          <cell r="N2565">
            <v>45763.416666666664</v>
          </cell>
          <cell r="O2565">
            <v>235</v>
          </cell>
          <cell r="P2565" t="str">
            <v>COMFORT XL</v>
          </cell>
        </row>
        <row r="2566">
          <cell r="A2566">
            <v>2843</v>
          </cell>
          <cell r="B2566">
            <v>2843</v>
          </cell>
          <cell r="C2566" t="str">
            <v>CERO MATRICULA</v>
          </cell>
          <cell r="D2566" t="str">
            <v>ACTIVO</v>
          </cell>
          <cell r="E2566" t="str">
            <v>CRJ191</v>
          </cell>
          <cell r="F2566" t="str">
            <v>Sanchez Ramirez Jonathan renan</v>
          </cell>
          <cell r="G2566" t="str">
            <v>SANCHEZ RAMIREZ JONATHAN RENAN</v>
          </cell>
          <cell r="H2566" t="str">
            <v>41679717</v>
          </cell>
          <cell r="I2566" t="str">
            <v>BCP</v>
          </cell>
          <cell r="J2566" t="str">
            <v>19301011102015</v>
          </cell>
          <cell r="K2566" t="str">
            <v>DNI</v>
          </cell>
          <cell r="L2566">
            <v>10416797175</v>
          </cell>
          <cell r="M2566" t="str">
            <v>AEROPUERTO</v>
          </cell>
          <cell r="N2566">
            <v>45763.416666666664</v>
          </cell>
          <cell r="O2566">
            <v>235</v>
          </cell>
          <cell r="P2566" t="str">
            <v>COMFORT XL</v>
          </cell>
        </row>
        <row r="2567">
          <cell r="A2567">
            <v>2848</v>
          </cell>
          <cell r="B2567">
            <v>2848</v>
          </cell>
          <cell r="C2567" t="str">
            <v>CERO MATRICULA</v>
          </cell>
          <cell r="D2567" t="str">
            <v>ACTIVO</v>
          </cell>
          <cell r="E2567" t="str">
            <v>ATS178</v>
          </cell>
          <cell r="F2567" t="str">
            <v>Suncion Peña Domingo javier</v>
          </cell>
          <cell r="G2567" t="str">
            <v>SUNCION PEÑA DOMINGO JAVIER</v>
          </cell>
          <cell r="H2567" t="str">
            <v>32125713</v>
          </cell>
          <cell r="I2567" t="str">
            <v>INTERBANK</v>
          </cell>
          <cell r="J2567" t="str">
            <v>1443148799267</v>
          </cell>
          <cell r="K2567" t="str">
            <v>DNI</v>
          </cell>
          <cell r="L2567">
            <v>10321257131</v>
          </cell>
          <cell r="M2567" t="str">
            <v>AEROPUERTO</v>
          </cell>
          <cell r="N2567">
            <v>45770.416666666664</v>
          </cell>
          <cell r="O2567">
            <v>235</v>
          </cell>
          <cell r="P2567" t="str">
            <v>COMFORT XL</v>
          </cell>
        </row>
        <row r="2568">
          <cell r="A2568">
            <v>2850</v>
          </cell>
          <cell r="B2568">
            <v>2850</v>
          </cell>
          <cell r="C2568" t="str">
            <v>CERO MATRICULA</v>
          </cell>
          <cell r="D2568" t="str">
            <v>ACTIVO</v>
          </cell>
          <cell r="E2568" t="str">
            <v>CPP635</v>
          </cell>
          <cell r="F2568" t="str">
            <v>Mamani Centon Ruben Cesar</v>
          </cell>
          <cell r="G2568" t="str">
            <v>MAMANI CENTON RUBEN CESAR</v>
          </cell>
          <cell r="H2568" t="str">
            <v>43404671</v>
          </cell>
          <cell r="I2568" t="str">
            <v>BCP</v>
          </cell>
          <cell r="J2568" t="str">
            <v>19109074772035</v>
          </cell>
          <cell r="K2568" t="str">
            <v>DNI</v>
          </cell>
          <cell r="L2568">
            <v>10434046713</v>
          </cell>
          <cell r="M2568" t="str">
            <v>AEROPUERTO</v>
          </cell>
          <cell r="N2568">
            <v>45770.416666666664</v>
          </cell>
          <cell r="O2568">
            <v>235</v>
          </cell>
          <cell r="P2568" t="str">
            <v>COMFORT XL</v>
          </cell>
        </row>
        <row r="2569">
          <cell r="A2569">
            <v>2852</v>
          </cell>
          <cell r="B2569">
            <v>2852</v>
          </cell>
          <cell r="C2569" t="str">
            <v>CERO MATRICULA</v>
          </cell>
          <cell r="D2569" t="str">
            <v>ACTIVO</v>
          </cell>
          <cell r="E2569" t="str">
            <v>CSC167</v>
          </cell>
          <cell r="F2569" t="str">
            <v>Llauce Morante José Leonardo</v>
          </cell>
          <cell r="G2569" t="str">
            <v>LLAUCE MORANTE JOSE LEONARDO</v>
          </cell>
          <cell r="H2569" t="str">
            <v>17624249</v>
          </cell>
          <cell r="I2569" t="str">
            <v>INTERBANK</v>
          </cell>
          <cell r="J2569" t="str">
            <v>0893355396737</v>
          </cell>
          <cell r="K2569" t="str">
            <v>DNI</v>
          </cell>
          <cell r="L2569">
            <v>10176242499</v>
          </cell>
          <cell r="M2569" t="str">
            <v>AEROPUERTO</v>
          </cell>
          <cell r="N2569">
            <v>45771.416666666664</v>
          </cell>
          <cell r="O2569">
            <v>235</v>
          </cell>
          <cell r="P2569" t="str">
            <v>COMFORT XL</v>
          </cell>
        </row>
        <row r="2570">
          <cell r="A2570">
            <v>2856</v>
          </cell>
          <cell r="B2570">
            <v>2856</v>
          </cell>
          <cell r="C2570" t="str">
            <v>CERO MATRICULA</v>
          </cell>
          <cell r="D2570" t="str">
            <v>ACTIVO</v>
          </cell>
          <cell r="E2570" t="str">
            <v>CRH586</v>
          </cell>
          <cell r="F2570" t="str">
            <v xml:space="preserve">Vivas Mayorga Robin Alejandro </v>
          </cell>
          <cell r="G2570" t="str">
            <v>VIVAS MAYORGA ROBIN ALEJANDRO</v>
          </cell>
          <cell r="H2570" t="str">
            <v>003477085</v>
          </cell>
          <cell r="I2570" t="str">
            <v>BCP</v>
          </cell>
          <cell r="J2570" t="str">
            <v>19493411852004</v>
          </cell>
          <cell r="K2570" t="str">
            <v>CE</v>
          </cell>
          <cell r="L2570">
            <v>15604247389</v>
          </cell>
          <cell r="M2570" t="str">
            <v>AEROPUERTO</v>
          </cell>
          <cell r="N2570">
            <v>45776.416666666664</v>
          </cell>
          <cell r="O2570">
            <v>265</v>
          </cell>
          <cell r="P2570" t="str">
            <v>LITE</v>
          </cell>
        </row>
        <row r="2571">
          <cell r="A2571">
            <v>2857</v>
          </cell>
          <cell r="B2571">
            <v>2857</v>
          </cell>
          <cell r="C2571" t="str">
            <v>CERO MATRICULA</v>
          </cell>
          <cell r="D2571" t="str">
            <v>ACTIVO</v>
          </cell>
          <cell r="E2571" t="str">
            <v>CDZ108</v>
          </cell>
          <cell r="F2571" t="str">
            <v>Acosta Cajaleon Mario Raul</v>
          </cell>
          <cell r="G2571" t="str">
            <v>RAYMI TRAVEL PERU S.A.C.</v>
          </cell>
          <cell r="H2571">
            <v>20612423173</v>
          </cell>
          <cell r="I2571" t="str">
            <v>BCP</v>
          </cell>
          <cell r="J2571" t="str">
            <v>1944202525046</v>
          </cell>
          <cell r="K2571" t="str">
            <v>RUC</v>
          </cell>
          <cell r="L2571">
            <v>20612423173</v>
          </cell>
          <cell r="M2571" t="str">
            <v>AEROPUERTO VAN</v>
          </cell>
          <cell r="N2571">
            <v>45776.416666666664</v>
          </cell>
          <cell r="O2571">
            <v>240</v>
          </cell>
          <cell r="P2571" t="str">
            <v>VAN</v>
          </cell>
        </row>
        <row r="2572">
          <cell r="A2572">
            <v>2858</v>
          </cell>
          <cell r="B2572">
            <v>2858</v>
          </cell>
          <cell r="C2572" t="str">
            <v>CERO MATRICULA</v>
          </cell>
          <cell r="D2572" t="str">
            <v>ACTIVO</v>
          </cell>
          <cell r="E2572" t="str">
            <v>BMK098</v>
          </cell>
          <cell r="F2572" t="str">
            <v>Cruz Aliaga Constantino</v>
          </cell>
          <cell r="G2572" t="str">
            <v>CRUZ ALIAGA CONSTANTINO</v>
          </cell>
          <cell r="H2572" t="str">
            <v>09374579</v>
          </cell>
          <cell r="I2572" t="str">
            <v>BCP</v>
          </cell>
          <cell r="J2572" t="str">
            <v>19199361189035</v>
          </cell>
          <cell r="K2572" t="str">
            <v>DNI</v>
          </cell>
          <cell r="L2572">
            <v>10093745791</v>
          </cell>
          <cell r="M2572" t="str">
            <v>AEROPUERTO</v>
          </cell>
          <cell r="N2572">
            <v>45776.416666666664</v>
          </cell>
          <cell r="O2572">
            <v>265</v>
          </cell>
          <cell r="P2572" t="str">
            <v>LITE</v>
          </cell>
        </row>
        <row r="2573">
          <cell r="A2573">
            <v>2870</v>
          </cell>
          <cell r="B2573">
            <v>2870</v>
          </cell>
          <cell r="C2573" t="str">
            <v>CERO MATRICULA</v>
          </cell>
          <cell r="D2573" t="str">
            <v>ACTIVO</v>
          </cell>
          <cell r="E2573" t="str">
            <v>BTB227</v>
          </cell>
          <cell r="F2573" t="str">
            <v>De la cruz Garagundo Diego Armando</v>
          </cell>
          <cell r="G2573" t="str">
            <v>MENDEZ CORDOVA FRAN RONALD</v>
          </cell>
          <cell r="H2573" t="str">
            <v>41739307</v>
          </cell>
          <cell r="I2573" t="str">
            <v>BBVA</v>
          </cell>
          <cell r="J2573" t="str">
            <v>001108140232337503</v>
          </cell>
          <cell r="K2573" t="str">
            <v>DNI</v>
          </cell>
          <cell r="L2573">
            <v>10417393078</v>
          </cell>
          <cell r="M2573" t="str">
            <v>URBANO PARTNER</v>
          </cell>
          <cell r="N2573">
            <v>45776.083333333336</v>
          </cell>
          <cell r="O2573">
            <v>0</v>
          </cell>
          <cell r="P2573" t="str">
            <v>COMFORT</v>
          </cell>
        </row>
        <row r="2574">
          <cell r="A2574">
            <v>2871</v>
          </cell>
          <cell r="B2574">
            <v>2871</v>
          </cell>
          <cell r="C2574" t="str">
            <v>CERO MATRICULA</v>
          </cell>
          <cell r="D2574" t="str">
            <v>ACTIVO</v>
          </cell>
          <cell r="E2574" t="str">
            <v>CRA644</v>
          </cell>
          <cell r="F2574" t="str">
            <v>Tumez López Alexis coligny</v>
          </cell>
          <cell r="G2574" t="str">
            <v>TUMEZ LOPEZ ALEXIS COLIGNY</v>
          </cell>
          <cell r="H2574" t="str">
            <v>43679117</v>
          </cell>
          <cell r="I2574" t="str">
            <v>INTERBANK</v>
          </cell>
          <cell r="J2574" t="str">
            <v>2613180977510</v>
          </cell>
          <cell r="K2574" t="str">
            <v>DNI</v>
          </cell>
          <cell r="L2574">
            <v>10436791173</v>
          </cell>
          <cell r="M2574" t="str">
            <v>URBANO PARTNER</v>
          </cell>
          <cell r="N2574">
            <v>45776.083333333336</v>
          </cell>
          <cell r="O2574">
            <v>0</v>
          </cell>
          <cell r="P2574" t="str">
            <v>COMFORT XL</v>
          </cell>
        </row>
        <row r="2575">
          <cell r="A2575">
            <v>2872</v>
          </cell>
          <cell r="B2575">
            <v>2872</v>
          </cell>
          <cell r="C2575" t="str">
            <v>CERO MATRICULA</v>
          </cell>
          <cell r="D2575" t="str">
            <v>ACTIVO</v>
          </cell>
          <cell r="E2575" t="str">
            <v>V2Y094</v>
          </cell>
          <cell r="F2575" t="str">
            <v>Inga Lloja Omar</v>
          </cell>
          <cell r="G2575" t="str">
            <v>INGA LLOJA OMAR</v>
          </cell>
          <cell r="H2575" t="str">
            <v>43800860</v>
          </cell>
          <cell r="I2575" t="str">
            <v>BCP</v>
          </cell>
          <cell r="J2575" t="str">
            <v>19431740044049</v>
          </cell>
          <cell r="K2575" t="str">
            <v>DNI</v>
          </cell>
          <cell r="L2575">
            <v>10438008603</v>
          </cell>
          <cell r="M2575" t="str">
            <v>URBANO PARTNER</v>
          </cell>
          <cell r="N2575">
            <v>45776.083333333336</v>
          </cell>
          <cell r="O2575">
            <v>0</v>
          </cell>
          <cell r="P2575" t="str">
            <v>LITE</v>
          </cell>
        </row>
        <row r="2576">
          <cell r="A2576">
            <v>2874</v>
          </cell>
          <cell r="B2576">
            <v>2874</v>
          </cell>
          <cell r="C2576" t="str">
            <v>CERO MATRICULA</v>
          </cell>
          <cell r="D2576" t="str">
            <v>ACTIVO</v>
          </cell>
          <cell r="E2576" t="str">
            <v>CSA654</v>
          </cell>
          <cell r="F2576" t="str">
            <v xml:space="preserve">Sosa Guagualuque Jorge Daniel </v>
          </cell>
          <cell r="G2576" t="str">
            <v>SOSA GUAGUALUQUE JORGE DANIEL</v>
          </cell>
          <cell r="H2576" t="str">
            <v>72661387</v>
          </cell>
          <cell r="I2576" t="str">
            <v>BCP</v>
          </cell>
          <cell r="J2576" t="str">
            <v>19303989541037</v>
          </cell>
          <cell r="K2576" t="str">
            <v>DNI</v>
          </cell>
          <cell r="L2576">
            <v>10726613872</v>
          </cell>
          <cell r="M2576" t="str">
            <v>AEROPUERTO</v>
          </cell>
          <cell r="N2576">
            <v>45777.416666666664</v>
          </cell>
          <cell r="O2576">
            <v>265</v>
          </cell>
          <cell r="P2576" t="str">
            <v>LITE</v>
          </cell>
        </row>
        <row r="2577">
          <cell r="A2577">
            <v>2878</v>
          </cell>
          <cell r="B2577">
            <v>2878</v>
          </cell>
          <cell r="C2577" t="str">
            <v>CERO MATRICULA</v>
          </cell>
          <cell r="D2577" t="str">
            <v>ACTIVO</v>
          </cell>
          <cell r="E2577" t="str">
            <v>BYW535</v>
          </cell>
          <cell r="F2577" t="str">
            <v>Carbonell Álvarez Juan Eduardo</v>
          </cell>
          <cell r="G2577" t="str">
            <v>CARBONELL ALVAREZ JUAN EDUARDO</v>
          </cell>
          <cell r="H2577" t="str">
            <v>003110525</v>
          </cell>
          <cell r="I2577" t="str">
            <v>BCP</v>
          </cell>
          <cell r="J2577" t="str">
            <v>19175165488033</v>
          </cell>
          <cell r="K2577" t="str">
            <v>CE</v>
          </cell>
          <cell r="L2577">
            <v>15604322445</v>
          </cell>
          <cell r="M2577" t="str">
            <v>AEROLINEAS</v>
          </cell>
          <cell r="N2577">
            <v>45749</v>
          </cell>
          <cell r="O2577">
            <v>0</v>
          </cell>
          <cell r="P2577" t="str">
            <v>LITE</v>
          </cell>
        </row>
        <row r="2578">
          <cell r="A2578">
            <v>3282</v>
          </cell>
          <cell r="B2578">
            <v>3282</v>
          </cell>
          <cell r="C2578" t="str">
            <v>CERO MATRICULA</v>
          </cell>
          <cell r="D2578" t="str">
            <v>ACTIVO</v>
          </cell>
          <cell r="E2578" t="str">
            <v>CSG298</v>
          </cell>
          <cell r="F2578" t="str">
            <v>Tello Olivera Christoper antonio</v>
          </cell>
          <cell r="G2578" t="str">
            <v>OLIVERA ANGELES VDA DE TELLO JESUS GRACIELA</v>
          </cell>
          <cell r="H2578" t="str">
            <v>10510521</v>
          </cell>
          <cell r="I2578" t="str">
            <v>BCP</v>
          </cell>
          <cell r="J2578" t="str">
            <v>19209390840096</v>
          </cell>
          <cell r="K2578" t="str">
            <v>DNI</v>
          </cell>
          <cell r="L2578">
            <v>10105105211</v>
          </cell>
          <cell r="M2578" t="str">
            <v>AEROLINEAS</v>
          </cell>
          <cell r="N2578">
            <v>45749</v>
          </cell>
          <cell r="O2578">
            <v>0</v>
          </cell>
          <cell r="P2578" t="str">
            <v>XL</v>
          </cell>
        </row>
        <row r="2579">
          <cell r="A2579">
            <v>2875</v>
          </cell>
          <cell r="B2579">
            <v>2875</v>
          </cell>
          <cell r="C2579" t="str">
            <v>CERO MATRICULA</v>
          </cell>
          <cell r="D2579" t="str">
            <v>ACTIVO</v>
          </cell>
          <cell r="E2579" t="str">
            <v>H2Y297</v>
          </cell>
          <cell r="F2579" t="str">
            <v xml:space="preserve">Alva Carrión Julio César </v>
          </cell>
          <cell r="G2579" t="str">
            <v>ALVA CARRION JULIO CESAR</v>
          </cell>
          <cell r="H2579" t="str">
            <v>41826006</v>
          </cell>
          <cell r="I2579" t="str">
            <v>BBVA</v>
          </cell>
          <cell r="J2579" t="str">
            <v>1102760200153030</v>
          </cell>
          <cell r="K2579" t="str">
            <v>DNI</v>
          </cell>
          <cell r="L2579">
            <v>10418260063</v>
          </cell>
          <cell r="M2579" t="str">
            <v>AEROPUERTO</v>
          </cell>
          <cell r="N2579">
            <v>45783.416666666664</v>
          </cell>
          <cell r="O2579">
            <v>235</v>
          </cell>
          <cell r="P2579" t="str">
            <v>COMFORT XL</v>
          </cell>
        </row>
        <row r="2580">
          <cell r="A2580">
            <v>2876</v>
          </cell>
          <cell r="B2580">
            <v>2876</v>
          </cell>
          <cell r="C2580" t="str">
            <v>CERO MATRICULA</v>
          </cell>
          <cell r="D2580" t="str">
            <v>ACTIVO</v>
          </cell>
          <cell r="E2580" t="str">
            <v>CPZ281</v>
          </cell>
          <cell r="F2580" t="str">
            <v>Yalli Inca René irving</v>
          </cell>
          <cell r="G2580" t="str">
            <v>YALLI INCA RENE IRVING</v>
          </cell>
          <cell r="H2580">
            <v>45440716</v>
          </cell>
          <cell r="I2580" t="str">
            <v>BCP</v>
          </cell>
          <cell r="J2580" t="str">
            <v>19433523454073</v>
          </cell>
          <cell r="K2580" t="str">
            <v>DNI</v>
          </cell>
          <cell r="L2580">
            <v>10454407160</v>
          </cell>
          <cell r="M2580" t="str">
            <v>AEROLINEAS</v>
          </cell>
          <cell r="N2580">
            <v>45785.125</v>
          </cell>
          <cell r="O2580">
            <v>0</v>
          </cell>
          <cell r="P2580" t="str">
            <v>XL</v>
          </cell>
        </row>
        <row r="2581">
          <cell r="A2581">
            <v>2877</v>
          </cell>
          <cell r="B2581">
            <v>2877</v>
          </cell>
          <cell r="C2581" t="str">
            <v>CERO MATRICULA</v>
          </cell>
          <cell r="D2581" t="str">
            <v>ACTIVO</v>
          </cell>
          <cell r="E2581" t="str">
            <v>CSD074</v>
          </cell>
          <cell r="F2581" t="str">
            <v xml:space="preserve">Tapia Herrera Roel Renson </v>
          </cell>
          <cell r="G2581" t="str">
            <v>CORPORACION LAS ESMERALDAS E.I.R.L.</v>
          </cell>
          <cell r="H2581">
            <v>20602540805</v>
          </cell>
          <cell r="I2581" t="str">
            <v>BCP</v>
          </cell>
          <cell r="J2581" t="str">
            <v>1912167175055</v>
          </cell>
          <cell r="K2581" t="str">
            <v>RUC</v>
          </cell>
          <cell r="L2581">
            <v>20602540805</v>
          </cell>
          <cell r="M2581" t="str">
            <v>AEROLINEAS</v>
          </cell>
          <cell r="N2581">
            <v>45785.125</v>
          </cell>
          <cell r="O2581">
            <v>0</v>
          </cell>
          <cell r="P2581" t="str">
            <v>XL</v>
          </cell>
        </row>
        <row r="2582">
          <cell r="A2582">
            <v>2879</v>
          </cell>
          <cell r="B2582">
            <v>2879</v>
          </cell>
          <cell r="C2582" t="str">
            <v>CERO MATRICULA</v>
          </cell>
          <cell r="D2582" t="str">
            <v>ACTIVO</v>
          </cell>
          <cell r="E2582" t="str">
            <v>CLE393</v>
          </cell>
          <cell r="F2582" t="str">
            <v>Montilla Rosales Carlos  Antonio</v>
          </cell>
          <cell r="G2582" t="str">
            <v>MONTILLA ROSALES CARLOS ANTONIO</v>
          </cell>
          <cell r="H2582" t="str">
            <v>004758050</v>
          </cell>
          <cell r="I2582" t="str">
            <v>BCP</v>
          </cell>
          <cell r="J2582" t="str">
            <v>19194702564053</v>
          </cell>
          <cell r="K2582" t="str">
            <v>CE</v>
          </cell>
          <cell r="L2582">
            <v>15614150821</v>
          </cell>
          <cell r="M2582" t="str">
            <v>AEROPUERTO</v>
          </cell>
          <cell r="N2582">
            <v>45783.416666666664</v>
          </cell>
          <cell r="O2582">
            <v>265</v>
          </cell>
          <cell r="P2582" t="str">
            <v>LITE</v>
          </cell>
        </row>
        <row r="2583">
          <cell r="A2583">
            <v>2880</v>
          </cell>
          <cell r="B2583">
            <v>2880</v>
          </cell>
          <cell r="C2583" t="str">
            <v>CERO MATRICULA</v>
          </cell>
          <cell r="D2583" t="str">
            <v>ACTIVO</v>
          </cell>
          <cell r="E2583" t="str">
            <v>CLZ578</v>
          </cell>
          <cell r="F2583" t="str">
            <v>Solorzano Chipre Romel</v>
          </cell>
          <cell r="G2583" t="str">
            <v>SOLORZANO CHIPRE ROMEL DE JESUS</v>
          </cell>
          <cell r="H2583" t="str">
            <v>007244042</v>
          </cell>
          <cell r="I2583" t="str">
            <v>BCP</v>
          </cell>
          <cell r="J2583" t="str">
            <v>19197718728083</v>
          </cell>
          <cell r="K2583" t="str">
            <v>CE</v>
          </cell>
          <cell r="L2583">
            <v>15610119201</v>
          </cell>
          <cell r="M2583" t="str">
            <v>AEROPUERTO</v>
          </cell>
          <cell r="N2583">
            <v>45783.416666666664</v>
          </cell>
          <cell r="O2583">
            <v>265</v>
          </cell>
          <cell r="P2583" t="str">
            <v>LITE</v>
          </cell>
        </row>
        <row r="2584">
          <cell r="A2584">
            <v>2881</v>
          </cell>
          <cell r="B2584">
            <v>2881</v>
          </cell>
          <cell r="C2584" t="str">
            <v>CERO MATRICULA</v>
          </cell>
          <cell r="D2584" t="str">
            <v>ACTIVO</v>
          </cell>
          <cell r="E2584" t="str">
            <v>CJS034</v>
          </cell>
          <cell r="F2584" t="str">
            <v>Alejo Gonzales Johan jossepi</v>
          </cell>
          <cell r="G2584" t="str">
            <v>JENNY ESTHER GONZALES ESTRELLA</v>
          </cell>
          <cell r="H2584" t="str">
            <v>09893831</v>
          </cell>
          <cell r="I2584" t="str">
            <v>BBVA</v>
          </cell>
          <cell r="J2584" t="str">
            <v>0011-0259-0200506331</v>
          </cell>
          <cell r="K2584" t="str">
            <v>DNI</v>
          </cell>
          <cell r="L2584">
            <v>10098938317</v>
          </cell>
          <cell r="M2584" t="str">
            <v>AEROPUERTO</v>
          </cell>
          <cell r="N2584">
            <v>45783.416666666664</v>
          </cell>
          <cell r="O2584">
            <v>265</v>
          </cell>
          <cell r="P2584" t="str">
            <v>LITE</v>
          </cell>
        </row>
        <row r="2585">
          <cell r="A2585">
            <v>2882</v>
          </cell>
          <cell r="B2585">
            <v>2882</v>
          </cell>
          <cell r="C2585" t="str">
            <v>CERO MATRICULA</v>
          </cell>
          <cell r="D2585" t="str">
            <v>ACTIVO</v>
          </cell>
          <cell r="E2585" t="str">
            <v>BEN279</v>
          </cell>
          <cell r="F2585" t="str">
            <v xml:space="preserve">Segovia Rivera Raúl Augusto </v>
          </cell>
          <cell r="G2585" t="str">
            <v>SEGOVIA RIVERA RAUL AUGUSTO</v>
          </cell>
          <cell r="H2585" t="str">
            <v>002769586</v>
          </cell>
          <cell r="I2585" t="str">
            <v>BBVA</v>
          </cell>
          <cell r="J2585" t="str">
            <v>001102820200238979</v>
          </cell>
          <cell r="K2585" t="str">
            <v>CE</v>
          </cell>
          <cell r="L2585">
            <v>15614155610</v>
          </cell>
          <cell r="M2585" t="str">
            <v>AEROPUERTO</v>
          </cell>
          <cell r="N2585">
            <v>45783.416666666664</v>
          </cell>
          <cell r="O2585">
            <v>235</v>
          </cell>
          <cell r="P2585" t="str">
            <v>COMFORT XL</v>
          </cell>
        </row>
        <row r="2586">
          <cell r="A2586">
            <v>2883</v>
          </cell>
          <cell r="B2586">
            <v>2883</v>
          </cell>
          <cell r="C2586" t="str">
            <v>CERO MATRICULA</v>
          </cell>
          <cell r="D2586" t="str">
            <v>ACTIVO</v>
          </cell>
          <cell r="E2586" t="str">
            <v>CLW001</v>
          </cell>
          <cell r="F2586" t="str">
            <v>Garcia Baron Arnaldo Jose</v>
          </cell>
          <cell r="G2586" t="str">
            <v>GARCIA BARON ARNALDO JOSE</v>
          </cell>
          <cell r="H2586" t="str">
            <v>003746772</v>
          </cell>
          <cell r="I2586" t="str">
            <v>BCP</v>
          </cell>
          <cell r="J2586" t="str">
            <v>19105485575083</v>
          </cell>
          <cell r="K2586" t="str">
            <v>CE</v>
          </cell>
          <cell r="L2586">
            <v>15604457537</v>
          </cell>
          <cell r="M2586" t="str">
            <v>URBANO PARTNER</v>
          </cell>
          <cell r="N2586">
            <v>45783.416666666664</v>
          </cell>
          <cell r="O2586">
            <v>0</v>
          </cell>
          <cell r="P2586" t="str">
            <v>LITE</v>
          </cell>
        </row>
        <row r="2587">
          <cell r="A2587">
            <v>2884</v>
          </cell>
          <cell r="B2587">
            <v>2884</v>
          </cell>
          <cell r="C2587" t="str">
            <v>CERO MATRICULA</v>
          </cell>
          <cell r="D2587" t="str">
            <v>ACTIVO</v>
          </cell>
          <cell r="E2587" t="str">
            <v>CPS108</v>
          </cell>
          <cell r="F2587" t="str">
            <v>Leva Duran Miguel</v>
          </cell>
          <cell r="G2587" t="str">
            <v>LEVA DURAN MIGUEL</v>
          </cell>
          <cell r="H2587" t="str">
            <v>09011365</v>
          </cell>
          <cell r="I2587" t="str">
            <v>BCP</v>
          </cell>
          <cell r="J2587" t="str">
            <v>19499787450001</v>
          </cell>
          <cell r="K2587" t="str">
            <v>DNI</v>
          </cell>
          <cell r="L2587">
            <v>10090113653</v>
          </cell>
          <cell r="M2587" t="str">
            <v>URBANO PARTNER</v>
          </cell>
          <cell r="N2587">
            <v>45783.083333333336</v>
          </cell>
          <cell r="O2587">
            <v>0</v>
          </cell>
          <cell r="P2587" t="str">
            <v>LITE</v>
          </cell>
        </row>
        <row r="2588">
          <cell r="A2588">
            <v>2885</v>
          </cell>
          <cell r="B2588">
            <v>2885</v>
          </cell>
          <cell r="C2588" t="str">
            <v>CERO MATRICULA</v>
          </cell>
          <cell r="D2588" t="str">
            <v>ACTIVO</v>
          </cell>
          <cell r="E2588" t="str">
            <v>BTP514</v>
          </cell>
          <cell r="F2588" t="str">
            <v>Barreto Acosta Juan Karlos</v>
          </cell>
          <cell r="G2588" t="str">
            <v>BARRETO ACOSTA JUAN KARLOS</v>
          </cell>
          <cell r="H2588" t="str">
            <v>49004114</v>
          </cell>
          <cell r="I2588" t="str">
            <v>BCP</v>
          </cell>
          <cell r="J2588" t="str">
            <v>19391479549082</v>
          </cell>
          <cell r="K2588" t="str">
            <v>DNI</v>
          </cell>
          <cell r="L2588">
            <v>10490041147</v>
          </cell>
          <cell r="M2588" t="str">
            <v>AEROLINEAS</v>
          </cell>
          <cell r="N2588">
            <v>45783.083333333336</v>
          </cell>
          <cell r="O2588">
            <v>0</v>
          </cell>
          <cell r="P2588" t="str">
            <v>COMFORT XL</v>
          </cell>
        </row>
        <row r="2589">
          <cell r="A2589">
            <v>2886</v>
          </cell>
          <cell r="B2589">
            <v>2886</v>
          </cell>
          <cell r="C2589" t="str">
            <v>CERO MATRICULA</v>
          </cell>
          <cell r="D2589" t="str">
            <v>ACTIVO</v>
          </cell>
          <cell r="E2589" t="str">
            <v>CSA118</v>
          </cell>
          <cell r="F2589" t="str">
            <v>Diaz Rodríguez ALDO MAURICIO</v>
          </cell>
          <cell r="G2589" t="str">
            <v>DIAZ RODRIGUEZ ALDO MAURICIO</v>
          </cell>
          <cell r="H2589" t="str">
            <v>72305674</v>
          </cell>
          <cell r="I2589" t="str">
            <v>BCP</v>
          </cell>
          <cell r="J2589" t="str">
            <v>19105009412011</v>
          </cell>
          <cell r="K2589" t="str">
            <v>DNI</v>
          </cell>
          <cell r="L2589">
            <v>10723056743</v>
          </cell>
          <cell r="M2589" t="str">
            <v>URBANO PARTNER</v>
          </cell>
          <cell r="N2589">
            <v>45783.083333333336</v>
          </cell>
          <cell r="O2589">
            <v>0</v>
          </cell>
          <cell r="P2589" t="str">
            <v>COMFORT</v>
          </cell>
        </row>
        <row r="2590">
          <cell r="A2590">
            <v>2887</v>
          </cell>
          <cell r="B2590">
            <v>2887</v>
          </cell>
          <cell r="C2590" t="str">
            <v>CERO MATRICULA</v>
          </cell>
          <cell r="D2590" t="str">
            <v>ACTIVO</v>
          </cell>
          <cell r="E2590" t="str">
            <v>CFN470</v>
          </cell>
          <cell r="F2590" t="str">
            <v>Quispe Rosas JOAQUIN</v>
          </cell>
          <cell r="G2590" t="str">
            <v>QUISPE ROSAS JOAQUIN</v>
          </cell>
          <cell r="H2590" t="str">
            <v>10755513</v>
          </cell>
          <cell r="I2590" t="str">
            <v>BCP</v>
          </cell>
          <cell r="J2590" t="str">
            <v>19431349725087</v>
          </cell>
          <cell r="K2590" t="str">
            <v>DNI</v>
          </cell>
          <cell r="L2590">
            <v>10107555132</v>
          </cell>
          <cell r="M2590" t="str">
            <v>URBANO PARTNER</v>
          </cell>
          <cell r="N2590">
            <v>45783.083333333336</v>
          </cell>
          <cell r="O2590">
            <v>0</v>
          </cell>
          <cell r="P2590" t="str">
            <v>COMFORT</v>
          </cell>
        </row>
        <row r="2591">
          <cell r="A2591">
            <v>2889</v>
          </cell>
          <cell r="B2591">
            <v>2889</v>
          </cell>
          <cell r="C2591" t="str">
            <v>CERO MATRICULA</v>
          </cell>
          <cell r="D2591" t="str">
            <v>ACTIVO</v>
          </cell>
          <cell r="E2591" t="str">
            <v>BXZ108</v>
          </cell>
          <cell r="F2591" t="str">
            <v>Castillo Herrera Kevin</v>
          </cell>
          <cell r="G2591" t="str">
            <v>CASTILLO HERRERA KEVIN</v>
          </cell>
          <cell r="H2591" t="str">
            <v>80291804</v>
          </cell>
          <cell r="I2591" t="str">
            <v>BCP</v>
          </cell>
          <cell r="J2591" t="str">
            <v>19437499447027</v>
          </cell>
          <cell r="K2591" t="str">
            <v>DNI</v>
          </cell>
          <cell r="L2591">
            <v>10802918041</v>
          </cell>
          <cell r="M2591" t="str">
            <v>AEROLINEAS</v>
          </cell>
          <cell r="N2591">
            <v>45785.125</v>
          </cell>
          <cell r="O2591">
            <v>0</v>
          </cell>
          <cell r="P2591" t="str">
            <v>LITE</v>
          </cell>
        </row>
        <row r="2592">
          <cell r="A2592">
            <v>2900</v>
          </cell>
          <cell r="B2592">
            <v>2900</v>
          </cell>
          <cell r="C2592" t="str">
            <v>CERO MATRICULA</v>
          </cell>
          <cell r="D2592" t="str">
            <v>ACTIVO</v>
          </cell>
          <cell r="E2592" t="str">
            <v>Z6I425</v>
          </cell>
          <cell r="F2592" t="str">
            <v>Abad Salinas Rully Michel</v>
          </cell>
          <cell r="G2592" t="str">
            <v>ABAD SALINAS RULLY MICHEL</v>
          </cell>
          <cell r="H2592">
            <v>25835919</v>
          </cell>
          <cell r="I2592" t="str">
            <v>BBVA</v>
          </cell>
          <cell r="J2592" t="str">
            <v>1108140258463380</v>
          </cell>
          <cell r="K2592" t="str">
            <v>DNI</v>
          </cell>
          <cell r="L2592">
            <v>10258359190</v>
          </cell>
          <cell r="M2592" t="str">
            <v>AEROLINEAS</v>
          </cell>
          <cell r="N2592">
            <v>45785.125</v>
          </cell>
          <cell r="O2592">
            <v>0</v>
          </cell>
          <cell r="P2592" t="str">
            <v>LITE</v>
          </cell>
        </row>
        <row r="2593">
          <cell r="A2593">
            <v>2947</v>
          </cell>
          <cell r="B2593">
            <v>2947</v>
          </cell>
          <cell r="C2593" t="str">
            <v>CERO MATRICULA</v>
          </cell>
          <cell r="D2593" t="str">
            <v>ACTIVO</v>
          </cell>
          <cell r="E2593">
            <v>0</v>
          </cell>
          <cell r="F2593" t="str">
            <v>FLOTA PROPIA</v>
          </cell>
          <cell r="G2593" t="str">
            <v>FLOTA PROPIA</v>
          </cell>
          <cell r="H2593" t="str">
            <v>FLOTA PROPIA</v>
          </cell>
          <cell r="I2593" t="str">
            <v>FLOTA PROPIA</v>
          </cell>
          <cell r="J2593" t="str">
            <v>FLOTA PROPIA</v>
          </cell>
          <cell r="K2593" t="str">
            <v>FLOTA PROPIA</v>
          </cell>
          <cell r="L2593" t="str">
            <v>FLOTA PROPIA</v>
          </cell>
          <cell r="M2593" t="str">
            <v>FLOTA PROPIA</v>
          </cell>
          <cell r="N2593">
            <v>45803</v>
          </cell>
          <cell r="O2593">
            <v>0</v>
          </cell>
          <cell r="P2593" t="str">
            <v>VAN</v>
          </cell>
        </row>
        <row r="2594">
          <cell r="A2594">
            <v>2948</v>
          </cell>
          <cell r="B2594">
            <v>2948</v>
          </cell>
          <cell r="C2594" t="str">
            <v>CERO MATRICULA</v>
          </cell>
          <cell r="D2594" t="str">
            <v>ACTIVO</v>
          </cell>
          <cell r="E2594">
            <v>0</v>
          </cell>
          <cell r="F2594" t="str">
            <v>FLOTA PROPIA</v>
          </cell>
          <cell r="G2594" t="str">
            <v>FLOTA PROPIA</v>
          </cell>
          <cell r="H2594" t="str">
            <v>FLOTA PROPIA</v>
          </cell>
          <cell r="I2594" t="str">
            <v>FLOTA PROPIA</v>
          </cell>
          <cell r="J2594" t="str">
            <v>FLOTA PROPIA</v>
          </cell>
          <cell r="K2594" t="str">
            <v>FLOTA PROPIA</v>
          </cell>
          <cell r="L2594" t="str">
            <v>FLOTA PROPIA</v>
          </cell>
          <cell r="M2594" t="str">
            <v>FLOTA PROPIA</v>
          </cell>
          <cell r="N2594">
            <v>45803</v>
          </cell>
          <cell r="O2594">
            <v>0</v>
          </cell>
          <cell r="P2594" t="str">
            <v>VAN</v>
          </cell>
        </row>
        <row r="2595">
          <cell r="A2595">
            <v>2950</v>
          </cell>
          <cell r="B2595">
            <v>2950</v>
          </cell>
          <cell r="C2595" t="str">
            <v>CERO MATRICULA</v>
          </cell>
          <cell r="D2595" t="str">
            <v>ACTIVO</v>
          </cell>
          <cell r="E2595">
            <v>0</v>
          </cell>
          <cell r="F2595" t="str">
            <v>FLOTA PROPIA</v>
          </cell>
          <cell r="G2595" t="str">
            <v>FLOTA PROPIA</v>
          </cell>
          <cell r="H2595" t="str">
            <v>FLOTA PROPIA</v>
          </cell>
          <cell r="I2595" t="str">
            <v>FLOTA PROPIA</v>
          </cell>
          <cell r="J2595" t="str">
            <v>FLOTA PROPIA</v>
          </cell>
          <cell r="K2595" t="str">
            <v>FLOTA PROPIA</v>
          </cell>
          <cell r="L2595" t="str">
            <v>FLOTA PROPIA</v>
          </cell>
          <cell r="M2595" t="str">
            <v>FLOTA PROPIA</v>
          </cell>
          <cell r="N2595">
            <v>45803</v>
          </cell>
          <cell r="O2595">
            <v>0</v>
          </cell>
          <cell r="P2595" t="str">
            <v>VAN</v>
          </cell>
        </row>
        <row r="2596">
          <cell r="A2596">
            <v>2951</v>
          </cell>
          <cell r="B2596">
            <v>2951</v>
          </cell>
          <cell r="C2596" t="str">
            <v>CERO MATRICULA</v>
          </cell>
          <cell r="D2596" t="str">
            <v>ACTIVO</v>
          </cell>
          <cell r="E2596">
            <v>0</v>
          </cell>
          <cell r="F2596" t="str">
            <v>FLOTA PROPIA</v>
          </cell>
          <cell r="G2596" t="str">
            <v>FLOTA PROPIA</v>
          </cell>
          <cell r="H2596" t="str">
            <v>FLOTA PROPIA</v>
          </cell>
          <cell r="I2596" t="str">
            <v>FLOTA PROPIA</v>
          </cell>
          <cell r="J2596" t="str">
            <v>FLOTA PROPIA</v>
          </cell>
          <cell r="K2596" t="str">
            <v>FLOTA PROPIA</v>
          </cell>
          <cell r="L2596" t="str">
            <v>FLOTA PROPIA</v>
          </cell>
          <cell r="M2596" t="str">
            <v>FLOTA PROPIA</v>
          </cell>
          <cell r="N2596">
            <v>45805</v>
          </cell>
          <cell r="O2596">
            <v>0</v>
          </cell>
          <cell r="P2596" t="str">
            <v>VAN</v>
          </cell>
        </row>
        <row r="2597">
          <cell r="A2597">
            <v>2952</v>
          </cell>
          <cell r="B2597">
            <v>2952</v>
          </cell>
          <cell r="C2597" t="str">
            <v>CERO MATRICULA</v>
          </cell>
          <cell r="D2597" t="str">
            <v>ACTIVO</v>
          </cell>
          <cell r="E2597">
            <v>0</v>
          </cell>
          <cell r="F2597" t="str">
            <v>FLOTA PROPIA</v>
          </cell>
          <cell r="G2597" t="str">
            <v>FLOTA PROPIA</v>
          </cell>
          <cell r="H2597" t="str">
            <v>FLOTA PROPIA</v>
          </cell>
          <cell r="I2597" t="str">
            <v>FLOTA PROPIA</v>
          </cell>
          <cell r="J2597" t="str">
            <v>FLOTA PROPIA</v>
          </cell>
          <cell r="K2597" t="str">
            <v>FLOTA PROPIA</v>
          </cell>
          <cell r="L2597" t="str">
            <v>FLOTA PROPIA</v>
          </cell>
          <cell r="M2597" t="str">
            <v>FLOTA PROPIA</v>
          </cell>
          <cell r="N2597">
            <v>45806</v>
          </cell>
          <cell r="O2597">
            <v>0</v>
          </cell>
          <cell r="P2597" t="str">
            <v>VAN</v>
          </cell>
        </row>
        <row r="2598">
          <cell r="A2598">
            <v>2955</v>
          </cell>
          <cell r="B2598">
            <v>2955</v>
          </cell>
          <cell r="C2598" t="str">
            <v>CERO MATRICULA</v>
          </cell>
          <cell r="D2598" t="str">
            <v>ACTIVO</v>
          </cell>
          <cell r="E2598">
            <v>0</v>
          </cell>
          <cell r="F2598" t="str">
            <v>FLOTA PROPIA</v>
          </cell>
          <cell r="G2598" t="str">
            <v>FLOTA PROPIA</v>
          </cell>
          <cell r="H2598" t="str">
            <v>FLOTA PROPIA</v>
          </cell>
          <cell r="I2598" t="str">
            <v>FLOTA PROPIA</v>
          </cell>
          <cell r="J2598" t="str">
            <v>FLOTA PROPIA</v>
          </cell>
          <cell r="K2598" t="str">
            <v>FLOTA PROPIA</v>
          </cell>
          <cell r="L2598" t="str">
            <v>FLOTA PROPIA</v>
          </cell>
          <cell r="M2598" t="str">
            <v>FLOTA PROPIA</v>
          </cell>
          <cell r="N2598">
            <v>45807</v>
          </cell>
          <cell r="O2598">
            <v>0</v>
          </cell>
          <cell r="P2598" t="str">
            <v>VAN</v>
          </cell>
        </row>
        <row r="2599">
          <cell r="A2599">
            <v>1820</v>
          </cell>
          <cell r="B2599">
            <v>1820</v>
          </cell>
          <cell r="C2599" t="str">
            <v>CERO MATRICULA</v>
          </cell>
          <cell r="D2599" t="str">
            <v>ACTIVO</v>
          </cell>
          <cell r="E2599" t="str">
            <v>BNI294</v>
          </cell>
          <cell r="F2599" t="str">
            <v>Laberian PONTE APARICIO CRISPIN</v>
          </cell>
          <cell r="G2599" t="str">
            <v>ZAPATA ZAPATA RUTH ESTHER</v>
          </cell>
          <cell r="H2599" t="str">
            <v>46311698</v>
          </cell>
          <cell r="I2599" t="str">
            <v>BCP</v>
          </cell>
          <cell r="J2599" t="str">
            <v>47570974003069</v>
          </cell>
          <cell r="K2599" t="str">
            <v>DNI</v>
          </cell>
          <cell r="L2599">
            <v>10463116984</v>
          </cell>
          <cell r="M2599" t="str">
            <v>URBANO PARTNER</v>
          </cell>
          <cell r="N2599">
            <v>45790.083333333336</v>
          </cell>
          <cell r="O2599">
            <v>0</v>
          </cell>
          <cell r="P2599" t="str">
            <v>LITE</v>
          </cell>
        </row>
        <row r="2600">
          <cell r="A2600">
            <v>2355</v>
          </cell>
          <cell r="B2600">
            <v>2355</v>
          </cell>
          <cell r="C2600" t="str">
            <v>CERO MATRICULA</v>
          </cell>
          <cell r="D2600" t="str">
            <v>ACTIVO</v>
          </cell>
          <cell r="E2600" t="str">
            <v>CPD008</v>
          </cell>
          <cell r="F2600" t="str">
            <v>Carbajal Valdivia Alfonso Augusto</v>
          </cell>
          <cell r="G2600" t="str">
            <v>CARBAJAL VALDIVIA ALFONSO AUGUSTO</v>
          </cell>
          <cell r="H2600">
            <v>9276169</v>
          </cell>
          <cell r="I2600" t="str">
            <v>BCP</v>
          </cell>
          <cell r="J2600" t="str">
            <v>19335674907058</v>
          </cell>
          <cell r="K2600" t="str">
            <v>DNI</v>
          </cell>
          <cell r="L2600">
            <v>10092751695</v>
          </cell>
          <cell r="M2600" t="str">
            <v>URBANO PARTNER</v>
          </cell>
          <cell r="N2600">
            <v>45790.083333333336</v>
          </cell>
          <cell r="O2600">
            <v>0</v>
          </cell>
          <cell r="P2600" t="str">
            <v>COMFORT XL</v>
          </cell>
        </row>
        <row r="2601">
          <cell r="A2601">
            <v>2891</v>
          </cell>
          <cell r="B2601">
            <v>2891</v>
          </cell>
          <cell r="C2601" t="str">
            <v>CERO MATRICULA</v>
          </cell>
          <cell r="D2601" t="str">
            <v>ACTIVO</v>
          </cell>
          <cell r="E2601" t="str">
            <v>CLM537</v>
          </cell>
          <cell r="F2601" t="str">
            <v>Abanto Rodríguez Aldo Enrique</v>
          </cell>
          <cell r="G2601" t="str">
            <v>ABANTO RODRIGUEZ ALDO ENRIQUE</v>
          </cell>
          <cell r="H2601" t="str">
            <v>40145290</v>
          </cell>
          <cell r="I2601" t="str">
            <v>BCP</v>
          </cell>
          <cell r="J2601" t="str">
            <v>19493260762088</v>
          </cell>
          <cell r="K2601" t="str">
            <v>DNI</v>
          </cell>
          <cell r="L2601">
            <v>10401452902</v>
          </cell>
          <cell r="M2601" t="str">
            <v>AEROPUERTO</v>
          </cell>
          <cell r="N2601">
            <v>45792.416666666664</v>
          </cell>
          <cell r="O2601">
            <v>240</v>
          </cell>
          <cell r="P2601" t="str">
            <v>XL</v>
          </cell>
        </row>
        <row r="2602">
          <cell r="A2602">
            <v>2894</v>
          </cell>
          <cell r="B2602">
            <v>2894</v>
          </cell>
          <cell r="C2602" t="str">
            <v>CERO MATRICULA</v>
          </cell>
          <cell r="D2602" t="str">
            <v>ACTIVO</v>
          </cell>
          <cell r="E2602" t="str">
            <v>CSK396</v>
          </cell>
          <cell r="F2602" t="str">
            <v>Luna Vargas Edward</v>
          </cell>
          <cell r="G2602" t="str">
            <v>LUNA VARGAS EDWARD JONATHAN</v>
          </cell>
          <cell r="H2602" t="str">
            <v>40563761</v>
          </cell>
          <cell r="I2602" t="str">
            <v>BCP</v>
          </cell>
          <cell r="J2602" t="str">
            <v>19278924707024</v>
          </cell>
          <cell r="K2602" t="str">
            <v>DNI</v>
          </cell>
          <cell r="L2602">
            <v>10405637613</v>
          </cell>
          <cell r="M2602" t="str">
            <v>AEROLINEAS</v>
          </cell>
          <cell r="N2602">
            <v>45792.125</v>
          </cell>
          <cell r="O2602">
            <v>0</v>
          </cell>
          <cell r="P2602" t="str">
            <v>COMFORT XL</v>
          </cell>
        </row>
        <row r="2603">
          <cell r="A2603">
            <v>2911</v>
          </cell>
          <cell r="B2603">
            <v>2911</v>
          </cell>
          <cell r="C2603" t="str">
            <v>CERO MATRICULA</v>
          </cell>
          <cell r="D2603" t="str">
            <v>ACTIVO</v>
          </cell>
          <cell r="E2603" t="str">
            <v>CRW068</v>
          </cell>
          <cell r="F2603" t="str">
            <v xml:space="preserve">Vásquez Torres Angela Nathaly </v>
          </cell>
          <cell r="G2603" t="str">
            <v>VASQUEZ TORRES ANGELA NATHALY</v>
          </cell>
          <cell r="H2603">
            <v>42800524</v>
          </cell>
          <cell r="I2603" t="str">
            <v>BCP</v>
          </cell>
          <cell r="J2603" t="str">
            <v>19407503443034</v>
          </cell>
          <cell r="K2603" t="str">
            <v>DNI</v>
          </cell>
          <cell r="L2603">
            <v>10428005240</v>
          </cell>
          <cell r="M2603" t="str">
            <v>URBANO PARTNER</v>
          </cell>
          <cell r="N2603">
            <v>45790.083333333336</v>
          </cell>
          <cell r="O2603">
            <v>0</v>
          </cell>
          <cell r="P2603" t="str">
            <v>COMFORT XL</v>
          </cell>
        </row>
        <row r="2604">
          <cell r="A2604">
            <v>2912</v>
          </cell>
          <cell r="B2604">
            <v>2912</v>
          </cell>
          <cell r="C2604" t="str">
            <v>CERO MATRICULA</v>
          </cell>
          <cell r="D2604" t="str">
            <v>ACTIVO</v>
          </cell>
          <cell r="E2604" t="str">
            <v>CRZ364</v>
          </cell>
          <cell r="F2604" t="str">
            <v>Gil Orbegozo Harvyck Wilson</v>
          </cell>
          <cell r="G2604" t="str">
            <v>GIL ORBEGOZO HARVYCK WILSON</v>
          </cell>
          <cell r="H2604">
            <v>42368051</v>
          </cell>
          <cell r="I2604" t="str">
            <v>BCP</v>
          </cell>
          <cell r="J2604" t="str">
            <v>19176010839024</v>
          </cell>
          <cell r="K2604" t="str">
            <v>DNI</v>
          </cell>
          <cell r="L2604">
            <v>10423680518</v>
          </cell>
          <cell r="M2604" t="str">
            <v>AEROLINEAS</v>
          </cell>
          <cell r="N2604">
            <v>45790.083333333336</v>
          </cell>
          <cell r="O2604">
            <v>0</v>
          </cell>
          <cell r="P2604" t="str">
            <v>XL</v>
          </cell>
        </row>
        <row r="2605">
          <cell r="A2605">
            <v>2913</v>
          </cell>
          <cell r="B2605">
            <v>2913</v>
          </cell>
          <cell r="C2605" t="str">
            <v>CERO MATRICULA</v>
          </cell>
          <cell r="D2605" t="str">
            <v>ACTIVO</v>
          </cell>
          <cell r="E2605" t="str">
            <v>CKQ533</v>
          </cell>
          <cell r="F2605" t="str">
            <v>Cardenas Lopez Alexis</v>
          </cell>
          <cell r="G2605" t="str">
            <v>CARDENAS LOPEZ ALEXIS TEOFILO</v>
          </cell>
          <cell r="H2605">
            <v>44385063</v>
          </cell>
          <cell r="I2605" t="str">
            <v>BCP</v>
          </cell>
          <cell r="J2605" t="str">
            <v>19477817676010</v>
          </cell>
          <cell r="K2605" t="str">
            <v>DNI</v>
          </cell>
          <cell r="L2605">
            <v>10443850631</v>
          </cell>
          <cell r="M2605" t="str">
            <v>URBANO PARTNER</v>
          </cell>
          <cell r="N2605">
            <v>45790.083333333336</v>
          </cell>
          <cell r="O2605">
            <v>0</v>
          </cell>
          <cell r="P2605" t="str">
            <v>COMFORT</v>
          </cell>
        </row>
        <row r="2606">
          <cell r="A2606">
            <v>2914</v>
          </cell>
          <cell r="B2606">
            <v>2914</v>
          </cell>
          <cell r="C2606" t="str">
            <v>CERO MATRICULA</v>
          </cell>
          <cell r="D2606" t="str">
            <v>ACTIVO</v>
          </cell>
          <cell r="E2606" t="str">
            <v>CJH316</v>
          </cell>
          <cell r="F2606" t="str">
            <v>Moreno Torres Daniel Eduaro</v>
          </cell>
          <cell r="G2606" t="str">
            <v>MORENO TORRES DANIEL EDUARDO</v>
          </cell>
          <cell r="H2606" t="str">
            <v>002216818</v>
          </cell>
          <cell r="I2606" t="str">
            <v>BCP</v>
          </cell>
          <cell r="J2606" t="str">
            <v>19194245691065</v>
          </cell>
          <cell r="K2606" t="str">
            <v>CE</v>
          </cell>
          <cell r="L2606">
            <v>15607305436</v>
          </cell>
          <cell r="M2606" t="str">
            <v>URBANO PARTNER</v>
          </cell>
          <cell r="N2606">
            <v>45790.083333333336</v>
          </cell>
          <cell r="O2606">
            <v>0</v>
          </cell>
          <cell r="P2606" t="str">
            <v>LITE</v>
          </cell>
        </row>
        <row r="2607">
          <cell r="A2607">
            <v>2925</v>
          </cell>
          <cell r="B2607">
            <v>2925</v>
          </cell>
          <cell r="C2607" t="str">
            <v>CERO MATRICULA</v>
          </cell>
          <cell r="D2607" t="str">
            <v>ACTIVO</v>
          </cell>
          <cell r="E2607" t="str">
            <v>CFQ633</v>
          </cell>
          <cell r="F2607" t="str">
            <v>Hernández Rodríguez Luis Alberto</v>
          </cell>
          <cell r="G2607" t="str">
            <v>HERNANDEZ RODRIGUEZ LUIS ALBERTO</v>
          </cell>
          <cell r="H2607" t="str">
            <v>002404428</v>
          </cell>
          <cell r="I2607" t="str">
            <v>INTERBANK</v>
          </cell>
          <cell r="J2607" t="str">
            <v>5653147873691</v>
          </cell>
          <cell r="K2607" t="str">
            <v>CE</v>
          </cell>
          <cell r="L2607">
            <v>15606497277</v>
          </cell>
          <cell r="M2607" t="str">
            <v>URBANO PARTNER</v>
          </cell>
          <cell r="N2607">
            <v>45790.083333333336</v>
          </cell>
          <cell r="O2607">
            <v>0</v>
          </cell>
          <cell r="P2607" t="str">
            <v>COMFORT XL</v>
          </cell>
        </row>
        <row r="2608">
          <cell r="A2608">
            <v>2926</v>
          </cell>
          <cell r="B2608">
            <v>2926</v>
          </cell>
          <cell r="C2608" t="str">
            <v>CERO MATRICULA</v>
          </cell>
          <cell r="D2608" t="str">
            <v>ACTIVO</v>
          </cell>
          <cell r="E2608" t="str">
            <v>ATX064</v>
          </cell>
          <cell r="F2608" t="str">
            <v>Hoyos Sandoval Alejandro Enrique</v>
          </cell>
          <cell r="G2608" t="str">
            <v>HOYOS SANDOVAL ALEJANDRO ENRIQUE</v>
          </cell>
          <cell r="H2608">
            <v>72607540</v>
          </cell>
          <cell r="I2608" t="str">
            <v>BBVA</v>
          </cell>
          <cell r="J2608" t="str">
            <v>001108140233193157</v>
          </cell>
          <cell r="K2608" t="str">
            <v>DNI</v>
          </cell>
          <cell r="L2608">
            <v>10726075404</v>
          </cell>
          <cell r="M2608" t="str">
            <v>URBANO PARTNER</v>
          </cell>
          <cell r="N2608">
            <v>45790.083333333336</v>
          </cell>
          <cell r="O2608">
            <v>0</v>
          </cell>
          <cell r="P2608" t="str">
            <v>COMFORT</v>
          </cell>
        </row>
        <row r="2609">
          <cell r="A2609">
            <v>2954</v>
          </cell>
          <cell r="B2609">
            <v>2954</v>
          </cell>
          <cell r="C2609" t="str">
            <v>CERO MATRICULA</v>
          </cell>
          <cell r="D2609" t="str">
            <v>ACTIVO</v>
          </cell>
          <cell r="E2609">
            <v>0</v>
          </cell>
          <cell r="F2609" t="str">
            <v>FLOTA PROPIA</v>
          </cell>
          <cell r="G2609" t="str">
            <v>FLOTA PROPIA</v>
          </cell>
          <cell r="H2609" t="str">
            <v>FLOTA PROPIA</v>
          </cell>
          <cell r="I2609" t="str">
            <v>FLOTA PROPIA</v>
          </cell>
          <cell r="J2609" t="str">
            <v>FLOTA PROPIA</v>
          </cell>
          <cell r="K2609" t="str">
            <v>FLOTA PROPIA</v>
          </cell>
          <cell r="L2609" t="str">
            <v>FLOTA PROPIA</v>
          </cell>
          <cell r="M2609" t="str">
            <v>FLOTA PROPIA</v>
          </cell>
          <cell r="N2609">
            <v>45807</v>
          </cell>
          <cell r="O2609">
            <v>0</v>
          </cell>
          <cell r="P2609" t="str">
            <v>COMFORT XL</v>
          </cell>
        </row>
        <row r="2610">
          <cell r="A2610">
            <v>2956</v>
          </cell>
          <cell r="B2610">
            <v>2956</v>
          </cell>
          <cell r="C2610" t="str">
            <v>CERO MATRICULA</v>
          </cell>
          <cell r="D2610" t="str">
            <v>ACTIVO</v>
          </cell>
          <cell r="E2610">
            <v>0</v>
          </cell>
          <cell r="F2610" t="str">
            <v>FLOTA PROPIA</v>
          </cell>
          <cell r="G2610" t="str">
            <v>FLOTA PROPIA</v>
          </cell>
          <cell r="H2610" t="str">
            <v>FLOTA PROPIA</v>
          </cell>
          <cell r="I2610" t="str">
            <v>FLOTA PROPIA</v>
          </cell>
          <cell r="J2610" t="str">
            <v>FLOTA PROPIA</v>
          </cell>
          <cell r="K2610" t="str">
            <v>FLOTA PROPIA</v>
          </cell>
          <cell r="L2610" t="str">
            <v>FLOTA PROPIA</v>
          </cell>
          <cell r="M2610" t="str">
            <v>FLOTA PROPIA</v>
          </cell>
          <cell r="N2610">
            <v>45807</v>
          </cell>
          <cell r="O2610">
            <v>0</v>
          </cell>
          <cell r="P2610" t="str">
            <v>VAN</v>
          </cell>
        </row>
        <row r="2611">
          <cell r="A2611">
            <v>2861</v>
          </cell>
          <cell r="B2611">
            <v>2861</v>
          </cell>
          <cell r="C2611" t="str">
            <v>CERO MATRICULA</v>
          </cell>
          <cell r="D2611" t="str">
            <v>ACTIVO</v>
          </cell>
          <cell r="E2611" t="str">
            <v>CEZ666</v>
          </cell>
          <cell r="F2611" t="str">
            <v>Cedeño García Carlos Manuel</v>
          </cell>
          <cell r="G2611" t="str">
            <v>CEDEÑO GARCIA CARLOS MANUEL</v>
          </cell>
          <cell r="H2611" t="str">
            <v>006847333</v>
          </cell>
          <cell r="I2611" t="str">
            <v>INTERBANK</v>
          </cell>
          <cell r="J2611" t="str">
            <v>155 3407121640</v>
          </cell>
          <cell r="K2611" t="str">
            <v>CE</v>
          </cell>
          <cell r="L2611">
            <v>15614172557</v>
          </cell>
          <cell r="M2611" t="str">
            <v>AEROPUERTO</v>
          </cell>
          <cell r="N2611">
            <v>45798.416666666664</v>
          </cell>
          <cell r="O2611">
            <v>265</v>
          </cell>
          <cell r="P2611" t="str">
            <v>LITE</v>
          </cell>
        </row>
        <row r="2612">
          <cell r="A2612">
            <v>2862</v>
          </cell>
          <cell r="B2612">
            <v>2862</v>
          </cell>
          <cell r="C2612" t="str">
            <v>CERO MATRICULA</v>
          </cell>
          <cell r="D2612" t="str">
            <v>ACTIVO</v>
          </cell>
          <cell r="E2612" t="str">
            <v>Cjc160</v>
          </cell>
          <cell r="F2612" t="str">
            <v xml:space="preserve"> Ramos Jesús Darío</v>
          </cell>
          <cell r="G2612" t="str">
            <v>Jesús Ramos Darío</v>
          </cell>
          <cell r="H2612" t="str">
            <v>004743905</v>
          </cell>
          <cell r="I2612" t="str">
            <v>INTERBANK</v>
          </cell>
          <cell r="J2612" t="str">
            <v xml:space="preserve"> 0113258313316</v>
          </cell>
          <cell r="K2612" t="str">
            <v>CE</v>
          </cell>
          <cell r="L2612">
            <v>15614106988</v>
          </cell>
          <cell r="M2612" t="str">
            <v>AEROPUERTO</v>
          </cell>
          <cell r="N2612">
            <v>45798.416666666664</v>
          </cell>
          <cell r="O2612">
            <v>265</v>
          </cell>
          <cell r="P2612" t="str">
            <v>LITE</v>
          </cell>
        </row>
        <row r="2613">
          <cell r="A2613">
            <v>2863</v>
          </cell>
          <cell r="B2613">
            <v>2863</v>
          </cell>
          <cell r="C2613" t="str">
            <v>CERO MATRICULA</v>
          </cell>
          <cell r="D2613" t="str">
            <v>ACTIVO</v>
          </cell>
          <cell r="E2613" t="str">
            <v>CpO535</v>
          </cell>
          <cell r="F2613" t="str">
            <v>Herrera Carrizalez Ronny Dionicio</v>
          </cell>
          <cell r="G2613" t="str">
            <v>HEREDIA VILLASMIL JULIANA ESPERANZA</v>
          </cell>
          <cell r="H2613" t="str">
            <v>003910721</v>
          </cell>
          <cell r="I2613" t="str">
            <v>BCP</v>
          </cell>
          <cell r="J2613" t="str">
            <v>19494859245016</v>
          </cell>
          <cell r="K2613" t="str">
            <v>CE</v>
          </cell>
          <cell r="L2613">
            <v>15609695134</v>
          </cell>
          <cell r="M2613" t="str">
            <v>URBANO PARTNER</v>
          </cell>
          <cell r="N2613">
            <v>45798.416666666664</v>
          </cell>
          <cell r="O2613">
            <v>0</v>
          </cell>
          <cell r="P2613" t="str">
            <v>COMFORT XL</v>
          </cell>
        </row>
        <row r="2614">
          <cell r="A2614">
            <v>2864</v>
          </cell>
          <cell r="B2614">
            <v>2864</v>
          </cell>
          <cell r="C2614" t="str">
            <v>CERO MATRICULA</v>
          </cell>
          <cell r="D2614" t="str">
            <v>ACTIVO</v>
          </cell>
          <cell r="E2614" t="str">
            <v>CSA315</v>
          </cell>
          <cell r="F2614" t="str">
            <v>Alvarado Huaman Jorge Tony</v>
          </cell>
          <cell r="G2614" t="str">
            <v>ALVARADO HUAMAN JORGE TONY</v>
          </cell>
          <cell r="H2614" t="str">
            <v>42437334</v>
          </cell>
          <cell r="I2614" t="str">
            <v>BBVA</v>
          </cell>
          <cell r="J2614" t="str">
            <v>001108140222082663</v>
          </cell>
          <cell r="K2614" t="str">
            <v>DNI</v>
          </cell>
          <cell r="L2614">
            <v>10424373341</v>
          </cell>
          <cell r="M2614" t="str">
            <v>AEROPUERTO</v>
          </cell>
          <cell r="N2614">
            <v>45798.416666666664</v>
          </cell>
          <cell r="O2614">
            <v>235</v>
          </cell>
          <cell r="P2614" t="str">
            <v>COMFORT XL</v>
          </cell>
        </row>
        <row r="2615">
          <cell r="A2615">
            <v>2892</v>
          </cell>
          <cell r="B2615">
            <v>2892</v>
          </cell>
          <cell r="C2615" t="str">
            <v>CERO MATRICULA</v>
          </cell>
          <cell r="D2615" t="str">
            <v>ACTIVO</v>
          </cell>
          <cell r="E2615" t="str">
            <v>CPQ431</v>
          </cell>
          <cell r="F2615" t="str">
            <v>Cueva Vargas Jhonatan Elvis</v>
          </cell>
          <cell r="G2615" t="str">
            <v>CUEVA VARGAS JHONATAN ELVIS</v>
          </cell>
          <cell r="H2615" t="str">
            <v>70065820</v>
          </cell>
          <cell r="I2615" t="str">
            <v>BCP</v>
          </cell>
          <cell r="J2615" t="str">
            <v>19105419987032</v>
          </cell>
          <cell r="K2615" t="str">
            <v>DNI</v>
          </cell>
          <cell r="L2615">
            <v>10700658207</v>
          </cell>
          <cell r="M2615" t="str">
            <v>AEROPUERTO</v>
          </cell>
          <cell r="N2615">
            <v>45792.416666666664</v>
          </cell>
          <cell r="O2615">
            <v>235</v>
          </cell>
          <cell r="P2615" t="str">
            <v>COMFORT XL</v>
          </cell>
        </row>
        <row r="2616">
          <cell r="A2616">
            <v>2893</v>
          </cell>
          <cell r="B2616">
            <v>2893</v>
          </cell>
          <cell r="C2616" t="str">
            <v>CERO MATRICULA</v>
          </cell>
          <cell r="D2616" t="str">
            <v>ACTIVO</v>
          </cell>
          <cell r="E2616" t="str">
            <v>AZZ036</v>
          </cell>
          <cell r="F2616" t="str">
            <v>Ruíz Azula Ronald Rafael</v>
          </cell>
          <cell r="G2616" t="str">
            <v>RUIZ AZULA RONALD RAFAEL</v>
          </cell>
          <cell r="H2616" t="str">
            <v>42216656</v>
          </cell>
          <cell r="I2616" t="str">
            <v>INTERBANK</v>
          </cell>
          <cell r="J2616" t="str">
            <v>8983174809803</v>
          </cell>
          <cell r="K2616" t="str">
            <v>DNI</v>
          </cell>
          <cell r="L2616">
            <v>10422166560</v>
          </cell>
          <cell r="M2616" t="str">
            <v>AEROPUERTO</v>
          </cell>
          <cell r="N2616">
            <v>45792.416666666664</v>
          </cell>
          <cell r="O2616">
            <v>240</v>
          </cell>
          <cell r="P2616" t="str">
            <v>COMFORT</v>
          </cell>
        </row>
        <row r="2617">
          <cell r="A2617">
            <v>2896</v>
          </cell>
          <cell r="B2617">
            <v>2896</v>
          </cell>
          <cell r="C2617" t="str">
            <v>CERO MATRICULA</v>
          </cell>
          <cell r="D2617" t="str">
            <v>ACTIVO</v>
          </cell>
          <cell r="E2617" t="str">
            <v>BVT574</v>
          </cell>
          <cell r="F2617" t="str">
            <v>Pachas Rios José Angel</v>
          </cell>
          <cell r="G2617" t="str">
            <v>PACHAS RIOS JOSE ANGEL</v>
          </cell>
          <cell r="H2617" t="str">
            <v>43387679</v>
          </cell>
          <cell r="I2617" t="str">
            <v>INTERBANK</v>
          </cell>
          <cell r="J2617" t="str">
            <v>3783120827951</v>
          </cell>
          <cell r="K2617" t="str">
            <v>DNI</v>
          </cell>
          <cell r="L2617">
            <v>10433876798</v>
          </cell>
          <cell r="M2617" t="str">
            <v>URBANO PARTNER</v>
          </cell>
          <cell r="N2617">
            <v>45797.083333333336</v>
          </cell>
          <cell r="O2617">
            <v>0</v>
          </cell>
          <cell r="P2617" t="str">
            <v>LITE</v>
          </cell>
        </row>
        <row r="2618">
          <cell r="A2618">
            <v>2897</v>
          </cell>
          <cell r="B2618">
            <v>2897</v>
          </cell>
          <cell r="C2618" t="str">
            <v>CERO MATRICULA</v>
          </cell>
          <cell r="D2618" t="str">
            <v>ACTIVO</v>
          </cell>
          <cell r="E2618" t="str">
            <v>BNQ564</v>
          </cell>
          <cell r="F2618" t="str">
            <v>SURCO QUISPE FRANK BREINER</v>
          </cell>
          <cell r="G2618" t="str">
            <v>SURCO QUISPE FRANK BREINER</v>
          </cell>
          <cell r="H2618" t="str">
            <v>75690320</v>
          </cell>
          <cell r="I2618" t="str">
            <v>BCP</v>
          </cell>
          <cell r="J2618" t="str">
            <v>19497915079017</v>
          </cell>
          <cell r="K2618" t="str">
            <v>DNI</v>
          </cell>
          <cell r="L2618">
            <v>10756903204</v>
          </cell>
          <cell r="M2618" t="str">
            <v>URBANO PARTNER</v>
          </cell>
          <cell r="N2618">
            <v>45797.083333333336</v>
          </cell>
          <cell r="O2618">
            <v>0</v>
          </cell>
          <cell r="P2618" t="str">
            <v>COMFORT</v>
          </cell>
        </row>
        <row r="2619">
          <cell r="A2619">
            <v>2898</v>
          </cell>
          <cell r="B2619">
            <v>2898</v>
          </cell>
          <cell r="C2619" t="str">
            <v>CERO MATRICULA</v>
          </cell>
          <cell r="D2619" t="str">
            <v>ACTIVO</v>
          </cell>
          <cell r="E2619" t="str">
            <v>CSM513</v>
          </cell>
          <cell r="F2619" t="str">
            <v>Escobal Alberto Holger Fredi</v>
          </cell>
          <cell r="G2619" t="str">
            <v>ESCOBAL ALBERTO HOLGER FREDI</v>
          </cell>
          <cell r="H2619" t="str">
            <v>44181594</v>
          </cell>
          <cell r="I2619" t="str">
            <v>INTERBANK</v>
          </cell>
          <cell r="J2619" t="str">
            <v>2683141780062</v>
          </cell>
          <cell r="K2619" t="str">
            <v>DNI</v>
          </cell>
          <cell r="L2619">
            <v>10441815943</v>
          </cell>
          <cell r="M2619" t="str">
            <v>URBANO PARTNER</v>
          </cell>
          <cell r="N2619">
            <v>45797.083333333336</v>
          </cell>
          <cell r="O2619">
            <v>0</v>
          </cell>
          <cell r="P2619" t="str">
            <v>COMFORT XL</v>
          </cell>
        </row>
        <row r="2620">
          <cell r="A2620">
            <v>2899</v>
          </cell>
          <cell r="B2620">
            <v>2899</v>
          </cell>
          <cell r="C2620" t="str">
            <v>CERO MATRICULA</v>
          </cell>
          <cell r="D2620" t="str">
            <v>ACTIVO</v>
          </cell>
          <cell r="E2620" t="str">
            <v>CKV270</v>
          </cell>
          <cell r="F2620" t="str">
            <v>Mendoza Valenzuela Sebastián Alonso</v>
          </cell>
          <cell r="G2620" t="str">
            <v>MENDOZA VALENZUELA SEBASTIAN ALONSO</v>
          </cell>
          <cell r="H2620" t="str">
            <v>73874878</v>
          </cell>
          <cell r="I2620" t="str">
            <v xml:space="preserve">BBVA </v>
          </cell>
          <cell r="J2620" t="str">
            <v>001108140276939840</v>
          </cell>
          <cell r="K2620" t="str">
            <v>DNI</v>
          </cell>
          <cell r="L2620">
            <v>10738748781</v>
          </cell>
          <cell r="M2620" t="str">
            <v>URBANO PARTNER</v>
          </cell>
          <cell r="N2620">
            <v>45797.083333333336</v>
          </cell>
          <cell r="O2620">
            <v>0</v>
          </cell>
          <cell r="P2620" t="str">
            <v>COMFORT XL</v>
          </cell>
        </row>
        <row r="2621">
          <cell r="A2621">
            <v>2928</v>
          </cell>
          <cell r="B2621">
            <v>2928</v>
          </cell>
          <cell r="C2621" t="str">
            <v>CERO MATRICULA</v>
          </cell>
          <cell r="D2621" t="str">
            <v>ACTIVO</v>
          </cell>
          <cell r="E2621" t="str">
            <v>AXX069</v>
          </cell>
          <cell r="F2621" t="str">
            <v>PINEDA RIVEROS LUZ ISABEL</v>
          </cell>
          <cell r="G2621" t="str">
            <v>PINEDA RIVEROS LUZ ISABEL</v>
          </cell>
          <cell r="H2621" t="str">
            <v>40388407</v>
          </cell>
          <cell r="I2621" t="str">
            <v>BCP</v>
          </cell>
          <cell r="J2621" t="str">
            <v>1910502224060</v>
          </cell>
          <cell r="K2621" t="str">
            <v>DNI</v>
          </cell>
          <cell r="L2621">
            <v>10403884079</v>
          </cell>
          <cell r="M2621" t="str">
            <v>URBANO PARTNER</v>
          </cell>
          <cell r="N2621">
            <v>45797.083333333336</v>
          </cell>
          <cell r="O2621">
            <v>0</v>
          </cell>
          <cell r="P2621" t="str">
            <v>COMFORT</v>
          </cell>
        </row>
        <row r="2622">
          <cell r="A2622">
            <v>2929</v>
          </cell>
          <cell r="B2622">
            <v>2929</v>
          </cell>
          <cell r="C2622" t="str">
            <v>CERO MATRICULA</v>
          </cell>
          <cell r="D2622" t="str">
            <v>ACTIVO</v>
          </cell>
          <cell r="E2622" t="str">
            <v>CCA397</v>
          </cell>
          <cell r="F2622" t="str">
            <v>Carpio Silva Jhonny Alonso</v>
          </cell>
          <cell r="G2622" t="str">
            <v>CARPIO SILVA JHONNY ALONSO</v>
          </cell>
          <cell r="H2622" t="str">
            <v>41872888</v>
          </cell>
          <cell r="I2622" t="str">
            <v>INTERBANK</v>
          </cell>
          <cell r="J2622" t="str">
            <v>0233057429184</v>
          </cell>
          <cell r="K2622" t="str">
            <v>DNI</v>
          </cell>
          <cell r="L2622">
            <v>10418728880</v>
          </cell>
          <cell r="M2622" t="str">
            <v>URBANO PARTNER</v>
          </cell>
          <cell r="N2622">
            <v>45797.083333333336</v>
          </cell>
          <cell r="O2622">
            <v>0</v>
          </cell>
          <cell r="P2622" t="str">
            <v>COMFORT XL</v>
          </cell>
        </row>
        <row r="2623">
          <cell r="A2623">
            <v>2930</v>
          </cell>
          <cell r="B2623">
            <v>2930</v>
          </cell>
          <cell r="C2623" t="str">
            <v>CERO MATRICULA</v>
          </cell>
          <cell r="D2623" t="str">
            <v>ACTIVO</v>
          </cell>
          <cell r="E2623" t="str">
            <v>BLB075</v>
          </cell>
          <cell r="F2623" t="str">
            <v>Alvarado Sumoza Alisandro</v>
          </cell>
          <cell r="G2623" t="str">
            <v>ALVARADO SUMOZA ALISANDRO JOSE</v>
          </cell>
          <cell r="H2623" t="str">
            <v>006883925</v>
          </cell>
          <cell r="I2623" t="str">
            <v>BCP</v>
          </cell>
          <cell r="J2623" t="str">
            <v>19196089281077</v>
          </cell>
          <cell r="K2623" t="str">
            <v>CE</v>
          </cell>
          <cell r="L2623">
            <v>15609636286</v>
          </cell>
          <cell r="M2623" t="str">
            <v>AEROLINEAS</v>
          </cell>
          <cell r="N2623">
            <v>45799.125</v>
          </cell>
          <cell r="O2623">
            <v>0</v>
          </cell>
          <cell r="P2623" t="str">
            <v>COMFORT</v>
          </cell>
        </row>
        <row r="2624">
          <cell r="A2624">
            <v>2931</v>
          </cell>
          <cell r="B2624">
            <v>2931</v>
          </cell>
          <cell r="C2624" t="str">
            <v>CERO MATRICULA</v>
          </cell>
          <cell r="D2624" t="str">
            <v>ACTIVO</v>
          </cell>
          <cell r="E2624" t="str">
            <v>CRU527</v>
          </cell>
          <cell r="F2624" t="str">
            <v>Medrano Solis Raúl</v>
          </cell>
          <cell r="G2624" t="str">
            <v xml:space="preserve">Raul Fabián Medrano Meléndez </v>
          </cell>
          <cell r="H2624" t="str">
            <v>75344404</v>
          </cell>
          <cell r="I2624" t="str">
            <v>BCP</v>
          </cell>
          <cell r="J2624" t="str">
            <v>19491266341021</v>
          </cell>
          <cell r="K2624" t="str">
            <v>DNI</v>
          </cell>
          <cell r="L2624">
            <v>10753444047</v>
          </cell>
          <cell r="M2624" t="str">
            <v>AEROLINEAS</v>
          </cell>
          <cell r="N2624">
            <v>45799.125</v>
          </cell>
          <cell r="O2624">
            <v>0</v>
          </cell>
          <cell r="P2624" t="str">
            <v>LITE</v>
          </cell>
        </row>
        <row r="2625">
          <cell r="A2625">
            <v>3546</v>
          </cell>
          <cell r="B2625">
            <v>3546</v>
          </cell>
          <cell r="C2625" t="str">
            <v>CERO MATRICULA</v>
          </cell>
          <cell r="D2625" t="str">
            <v>ACTIVO</v>
          </cell>
          <cell r="E2625" t="str">
            <v>CNW322</v>
          </cell>
          <cell r="F2625" t="str">
            <v>Juan manuel pacherres caballero</v>
          </cell>
          <cell r="G2625" t="str">
            <v>Juan manuel pacherres caballero</v>
          </cell>
          <cell r="H2625" t="str">
            <v>75818456</v>
          </cell>
          <cell r="I2625" t="str">
            <v>INTERBANK</v>
          </cell>
          <cell r="J2625" t="str">
            <v>8983466849148</v>
          </cell>
          <cell r="K2625" t="str">
            <v>DNI</v>
          </cell>
          <cell r="L2625">
            <v>10758184566</v>
          </cell>
          <cell r="M2625" t="str">
            <v>AEROPUERTO</v>
          </cell>
          <cell r="N2625">
            <v>45817</v>
          </cell>
          <cell r="O2625">
            <v>265</v>
          </cell>
          <cell r="P2625" t="str">
            <v>LITE</v>
          </cell>
        </row>
        <row r="2626">
          <cell r="A2626">
            <v>3527</v>
          </cell>
          <cell r="B2626">
            <v>3527</v>
          </cell>
          <cell r="C2626" t="str">
            <v>CERO MATRICULA</v>
          </cell>
          <cell r="D2626" t="str">
            <v>ACTIVO</v>
          </cell>
          <cell r="E2626" t="str">
            <v>CPQ083</v>
          </cell>
          <cell r="F2626" t="str">
            <v>MONTOYA HERBIAS JIMMY FRANCIS</v>
          </cell>
          <cell r="G2626" t="str">
            <v>MONTOYA HERBIAS JIMMY FRANCIS</v>
          </cell>
          <cell r="H2626" t="str">
            <v>40289503</v>
          </cell>
          <cell r="I2626" t="str">
            <v>BCP</v>
          </cell>
          <cell r="J2626" t="str">
            <v>19104871427032</v>
          </cell>
          <cell r="K2626" t="str">
            <v>DNI</v>
          </cell>
          <cell r="L2626">
            <v>10402895034</v>
          </cell>
          <cell r="M2626" t="str">
            <v>URBANO PARTNER</v>
          </cell>
          <cell r="N2626">
            <v>45817</v>
          </cell>
          <cell r="O2626">
            <v>0</v>
          </cell>
          <cell r="P2626" t="str">
            <v>LITE</v>
          </cell>
        </row>
        <row r="2627">
          <cell r="A2627">
            <v>247</v>
          </cell>
          <cell r="B2627">
            <v>247</v>
          </cell>
          <cell r="C2627" t="str">
            <v>CERO MATRICULA</v>
          </cell>
          <cell r="D2627" t="str">
            <v>ACTIVO</v>
          </cell>
          <cell r="E2627" t="str">
            <v>CSG051</v>
          </cell>
          <cell r="F2627" t="str">
            <v>Zeña López Alejandro</v>
          </cell>
          <cell r="G2627" t="str">
            <v>ZEÑA LOPEZ ALEJANDRO</v>
          </cell>
          <cell r="H2627" t="str">
            <v>10430642</v>
          </cell>
          <cell r="I2627" t="str">
            <v>BBVA</v>
          </cell>
          <cell r="J2627" t="str">
            <v>001108140276100861</v>
          </cell>
          <cell r="K2627" t="str">
            <v>DNI</v>
          </cell>
          <cell r="L2627">
            <v>10104306425</v>
          </cell>
          <cell r="M2627" t="str">
            <v>AEROPUERTO</v>
          </cell>
          <cell r="N2627">
            <v>45805.416666666664</v>
          </cell>
          <cell r="O2627">
            <v>235</v>
          </cell>
          <cell r="P2627" t="str">
            <v>COMFORT XL</v>
          </cell>
        </row>
        <row r="2628">
          <cell r="A2628">
            <v>2098</v>
          </cell>
          <cell r="B2628">
            <v>2098</v>
          </cell>
          <cell r="C2628" t="str">
            <v>CERO MATRICULA</v>
          </cell>
          <cell r="D2628" t="str">
            <v>ACTIVO</v>
          </cell>
          <cell r="E2628" t="str">
            <v>CSE281</v>
          </cell>
          <cell r="F2628" t="str">
            <v>Romero Quintana Jesus junior</v>
          </cell>
          <cell r="G2628" t="str">
            <v>SALVADOR GUERRA JAZMINA DANY</v>
          </cell>
          <cell r="H2628" t="str">
            <v>76038027</v>
          </cell>
          <cell r="I2628" t="str">
            <v>BCP</v>
          </cell>
          <cell r="J2628" t="str">
            <v>19178447780079</v>
          </cell>
          <cell r="K2628" t="str">
            <v>DNI</v>
          </cell>
          <cell r="L2628">
            <v>10478990354</v>
          </cell>
          <cell r="M2628" t="str">
            <v>URBANO PARTNER</v>
          </cell>
          <cell r="N2628">
            <v>45805.083333333336</v>
          </cell>
          <cell r="O2628">
            <v>0</v>
          </cell>
          <cell r="P2628" t="str">
            <v>COMFORT XL</v>
          </cell>
        </row>
        <row r="2629">
          <cell r="A2629">
            <v>2221</v>
          </cell>
          <cell r="B2629">
            <v>2221</v>
          </cell>
          <cell r="C2629" t="str">
            <v>CERO MATRICULA</v>
          </cell>
          <cell r="D2629" t="str">
            <v>ACTIVO</v>
          </cell>
          <cell r="E2629" t="str">
            <v>P3X052</v>
          </cell>
          <cell r="F2629" t="str">
            <v>Aucca Surco Jose</v>
          </cell>
          <cell r="G2629" t="str">
            <v>AUCCA SURCO JOSE LUIS</v>
          </cell>
          <cell r="H2629" t="str">
            <v>70850923</v>
          </cell>
          <cell r="I2629" t="str">
            <v>INTERBANK</v>
          </cell>
          <cell r="J2629" t="str">
            <v>6303285980843</v>
          </cell>
          <cell r="K2629" t="str">
            <v>DNI</v>
          </cell>
          <cell r="L2629">
            <v>10708509235</v>
          </cell>
          <cell r="M2629" t="str">
            <v>URBANO PARTNER</v>
          </cell>
          <cell r="N2629">
            <v>45805.083333333336</v>
          </cell>
          <cell r="O2629">
            <v>0</v>
          </cell>
          <cell r="P2629" t="str">
            <v>COMFORT XL</v>
          </cell>
        </row>
        <row r="2630">
          <cell r="A2630">
            <v>2866</v>
          </cell>
          <cell r="B2630">
            <v>2866</v>
          </cell>
          <cell r="C2630" t="str">
            <v>CERO MATRICULA</v>
          </cell>
          <cell r="D2630" t="str">
            <v>ACTIVO</v>
          </cell>
          <cell r="E2630" t="str">
            <v>CFW094</v>
          </cell>
          <cell r="F2630" t="str">
            <v>Blanca Hernández Jesús Manuel</v>
          </cell>
          <cell r="G2630" t="str">
            <v>BLANCA HERNANDEZ JESUS MANUEL</v>
          </cell>
          <cell r="H2630" t="str">
            <v>008648056</v>
          </cell>
          <cell r="I2630" t="str">
            <v>BCP</v>
          </cell>
          <cell r="J2630" t="str">
            <v>19203394564051</v>
          </cell>
          <cell r="K2630" t="str">
            <v>CE</v>
          </cell>
          <cell r="L2630">
            <v>15614038133</v>
          </cell>
          <cell r="M2630" t="str">
            <v>AEROPUERTO</v>
          </cell>
          <cell r="N2630">
            <v>45798.416666666664</v>
          </cell>
          <cell r="O2630">
            <v>265</v>
          </cell>
          <cell r="P2630" t="str">
            <v>LITE</v>
          </cell>
        </row>
        <row r="2631">
          <cell r="A2631">
            <v>2867</v>
          </cell>
          <cell r="B2631">
            <v>2867</v>
          </cell>
          <cell r="C2631" t="str">
            <v>CERO MATRICULA</v>
          </cell>
          <cell r="D2631" t="str">
            <v>ACTIVO</v>
          </cell>
          <cell r="E2631" t="str">
            <v>AVZ516</v>
          </cell>
          <cell r="F2631" t="str">
            <v>Rosario Sequera Alvaro Jesús</v>
          </cell>
          <cell r="G2631" t="str">
            <v>ROSARIO SEQUERA ALVARO JESUS</v>
          </cell>
          <cell r="H2631" t="str">
            <v>004880995</v>
          </cell>
          <cell r="I2631" t="str">
            <v>BCP</v>
          </cell>
          <cell r="J2631" t="str">
            <v>19138497493054</v>
          </cell>
          <cell r="K2631" t="str">
            <v>CE</v>
          </cell>
          <cell r="L2631">
            <v>15603248004</v>
          </cell>
          <cell r="M2631" t="str">
            <v>AEROLINEAS</v>
          </cell>
          <cell r="N2631">
            <v>45798.416666666664</v>
          </cell>
          <cell r="O2631">
            <v>0</v>
          </cell>
          <cell r="P2631" t="str">
            <v>LITE</v>
          </cell>
        </row>
        <row r="2632">
          <cell r="A2632">
            <v>2868</v>
          </cell>
          <cell r="B2632">
            <v>2868</v>
          </cell>
          <cell r="C2632" t="str">
            <v>CERO MATRICULA</v>
          </cell>
          <cell r="D2632" t="str">
            <v>ACTIVO</v>
          </cell>
          <cell r="E2632" t="str">
            <v>CRF463</v>
          </cell>
          <cell r="F2632" t="str">
            <v>MAMANI PINCO JOSE ANTONIO</v>
          </cell>
          <cell r="G2632" t="str">
            <v>MAMANI PINCO JOSE ANTONIO</v>
          </cell>
          <cell r="H2632" t="str">
            <v>40843194</v>
          </cell>
          <cell r="I2632" t="str">
            <v>BCP</v>
          </cell>
          <cell r="J2632" t="str">
            <v>19104651345027</v>
          </cell>
          <cell r="K2632" t="str">
            <v>DNI</v>
          </cell>
          <cell r="L2632">
            <v>10408431943</v>
          </cell>
          <cell r="M2632" t="str">
            <v>URBANO PARTNER</v>
          </cell>
          <cell r="N2632">
            <v>45805.083333333336</v>
          </cell>
          <cell r="O2632">
            <v>0</v>
          </cell>
          <cell r="P2632" t="str">
            <v>COMFORT</v>
          </cell>
        </row>
        <row r="2633">
          <cell r="A2633">
            <v>3508</v>
          </cell>
          <cell r="B2633">
            <v>3508</v>
          </cell>
          <cell r="C2633" t="str">
            <v>CERO MATRICULA</v>
          </cell>
          <cell r="D2633" t="str">
            <v>ACTIVO</v>
          </cell>
          <cell r="E2633" t="str">
            <v>CPM046</v>
          </cell>
          <cell r="F2633" t="str">
            <v xml:space="preserve">ROJAS MACHADO JONATHAN XAVIER </v>
          </cell>
          <cell r="G2633" t="str">
            <v>ROJAS MACHADO JONATHAN XAVIER</v>
          </cell>
          <cell r="H2633" t="str">
            <v>005735256</v>
          </cell>
          <cell r="I2633" t="str">
            <v>BCP</v>
          </cell>
          <cell r="J2633" t="str">
            <v>19191486742048</v>
          </cell>
          <cell r="K2633" t="str">
            <v>CE</v>
          </cell>
          <cell r="L2633">
            <v>15605299633</v>
          </cell>
          <cell r="M2633" t="str">
            <v>AEROPUERTO</v>
          </cell>
          <cell r="N2633">
            <v>45805.416666666664</v>
          </cell>
          <cell r="O2633">
            <v>235</v>
          </cell>
          <cell r="P2633" t="str">
            <v>COMFORT XL</v>
          </cell>
        </row>
        <row r="2634">
          <cell r="A2634">
            <v>3509</v>
          </cell>
          <cell r="B2634">
            <v>3509</v>
          </cell>
          <cell r="C2634" t="str">
            <v>CERO MATRICULA</v>
          </cell>
          <cell r="D2634" t="str">
            <v>ACTIVO</v>
          </cell>
          <cell r="E2634" t="str">
            <v>CSJ298</v>
          </cell>
          <cell r="F2634" t="str">
            <v>Ancco Ludeña Alejandro</v>
          </cell>
          <cell r="G2634" t="str">
            <v>ANCCO LUDEÑA ALEJANDRO</v>
          </cell>
          <cell r="H2634" t="str">
            <v>31179022</v>
          </cell>
          <cell r="I2634" t="str">
            <v>BCP</v>
          </cell>
          <cell r="J2634" t="str">
            <v>19170353318056</v>
          </cell>
          <cell r="K2634" t="str">
            <v>DNI</v>
          </cell>
          <cell r="L2634">
            <v>10311790221</v>
          </cell>
          <cell r="M2634" t="str">
            <v>AEROPUERTO</v>
          </cell>
          <cell r="N2634">
            <v>45805.416666666664</v>
          </cell>
          <cell r="O2634">
            <v>235</v>
          </cell>
          <cell r="P2634" t="str">
            <v>COMFORT XL</v>
          </cell>
        </row>
        <row r="2635">
          <cell r="A2635">
            <v>3529</v>
          </cell>
          <cell r="B2635">
            <v>3529</v>
          </cell>
          <cell r="C2635" t="str">
            <v>CERO MATRICULA</v>
          </cell>
          <cell r="D2635" t="str">
            <v>ACTIVO</v>
          </cell>
          <cell r="E2635" t="str">
            <v>CPJ284</v>
          </cell>
          <cell r="F2635" t="str">
            <v>Romero Romero Marcelino Lincoyano</v>
          </cell>
          <cell r="G2635" t="str">
            <v>ROMERO ROMERO MARCELINO LINCOYANO</v>
          </cell>
          <cell r="H2635" t="str">
            <v>002048965</v>
          </cell>
          <cell r="I2635" t="str">
            <v>BCP</v>
          </cell>
          <cell r="J2635" t="str">
            <v>19194442472034</v>
          </cell>
          <cell r="K2635" t="str">
            <v>CE</v>
          </cell>
          <cell r="L2635">
            <v>15614253433</v>
          </cell>
          <cell r="M2635" t="str">
            <v>AEROPUERTO</v>
          </cell>
          <cell r="N2635">
            <v>45805.416666666664</v>
          </cell>
          <cell r="O2635">
            <v>235</v>
          </cell>
          <cell r="P2635" t="str">
            <v>COMFORT XL</v>
          </cell>
        </row>
        <row r="2636">
          <cell r="A2636">
            <v>3531</v>
          </cell>
          <cell r="B2636">
            <v>3531</v>
          </cell>
          <cell r="C2636" t="str">
            <v>CERO MATRICULA</v>
          </cell>
          <cell r="D2636" t="str">
            <v>ACTIVO</v>
          </cell>
          <cell r="E2636" t="str">
            <v>CPM087</v>
          </cell>
          <cell r="F2636" t="str">
            <v>Rosal Marcano Carlos Enrique</v>
          </cell>
          <cell r="G2636" t="str">
            <v>ROSAL MARCANO CARLOS ENRIQUE</v>
          </cell>
          <cell r="H2636" t="str">
            <v>002664157</v>
          </cell>
          <cell r="I2636" t="str">
            <v>BCP</v>
          </cell>
          <cell r="J2636" t="str">
            <v>19372369378079</v>
          </cell>
          <cell r="K2636" t="str">
            <v>CE</v>
          </cell>
          <cell r="L2636">
            <v>15606511571</v>
          </cell>
          <cell r="M2636" t="str">
            <v>URBANO PARTNER</v>
          </cell>
          <cell r="N2636">
            <v>45805.083333333336</v>
          </cell>
          <cell r="O2636">
            <v>0</v>
          </cell>
          <cell r="P2636" t="str">
            <v>LITE</v>
          </cell>
        </row>
        <row r="2637">
          <cell r="A2637">
            <v>3532</v>
          </cell>
          <cell r="B2637">
            <v>3532</v>
          </cell>
          <cell r="C2637" t="str">
            <v>CERO MATRICULA</v>
          </cell>
          <cell r="D2637" t="str">
            <v>ACTIVO</v>
          </cell>
          <cell r="E2637" t="str">
            <v>CSH003</v>
          </cell>
          <cell r="F2637" t="str">
            <v>CHAVEZ ARCOS GABRIEL</v>
          </cell>
          <cell r="G2637" t="str">
            <v>CHAVEZ ARCOS GABRIEL</v>
          </cell>
          <cell r="H2637" t="str">
            <v>41058510</v>
          </cell>
          <cell r="I2637" t="str">
            <v>BCP</v>
          </cell>
          <cell r="J2637" t="str">
            <v>19194746598031</v>
          </cell>
          <cell r="K2637" t="str">
            <v>DNI</v>
          </cell>
          <cell r="L2637">
            <v>10410585109</v>
          </cell>
          <cell r="M2637" t="str">
            <v>URBANO PARTNER</v>
          </cell>
          <cell r="N2637">
            <v>45805.083333333336</v>
          </cell>
          <cell r="O2637">
            <v>0</v>
          </cell>
          <cell r="P2637" t="str">
            <v>COMFORT XL</v>
          </cell>
        </row>
        <row r="2638">
          <cell r="A2638">
            <v>3533</v>
          </cell>
          <cell r="B2638">
            <v>3533</v>
          </cell>
          <cell r="C2638" t="str">
            <v>CERO MATRICULA</v>
          </cell>
          <cell r="D2638" t="str">
            <v>ACTIVO</v>
          </cell>
          <cell r="E2638" t="str">
            <v>CPQ562</v>
          </cell>
          <cell r="F2638" t="str">
            <v>Pisconte Romano Pedro Daniel</v>
          </cell>
          <cell r="G2638" t="str">
            <v>PISCONTE ROMANO PEDRO DANIEL</v>
          </cell>
          <cell r="H2638" t="str">
            <v>25759820</v>
          </cell>
          <cell r="I2638" t="str">
            <v>BCP</v>
          </cell>
          <cell r="J2638" t="str">
            <v>19293619294040</v>
          </cell>
          <cell r="K2638" t="str">
            <v>DNI</v>
          </cell>
          <cell r="L2638">
            <v>10257598204</v>
          </cell>
          <cell r="M2638" t="str">
            <v>URBANO PARTNER</v>
          </cell>
          <cell r="N2638">
            <v>45805.083333333336</v>
          </cell>
          <cell r="O2638">
            <v>0</v>
          </cell>
          <cell r="P2638" t="str">
            <v>XL</v>
          </cell>
        </row>
        <row r="2639">
          <cell r="A2639">
            <v>2958</v>
          </cell>
          <cell r="B2639">
            <v>2958</v>
          </cell>
          <cell r="C2639" t="str">
            <v>CERO MATRICULA</v>
          </cell>
          <cell r="D2639" t="str">
            <v>ACTIVO</v>
          </cell>
          <cell r="E2639" t="str">
            <v>FLTOA PROPIA</v>
          </cell>
          <cell r="F2639" t="str">
            <v>FLOTA PROPIA</v>
          </cell>
          <cell r="G2639" t="str">
            <v>FLOTA PROPIA</v>
          </cell>
          <cell r="H2639" t="str">
            <v>FLOTA PROPIA</v>
          </cell>
          <cell r="I2639" t="str">
            <v>FLOTA PROPIA</v>
          </cell>
          <cell r="J2639" t="str">
            <v>FLOTA PROPIA</v>
          </cell>
          <cell r="K2639" t="str">
            <v>FLOTA PROPIA</v>
          </cell>
          <cell r="L2639" t="str">
            <v>FLOTA PROPIA</v>
          </cell>
          <cell r="M2639" t="str">
            <v>FLOTA PROPIA</v>
          </cell>
          <cell r="N2639">
            <v>45824</v>
          </cell>
          <cell r="O2639">
            <v>0</v>
          </cell>
          <cell r="P2639" t="str">
            <v>VAN</v>
          </cell>
        </row>
        <row r="2640">
          <cell r="A2640">
            <v>2960</v>
          </cell>
          <cell r="B2640">
            <v>2960</v>
          </cell>
          <cell r="C2640" t="str">
            <v>CERO MATRICULA</v>
          </cell>
          <cell r="D2640" t="str">
            <v>ACTIVO</v>
          </cell>
          <cell r="E2640" t="str">
            <v>FLTOA PROPIA</v>
          </cell>
          <cell r="F2640" t="str">
            <v>FLOTA PROPIA</v>
          </cell>
          <cell r="G2640" t="str">
            <v>FLOTA PROPIA</v>
          </cell>
          <cell r="H2640" t="str">
            <v>FLOTA PROPIA</v>
          </cell>
          <cell r="I2640" t="str">
            <v>FLOTA PROPIA</v>
          </cell>
          <cell r="J2640" t="str">
            <v>FLOTA PROPIA</v>
          </cell>
          <cell r="K2640" t="str">
            <v>FLOTA PROPIA</v>
          </cell>
          <cell r="L2640" t="str">
            <v>FLOTA PROPIA</v>
          </cell>
          <cell r="M2640" t="str">
            <v>FLOTA PROPIA</v>
          </cell>
          <cell r="N2640">
            <v>45824</v>
          </cell>
          <cell r="O2640">
            <v>0</v>
          </cell>
          <cell r="P2640" t="str">
            <v>VAN</v>
          </cell>
        </row>
        <row r="2641">
          <cell r="A2641">
            <v>1146</v>
          </cell>
          <cell r="B2641">
            <v>1146</v>
          </cell>
          <cell r="C2641" t="str">
            <v>CERO MATRICULA</v>
          </cell>
          <cell r="D2641" t="str">
            <v>ACTIVO</v>
          </cell>
          <cell r="E2641" t="str">
            <v>H2N467</v>
          </cell>
          <cell r="F2641" t="str">
            <v>Daniel Reyes Yarleque</v>
          </cell>
          <cell r="G2641" t="str">
            <v>Daniel Reyes Yarleque</v>
          </cell>
          <cell r="H2641" t="str">
            <v>25853899</v>
          </cell>
          <cell r="I2641" t="str">
            <v>BCP</v>
          </cell>
          <cell r="J2641" t="str">
            <v>19207143392046</v>
          </cell>
          <cell r="K2641" t="str">
            <v>DNI</v>
          </cell>
          <cell r="L2641">
            <v>10258538990</v>
          </cell>
          <cell r="M2641" t="str">
            <v>AEROPUERTO</v>
          </cell>
          <cell r="N2641">
            <v>45812</v>
          </cell>
          <cell r="O2641">
            <v>235</v>
          </cell>
          <cell r="P2641" t="str">
            <v>COMFORT XL</v>
          </cell>
        </row>
        <row r="2642">
          <cell r="A2642">
            <v>3284</v>
          </cell>
          <cell r="B2642">
            <v>3284</v>
          </cell>
          <cell r="C2642" t="str">
            <v>CERO MATRICULA</v>
          </cell>
          <cell r="D2642" t="str">
            <v>ACTIVO</v>
          </cell>
          <cell r="E2642" t="str">
            <v>ATG297</v>
          </cell>
          <cell r="F2642" t="str">
            <v>Luis Andrade Julián Antonio</v>
          </cell>
          <cell r="G2642" t="str">
            <v>Luis Andrade Julián Antonio</v>
          </cell>
          <cell r="H2642" t="str">
            <v>06998213</v>
          </cell>
          <cell r="I2642" t="str">
            <v>BCP</v>
          </cell>
          <cell r="J2642" t="str">
            <v>19499814582007</v>
          </cell>
          <cell r="K2642" t="str">
            <v>DNI</v>
          </cell>
          <cell r="L2642">
            <v>10069982137</v>
          </cell>
          <cell r="M2642" t="str">
            <v>URBANO PARTNER</v>
          </cell>
          <cell r="N2642">
            <v>45811.083333333336</v>
          </cell>
          <cell r="O2642">
            <v>0</v>
          </cell>
          <cell r="P2642" t="str">
            <v>LITE</v>
          </cell>
        </row>
        <row r="2643">
          <cell r="A2643">
            <v>3534</v>
          </cell>
          <cell r="B2643">
            <v>3534</v>
          </cell>
          <cell r="C2643" t="str">
            <v>CERO MATRICULA</v>
          </cell>
          <cell r="D2643" t="str">
            <v>ACTIVO</v>
          </cell>
          <cell r="E2643" t="str">
            <v>AHN404</v>
          </cell>
          <cell r="F2643" t="str">
            <v>Llanos Romero Jason andres</v>
          </cell>
          <cell r="G2643" t="str">
            <v>JASON ANDRES LLANOS ROMERO</v>
          </cell>
          <cell r="H2643" t="str">
            <v>70884555</v>
          </cell>
          <cell r="I2643" t="str">
            <v>BCP</v>
          </cell>
          <cell r="J2643" t="str">
            <v>19293449056083</v>
          </cell>
          <cell r="K2643" t="str">
            <v>DNI</v>
          </cell>
          <cell r="L2643">
            <v>10708845553</v>
          </cell>
          <cell r="M2643" t="str">
            <v>URBANO PARTNER</v>
          </cell>
          <cell r="N2643">
            <v>45811.083333333336</v>
          </cell>
          <cell r="O2643">
            <v>0</v>
          </cell>
          <cell r="P2643" t="str">
            <v>LITE</v>
          </cell>
        </row>
        <row r="2644">
          <cell r="A2644">
            <v>3535</v>
          </cell>
          <cell r="B2644">
            <v>3535</v>
          </cell>
          <cell r="C2644" t="str">
            <v>CERO MATRICULA</v>
          </cell>
          <cell r="D2644" t="str">
            <v>ACTIVO</v>
          </cell>
          <cell r="E2644" t="str">
            <v>CPV635</v>
          </cell>
          <cell r="F2644" t="str">
            <v>Caballero Ponte Toribio Alfonso</v>
          </cell>
          <cell r="G2644" t="str">
            <v>TORIBIO ALFONSO CABALLERO PONTE</v>
          </cell>
          <cell r="H2644" t="str">
            <v>40366153</v>
          </cell>
          <cell r="I2644" t="str">
            <v>BBVA</v>
          </cell>
          <cell r="J2644" t="str">
            <v>001103540200485373</v>
          </cell>
          <cell r="K2644" t="str">
            <v>DNI</v>
          </cell>
          <cell r="L2644">
            <v>10403661533</v>
          </cell>
          <cell r="M2644" t="str">
            <v>URBANO PARTNER</v>
          </cell>
          <cell r="N2644">
            <v>45811.083333333336</v>
          </cell>
          <cell r="O2644">
            <v>0</v>
          </cell>
          <cell r="P2644" t="str">
            <v>LITE</v>
          </cell>
        </row>
        <row r="2645">
          <cell r="A2645">
            <v>3537</v>
          </cell>
          <cell r="B2645">
            <v>3537</v>
          </cell>
          <cell r="C2645" t="str">
            <v>CERO MATRICULA</v>
          </cell>
          <cell r="D2645" t="str">
            <v>ACTIVO</v>
          </cell>
          <cell r="E2645" t="str">
            <v>CJO610</v>
          </cell>
          <cell r="F2645" t="str">
            <v>Caldas Vergara Mario Gabriel</v>
          </cell>
          <cell r="G2645" t="str">
            <v>MARIO GABRIEL CALDAS VERGARA</v>
          </cell>
          <cell r="H2645" t="str">
            <v>10620314</v>
          </cell>
          <cell r="I2645" t="str">
            <v>BBVA</v>
          </cell>
          <cell r="J2645" t="str">
            <v>001108140276426643</v>
          </cell>
          <cell r="K2645" t="str">
            <v>DNI</v>
          </cell>
          <cell r="L2645">
            <v>10106203143</v>
          </cell>
          <cell r="M2645" t="str">
            <v>URBANO PARTNER</v>
          </cell>
          <cell r="N2645">
            <v>45811.083333333336</v>
          </cell>
          <cell r="O2645">
            <v>0</v>
          </cell>
          <cell r="P2645" t="str">
            <v>LITE</v>
          </cell>
        </row>
        <row r="2646">
          <cell r="A2646">
            <v>3538</v>
          </cell>
          <cell r="B2646">
            <v>3538</v>
          </cell>
          <cell r="C2646" t="str">
            <v>CERO MATRICULA</v>
          </cell>
          <cell r="D2646" t="str">
            <v>ACTIVO</v>
          </cell>
          <cell r="E2646" t="str">
            <v>CKY428</v>
          </cell>
          <cell r="F2646" t="str">
            <v>Córdova Cóndor Khevin Deyvid</v>
          </cell>
          <cell r="G2646" t="str">
            <v>KHEVIN DEYVID CORDOVA CONDOR</v>
          </cell>
          <cell r="H2646" t="str">
            <v>47425165</v>
          </cell>
          <cell r="I2646" t="str">
            <v>BCP</v>
          </cell>
          <cell r="J2646" t="str">
            <v>19197727570014</v>
          </cell>
          <cell r="K2646" t="str">
            <v>DNI</v>
          </cell>
          <cell r="L2646">
            <v>10474251654</v>
          </cell>
          <cell r="M2646" t="str">
            <v>URBANO PARTNER</v>
          </cell>
          <cell r="N2646">
            <v>45811.083333333336</v>
          </cell>
          <cell r="O2646">
            <v>0</v>
          </cell>
          <cell r="P2646" t="str">
            <v>XL</v>
          </cell>
        </row>
        <row r="2647">
          <cell r="A2647">
            <v>3539</v>
          </cell>
          <cell r="B2647">
            <v>3539</v>
          </cell>
          <cell r="C2647" t="str">
            <v>CERO MATRICULA</v>
          </cell>
          <cell r="D2647" t="str">
            <v>ACTIVO</v>
          </cell>
          <cell r="E2647" t="str">
            <v>BUL672</v>
          </cell>
          <cell r="F2647" t="str">
            <v>Sánchez Romero Franklin Jose</v>
          </cell>
          <cell r="G2647" t="str">
            <v>FRANKLIN JOSE SANCHEZ ROMERO</v>
          </cell>
          <cell r="H2647" t="str">
            <v>007308362</v>
          </cell>
          <cell r="I2647" t="str">
            <v>BCP</v>
          </cell>
          <cell r="J2647" t="str">
            <v>19107066258033</v>
          </cell>
          <cell r="K2647" t="str">
            <v>CE</v>
          </cell>
          <cell r="L2647">
            <v>15614286307</v>
          </cell>
          <cell r="M2647" t="str">
            <v>URBANO PARTNER</v>
          </cell>
          <cell r="N2647">
            <v>45811.083333333336</v>
          </cell>
          <cell r="O2647">
            <v>0</v>
          </cell>
          <cell r="P2647" t="str">
            <v>LITE</v>
          </cell>
        </row>
        <row r="2648">
          <cell r="A2648">
            <v>3540</v>
          </cell>
          <cell r="B2648">
            <v>3540</v>
          </cell>
          <cell r="C2648" t="str">
            <v>CERO MATRICULA</v>
          </cell>
          <cell r="D2648" t="str">
            <v>ACTIVO</v>
          </cell>
          <cell r="E2648" t="str">
            <v>BYH327</v>
          </cell>
          <cell r="F2648" t="str">
            <v>Ventura Pérez Marcos Miguel</v>
          </cell>
          <cell r="G2648" t="str">
            <v>MARCOS MIGUEL VENTURA PÉREZ</v>
          </cell>
          <cell r="H2648" t="str">
            <v>009148861</v>
          </cell>
          <cell r="I2648" t="str">
            <v>BCP</v>
          </cell>
          <cell r="J2648" t="str">
            <v>19494212612053</v>
          </cell>
          <cell r="K2648" t="str">
            <v>CE</v>
          </cell>
          <cell r="L2648">
            <v>15605194645</v>
          </cell>
          <cell r="M2648" t="str">
            <v>AEROLINEAS</v>
          </cell>
          <cell r="N2648">
            <v>45811.083333333336</v>
          </cell>
          <cell r="O2648">
            <v>0</v>
          </cell>
          <cell r="P2648" t="str">
            <v>XL</v>
          </cell>
        </row>
        <row r="2649">
          <cell r="A2649">
            <v>3543</v>
          </cell>
          <cell r="B2649">
            <v>3543</v>
          </cell>
          <cell r="C2649" t="str">
            <v>CERO MATRICULA</v>
          </cell>
          <cell r="D2649" t="str">
            <v>ACTIVO</v>
          </cell>
          <cell r="E2649" t="str">
            <v>CRV453</v>
          </cell>
          <cell r="F2649" t="str">
            <v>Ortiz Maza Ezequiel José - REF 3198</v>
          </cell>
          <cell r="G2649" t="str">
            <v>Ezequiel José Ortiz Maza</v>
          </cell>
          <cell r="H2649" t="str">
            <v>004578138</v>
          </cell>
          <cell r="I2649" t="str">
            <v>BCP</v>
          </cell>
          <cell r="J2649" t="str">
            <v>19291845658089</v>
          </cell>
          <cell r="K2649" t="str">
            <v>CE</v>
          </cell>
          <cell r="L2649">
            <v>15614267302</v>
          </cell>
          <cell r="M2649" t="str">
            <v>AEROPUERTO</v>
          </cell>
          <cell r="N2649">
            <v>45812.416666666664</v>
          </cell>
          <cell r="O2649">
            <v>235</v>
          </cell>
          <cell r="P2649" t="str">
            <v>COMFORT XL</v>
          </cell>
        </row>
        <row r="2650">
          <cell r="A2650">
            <v>3544</v>
          </cell>
          <cell r="B2650">
            <v>3544</v>
          </cell>
          <cell r="C2650" t="str">
            <v>CERO MATRICULA</v>
          </cell>
          <cell r="D2650" t="str">
            <v>ACTIVO</v>
          </cell>
          <cell r="E2650" t="str">
            <v>CLE536</v>
          </cell>
          <cell r="F2650" t="str">
            <v>Chirinos Castañeda Eddy</v>
          </cell>
          <cell r="G2650" t="str">
            <v>Eddy Chirinos Castañeda</v>
          </cell>
          <cell r="H2650" t="str">
            <v>71011224</v>
          </cell>
          <cell r="I2650" t="str">
            <v>BCP</v>
          </cell>
          <cell r="J2650" t="str">
            <v>19335505057092</v>
          </cell>
          <cell r="K2650" t="str">
            <v>DNI</v>
          </cell>
          <cell r="L2650">
            <v>10710112245</v>
          </cell>
          <cell r="M2650" t="str">
            <v>AEROPUERTO</v>
          </cell>
          <cell r="N2650">
            <v>45812.416666666664</v>
          </cell>
          <cell r="O2650">
            <v>265</v>
          </cell>
          <cell r="P2650" t="str">
            <v>LITE</v>
          </cell>
        </row>
        <row r="2651">
          <cell r="A2651">
            <v>3545</v>
          </cell>
          <cell r="B2651">
            <v>3545</v>
          </cell>
          <cell r="C2651" t="str">
            <v>CERO MATRICULA</v>
          </cell>
          <cell r="D2651" t="str">
            <v>ACTIVO</v>
          </cell>
          <cell r="E2651" t="str">
            <v>CRZ559</v>
          </cell>
          <cell r="F2651" t="str">
            <v>Gimenez Amaro Ruben Dario</v>
          </cell>
          <cell r="G2651" t="str">
            <v>Rubén Darío Giménez Amaro</v>
          </cell>
          <cell r="H2651" t="str">
            <v>002193960</v>
          </cell>
          <cell r="I2651" t="str">
            <v>BCP</v>
          </cell>
          <cell r="J2651" t="str">
            <v>19396506534045</v>
          </cell>
          <cell r="K2651" t="str">
            <v>CE</v>
          </cell>
          <cell r="L2651">
            <v>15605752311</v>
          </cell>
          <cell r="M2651" t="str">
            <v>URBANO PARTNER</v>
          </cell>
          <cell r="N2651">
            <v>45812.416666666664</v>
          </cell>
          <cell r="O2651">
            <v>0</v>
          </cell>
          <cell r="P2651" t="str">
            <v>LITE</v>
          </cell>
        </row>
        <row r="2652">
          <cell r="A2652">
            <v>3548</v>
          </cell>
          <cell r="B2652">
            <v>3548</v>
          </cell>
          <cell r="C2652" t="str">
            <v>CERO MATRICULA</v>
          </cell>
          <cell r="D2652" t="str">
            <v>ACTIVO</v>
          </cell>
          <cell r="E2652" t="str">
            <v>CSE194</v>
          </cell>
          <cell r="F2652" t="str">
            <v>Ramirez Manrique Patricks David axl</v>
          </cell>
          <cell r="G2652" t="str">
            <v>Patricks David axl Ramirez manrique</v>
          </cell>
          <cell r="H2652" t="str">
            <v>72531941</v>
          </cell>
          <cell r="I2652" t="str">
            <v>BCP</v>
          </cell>
          <cell r="J2652" t="str">
            <v>19304659610075</v>
          </cell>
          <cell r="K2652" t="str">
            <v>DNI</v>
          </cell>
          <cell r="L2652">
            <v>10725319415</v>
          </cell>
          <cell r="M2652" t="str">
            <v>AEROLINEAS</v>
          </cell>
          <cell r="N2652">
            <v>45813.125</v>
          </cell>
          <cell r="O2652">
            <v>0</v>
          </cell>
          <cell r="P2652" t="str">
            <v>COMFORT XL</v>
          </cell>
        </row>
        <row r="2653">
          <cell r="A2653">
            <v>3549</v>
          </cell>
          <cell r="B2653">
            <v>3549</v>
          </cell>
          <cell r="C2653" t="str">
            <v>CERO MATRICULA</v>
          </cell>
          <cell r="D2653" t="str">
            <v>ACTIVO</v>
          </cell>
          <cell r="E2653" t="str">
            <v>BFO659</v>
          </cell>
          <cell r="F2653" t="str">
            <v>González González Yecson Javier</v>
          </cell>
          <cell r="G2653" t="str">
            <v>Yecson Javier Gonzalez Gonzalez</v>
          </cell>
          <cell r="H2653" t="str">
            <v>005090706</v>
          </cell>
          <cell r="I2653" t="str">
            <v>BCP</v>
          </cell>
          <cell r="J2653" t="str">
            <v>48073377188033</v>
          </cell>
          <cell r="K2653" t="str">
            <v>CE</v>
          </cell>
          <cell r="L2653">
            <v>15614303775</v>
          </cell>
          <cell r="M2653" t="str">
            <v>AEROLINEAS</v>
          </cell>
          <cell r="N2653">
            <v>45813.125</v>
          </cell>
          <cell r="O2653">
            <v>0</v>
          </cell>
          <cell r="P2653" t="str">
            <v>LITE</v>
          </cell>
        </row>
        <row r="2654">
          <cell r="A2654">
            <v>2963</v>
          </cell>
          <cell r="B2654">
            <v>2963</v>
          </cell>
          <cell r="C2654" t="str">
            <v>CERO MATRICULA</v>
          </cell>
          <cell r="D2654" t="str">
            <v>ACTIVO</v>
          </cell>
          <cell r="E2654" t="str">
            <v>FLTOA PROPIA</v>
          </cell>
          <cell r="F2654" t="str">
            <v>FLOTA PROPIA</v>
          </cell>
          <cell r="G2654" t="str">
            <v>FLOTA PROPIA</v>
          </cell>
          <cell r="H2654" t="str">
            <v>FLOTA PROPIA</v>
          </cell>
          <cell r="I2654" t="str">
            <v>FLOTA PROPIA</v>
          </cell>
          <cell r="J2654" t="str">
            <v>FLOTA PROPIA</v>
          </cell>
          <cell r="K2654" t="str">
            <v>FLOTA PROPIA</v>
          </cell>
          <cell r="L2654" t="str">
            <v>FLOTA PROPIA</v>
          </cell>
          <cell r="M2654" t="str">
            <v>FLOTA PROPIA</v>
          </cell>
          <cell r="N2654">
            <v>45831</v>
          </cell>
          <cell r="O2654">
            <v>0</v>
          </cell>
          <cell r="P2654" t="str">
            <v>VAN</v>
          </cell>
        </row>
        <row r="2655">
          <cell r="A2655">
            <v>747</v>
          </cell>
          <cell r="B2655">
            <v>747</v>
          </cell>
          <cell r="C2655" t="str">
            <v>CERO MATRICULA</v>
          </cell>
          <cell r="D2655" t="str">
            <v>ACTIVO</v>
          </cell>
          <cell r="E2655" t="str">
            <v>CDL036</v>
          </cell>
          <cell r="F2655" t="str">
            <v>IBARRA SILVA MIGUEL ANGEL</v>
          </cell>
          <cell r="G2655" t="str">
            <v>IBARRA SILVA MIGUEL ANGEL</v>
          </cell>
          <cell r="H2655" t="str">
            <v>25833395</v>
          </cell>
          <cell r="I2655" t="str">
            <v>BCP</v>
          </cell>
          <cell r="J2655" t="str">
            <v>191-02765255-0-85</v>
          </cell>
          <cell r="K2655" t="str">
            <v>DNI</v>
          </cell>
          <cell r="L2655">
            <v>10258333956</v>
          </cell>
          <cell r="M2655" t="str">
            <v>URBANO PARTNER</v>
          </cell>
          <cell r="N2655">
            <v>45747</v>
          </cell>
          <cell r="O2655">
            <v>0</v>
          </cell>
          <cell r="P2655" t="str">
            <v>XL</v>
          </cell>
        </row>
        <row r="2656">
          <cell r="A2656">
            <v>1131</v>
          </cell>
          <cell r="B2656">
            <v>1131</v>
          </cell>
          <cell r="C2656" t="str">
            <v>CERO MATRICULA</v>
          </cell>
          <cell r="D2656" t="str">
            <v>ACTIVO</v>
          </cell>
          <cell r="E2656" t="str">
            <v>CPD312</v>
          </cell>
          <cell r="F2656" t="str">
            <v xml:space="preserve">QUEZADA SUAREZ Francis william </v>
          </cell>
          <cell r="G2656" t="str">
            <v>Carbajal Rodriguez Liliana Feliciana</v>
          </cell>
          <cell r="H2656">
            <v>42681848</v>
          </cell>
          <cell r="I2656" t="str">
            <v>INTERBANK</v>
          </cell>
          <cell r="J2656" t="str">
            <v>2003122661089</v>
          </cell>
          <cell r="K2656" t="str">
            <v>DNI</v>
          </cell>
          <cell r="L2656">
            <v>10426818481</v>
          </cell>
          <cell r="M2656" t="str">
            <v>URBANO</v>
          </cell>
          <cell r="N2656">
            <v>45820.625</v>
          </cell>
          <cell r="O2656">
            <v>0</v>
          </cell>
          <cell r="P2656" t="str">
            <v>COMFORT</v>
          </cell>
        </row>
        <row r="2657">
          <cell r="A2657">
            <v>2860</v>
          </cell>
          <cell r="B2657">
            <v>2860</v>
          </cell>
          <cell r="C2657" t="str">
            <v>CERO MATRICULA</v>
          </cell>
          <cell r="D2657" t="str">
            <v>ACTIVO</v>
          </cell>
          <cell r="E2657" t="str">
            <v>BVI697</v>
          </cell>
          <cell r="F2657" t="str">
            <v>Uribe Pernia Freddy Alejandro Isaac</v>
          </cell>
          <cell r="G2657" t="str">
            <v xml:space="preserve">URIBE PERNIA FREDDY ALEJANDRO ISAAC </v>
          </cell>
          <cell r="H2657" t="str">
            <v>006075398</v>
          </cell>
          <cell r="I2657" t="str">
            <v>BCP</v>
          </cell>
          <cell r="J2657" t="str">
            <v>19290771284063</v>
          </cell>
          <cell r="K2657" t="str">
            <v>CE</v>
          </cell>
          <cell r="L2657">
            <v>15604189125</v>
          </cell>
          <cell r="M2657" t="str">
            <v>URBANO PARTNER</v>
          </cell>
          <cell r="N2657">
            <v>45798.416666666664</v>
          </cell>
          <cell r="O2657">
            <v>0</v>
          </cell>
          <cell r="P2657" t="str">
            <v>LITE</v>
          </cell>
        </row>
        <row r="2658">
          <cell r="A2658">
            <v>3552</v>
          </cell>
          <cell r="B2658">
            <v>3552</v>
          </cell>
          <cell r="C2658" t="str">
            <v>CERO MATRICULA</v>
          </cell>
          <cell r="D2658" t="str">
            <v>ACTIVO</v>
          </cell>
          <cell r="E2658" t="str">
            <v>CRD484</v>
          </cell>
          <cell r="F2658" t="str">
            <v>Garcia Riveros Ricardo Ismael</v>
          </cell>
          <cell r="G2658" t="str">
            <v>Garcia Riveros Ricardo Ismael</v>
          </cell>
          <cell r="H2658">
            <v>10526865</v>
          </cell>
          <cell r="I2658" t="str">
            <v>BCP</v>
          </cell>
          <cell r="J2658" t="str">
            <v>19335599945038</v>
          </cell>
          <cell r="K2658" t="str">
            <v>DNI</v>
          </cell>
          <cell r="L2658">
            <v>10105268659</v>
          </cell>
          <cell r="M2658" t="str">
            <v>URBANO PARTNER</v>
          </cell>
          <cell r="N2658">
            <v>45818.083333333336</v>
          </cell>
          <cell r="O2658">
            <v>0</v>
          </cell>
          <cell r="P2658" t="str">
            <v>LITE</v>
          </cell>
        </row>
        <row r="2659">
          <cell r="A2659">
            <v>3553</v>
          </cell>
          <cell r="B2659">
            <v>3553</v>
          </cell>
          <cell r="C2659" t="str">
            <v>CERO MATRICULA</v>
          </cell>
          <cell r="D2659" t="str">
            <v>ACTIVO</v>
          </cell>
          <cell r="E2659" t="str">
            <v>APZ316</v>
          </cell>
          <cell r="F2659" t="str">
            <v>Cordova Rios Miller Brayan</v>
          </cell>
          <cell r="G2659" t="str">
            <v>Cordova Rios Miller Brayan</v>
          </cell>
          <cell r="H2659">
            <v>70102766</v>
          </cell>
          <cell r="I2659" t="str">
            <v>BCP</v>
          </cell>
          <cell r="J2659" t="str">
            <v>19172560741076</v>
          </cell>
          <cell r="K2659" t="str">
            <v>DNI</v>
          </cell>
          <cell r="L2659">
            <v>10701027669</v>
          </cell>
          <cell r="M2659" t="str">
            <v>URBANO PARTNER</v>
          </cell>
          <cell r="N2659">
            <v>45818.583333333336</v>
          </cell>
          <cell r="O2659">
            <v>0</v>
          </cell>
          <cell r="P2659" t="str">
            <v>LITE</v>
          </cell>
        </row>
        <row r="2660">
          <cell r="A2660">
            <v>3555</v>
          </cell>
          <cell r="B2660">
            <v>3555</v>
          </cell>
          <cell r="C2660" t="str">
            <v>CERO MATRICULA</v>
          </cell>
          <cell r="D2660" t="str">
            <v>ACTIVO</v>
          </cell>
          <cell r="E2660" t="str">
            <v>BNC664</v>
          </cell>
          <cell r="F2660" t="str">
            <v>Tovar  Landaeta Engerberth Rafael</v>
          </cell>
          <cell r="G2660" t="str">
            <v xml:space="preserve">Tovar Landaeta Engerberth Rafael </v>
          </cell>
          <cell r="H2660" t="str">
            <v>006110728</v>
          </cell>
          <cell r="I2660" t="str">
            <v>INTERBANK</v>
          </cell>
          <cell r="J2660" t="str">
            <v>2533388447688</v>
          </cell>
          <cell r="K2660" t="str">
            <v>CE</v>
          </cell>
          <cell r="L2660">
            <v>15611558543</v>
          </cell>
          <cell r="M2660" t="str">
            <v>URBANO PARTNER</v>
          </cell>
          <cell r="N2660">
            <v>45818.583333333336</v>
          </cell>
          <cell r="O2660">
            <v>0</v>
          </cell>
          <cell r="P2660" t="str">
            <v>LITE</v>
          </cell>
        </row>
        <row r="2661">
          <cell r="A2661">
            <v>3556</v>
          </cell>
          <cell r="B2661">
            <v>3556</v>
          </cell>
          <cell r="C2661" t="str">
            <v>CERO MATRICULA</v>
          </cell>
          <cell r="D2661" t="str">
            <v>ACTIVO</v>
          </cell>
          <cell r="E2661" t="str">
            <v>CSJ534</v>
          </cell>
          <cell r="F2661" t="str">
            <v>Paucar Vera  Joaquin Santiago</v>
          </cell>
          <cell r="G2661" t="str">
            <v>Paucar Vera  Joaquin Santiago</v>
          </cell>
          <cell r="H2661">
            <v>41935679</v>
          </cell>
          <cell r="I2661" t="str">
            <v>BCP</v>
          </cell>
          <cell r="J2661" t="str">
            <v>19171090883071</v>
          </cell>
          <cell r="K2661" t="str">
            <v>DNI</v>
          </cell>
          <cell r="L2661">
            <v>10419356790</v>
          </cell>
          <cell r="M2661" t="str">
            <v>URBANO PARTNER</v>
          </cell>
          <cell r="N2661">
            <v>45818.583333333336</v>
          </cell>
          <cell r="O2661">
            <v>0</v>
          </cell>
          <cell r="P2661" t="str">
            <v>COMFORT XL</v>
          </cell>
        </row>
        <row r="2662">
          <cell r="A2662">
            <v>3557</v>
          </cell>
          <cell r="B2662">
            <v>3557</v>
          </cell>
          <cell r="C2662" t="str">
            <v>CERO MATRICULA</v>
          </cell>
          <cell r="D2662" t="str">
            <v>ACTIVO</v>
          </cell>
          <cell r="E2662" t="str">
            <v>VAC138</v>
          </cell>
          <cell r="F2662" t="str">
            <v>VEGA AGUILAR CESAR BERNARDO</v>
          </cell>
          <cell r="G2662" t="str">
            <v>Vega Aguilar Cesar Bernardo</v>
          </cell>
          <cell r="H2662">
            <v>20067945</v>
          </cell>
          <cell r="I2662" t="str">
            <v>BCP</v>
          </cell>
          <cell r="J2662" t="str">
            <v>21593075378028</v>
          </cell>
          <cell r="K2662" t="str">
            <v>DNI</v>
          </cell>
          <cell r="L2662">
            <v>15485955701</v>
          </cell>
          <cell r="M2662" t="str">
            <v>URBANO PARTNER</v>
          </cell>
          <cell r="N2662">
            <v>45818.083333333336</v>
          </cell>
          <cell r="O2662">
            <v>0</v>
          </cell>
          <cell r="P2662" t="str">
            <v>COMFORT</v>
          </cell>
        </row>
        <row r="2663">
          <cell r="A2663">
            <v>3558</v>
          </cell>
          <cell r="B2663">
            <v>3558</v>
          </cell>
          <cell r="C2663" t="str">
            <v>CERO MATRICULA</v>
          </cell>
          <cell r="D2663" t="str">
            <v>ACTIVO</v>
          </cell>
          <cell r="E2663" t="str">
            <v>BCU072</v>
          </cell>
          <cell r="F2663" t="str">
            <v>Reyes Canales Sergio Alejandro</v>
          </cell>
          <cell r="G2663" t="str">
            <v>Reyes Canales Sergio Alejandro</v>
          </cell>
          <cell r="H2663">
            <v>71238067</v>
          </cell>
          <cell r="I2663" t="str">
            <v>BCP</v>
          </cell>
          <cell r="J2663" t="str">
            <v>19191823810021</v>
          </cell>
          <cell r="K2663" t="str">
            <v>DNI</v>
          </cell>
          <cell r="L2663">
            <v>10712380671</v>
          </cell>
          <cell r="M2663" t="str">
            <v>URBANO PARTNER</v>
          </cell>
          <cell r="N2663">
            <v>45818.083333333336</v>
          </cell>
          <cell r="O2663">
            <v>0</v>
          </cell>
          <cell r="P2663" t="str">
            <v>LITE</v>
          </cell>
        </row>
        <row r="2664">
          <cell r="A2664">
            <v>3559</v>
          </cell>
          <cell r="B2664">
            <v>3559</v>
          </cell>
          <cell r="C2664" t="str">
            <v>CERO MATRICULA</v>
          </cell>
          <cell r="D2664" t="str">
            <v>ACTIVO</v>
          </cell>
          <cell r="E2664" t="str">
            <v>CMD177</v>
          </cell>
          <cell r="F2664" t="str">
            <v>GALARZA CUBA MIGUEL ANGEL</v>
          </cell>
          <cell r="G2664" t="str">
            <v>Galarza Cuba Miguel Angel</v>
          </cell>
          <cell r="H2664">
            <v>45850626</v>
          </cell>
          <cell r="I2664" t="str">
            <v>INTERBANK</v>
          </cell>
          <cell r="J2664" t="str">
            <v>8983165445521</v>
          </cell>
          <cell r="K2664" t="str">
            <v>DNI</v>
          </cell>
          <cell r="L2664">
            <v>10458506260</v>
          </cell>
          <cell r="M2664" t="str">
            <v>URBANO PARTNER</v>
          </cell>
          <cell r="N2664">
            <v>45818.083333333336</v>
          </cell>
          <cell r="O2664">
            <v>0</v>
          </cell>
          <cell r="P2664" t="str">
            <v>LITE</v>
          </cell>
        </row>
        <row r="2665">
          <cell r="A2665">
            <v>3560</v>
          </cell>
          <cell r="B2665">
            <v>3560</v>
          </cell>
          <cell r="C2665" t="str">
            <v>CERO MATRICULA</v>
          </cell>
          <cell r="D2665" t="str">
            <v>ACTIVO</v>
          </cell>
          <cell r="E2665" t="str">
            <v>CDO401</v>
          </cell>
          <cell r="F2665" t="str">
            <v>Rivera Alcantara Carlos Abraham</v>
          </cell>
          <cell r="G2665" t="str">
            <v>Rivera Alcantara Carlos Abraham</v>
          </cell>
          <cell r="H2665">
            <v>16630988</v>
          </cell>
          <cell r="I2665" t="str">
            <v>BCP</v>
          </cell>
          <cell r="J2665" t="str">
            <v>19137469233008</v>
          </cell>
          <cell r="K2665" t="str">
            <v>DNI</v>
          </cell>
          <cell r="L2665">
            <v>10166309889</v>
          </cell>
          <cell r="M2665" t="str">
            <v>URBANO PARTNER</v>
          </cell>
          <cell r="N2665">
            <v>45818.583333333336</v>
          </cell>
          <cell r="O2665">
            <v>0</v>
          </cell>
          <cell r="P2665" t="str">
            <v>COMFORT XL</v>
          </cell>
        </row>
        <row r="2666">
          <cell r="A2666">
            <v>3562</v>
          </cell>
          <cell r="B2666">
            <v>3562</v>
          </cell>
          <cell r="C2666" t="str">
            <v>CERO MATRICULA</v>
          </cell>
          <cell r="D2666" t="str">
            <v>ACTIVO</v>
          </cell>
          <cell r="E2666" t="str">
            <v>CSJ213</v>
          </cell>
          <cell r="F2666" t="str">
            <v xml:space="preserve">Luis Jahuin Anthony Wagner </v>
          </cell>
          <cell r="G2666" t="str">
            <v xml:space="preserve">Luis Jahuin Anthony Wagner </v>
          </cell>
          <cell r="H2666">
            <v>42423299</v>
          </cell>
          <cell r="I2666" t="str">
            <v>BCP</v>
          </cell>
          <cell r="J2666" t="str">
            <v>19196687753094</v>
          </cell>
          <cell r="K2666" t="str">
            <v>DNI</v>
          </cell>
          <cell r="L2666">
            <v>10424232993</v>
          </cell>
          <cell r="M2666" t="str">
            <v>AEROPUERTO</v>
          </cell>
          <cell r="N2666">
            <v>45819.416666666664</v>
          </cell>
          <cell r="O2666">
            <v>235</v>
          </cell>
          <cell r="P2666" t="str">
            <v>COMFORT XL</v>
          </cell>
        </row>
        <row r="2667">
          <cell r="A2667">
            <v>3563</v>
          </cell>
          <cell r="B2667">
            <v>3563</v>
          </cell>
          <cell r="C2667" t="str">
            <v>CERO MATRICULA</v>
          </cell>
          <cell r="D2667" t="str">
            <v>ACTIVO</v>
          </cell>
          <cell r="E2667" t="str">
            <v>BRA024</v>
          </cell>
          <cell r="F2667" t="str">
            <v>Selgueron Perez Javier</v>
          </cell>
          <cell r="G2667" t="str">
            <v>Selgueron Perez Javier</v>
          </cell>
          <cell r="H2667">
            <v>40635297</v>
          </cell>
          <cell r="I2667" t="str">
            <v>BCP</v>
          </cell>
          <cell r="J2667" t="str">
            <v>19378233775013</v>
          </cell>
          <cell r="K2667" t="str">
            <v>DNI</v>
          </cell>
          <cell r="L2667">
            <v>10406352973</v>
          </cell>
          <cell r="M2667" t="str">
            <v>AEROPUERTO</v>
          </cell>
          <cell r="N2667">
            <v>45819.416666666664</v>
          </cell>
          <cell r="O2667">
            <v>265</v>
          </cell>
          <cell r="P2667" t="str">
            <v>LITE</v>
          </cell>
        </row>
        <row r="2668">
          <cell r="A2668">
            <v>3567</v>
          </cell>
          <cell r="B2668">
            <v>3567</v>
          </cell>
          <cell r="C2668" t="str">
            <v>CERO MATRICULA</v>
          </cell>
          <cell r="D2668" t="str">
            <v>ACTIVO</v>
          </cell>
          <cell r="E2668" t="str">
            <v>T5U233</v>
          </cell>
          <cell r="F2668" t="str">
            <v>Morao Gonzales Jose de jesus david</v>
          </cell>
          <cell r="G2668" t="str">
            <v>Morao Gonzales Jose de jesus david</v>
          </cell>
          <cell r="H2668" t="str">
            <v>006668595</v>
          </cell>
          <cell r="I2668" t="str">
            <v>BCP</v>
          </cell>
          <cell r="J2668" t="str">
            <v>19197764340056</v>
          </cell>
          <cell r="K2668" t="str">
            <v>CE</v>
          </cell>
          <cell r="L2668">
            <v>15614333305</v>
          </cell>
          <cell r="M2668" t="str">
            <v>AEROLINEAS</v>
          </cell>
          <cell r="N2668">
            <v>45820.625</v>
          </cell>
          <cell r="O2668">
            <v>0</v>
          </cell>
          <cell r="P2668" t="str">
            <v>LITE</v>
          </cell>
        </row>
        <row r="2669">
          <cell r="A2669">
            <v>3568</v>
          </cell>
          <cell r="B2669">
            <v>3568</v>
          </cell>
          <cell r="C2669" t="str">
            <v>CERO MATRICULA</v>
          </cell>
          <cell r="D2669" t="str">
            <v>ACTIVO</v>
          </cell>
          <cell r="E2669" t="str">
            <v>CSH498</v>
          </cell>
          <cell r="F2669" t="str">
            <v>Moreno Arteaga Xavier Jose</v>
          </cell>
          <cell r="G2669" t="str">
            <v>XAVIER JOSE MORENO ARTEAGA</v>
          </cell>
          <cell r="H2669" t="str">
            <v>003640172</v>
          </cell>
          <cell r="I2669" t="str">
            <v>BCP</v>
          </cell>
          <cell r="J2669" t="str">
            <v>19196663452048</v>
          </cell>
          <cell r="K2669" t="str">
            <v>CE</v>
          </cell>
          <cell r="L2669">
            <v>15607490284</v>
          </cell>
          <cell r="M2669" t="str">
            <v>AEROLINEAS</v>
          </cell>
          <cell r="N2669">
            <v>45820.125</v>
          </cell>
          <cell r="O2669">
            <v>0</v>
          </cell>
          <cell r="P2669" t="str">
            <v>COMFORT XL</v>
          </cell>
        </row>
        <row r="2670">
          <cell r="A2670">
            <v>3569</v>
          </cell>
          <cell r="B2670">
            <v>3569</v>
          </cell>
          <cell r="C2670" t="str">
            <v>CERO MATRICULA</v>
          </cell>
          <cell r="D2670" t="str">
            <v>ACTIVO</v>
          </cell>
          <cell r="E2670" t="str">
            <v>CSH542</v>
          </cell>
          <cell r="F2670" t="str">
            <v>Bravo Mena Miguel Angel</v>
          </cell>
          <cell r="G2670" t="str">
            <v>Bravo Mena Miguel Angel</v>
          </cell>
          <cell r="H2670" t="str">
            <v>09990696</v>
          </cell>
          <cell r="I2670" t="str">
            <v>BCP</v>
          </cell>
          <cell r="J2670" t="str">
            <v>19133191750019</v>
          </cell>
          <cell r="K2670" t="str">
            <v>DNI</v>
          </cell>
          <cell r="L2670">
            <v>10099906966</v>
          </cell>
          <cell r="M2670" t="str">
            <v>AEROPUERTO</v>
          </cell>
          <cell r="N2670">
            <v>45820.125</v>
          </cell>
          <cell r="O2670">
            <v>235</v>
          </cell>
          <cell r="P2670" t="str">
            <v>COMFORT XL</v>
          </cell>
        </row>
        <row r="2671">
          <cell r="A2671">
            <v>2965</v>
          </cell>
          <cell r="B2671">
            <v>2965</v>
          </cell>
          <cell r="C2671" t="str">
            <v>CERO MATRICULA</v>
          </cell>
          <cell r="D2671" t="str">
            <v>ACTIVO</v>
          </cell>
          <cell r="E2671" t="str">
            <v>FLTOA PROPIA</v>
          </cell>
          <cell r="F2671" t="str">
            <v>FLOTA PROPIA</v>
          </cell>
          <cell r="G2671" t="str">
            <v>FLOTA PROPIA</v>
          </cell>
          <cell r="H2671" t="str">
            <v>FLOTA PROPIA</v>
          </cell>
          <cell r="I2671" t="str">
            <v>FLOTA PROPIA</v>
          </cell>
          <cell r="J2671" t="str">
            <v>FLOTA PROPIA</v>
          </cell>
          <cell r="K2671" t="str">
            <v>FLOTA PROPIA</v>
          </cell>
          <cell r="L2671" t="str">
            <v>FLOTA PROPIA</v>
          </cell>
          <cell r="M2671" t="str">
            <v>FLOTA PROPIA</v>
          </cell>
          <cell r="N2671">
            <v>45838</v>
          </cell>
          <cell r="O2671">
            <v>0</v>
          </cell>
          <cell r="P2671" t="str">
            <v>VAN</v>
          </cell>
        </row>
        <row r="2672">
          <cell r="A2672">
            <v>2895</v>
          </cell>
          <cell r="B2672">
            <v>2895</v>
          </cell>
          <cell r="C2672" t="str">
            <v>CERO MATRICULA</v>
          </cell>
          <cell r="D2672" t="str">
            <v>ACTIVO</v>
          </cell>
          <cell r="E2672"/>
          <cell r="F2672" t="str">
            <v>ROJAS OZCO JORGE ARMANDO</v>
          </cell>
          <cell r="G2672" t="str">
            <v>ROJAS OZCO JORGE ARMANDO</v>
          </cell>
          <cell r="H2672" t="str">
            <v>41075309</v>
          </cell>
          <cell r="I2672" t="str">
            <v>INTERBANK</v>
          </cell>
          <cell r="J2672" t="str">
            <v>378 3128517404</v>
          </cell>
          <cell r="K2672" t="str">
            <v>DNI</v>
          </cell>
          <cell r="L2672">
            <v>10410753095</v>
          </cell>
          <cell r="M2672" t="str">
            <v>AEROLINEAS</v>
          </cell>
          <cell r="N2672">
            <v>45838</v>
          </cell>
          <cell r="O2672">
            <v>0</v>
          </cell>
          <cell r="P2672" t="str">
            <v>COMFORT XL</v>
          </cell>
        </row>
        <row r="2673">
          <cell r="A2673">
            <v>2502</v>
          </cell>
          <cell r="B2673">
            <v>2502</v>
          </cell>
          <cell r="C2673" t="str">
            <v>CERO MATRICULA</v>
          </cell>
          <cell r="D2673" t="str">
            <v>ACTIVO</v>
          </cell>
          <cell r="E2673" t="str">
            <v>BCX351</v>
          </cell>
          <cell r="F2673" t="str">
            <v>Garcia Manrique Larry Praxides</v>
          </cell>
          <cell r="G2673" t="str">
            <v xml:space="preserve">Larry Práxides García Manrique </v>
          </cell>
          <cell r="H2673" t="str">
            <v>42462138</v>
          </cell>
          <cell r="I2673" t="str">
            <v>BCP</v>
          </cell>
          <cell r="J2673" t="str">
            <v>19129029486011</v>
          </cell>
          <cell r="K2673" t="str">
            <v>DNI</v>
          </cell>
          <cell r="L2673">
            <v>10424621388</v>
          </cell>
          <cell r="M2673" t="str">
            <v>AEROPUERTO</v>
          </cell>
          <cell r="N2673">
            <v>45812</v>
          </cell>
          <cell r="O2673">
            <v>265</v>
          </cell>
          <cell r="P2673" t="str">
            <v>LITE</v>
          </cell>
        </row>
        <row r="2674">
          <cell r="A2674">
            <v>2961</v>
          </cell>
          <cell r="B2674">
            <v>2961</v>
          </cell>
          <cell r="C2674" t="str">
            <v>CERO MATRICULA</v>
          </cell>
          <cell r="D2674" t="str">
            <v>ACTIVO</v>
          </cell>
          <cell r="E2674" t="str">
            <v>CRI211</v>
          </cell>
          <cell r="F2674" t="str">
            <v>Perez Chuquitaype Jhonatan Yuri</v>
          </cell>
          <cell r="G2674" t="str">
            <v>Perez Chuquitaype Jhonatan Yuri</v>
          </cell>
          <cell r="H2674" t="str">
            <v>70476650</v>
          </cell>
          <cell r="I2674" t="str">
            <v>BBVA</v>
          </cell>
          <cell r="J2674" t="str">
            <v>001101630200396100</v>
          </cell>
          <cell r="K2674" t="str">
            <v>DNI</v>
          </cell>
          <cell r="L2674">
            <v>10704766501</v>
          </cell>
          <cell r="M2674" t="str">
            <v>AEROLINEAS</v>
          </cell>
          <cell r="N2674">
            <v>45827.125</v>
          </cell>
          <cell r="O2674">
            <v>0</v>
          </cell>
          <cell r="P2674" t="str">
            <v>COMFORT XL</v>
          </cell>
        </row>
        <row r="2675">
          <cell r="A2675">
            <v>3550</v>
          </cell>
          <cell r="B2675">
            <v>3550</v>
          </cell>
          <cell r="C2675" t="str">
            <v>CERO MATRICULA</v>
          </cell>
          <cell r="D2675" t="str">
            <v>ACTIVO</v>
          </cell>
          <cell r="E2675" t="str">
            <v>BTL575</v>
          </cell>
          <cell r="F2675" t="str">
            <v>Arias Pazos Yonathan Leopoldo</v>
          </cell>
          <cell r="G2675" t="str">
            <v>Arias Pazos Yonathan Leopoldo</v>
          </cell>
          <cell r="H2675" t="str">
            <v>41094118</v>
          </cell>
          <cell r="I2675" t="str">
            <v>BCP</v>
          </cell>
          <cell r="J2675" t="str">
            <v>19171072090088</v>
          </cell>
          <cell r="K2675" t="str">
            <v>DNI</v>
          </cell>
          <cell r="L2675">
            <v>10410941185</v>
          </cell>
          <cell r="M2675" t="str">
            <v>URBANO PARTNER</v>
          </cell>
          <cell r="N2675">
            <v>45825.083333333336</v>
          </cell>
          <cell r="O2675">
            <v>0</v>
          </cell>
          <cell r="P2675" t="str">
            <v>COMFORT XL</v>
          </cell>
        </row>
        <row r="2676">
          <cell r="A2676">
            <v>3551</v>
          </cell>
          <cell r="B2676">
            <v>3551</v>
          </cell>
          <cell r="C2676" t="str">
            <v>CERO MATRICULA</v>
          </cell>
          <cell r="D2676" t="str">
            <v>ACTIVO</v>
          </cell>
          <cell r="E2676" t="str">
            <v>CRW068</v>
          </cell>
          <cell r="F2676" t="str">
            <v>Molina Guerreros Diego Miguel</v>
          </cell>
          <cell r="G2676" t="str">
            <v xml:space="preserve">Vásquez Torres Angela Nathaly </v>
          </cell>
          <cell r="H2676" t="str">
            <v>42800524</v>
          </cell>
          <cell r="I2676" t="str">
            <v>BCP</v>
          </cell>
          <cell r="J2676" t="str">
            <v>19407503443034</v>
          </cell>
          <cell r="K2676" t="str">
            <v>DNI</v>
          </cell>
          <cell r="L2676">
            <v>10428005240</v>
          </cell>
          <cell r="M2676" t="str">
            <v>URBANO PARTNER</v>
          </cell>
          <cell r="N2676">
            <v>45825.083333333336</v>
          </cell>
          <cell r="O2676">
            <v>0</v>
          </cell>
          <cell r="P2676" t="str">
            <v>XL</v>
          </cell>
        </row>
        <row r="2677">
          <cell r="A2677">
            <v>3570</v>
          </cell>
          <cell r="B2677">
            <v>3570</v>
          </cell>
          <cell r="C2677" t="str">
            <v>CERO MATRICULA</v>
          </cell>
          <cell r="D2677" t="str">
            <v>ACTIVO</v>
          </cell>
          <cell r="E2677" t="str">
            <v>CSS188</v>
          </cell>
          <cell r="F2677" t="str">
            <v>baca Aranguren Leónidas Ranger Jesús</v>
          </cell>
          <cell r="G2677" t="str">
            <v xml:space="preserve">Baca Aranguren Leónidas Ranger Jesús </v>
          </cell>
          <cell r="H2677" t="str">
            <v>10230371</v>
          </cell>
          <cell r="I2677" t="str">
            <v>BCP</v>
          </cell>
          <cell r="J2677" t="str">
            <v>19301603764062</v>
          </cell>
          <cell r="K2677" t="str">
            <v>DNI</v>
          </cell>
          <cell r="L2677">
            <v>10102303712</v>
          </cell>
          <cell r="M2677" t="str">
            <v>URBANO PARTNER</v>
          </cell>
          <cell r="N2677">
            <v>45825.583333333336</v>
          </cell>
          <cell r="O2677">
            <v>0</v>
          </cell>
          <cell r="P2677" t="str">
            <v>XL</v>
          </cell>
        </row>
        <row r="2678">
          <cell r="A2678">
            <v>3571</v>
          </cell>
          <cell r="B2678">
            <v>3571</v>
          </cell>
          <cell r="C2678" t="str">
            <v>CERO MATRICULA</v>
          </cell>
          <cell r="D2678" t="str">
            <v>ACTIVO</v>
          </cell>
          <cell r="E2678" t="str">
            <v>CPV403</v>
          </cell>
          <cell r="F2678" t="str">
            <v>Tavara Guerrero Segundo felix</v>
          </cell>
          <cell r="G2678" t="str">
            <v>Tavara Guerrero Segundo felix</v>
          </cell>
          <cell r="H2678" t="str">
            <v>45916783</v>
          </cell>
          <cell r="I2678" t="str">
            <v>BCP</v>
          </cell>
          <cell r="J2678" t="str">
            <v>19175674257041</v>
          </cell>
          <cell r="K2678" t="str">
            <v>DNI</v>
          </cell>
          <cell r="L2678">
            <v>10459167833</v>
          </cell>
          <cell r="M2678" t="str">
            <v>AEROPUERTO</v>
          </cell>
          <cell r="N2678">
            <v>45826.416666666664</v>
          </cell>
          <cell r="O2678">
            <v>265</v>
          </cell>
          <cell r="P2678" t="str">
            <v>LITE</v>
          </cell>
        </row>
        <row r="2679">
          <cell r="A2679">
            <v>3572</v>
          </cell>
          <cell r="B2679">
            <v>3572</v>
          </cell>
          <cell r="C2679" t="str">
            <v>CERO MATRICULA</v>
          </cell>
          <cell r="D2679" t="str">
            <v>ACTIVO</v>
          </cell>
          <cell r="E2679" t="str">
            <v>CSY519</v>
          </cell>
          <cell r="F2679" t="str">
            <v>Canchihuaman Hidalgo Alder Branco</v>
          </cell>
          <cell r="G2679" t="str">
            <v>Canchihuaman Hidalgo Alder Branco</v>
          </cell>
          <cell r="H2679" t="str">
            <v>40383102</v>
          </cell>
          <cell r="I2679" t="str">
            <v>BCP</v>
          </cell>
          <cell r="J2679" t="str">
            <v>19433679119010</v>
          </cell>
          <cell r="K2679" t="str">
            <v>DNI</v>
          </cell>
          <cell r="L2679">
            <v>10403831021</v>
          </cell>
          <cell r="M2679" t="str">
            <v>URBANO PARTNER</v>
          </cell>
          <cell r="N2679">
            <v>45825.583333333336</v>
          </cell>
          <cell r="O2679">
            <v>0</v>
          </cell>
          <cell r="P2679" t="str">
            <v>COMFORT XL</v>
          </cell>
        </row>
        <row r="2680">
          <cell r="A2680">
            <v>3573</v>
          </cell>
          <cell r="B2680">
            <v>3573</v>
          </cell>
          <cell r="C2680" t="str">
            <v>CERO MATRICULA</v>
          </cell>
          <cell r="D2680" t="str">
            <v>ACTIVO</v>
          </cell>
          <cell r="E2680" t="str">
            <v>VCK275</v>
          </cell>
          <cell r="F2680" t="str">
            <v>Cumpa Falcon Willy Enrique</v>
          </cell>
          <cell r="G2680" t="str">
            <v>Cumpa Falcon Willy Enrique</v>
          </cell>
          <cell r="H2680" t="str">
            <v>48159760</v>
          </cell>
          <cell r="I2680" t="str">
            <v>BCP</v>
          </cell>
          <cell r="J2680" t="str">
            <v>19492463464036</v>
          </cell>
          <cell r="K2680" t="str">
            <v>DNI</v>
          </cell>
          <cell r="L2680">
            <v>10481597604</v>
          </cell>
          <cell r="M2680" t="str">
            <v>URBANO PARTNER</v>
          </cell>
          <cell r="N2680">
            <v>45825.083333333336</v>
          </cell>
          <cell r="O2680">
            <v>0</v>
          </cell>
          <cell r="P2680" t="str">
            <v>LITE</v>
          </cell>
        </row>
        <row r="2681">
          <cell r="A2681">
            <v>3574</v>
          </cell>
          <cell r="B2681">
            <v>3574</v>
          </cell>
          <cell r="C2681" t="str">
            <v>CERO MATRICULA</v>
          </cell>
          <cell r="D2681" t="str">
            <v>ACTIVO</v>
          </cell>
          <cell r="E2681" t="str">
            <v>BVL156</v>
          </cell>
          <cell r="F2681" t="str">
            <v>Perez Inciso Vicente Dionicio</v>
          </cell>
          <cell r="G2681" t="str">
            <v>Perez Inciso Vicente Dionicio</v>
          </cell>
          <cell r="H2681" t="str">
            <v>47681384</v>
          </cell>
          <cell r="I2681" t="str">
            <v>BCP</v>
          </cell>
          <cell r="J2681" t="str">
            <v>19306617101039</v>
          </cell>
          <cell r="K2681" t="str">
            <v>DNI</v>
          </cell>
          <cell r="L2681">
            <v>10476813846</v>
          </cell>
          <cell r="M2681" t="str">
            <v>URBANO PARTNER</v>
          </cell>
          <cell r="N2681">
            <v>45825.083333333336</v>
          </cell>
          <cell r="O2681">
            <v>0</v>
          </cell>
          <cell r="P2681" t="str">
            <v>XL</v>
          </cell>
        </row>
        <row r="2682">
          <cell r="A2682">
            <v>3575</v>
          </cell>
          <cell r="B2682">
            <v>3575</v>
          </cell>
          <cell r="C2682" t="str">
            <v>CERO MATRICULA</v>
          </cell>
          <cell r="D2682" t="str">
            <v>ACTIVO</v>
          </cell>
          <cell r="E2682" t="str">
            <v>CSK638</v>
          </cell>
          <cell r="F2682" t="str">
            <v>Medina Alcázar Roberto Salvador Eugenio</v>
          </cell>
          <cell r="G2682" t="str">
            <v xml:space="preserve">Medina Lopez Keyla Raquel </v>
          </cell>
          <cell r="H2682">
            <v>72402959</v>
          </cell>
          <cell r="I2682" t="str">
            <v>BCP</v>
          </cell>
          <cell r="J2682" t="str">
            <v>19170645233019</v>
          </cell>
          <cell r="K2682" t="str">
            <v>DNI</v>
          </cell>
          <cell r="L2682">
            <v>10724029596</v>
          </cell>
          <cell r="M2682" t="str">
            <v>URBANO PARTNER</v>
          </cell>
          <cell r="N2682">
            <v>45825.083333333336</v>
          </cell>
          <cell r="O2682">
            <v>0</v>
          </cell>
          <cell r="P2682" t="str">
            <v>XL</v>
          </cell>
        </row>
        <row r="2683">
          <cell r="A2683">
            <v>3578</v>
          </cell>
          <cell r="B2683">
            <v>3578</v>
          </cell>
          <cell r="C2683" t="str">
            <v>CERO MATRICULA</v>
          </cell>
          <cell r="D2683" t="str">
            <v>ACTIVO</v>
          </cell>
          <cell r="E2683" t="str">
            <v>VCM267</v>
          </cell>
          <cell r="F2683" t="str">
            <v xml:space="preserve">RODRIGUEZ RIVAS PEDRO DE JESUS </v>
          </cell>
          <cell r="G2683" t="str">
            <v xml:space="preserve">RODRIGUEZ RIVAS PEDRO DE JESUS </v>
          </cell>
          <cell r="H2683" t="str">
            <v>003367011</v>
          </cell>
          <cell r="I2683" t="str">
            <v>INTERBANK</v>
          </cell>
          <cell r="J2683" t="str">
            <v>2523369760304</v>
          </cell>
          <cell r="K2683" t="str">
            <v>CE</v>
          </cell>
          <cell r="L2683">
            <v>15604063067</v>
          </cell>
          <cell r="M2683" t="str">
            <v>AEROPUERTO</v>
          </cell>
          <cell r="N2683">
            <v>45826.416666666664</v>
          </cell>
          <cell r="O2683">
            <v>265</v>
          </cell>
          <cell r="P2683" t="str">
            <v>LITE</v>
          </cell>
        </row>
        <row r="2684">
          <cell r="A2684">
            <v>3579</v>
          </cell>
          <cell r="B2684">
            <v>3579</v>
          </cell>
          <cell r="C2684" t="str">
            <v>CERO MATRICULA</v>
          </cell>
          <cell r="D2684" t="str">
            <v>ACTIVO</v>
          </cell>
          <cell r="E2684" t="str">
            <v>CRV683</v>
          </cell>
          <cell r="F2684" t="str">
            <v>Paredes Escalante Luis Gustavo</v>
          </cell>
          <cell r="G2684" t="str">
            <v>Paredes Escalante Luis Gustavo</v>
          </cell>
          <cell r="H2684" t="str">
            <v>44367869</v>
          </cell>
          <cell r="I2684" t="str">
            <v>INTERBANK</v>
          </cell>
          <cell r="J2684" t="str">
            <v>8983262491643</v>
          </cell>
          <cell r="K2684" t="str">
            <v>DNI</v>
          </cell>
          <cell r="L2684">
            <v>10443678692</v>
          </cell>
          <cell r="M2684" t="str">
            <v>AEROPUERTO</v>
          </cell>
          <cell r="N2684">
            <v>45826.416666666664</v>
          </cell>
          <cell r="O2684">
            <v>235</v>
          </cell>
          <cell r="P2684" t="str">
            <v>COMFORT XL</v>
          </cell>
        </row>
        <row r="2685">
          <cell r="A2685">
            <v>3580</v>
          </cell>
          <cell r="B2685">
            <v>3580</v>
          </cell>
          <cell r="C2685" t="str">
            <v>CERO MATRICULA</v>
          </cell>
          <cell r="D2685" t="str">
            <v>ACTIVO</v>
          </cell>
          <cell r="E2685" t="str">
            <v>CRD345</v>
          </cell>
          <cell r="F2685" t="str">
            <v>Marquez Morelo ALEXANDER ANTONIO</v>
          </cell>
          <cell r="G2685" t="str">
            <v>Marquez Morelo ALEXANDER ANTONIO</v>
          </cell>
          <cell r="H2685" t="str">
            <v>005319766</v>
          </cell>
          <cell r="I2685" t="str">
            <v>BCP</v>
          </cell>
          <cell r="J2685" t="str">
            <v>19195095955018</v>
          </cell>
          <cell r="K2685" t="str">
            <v>CE</v>
          </cell>
          <cell r="L2685">
            <v>15611866850</v>
          </cell>
          <cell r="M2685" t="str">
            <v>AEROPUERTO</v>
          </cell>
          <cell r="N2685">
            <v>45826.416666666664</v>
          </cell>
          <cell r="O2685">
            <v>235</v>
          </cell>
          <cell r="P2685" t="str">
            <v>COMFORT XL</v>
          </cell>
        </row>
        <row r="2686">
          <cell r="A2686">
            <v>3581</v>
          </cell>
          <cell r="B2686">
            <v>3581</v>
          </cell>
          <cell r="C2686" t="str">
            <v>CERO MATRICULA</v>
          </cell>
          <cell r="D2686" t="str">
            <v>ACTIVO</v>
          </cell>
          <cell r="E2686" t="str">
            <v>CLB046</v>
          </cell>
          <cell r="F2686" t="str">
            <v>TELLO ABANTO DANIEL</v>
          </cell>
          <cell r="G2686" t="str">
            <v>TELLO ABANTO DANIEL</v>
          </cell>
          <cell r="H2686" t="str">
            <v>43156652</v>
          </cell>
          <cell r="I2686" t="str">
            <v>BCP</v>
          </cell>
          <cell r="J2686" t="str">
            <v>19195483728008</v>
          </cell>
          <cell r="K2686" t="str">
            <v>DNI</v>
          </cell>
          <cell r="L2686">
            <v>10431566520</v>
          </cell>
          <cell r="M2686" t="str">
            <v>AEROPUERTO</v>
          </cell>
          <cell r="N2686">
            <v>45826.416666666664</v>
          </cell>
          <cell r="O2686">
            <v>235</v>
          </cell>
          <cell r="P2686" t="str">
            <v>COMFORT XL</v>
          </cell>
        </row>
        <row r="2687">
          <cell r="A2687">
            <v>3582</v>
          </cell>
          <cell r="B2687">
            <v>3582</v>
          </cell>
          <cell r="C2687" t="str">
            <v>CERO MATRICULA</v>
          </cell>
          <cell r="D2687" t="str">
            <v>ACTIVO</v>
          </cell>
          <cell r="E2687" t="str">
            <v>CLO349</v>
          </cell>
          <cell r="F2687" t="str">
            <v>Estrella Ventocilla Freddy Moises</v>
          </cell>
          <cell r="G2687" t="str">
            <v>Estrella Ventocilla Freddy Moises</v>
          </cell>
          <cell r="H2687" t="str">
            <v>10743432</v>
          </cell>
          <cell r="I2687" t="str">
            <v>BCP</v>
          </cell>
          <cell r="J2687" t="str">
            <v>19323931527058</v>
          </cell>
          <cell r="K2687" t="str">
            <v>DNI</v>
          </cell>
          <cell r="L2687">
            <v>10107434327</v>
          </cell>
          <cell r="M2687" t="str">
            <v>URBANO PARTNER</v>
          </cell>
          <cell r="N2687">
            <v>45826.416666666664</v>
          </cell>
          <cell r="O2687">
            <v>0</v>
          </cell>
          <cell r="P2687" t="str">
            <v>LITE</v>
          </cell>
        </row>
        <row r="2688">
          <cell r="A2688">
            <v>5001</v>
          </cell>
          <cell r="B2688">
            <v>5001</v>
          </cell>
          <cell r="C2688" t="str">
            <v>CERO MATRICULA</v>
          </cell>
          <cell r="D2688" t="str">
            <v>ACTIVO</v>
          </cell>
          <cell r="E2688" t="str">
            <v>CRU305</v>
          </cell>
          <cell r="F2688" t="str">
            <v>Chavez Hernandez Gian Pierre Miguel</v>
          </cell>
          <cell r="G2688" t="str">
            <v>Chavez Hernandez Gian Pierre Miguel</v>
          </cell>
          <cell r="H2688" t="str">
            <v>45674959</v>
          </cell>
          <cell r="I2688" t="str">
            <v>BBVA</v>
          </cell>
          <cell r="J2688" t="str">
            <v>001108140220273712</v>
          </cell>
          <cell r="K2688" t="str">
            <v>DNI</v>
          </cell>
          <cell r="L2688">
            <v>10456749599</v>
          </cell>
          <cell r="M2688" t="str">
            <v>URBANO PARTNER</v>
          </cell>
          <cell r="N2688">
            <v>45825.083333333336</v>
          </cell>
          <cell r="O2688">
            <v>0</v>
          </cell>
          <cell r="P2688" t="str">
            <v>COMFORT XL</v>
          </cell>
        </row>
        <row r="2689">
          <cell r="A2689">
            <v>8504</v>
          </cell>
          <cell r="B2689">
            <v>8504</v>
          </cell>
          <cell r="C2689" t="str">
            <v>CERO MATRICULA</v>
          </cell>
          <cell r="D2689" t="str">
            <v>ACTIVO</v>
          </cell>
          <cell r="E2689" t="str">
            <v>ASO473</v>
          </cell>
          <cell r="F2689" t="str">
            <v>Cordova Escalante Josue Manuel</v>
          </cell>
          <cell r="G2689" t="str">
            <v xml:space="preserve"> Llancari Mejia Rocyzela Ericka </v>
          </cell>
          <cell r="H2689" t="str">
            <v>75011954</v>
          </cell>
          <cell r="I2689" t="str">
            <v>BCP</v>
          </cell>
          <cell r="J2689" t="str">
            <v>19406751270063</v>
          </cell>
          <cell r="K2689" t="str">
            <v>DNI</v>
          </cell>
          <cell r="L2689">
            <v>10750119544</v>
          </cell>
          <cell r="M2689" t="str">
            <v>URBANO PARTNER</v>
          </cell>
          <cell r="N2689">
            <v>45825.083333333336</v>
          </cell>
          <cell r="O2689">
            <v>0</v>
          </cell>
          <cell r="P2689" t="str">
            <v>COMFORT</v>
          </cell>
        </row>
        <row r="2690">
          <cell r="A2690">
            <v>2970</v>
          </cell>
          <cell r="B2690">
            <v>2970</v>
          </cell>
          <cell r="C2690" t="str">
            <v>CERO MATRICULA</v>
          </cell>
          <cell r="D2690" t="str">
            <v>ACTIVO</v>
          </cell>
          <cell r="E2690" t="str">
            <v>FLTOA PROPIA</v>
          </cell>
          <cell r="F2690" t="str">
            <v>FLOTA PROPIA</v>
          </cell>
          <cell r="G2690" t="str">
            <v>FLOTA PROPIA</v>
          </cell>
          <cell r="H2690" t="str">
            <v>FLOTA PROPIA</v>
          </cell>
          <cell r="I2690" t="str">
            <v>FLOTA PROPIA</v>
          </cell>
          <cell r="J2690" t="str">
            <v>FLOTA PROPIA</v>
          </cell>
          <cell r="K2690" t="str">
            <v>FLOTA PROPIA</v>
          </cell>
          <cell r="L2690" t="str">
            <v>FLOTA PROPIA</v>
          </cell>
          <cell r="M2690" t="str">
            <v>FLOTA PROPIA</v>
          </cell>
          <cell r="N2690">
            <v>45845</v>
          </cell>
          <cell r="O2690">
            <v>0</v>
          </cell>
          <cell r="P2690" t="str">
            <v>COMFORT XL</v>
          </cell>
        </row>
        <row r="2691">
          <cell r="A2691">
            <v>2969</v>
          </cell>
          <cell r="B2691">
            <v>2969</v>
          </cell>
          <cell r="C2691" t="str">
            <v>CERO MATRICULA</v>
          </cell>
          <cell r="D2691" t="str">
            <v>ACTIVO</v>
          </cell>
          <cell r="E2691" t="str">
            <v>FLTOA PROPIA</v>
          </cell>
          <cell r="F2691" t="str">
            <v>FLOTA PROPIA</v>
          </cell>
          <cell r="G2691" t="str">
            <v>FLOTA PROPIA</v>
          </cell>
          <cell r="H2691" t="str">
            <v>FLOTA PROPIA</v>
          </cell>
          <cell r="I2691" t="str">
            <v>FLOTA PROPIA</v>
          </cell>
          <cell r="J2691" t="str">
            <v>FLOTA PROPIA</v>
          </cell>
          <cell r="K2691" t="str">
            <v>FLOTA PROPIA</v>
          </cell>
          <cell r="L2691" t="str">
            <v>FLOTA PROPIA</v>
          </cell>
          <cell r="M2691" t="str">
            <v>FLOTA PROPIA</v>
          </cell>
          <cell r="N2691">
            <v>45845</v>
          </cell>
          <cell r="O2691">
            <v>0</v>
          </cell>
          <cell r="P2691" t="str">
            <v>VAN</v>
          </cell>
        </row>
        <row r="2692">
          <cell r="A2692">
            <v>290</v>
          </cell>
          <cell r="B2692">
            <v>290</v>
          </cell>
          <cell r="C2692" t="str">
            <v>CERO MATRICULA</v>
          </cell>
          <cell r="D2692" t="str">
            <v>ACTIVO</v>
          </cell>
          <cell r="E2692" t="str">
            <v>BUG478</v>
          </cell>
          <cell r="F2692" t="str">
            <v>LEON ALVARADO ELARD</v>
          </cell>
          <cell r="G2692" t="str">
            <v>LEON ALVARADO ELARD</v>
          </cell>
          <cell r="H2692" t="str">
            <v>25830677</v>
          </cell>
          <cell r="I2692" t="str">
            <v>BCP</v>
          </cell>
          <cell r="J2692" t="str">
            <v>19238836293076</v>
          </cell>
          <cell r="K2692" t="str">
            <v>DNI</v>
          </cell>
          <cell r="L2692">
            <v>10258306771</v>
          </cell>
          <cell r="M2692" t="str">
            <v>AEROPUERTO</v>
          </cell>
          <cell r="N2692">
            <v>44851</v>
          </cell>
          <cell r="O2692">
            <v>235</v>
          </cell>
          <cell r="P2692" t="str">
            <v>COMFORT XL</v>
          </cell>
        </row>
        <row r="2693">
          <cell r="A2693">
            <v>1845</v>
          </cell>
          <cell r="B2693">
            <v>1845</v>
          </cell>
          <cell r="C2693" t="str">
            <v>CERO MATRICULA</v>
          </cell>
          <cell r="D2693" t="str">
            <v>ACTIVO</v>
          </cell>
          <cell r="E2693" t="str">
            <v>CPP307</v>
          </cell>
          <cell r="F2693" t="str">
            <v>Santos Huaraj Jaime Víctor</v>
          </cell>
          <cell r="G2693" t="str">
            <v>SANTOS HUARAJ JAIME VICTOR</v>
          </cell>
          <cell r="H2693">
            <v>76624917</v>
          </cell>
          <cell r="I2693" t="str">
            <v>BCP</v>
          </cell>
          <cell r="J2693" t="str">
            <v>19105013523064</v>
          </cell>
          <cell r="K2693" t="str">
            <v>DNI</v>
          </cell>
          <cell r="L2693">
            <v>10766249171</v>
          </cell>
          <cell r="M2693" t="str">
            <v>AEROPUERTO</v>
          </cell>
          <cell r="N2693">
            <v>45729.125</v>
          </cell>
          <cell r="O2693">
            <v>240</v>
          </cell>
          <cell r="P2693" t="str">
            <v>XL</v>
          </cell>
        </row>
        <row r="2694">
          <cell r="A2694">
            <v>1866</v>
          </cell>
          <cell r="B2694">
            <v>1866</v>
          </cell>
          <cell r="C2694" t="str">
            <v>CERO MATRICULA</v>
          </cell>
          <cell r="D2694" t="str">
            <v>ACTIVO</v>
          </cell>
          <cell r="E2694"/>
          <cell r="F2694" t="str">
            <v>MATERAN JIMENEZ JUAN JOSE</v>
          </cell>
          <cell r="G2694" t="str">
            <v>MATERAN JIMENEZ JUAN JOSE</v>
          </cell>
          <cell r="H2694" t="str">
            <v>0022288854</v>
          </cell>
          <cell r="I2694" t="str">
            <v>BBVA</v>
          </cell>
          <cell r="J2694" t="str">
            <v>001103380200524185</v>
          </cell>
          <cell r="K2694" t="str">
            <v>CE</v>
          </cell>
          <cell r="L2694">
            <v>15604984294</v>
          </cell>
          <cell r="M2694" t="str">
            <v>AEROPUERTO</v>
          </cell>
          <cell r="N2694">
            <v>45835</v>
          </cell>
          <cell r="O2694">
            <v>235</v>
          </cell>
          <cell r="P2694" t="str">
            <v>COMFORT XL</v>
          </cell>
        </row>
        <row r="2695">
          <cell r="A2695">
            <v>1888</v>
          </cell>
          <cell r="B2695">
            <v>1888</v>
          </cell>
          <cell r="C2695" t="str">
            <v>CERO MATRICULA</v>
          </cell>
          <cell r="D2695" t="str">
            <v>ACTIVO</v>
          </cell>
          <cell r="E2695" t="str">
            <v>CEZ487</v>
          </cell>
          <cell r="F2695" t="str">
            <v>CASTAÑEDA TOVAR HOWARDS ALFONSO</v>
          </cell>
          <cell r="G2695" t="str">
            <v>CASTAÑEDA TOVAR HOWARDS ALFONSO</v>
          </cell>
          <cell r="H2695" t="str">
            <v>005310763</v>
          </cell>
          <cell r="I2695" t="str">
            <v>BCP</v>
          </cell>
          <cell r="J2695" t="str">
            <v>19658841605453</v>
          </cell>
          <cell r="K2695" t="str">
            <v>CE</v>
          </cell>
          <cell r="L2695">
            <v>15609845624</v>
          </cell>
          <cell r="M2695" t="str">
            <v>AEROPUERTO</v>
          </cell>
          <cell r="N2695">
            <v>45754</v>
          </cell>
          <cell r="O2695">
            <v>235</v>
          </cell>
          <cell r="P2695" t="str">
            <v>COMFORT XL</v>
          </cell>
        </row>
        <row r="2696">
          <cell r="A2696">
            <v>2093</v>
          </cell>
          <cell r="B2696">
            <v>2093</v>
          </cell>
          <cell r="C2696" t="str">
            <v>CERO MATRICULA</v>
          </cell>
          <cell r="D2696" t="str">
            <v>ACTIVO</v>
          </cell>
          <cell r="E2696" t="str">
            <v>ALY560</v>
          </cell>
          <cell r="F2696" t="str">
            <v>ROJAS BENITES LUIS ANDREE</v>
          </cell>
          <cell r="G2696" t="str">
            <v>ROJAS BENITES LUIS ANDREE</v>
          </cell>
          <cell r="H2696" t="str">
            <v>72694636</v>
          </cell>
          <cell r="I2696" t="str">
            <v>BCP</v>
          </cell>
          <cell r="J2696" t="str">
            <v>194-06340706-0-53</v>
          </cell>
          <cell r="K2696" t="str">
            <v>DNI</v>
          </cell>
          <cell r="L2696">
            <v>10726946367</v>
          </cell>
          <cell r="M2696" t="str">
            <v>AEROPUERTO</v>
          </cell>
          <cell r="N2696">
            <v>45075</v>
          </cell>
          <cell r="O2696">
            <v>265</v>
          </cell>
          <cell r="P2696" t="str">
            <v>LITE</v>
          </cell>
        </row>
        <row r="2697">
          <cell r="A2697">
            <v>2851</v>
          </cell>
          <cell r="B2697">
            <v>2851</v>
          </cell>
          <cell r="C2697" t="str">
            <v>CERO MATRICULA</v>
          </cell>
          <cell r="D2697" t="str">
            <v>ACTIVO</v>
          </cell>
          <cell r="E2697" t="str">
            <v>CJA410</v>
          </cell>
          <cell r="F2697" t="str">
            <v>Garcia Cuellar Raul Henry</v>
          </cell>
          <cell r="G2697" t="str">
            <v>Garcia Cuellar Raul Henry</v>
          </cell>
          <cell r="H2697" t="str">
            <v>09767521</v>
          </cell>
          <cell r="I2697" t="str">
            <v>BCP</v>
          </cell>
          <cell r="J2697" t="str">
            <v>19125088767087</v>
          </cell>
          <cell r="K2697" t="str">
            <v>DNI</v>
          </cell>
          <cell r="L2697">
            <v>10097675215</v>
          </cell>
          <cell r="M2697" t="str">
            <v>AEROPUERTO</v>
          </cell>
          <cell r="N2697">
            <v>45771.416666666664</v>
          </cell>
          <cell r="O2697">
            <v>240</v>
          </cell>
          <cell r="P2697" t="str">
            <v>XL</v>
          </cell>
        </row>
        <row r="2698">
          <cell r="A2698">
            <v>2962</v>
          </cell>
          <cell r="B2698">
            <v>2962</v>
          </cell>
          <cell r="C2698" t="str">
            <v>CERO MATRICULA</v>
          </cell>
          <cell r="D2698" t="str">
            <v>ACTIVO</v>
          </cell>
          <cell r="E2698" t="str">
            <v>CLT420</v>
          </cell>
          <cell r="F2698" t="str">
            <v>Noguera Perez Anthony</v>
          </cell>
          <cell r="G2698" t="str">
            <v>Noguera Perez Anthony</v>
          </cell>
          <cell r="H2698" t="str">
            <v>002368245</v>
          </cell>
          <cell r="I2698" t="str">
            <v>BBVA</v>
          </cell>
          <cell r="J2698" t="str">
            <v>001103350200467746</v>
          </cell>
          <cell r="K2698" t="str">
            <v>CE</v>
          </cell>
          <cell r="L2698">
            <v>15603478603</v>
          </cell>
          <cell r="M2698" t="str">
            <v>AEROLINEAS</v>
          </cell>
          <cell r="N2698">
            <v>45834.125</v>
          </cell>
          <cell r="O2698">
            <v>0</v>
          </cell>
          <cell r="P2698" t="str">
            <v>LITE</v>
          </cell>
        </row>
        <row r="2699">
          <cell r="A2699">
            <v>2966</v>
          </cell>
          <cell r="B2699">
            <v>2966</v>
          </cell>
          <cell r="C2699" t="str">
            <v>CERO MATRICULA</v>
          </cell>
          <cell r="D2699" t="str">
            <v>ACTIVO</v>
          </cell>
          <cell r="E2699" t="str">
            <v>CNM544</v>
          </cell>
          <cell r="F2699" t="str">
            <v>Espinoza Solis Santiago Marvin</v>
          </cell>
          <cell r="G2699" t="str">
            <v>Espinoza Solis Santiago Marvin</v>
          </cell>
          <cell r="H2699" t="str">
            <v>76157897</v>
          </cell>
          <cell r="I2699" t="str">
            <v>INTERBANK</v>
          </cell>
          <cell r="J2699" t="str">
            <v>8983273973640</v>
          </cell>
          <cell r="K2699" t="str">
            <v>DNI</v>
          </cell>
          <cell r="L2699">
            <v>10761578974</v>
          </cell>
          <cell r="M2699" t="str">
            <v>AEROLINEAS</v>
          </cell>
          <cell r="N2699">
            <v>45834.125</v>
          </cell>
          <cell r="O2699">
            <v>0</v>
          </cell>
          <cell r="P2699" t="str">
            <v>COMFORT XL</v>
          </cell>
        </row>
        <row r="2700">
          <cell r="A2700">
            <v>2967</v>
          </cell>
          <cell r="B2700">
            <v>2967</v>
          </cell>
          <cell r="C2700" t="str">
            <v>CERO MATRICULA</v>
          </cell>
          <cell r="D2700" t="str">
            <v>ACTIVO</v>
          </cell>
          <cell r="E2700" t="str">
            <v>CKB203</v>
          </cell>
          <cell r="F2700" t="str">
            <v>Coronado Parra Manuel gregorio</v>
          </cell>
          <cell r="G2700" t="str">
            <v>Coronado Parra Manuel gregorio</v>
          </cell>
          <cell r="H2700" t="str">
            <v>003813118</v>
          </cell>
          <cell r="I2700" t="str">
            <v>BCP</v>
          </cell>
          <cell r="J2700" t="str">
            <v>19170881432004</v>
          </cell>
          <cell r="K2700" t="str">
            <v>CE</v>
          </cell>
          <cell r="L2700">
            <v>15605441642</v>
          </cell>
          <cell r="M2700" t="str">
            <v>AEROLINEAS</v>
          </cell>
          <cell r="N2700">
            <v>45834.125</v>
          </cell>
          <cell r="O2700">
            <v>0</v>
          </cell>
          <cell r="P2700" t="str">
            <v>XL</v>
          </cell>
        </row>
        <row r="2701">
          <cell r="A2701">
            <v>2968</v>
          </cell>
          <cell r="B2701">
            <v>2968</v>
          </cell>
          <cell r="C2701" t="str">
            <v>CERO MATRICULA</v>
          </cell>
          <cell r="D2701" t="str">
            <v>ACTIVO</v>
          </cell>
          <cell r="E2701" t="str">
            <v>CSJ133</v>
          </cell>
          <cell r="F2701" t="str">
            <v>Palacio Quintana Luis Ángel</v>
          </cell>
          <cell r="G2701" t="str">
            <v>Palacio Quintana Luis Ángel</v>
          </cell>
          <cell r="H2701" t="str">
            <v>005442137</v>
          </cell>
          <cell r="I2701" t="str">
            <v>BCP</v>
          </cell>
          <cell r="J2701" t="str">
            <v>19194874282005</v>
          </cell>
          <cell r="K2701" t="str">
            <v>CE</v>
          </cell>
          <cell r="L2701">
            <v>15614393375</v>
          </cell>
          <cell r="M2701" t="str">
            <v>AEROLINEAS</v>
          </cell>
          <cell r="N2701">
            <v>45834.125</v>
          </cell>
          <cell r="O2701">
            <v>0</v>
          </cell>
          <cell r="P2701" t="str">
            <v>LITE</v>
          </cell>
        </row>
        <row r="2702">
          <cell r="A2702">
            <v>3098</v>
          </cell>
          <cell r="B2702">
            <v>3098</v>
          </cell>
          <cell r="C2702" t="str">
            <v>CERO MATRICULA</v>
          </cell>
          <cell r="D2702" t="str">
            <v>ACTIVO</v>
          </cell>
          <cell r="E2702" t="str">
            <v>CPC588</v>
          </cell>
          <cell r="F2702" t="str">
            <v xml:space="preserve">Meneses Milano Gustavo Adolfo </v>
          </cell>
          <cell r="G2702" t="str">
            <v xml:space="preserve">Meneses Milano Gustavo Adolfo </v>
          </cell>
          <cell r="H2702" t="str">
            <v>003427476</v>
          </cell>
          <cell r="I2702" t="str">
            <v>BCP</v>
          </cell>
          <cell r="J2702" t="str">
            <v>19403666490023</v>
          </cell>
          <cell r="K2702" t="str">
            <v>CE</v>
          </cell>
          <cell r="L2702">
            <v>15606083545</v>
          </cell>
          <cell r="M2702" t="str">
            <v>AEROLINEAS</v>
          </cell>
          <cell r="N2702">
            <v>45834.125</v>
          </cell>
          <cell r="O2702">
            <v>0</v>
          </cell>
          <cell r="P2702" t="str">
            <v>COMFORT</v>
          </cell>
        </row>
        <row r="2703">
          <cell r="A2703">
            <v>3542</v>
          </cell>
          <cell r="B2703">
            <v>3542</v>
          </cell>
          <cell r="C2703" t="str">
            <v>CERO MATRICULA</v>
          </cell>
          <cell r="D2703" t="str">
            <v>ACTIVO</v>
          </cell>
          <cell r="E2703" t="str">
            <v>CPY142</v>
          </cell>
          <cell r="F2703" t="str">
            <v>Sánchez Deza Daniel Gonzalo</v>
          </cell>
          <cell r="G2703" t="str">
            <v xml:space="preserve">Daniel Gonzalo Sánchez Deza </v>
          </cell>
          <cell r="H2703" t="str">
            <v>40153750</v>
          </cell>
          <cell r="I2703" t="str">
            <v>BCP</v>
          </cell>
          <cell r="J2703" t="str">
            <v>19403028063048</v>
          </cell>
          <cell r="K2703" t="str">
            <v>DNI</v>
          </cell>
          <cell r="L2703">
            <v>10401537509</v>
          </cell>
          <cell r="M2703" t="str">
            <v>URBANO PARTNER</v>
          </cell>
          <cell r="N2703">
            <v>45812</v>
          </cell>
          <cell r="O2703">
            <v>0</v>
          </cell>
          <cell r="P2703" t="str">
            <v>COMFORT XL</v>
          </cell>
        </row>
        <row r="2704">
          <cell r="A2704">
            <v>3561</v>
          </cell>
          <cell r="B2704">
            <v>3561</v>
          </cell>
          <cell r="C2704" t="str">
            <v>CERO MATRICULA</v>
          </cell>
          <cell r="D2704" t="str">
            <v>ACTIVO</v>
          </cell>
          <cell r="E2704" t="str">
            <v>CMJ273</v>
          </cell>
          <cell r="F2704" t="str">
            <v>Ruiz Tovar Edgar Hernan</v>
          </cell>
          <cell r="G2704" t="str">
            <v>Ruiz Tovar Edgar Hernan</v>
          </cell>
          <cell r="H2704">
            <v>9905246</v>
          </cell>
          <cell r="I2704" t="str">
            <v>BCP</v>
          </cell>
          <cell r="J2704" t="str">
            <v>19296169073075</v>
          </cell>
          <cell r="K2704" t="str">
            <v>DNI</v>
          </cell>
          <cell r="L2704">
            <v>10099052461</v>
          </cell>
          <cell r="M2704" t="str">
            <v>AEROPUERTO</v>
          </cell>
          <cell r="N2704">
            <v>45819.416666666664</v>
          </cell>
          <cell r="O2704">
            <v>235</v>
          </cell>
          <cell r="P2704" t="str">
            <v>COMFORT XL</v>
          </cell>
        </row>
        <row r="2705">
          <cell r="A2705">
            <v>3576</v>
          </cell>
          <cell r="B2705">
            <v>3576</v>
          </cell>
          <cell r="C2705" t="str">
            <v>CERO MATRICULA</v>
          </cell>
          <cell r="D2705" t="str">
            <v>ACTIVO</v>
          </cell>
          <cell r="E2705" t="str">
            <v>CNJ351</v>
          </cell>
          <cell r="F2705" t="str">
            <v>López Espinoza Jesus Antonio</v>
          </cell>
          <cell r="G2705" t="str">
            <v>Lopez Espinoza Jesus Antonio</v>
          </cell>
          <cell r="H2705" t="str">
            <v>004006434</v>
          </cell>
          <cell r="I2705" t="str">
            <v>BCP</v>
          </cell>
          <cell r="J2705" t="str">
            <v>19106218689002</v>
          </cell>
          <cell r="K2705" t="str">
            <v>CE</v>
          </cell>
          <cell r="L2705">
            <v>15608050857</v>
          </cell>
          <cell r="M2705" t="str">
            <v>AEROPUERTO</v>
          </cell>
          <cell r="N2705">
            <v>45826.416666666664</v>
          </cell>
          <cell r="O2705">
            <v>265</v>
          </cell>
          <cell r="P2705" t="str">
            <v>LITE</v>
          </cell>
        </row>
        <row r="2706">
          <cell r="A2706">
            <v>3577</v>
          </cell>
          <cell r="B2706">
            <v>3577</v>
          </cell>
          <cell r="C2706" t="str">
            <v>CERO MATRICULA</v>
          </cell>
          <cell r="D2706" t="str">
            <v>ACTIVO</v>
          </cell>
          <cell r="E2706" t="str">
            <v>CNJ345</v>
          </cell>
          <cell r="F2706" t="str">
            <v>Meléndez Meléndez Andeivi</v>
          </cell>
          <cell r="G2706" t="str">
            <v>Melendez Meléndez Andeivi</v>
          </cell>
          <cell r="H2706" t="str">
            <v>004492092</v>
          </cell>
          <cell r="I2706" t="str">
            <v>BCP</v>
          </cell>
          <cell r="J2706" t="str">
            <v>19195521463024</v>
          </cell>
          <cell r="K2706" t="str">
            <v>CE</v>
          </cell>
          <cell r="L2706">
            <v>15614352016</v>
          </cell>
          <cell r="M2706" t="str">
            <v>URBANO PARTNER</v>
          </cell>
          <cell r="N2706">
            <v>45826.416666666664</v>
          </cell>
          <cell r="O2706">
            <v>0</v>
          </cell>
          <cell r="P2706" t="str">
            <v>LITE</v>
          </cell>
        </row>
        <row r="2707">
          <cell r="A2707">
            <v>3584</v>
          </cell>
          <cell r="B2707">
            <v>3584</v>
          </cell>
          <cell r="C2707" t="str">
            <v>CERO MATRICULA</v>
          </cell>
          <cell r="D2707" t="str">
            <v>ACTIVO</v>
          </cell>
          <cell r="E2707" t="str">
            <v>BRO384</v>
          </cell>
          <cell r="F2707" t="str">
            <v>Sánchez Baca Franklin Alberto</v>
          </cell>
          <cell r="G2707" t="str">
            <v>Sanchez Baca Franklin Alberto</v>
          </cell>
          <cell r="H2707">
            <v>46399135</v>
          </cell>
          <cell r="I2707" t="str">
            <v>BCP</v>
          </cell>
          <cell r="J2707" t="str">
            <v>19392234673034</v>
          </cell>
          <cell r="K2707" t="str">
            <v>DNI</v>
          </cell>
          <cell r="L2707">
            <v>10463991354</v>
          </cell>
          <cell r="M2707" t="str">
            <v>URBANO PARTNER</v>
          </cell>
          <cell r="N2707">
            <v>45832.083333333336</v>
          </cell>
          <cell r="O2707">
            <v>0</v>
          </cell>
          <cell r="P2707" t="str">
            <v>LITE</v>
          </cell>
        </row>
        <row r="2708">
          <cell r="A2708">
            <v>3585</v>
          </cell>
          <cell r="B2708">
            <v>3585</v>
          </cell>
          <cell r="C2708" t="str">
            <v>CERO MATRICULA</v>
          </cell>
          <cell r="D2708" t="str">
            <v>ACTIVO</v>
          </cell>
          <cell r="E2708" t="str">
            <v>BNQ270</v>
          </cell>
          <cell r="F2708" t="str">
            <v>Cotera Osores Kevin fidel</v>
          </cell>
          <cell r="G2708" t="str">
            <v>Cotera Osores Kevin fidel</v>
          </cell>
          <cell r="H2708">
            <v>73344126</v>
          </cell>
          <cell r="I2708" t="str">
            <v>BCP</v>
          </cell>
          <cell r="J2708" t="str">
            <v>19191604454049</v>
          </cell>
          <cell r="K2708" t="str">
            <v>DNI</v>
          </cell>
          <cell r="L2708">
            <v>10733441262</v>
          </cell>
          <cell r="M2708" t="str">
            <v>URBANO PARTNER</v>
          </cell>
          <cell r="N2708">
            <v>45832.583333333336</v>
          </cell>
          <cell r="O2708">
            <v>0</v>
          </cell>
          <cell r="P2708" t="str">
            <v>LITE</v>
          </cell>
        </row>
        <row r="2709">
          <cell r="A2709">
            <v>3586</v>
          </cell>
          <cell r="B2709">
            <v>3586</v>
          </cell>
          <cell r="C2709" t="str">
            <v>CERO MATRICULA</v>
          </cell>
          <cell r="D2709" t="str">
            <v>ACTIVO</v>
          </cell>
          <cell r="E2709" t="str">
            <v>CNC593</v>
          </cell>
          <cell r="F2709" t="str">
            <v>Yarleque Rios Brian stewar</v>
          </cell>
          <cell r="G2709" t="str">
            <v>Yarleque Rios Brian stewar</v>
          </cell>
          <cell r="H2709">
            <v>46127565</v>
          </cell>
          <cell r="I2709" t="str">
            <v>BCP</v>
          </cell>
          <cell r="J2709" t="str">
            <v>19299518023053</v>
          </cell>
          <cell r="K2709" t="str">
            <v>DNI</v>
          </cell>
          <cell r="L2709">
            <v>10461275651</v>
          </cell>
          <cell r="M2709" t="str">
            <v>URBANO PARTNER</v>
          </cell>
          <cell r="N2709">
            <v>45832.083333333336</v>
          </cell>
          <cell r="O2709">
            <v>0</v>
          </cell>
          <cell r="P2709" t="str">
            <v>LITE</v>
          </cell>
        </row>
        <row r="2710">
          <cell r="A2710">
            <v>3587</v>
          </cell>
          <cell r="B2710">
            <v>3587</v>
          </cell>
          <cell r="C2710" t="str">
            <v>CERO MATRICULA</v>
          </cell>
          <cell r="D2710" t="str">
            <v>ACTIVO</v>
          </cell>
          <cell r="E2710" t="str">
            <v>BYW154</v>
          </cell>
          <cell r="F2710" t="str">
            <v>Vega Chavez Alfonso Arturo</v>
          </cell>
          <cell r="G2710" t="str">
            <v>Vega Chavez Alfonso Arturo</v>
          </cell>
          <cell r="H2710">
            <v>46513390</v>
          </cell>
          <cell r="I2710" t="str">
            <v>BCP</v>
          </cell>
          <cell r="J2710" t="str">
            <v>19494857847004</v>
          </cell>
          <cell r="K2710" t="str">
            <v>DNI</v>
          </cell>
          <cell r="L2710">
            <v>10465133908</v>
          </cell>
          <cell r="M2710" t="str">
            <v>URBANO PARTNER</v>
          </cell>
          <cell r="N2710">
            <v>45832.083333333336</v>
          </cell>
          <cell r="O2710">
            <v>0</v>
          </cell>
          <cell r="P2710" t="str">
            <v>LITE</v>
          </cell>
        </row>
        <row r="2711">
          <cell r="A2711">
            <v>3588</v>
          </cell>
          <cell r="B2711">
            <v>3588</v>
          </cell>
          <cell r="C2711" t="str">
            <v>CERO MATRICULA</v>
          </cell>
          <cell r="D2711" t="str">
            <v>ACTIVO</v>
          </cell>
          <cell r="E2711" t="str">
            <v>CSL004</v>
          </cell>
          <cell r="F2711" t="str">
            <v>Morales Fuenmayor Edinson</v>
          </cell>
          <cell r="G2711" t="str">
            <v>Morales Fuenmayor Edinson</v>
          </cell>
          <cell r="H2711" t="str">
            <v>003716038</v>
          </cell>
          <cell r="I2711" t="str">
            <v>BCP</v>
          </cell>
          <cell r="J2711" t="str">
            <v>19499543610099</v>
          </cell>
          <cell r="K2711" t="str">
            <v>CE</v>
          </cell>
          <cell r="L2711">
            <v>15607717319</v>
          </cell>
          <cell r="M2711" t="str">
            <v>URBANO PARTNER</v>
          </cell>
          <cell r="N2711">
            <v>45832.083333333336</v>
          </cell>
          <cell r="O2711">
            <v>0</v>
          </cell>
          <cell r="P2711" t="str">
            <v>XL</v>
          </cell>
        </row>
        <row r="2712">
          <cell r="A2712">
            <v>3589</v>
          </cell>
          <cell r="B2712">
            <v>3589</v>
          </cell>
          <cell r="C2712" t="str">
            <v>CERO MATRICULA</v>
          </cell>
          <cell r="D2712" t="str">
            <v>ACTIVO</v>
          </cell>
          <cell r="E2712" t="str">
            <v>CSY549</v>
          </cell>
          <cell r="F2712" t="str">
            <v>Muñoz Benítez Gustavo Armando</v>
          </cell>
          <cell r="G2712" t="str">
            <v>Muñoz Benítez Gustavo Armando</v>
          </cell>
          <cell r="H2712">
            <v>49008471</v>
          </cell>
          <cell r="I2712" t="str">
            <v>INTERBANK</v>
          </cell>
          <cell r="J2712" t="str">
            <v>8983413826278</v>
          </cell>
          <cell r="K2712" t="str">
            <v>DNI</v>
          </cell>
          <cell r="L2712">
            <v>10490084717</v>
          </cell>
          <cell r="M2712" t="str">
            <v>URBANO PARTNER</v>
          </cell>
          <cell r="N2712">
            <v>45832.583333333336</v>
          </cell>
          <cell r="O2712">
            <v>0</v>
          </cell>
          <cell r="P2712" t="str">
            <v>COMFORT XL</v>
          </cell>
        </row>
        <row r="2713">
          <cell r="A2713">
            <v>3593</v>
          </cell>
          <cell r="B2713">
            <v>3593</v>
          </cell>
          <cell r="C2713" t="str">
            <v>CERO MATRICULA</v>
          </cell>
          <cell r="D2713" t="str">
            <v>ACTIVO</v>
          </cell>
          <cell r="E2713" t="str">
            <v>CSI292</v>
          </cell>
          <cell r="F2713" t="str">
            <v>Quiroz Vásquez Jose</v>
          </cell>
          <cell r="G2713" t="str">
            <v>Quiroz Vásquez Jose</v>
          </cell>
          <cell r="H2713">
            <v>10369446</v>
          </cell>
          <cell r="I2713" t="str">
            <v>INTERBANK</v>
          </cell>
          <cell r="J2713" t="str">
            <v>4363474164779</v>
          </cell>
          <cell r="K2713" t="str">
            <v>DNI</v>
          </cell>
          <cell r="L2713">
            <v>10103694464</v>
          </cell>
          <cell r="M2713" t="str">
            <v>URBANO PARTNER</v>
          </cell>
          <cell r="N2713">
            <v>45833.416666666664</v>
          </cell>
          <cell r="O2713">
            <v>0</v>
          </cell>
          <cell r="P2713" t="str">
            <v>COMFORT XL</v>
          </cell>
        </row>
        <row r="2714">
          <cell r="A2714">
            <v>4117</v>
          </cell>
          <cell r="B2714">
            <v>4117</v>
          </cell>
          <cell r="C2714" t="str">
            <v>CERO MATRICULA</v>
          </cell>
          <cell r="D2714" t="str">
            <v>ACTIVO</v>
          </cell>
          <cell r="E2714" t="str">
            <v>CSS593</v>
          </cell>
          <cell r="F2714" t="str">
            <v>Márquez Ramos Gabriel</v>
          </cell>
          <cell r="G2714" t="str">
            <v>Marquez Ramos Gabriel</v>
          </cell>
          <cell r="H2714">
            <v>45371547</v>
          </cell>
          <cell r="I2714" t="str">
            <v>BCP</v>
          </cell>
          <cell r="J2714" t="str">
            <v>19133673970009</v>
          </cell>
          <cell r="K2714" t="str">
            <v>DNI</v>
          </cell>
          <cell r="L2714">
            <v>10453715472</v>
          </cell>
          <cell r="M2714" t="str">
            <v>URBANO PARTNER</v>
          </cell>
          <cell r="N2714">
            <v>45832.583333333336</v>
          </cell>
          <cell r="O2714">
            <v>0</v>
          </cell>
          <cell r="P2714" t="str">
            <v>COMFORT XL</v>
          </cell>
        </row>
        <row r="2715">
          <cell r="A2715">
            <v>9083</v>
          </cell>
          <cell r="B2715">
            <v>9083</v>
          </cell>
          <cell r="C2715" t="str">
            <v>CERO MATRICULA</v>
          </cell>
          <cell r="D2715" t="str">
            <v>ACTIVO</v>
          </cell>
          <cell r="E2715" t="str">
            <v>BHN549</v>
          </cell>
          <cell r="F2715" t="str">
            <v>Poblete Salcedo César Hugo</v>
          </cell>
          <cell r="G2715" t="str">
            <v>Poblete Salcedo César Hugo</v>
          </cell>
          <cell r="H2715" t="str">
            <v>44900947</v>
          </cell>
          <cell r="I2715" t="str">
            <v>INTERBANK</v>
          </cell>
          <cell r="J2715" t="str">
            <v xml:space="preserve"> 898 3474445390</v>
          </cell>
          <cell r="K2715" t="str">
            <v>DNI</v>
          </cell>
          <cell r="L2715">
            <v>10449009474</v>
          </cell>
          <cell r="M2715" t="str">
            <v>URBANO PARTNER</v>
          </cell>
          <cell r="N2715">
            <v>45832.083333333336</v>
          </cell>
          <cell r="O2715">
            <v>0</v>
          </cell>
          <cell r="P2715" t="str">
            <v>LITE</v>
          </cell>
        </row>
        <row r="2716">
          <cell r="A2716">
            <v>9767</v>
          </cell>
          <cell r="B2716">
            <v>9767</v>
          </cell>
          <cell r="C2716" t="str">
            <v>CERO MATRICULA</v>
          </cell>
          <cell r="D2716" t="str">
            <v>ACTIVO</v>
          </cell>
          <cell r="E2716" t="str">
            <v>BUO203</v>
          </cell>
          <cell r="F2716" t="str">
            <v>Loa Cordova Juan Michelangelo</v>
          </cell>
          <cell r="G2716" t="str">
            <v>LOA CORDOVA JUAN MICHELANGELO</v>
          </cell>
          <cell r="H2716">
            <v>72084353</v>
          </cell>
          <cell r="I2716" t="str">
            <v>BCP</v>
          </cell>
          <cell r="J2716" t="str">
            <v>19192099457052</v>
          </cell>
          <cell r="K2716" t="str">
            <v>DNI</v>
          </cell>
          <cell r="L2716">
            <v>10720843531</v>
          </cell>
          <cell r="M2716" t="str">
            <v>AEROPUERTO</v>
          </cell>
          <cell r="N2716">
            <v>45574.416666666664</v>
          </cell>
          <cell r="O2716">
            <v>240</v>
          </cell>
          <cell r="P2716" t="str">
            <v>XL</v>
          </cell>
        </row>
        <row r="2717">
          <cell r="A2717">
            <v>3565</v>
          </cell>
          <cell r="B2717">
            <v>3565</v>
          </cell>
          <cell r="C2717" t="str">
            <v>CERO MATRICULA</v>
          </cell>
          <cell r="D2717" t="str">
            <v>ACTIVO</v>
          </cell>
          <cell r="E2717" t="str">
            <v>BZX033</v>
          </cell>
          <cell r="F2717" t="str">
            <v>Melo Ambrosio Percy Gregorio</v>
          </cell>
          <cell r="G2717" t="str">
            <v>Melo Ambrosio Percy Gregorio</v>
          </cell>
          <cell r="H2717">
            <v>20722980</v>
          </cell>
          <cell r="I2717" t="str">
            <v>BCP</v>
          </cell>
          <cell r="J2717" t="str">
            <v>19370452770012</v>
          </cell>
          <cell r="K2717" t="str">
            <v>DNI</v>
          </cell>
          <cell r="L2717">
            <v>10207229801</v>
          </cell>
          <cell r="M2717" t="str">
            <v>AEROPUERTO</v>
          </cell>
          <cell r="N2717">
            <v>45819.416666666664</v>
          </cell>
          <cell r="O2717">
            <v>235</v>
          </cell>
          <cell r="P2717" t="str">
            <v>COMFORT XL</v>
          </cell>
        </row>
        <row r="2718">
          <cell r="A2718">
            <v>3591</v>
          </cell>
          <cell r="B2718">
            <v>3591</v>
          </cell>
          <cell r="C2718" t="str">
            <v>CERO MATRICULA</v>
          </cell>
          <cell r="D2718" t="str">
            <v>ACTIVO</v>
          </cell>
          <cell r="E2718" t="str">
            <v>CST559</v>
          </cell>
          <cell r="F2718" t="str">
            <v>Calle García Ricardo Marcelo</v>
          </cell>
          <cell r="G2718" t="str">
            <v>Duncan Ernesto Diaz Burneo</v>
          </cell>
          <cell r="H2718">
            <v>40279805</v>
          </cell>
          <cell r="I2718" t="str">
            <v>BCP</v>
          </cell>
          <cell r="J2718" t="str">
            <v>19111064464025</v>
          </cell>
          <cell r="K2718" t="str">
            <v>DNI</v>
          </cell>
          <cell r="L2718">
            <v>10402798055</v>
          </cell>
          <cell r="M2718" t="str">
            <v>AEROLINEAS</v>
          </cell>
          <cell r="N2718">
            <v>45841.125</v>
          </cell>
          <cell r="O2718">
            <v>0</v>
          </cell>
          <cell r="P2718" t="str">
            <v>XL</v>
          </cell>
        </row>
        <row r="2719">
          <cell r="A2719">
            <v>3594</v>
          </cell>
          <cell r="B2719">
            <v>3594</v>
          </cell>
          <cell r="C2719" t="str">
            <v>CERO MATRICULA</v>
          </cell>
          <cell r="D2719" t="str">
            <v>ACTIVO</v>
          </cell>
          <cell r="E2719" t="str">
            <v>CSU413</v>
          </cell>
          <cell r="F2719" t="str">
            <v>Santos Diaz John</v>
          </cell>
          <cell r="G2719" t="str">
            <v>Santos Diaz John</v>
          </cell>
          <cell r="H2719">
            <v>49071065</v>
          </cell>
          <cell r="I2719" t="str">
            <v>BCP</v>
          </cell>
          <cell r="J2719" t="str">
            <v>19270204451085</v>
          </cell>
          <cell r="K2719" t="str">
            <v>DNI</v>
          </cell>
          <cell r="L2719">
            <v>15606425446</v>
          </cell>
          <cell r="M2719" t="str">
            <v>AEROLINEAS</v>
          </cell>
          <cell r="N2719">
            <v>45833.416666666664</v>
          </cell>
          <cell r="O2719">
            <v>0</v>
          </cell>
          <cell r="P2719" t="str">
            <v>COMFORT XL</v>
          </cell>
        </row>
        <row r="2720">
          <cell r="A2720">
            <v>3595</v>
          </cell>
          <cell r="B2720">
            <v>3595</v>
          </cell>
          <cell r="C2720" t="str">
            <v>CERO MATRICULA</v>
          </cell>
          <cell r="D2720" t="str">
            <v>ACTIVO</v>
          </cell>
          <cell r="E2720" t="str">
            <v>CSH626</v>
          </cell>
          <cell r="F2720" t="str">
            <v>Lugo Mijares Wilkerman</v>
          </cell>
          <cell r="G2720" t="str">
            <v>Lugo Mijares Wilkerman</v>
          </cell>
          <cell r="H2720" t="str">
            <v>004690148</v>
          </cell>
          <cell r="I2720" t="str">
            <v>BCP</v>
          </cell>
          <cell r="J2720" t="str">
            <v>19104460541096</v>
          </cell>
          <cell r="K2720" t="str">
            <v>CE</v>
          </cell>
          <cell r="L2720">
            <v>15604587678</v>
          </cell>
          <cell r="M2720" t="str">
            <v>AEROPUERTO</v>
          </cell>
          <cell r="N2720">
            <v>45833.416666666664</v>
          </cell>
          <cell r="O2720">
            <v>265</v>
          </cell>
          <cell r="P2720" t="str">
            <v>LITE</v>
          </cell>
        </row>
        <row r="2721">
          <cell r="A2721">
            <v>3598</v>
          </cell>
          <cell r="B2721">
            <v>3598</v>
          </cell>
          <cell r="C2721" t="str">
            <v>CERO MATRICULA</v>
          </cell>
          <cell r="D2721" t="str">
            <v>ACTIVO</v>
          </cell>
          <cell r="E2721" t="str">
            <v>BRX127</v>
          </cell>
          <cell r="F2721" t="str">
            <v>Paz Torres William Manuel</v>
          </cell>
          <cell r="G2721" t="str">
            <v>Paz Torres William Manuel</v>
          </cell>
          <cell r="H2721" t="str">
            <v>45509661</v>
          </cell>
          <cell r="I2721" t="str">
            <v>BCP</v>
          </cell>
          <cell r="J2721" t="str">
            <v>19119210756003</v>
          </cell>
          <cell r="K2721" t="str">
            <v>DNI</v>
          </cell>
          <cell r="L2721">
            <v>10455096613</v>
          </cell>
          <cell r="M2721" t="str">
            <v>URBANO PARTNER</v>
          </cell>
          <cell r="N2721">
            <v>45839.083333333336</v>
          </cell>
          <cell r="O2721">
            <v>0</v>
          </cell>
          <cell r="P2721" t="str">
            <v>COMFORT</v>
          </cell>
        </row>
        <row r="2722">
          <cell r="A2722">
            <v>3599</v>
          </cell>
          <cell r="B2722">
            <v>3599</v>
          </cell>
          <cell r="C2722" t="str">
            <v>CERO MATRICULA</v>
          </cell>
          <cell r="D2722" t="str">
            <v>ACTIVO</v>
          </cell>
          <cell r="E2722" t="str">
            <v>BAH164</v>
          </cell>
          <cell r="F2722" t="str">
            <v>León Frías Julio Fernando</v>
          </cell>
          <cell r="G2722" t="str">
            <v>Leon Frías Julio Fernando</v>
          </cell>
          <cell r="H2722" t="str">
            <v>48530222</v>
          </cell>
          <cell r="I2722" t="str">
            <v>BCP</v>
          </cell>
          <cell r="J2722" t="str">
            <v>19194331056093</v>
          </cell>
          <cell r="K2722" t="str">
            <v>DNI</v>
          </cell>
          <cell r="L2722">
            <v>10485302226</v>
          </cell>
          <cell r="M2722" t="str">
            <v>AEROPUERTO</v>
          </cell>
          <cell r="N2722">
            <v>45839.583333333336</v>
          </cell>
          <cell r="O2722">
            <v>235</v>
          </cell>
          <cell r="P2722" t="str">
            <v>COMFORT XL</v>
          </cell>
        </row>
        <row r="2723">
          <cell r="A2723">
            <v>3625</v>
          </cell>
          <cell r="B2723">
            <v>3625</v>
          </cell>
          <cell r="C2723" t="str">
            <v>CERO MATRICULA</v>
          </cell>
          <cell r="D2723" t="str">
            <v>ACTIVO</v>
          </cell>
          <cell r="E2723" t="str">
            <v>Z7U596</v>
          </cell>
          <cell r="F2723" t="str">
            <v>Velarde Azaña Carla</v>
          </cell>
          <cell r="G2723" t="str">
            <v>Velarde Azaña Carla</v>
          </cell>
          <cell r="H2723" t="str">
            <v>72935489</v>
          </cell>
          <cell r="I2723" t="str">
            <v>INTERBANK</v>
          </cell>
          <cell r="J2723" t="str">
            <v>8983474378138</v>
          </cell>
          <cell r="K2723" t="str">
            <v>DNI</v>
          </cell>
          <cell r="L2723">
            <v>10729354894</v>
          </cell>
          <cell r="M2723" t="str">
            <v>URBANO PARTNER</v>
          </cell>
          <cell r="N2723">
            <v>45839.083333333336</v>
          </cell>
          <cell r="O2723">
            <v>0</v>
          </cell>
          <cell r="P2723" t="str">
            <v>COMFORT</v>
          </cell>
        </row>
        <row r="2724">
          <cell r="A2724">
            <v>3627</v>
          </cell>
          <cell r="B2724">
            <v>3627</v>
          </cell>
          <cell r="C2724" t="str">
            <v>CERO MATRICULA</v>
          </cell>
          <cell r="D2724" t="str">
            <v>ACTIVO</v>
          </cell>
          <cell r="E2724" t="str">
            <v>CST018</v>
          </cell>
          <cell r="F2724" t="str">
            <v>Quispe Vasquez Piero Bernabé</v>
          </cell>
          <cell r="G2724" t="str">
            <v>Quispe Vasquez Piero Bernabé</v>
          </cell>
          <cell r="H2724" t="str">
            <v>44351751</v>
          </cell>
          <cell r="I2724" t="str">
            <v>BCP</v>
          </cell>
          <cell r="J2724" t="str">
            <v>19439402718024</v>
          </cell>
          <cell r="K2724" t="str">
            <v>DNI</v>
          </cell>
          <cell r="L2724">
            <v>10443517516</v>
          </cell>
          <cell r="M2724" t="str">
            <v>URBANO PARTNER</v>
          </cell>
          <cell r="N2724">
            <v>45839.083333333336</v>
          </cell>
          <cell r="O2724">
            <v>0</v>
          </cell>
          <cell r="P2724" t="str">
            <v>COMFORT XL</v>
          </cell>
        </row>
        <row r="2725">
          <cell r="A2725">
            <v>3628</v>
          </cell>
          <cell r="B2725">
            <v>3628</v>
          </cell>
          <cell r="C2725" t="str">
            <v>CERO MATRICULA</v>
          </cell>
          <cell r="D2725" t="str">
            <v>ACTIVO</v>
          </cell>
          <cell r="E2725" t="str">
            <v>CCQ612</v>
          </cell>
          <cell r="F2725" t="str">
            <v>Cribillero Blas Kelvin Yimy</v>
          </cell>
          <cell r="G2725" t="str">
            <v>Cribillero Blas Kelvin Yimy</v>
          </cell>
          <cell r="H2725" t="str">
            <v>25801046</v>
          </cell>
          <cell r="I2725" t="str">
            <v>BCP</v>
          </cell>
          <cell r="J2725" t="str">
            <v>19121471703088</v>
          </cell>
          <cell r="K2725" t="str">
            <v>DNI</v>
          </cell>
          <cell r="L2725">
            <v>10258010464</v>
          </cell>
          <cell r="M2725" t="str">
            <v>URBANO PARTNER</v>
          </cell>
          <cell r="N2725">
            <v>45839.083333333336</v>
          </cell>
          <cell r="O2725">
            <v>0</v>
          </cell>
          <cell r="P2725" t="str">
            <v>COMFORT XL</v>
          </cell>
        </row>
        <row r="2726">
          <cell r="A2726">
            <v>3629</v>
          </cell>
          <cell r="B2726">
            <v>3629</v>
          </cell>
          <cell r="C2726" t="str">
            <v>CERO MATRICULA</v>
          </cell>
          <cell r="D2726" t="str">
            <v>ACTIVO</v>
          </cell>
          <cell r="E2726" t="str">
            <v>CSU063</v>
          </cell>
          <cell r="F2726" t="str">
            <v>ALDUNATE HUACCACHI JACKSON</v>
          </cell>
          <cell r="G2726" t="str">
            <v>ALDUNATE HUACCACHI JACKSON</v>
          </cell>
          <cell r="H2726" t="str">
            <v>47139052</v>
          </cell>
          <cell r="I2726" t="str">
            <v>BBVA</v>
          </cell>
          <cell r="J2726" t="str">
            <v>001108140253138020</v>
          </cell>
          <cell r="K2726" t="str">
            <v>DNI</v>
          </cell>
          <cell r="L2726">
            <v>10471390521</v>
          </cell>
          <cell r="M2726" t="str">
            <v>URBANO PARTNER</v>
          </cell>
          <cell r="N2726">
            <v>45839.583333333336</v>
          </cell>
          <cell r="O2726">
            <v>0</v>
          </cell>
          <cell r="P2726" t="str">
            <v>XL</v>
          </cell>
        </row>
        <row r="2727">
          <cell r="A2727">
            <v>3630</v>
          </cell>
          <cell r="B2727">
            <v>3630</v>
          </cell>
          <cell r="C2727" t="str">
            <v>CERO MATRICULA</v>
          </cell>
          <cell r="D2727" t="str">
            <v>ACTIVO</v>
          </cell>
          <cell r="E2727" t="str">
            <v>CHO146</v>
          </cell>
          <cell r="F2727" t="str">
            <v>Cones Paullo Juan carlos</v>
          </cell>
          <cell r="G2727" t="str">
            <v>Rosemili paullo Altamirano</v>
          </cell>
          <cell r="H2727" t="str">
            <v>76853040</v>
          </cell>
          <cell r="I2727" t="str">
            <v>BCP</v>
          </cell>
          <cell r="J2727" t="str">
            <v>19191291439073</v>
          </cell>
          <cell r="K2727" t="str">
            <v>DNI</v>
          </cell>
          <cell r="L2727">
            <v>10768530403</v>
          </cell>
          <cell r="M2727" t="str">
            <v>URBANO PARTNER</v>
          </cell>
          <cell r="N2727">
            <v>45839.083333333336</v>
          </cell>
          <cell r="O2727">
            <v>0</v>
          </cell>
          <cell r="P2727" t="str">
            <v>LITE</v>
          </cell>
        </row>
        <row r="2728">
          <cell r="A2728">
            <v>3632</v>
          </cell>
          <cell r="B2728">
            <v>3632</v>
          </cell>
          <cell r="C2728" t="str">
            <v>CERO MATRICULA</v>
          </cell>
          <cell r="D2728" t="str">
            <v>ACTIVO</v>
          </cell>
          <cell r="E2728" t="str">
            <v>CLQ595</v>
          </cell>
          <cell r="F2728" t="str">
            <v>Palacios Tenorio Irving Asdrubal</v>
          </cell>
          <cell r="G2728" t="str">
            <v>Palacios Tenorio Irving Asdrubal</v>
          </cell>
          <cell r="H2728" t="str">
            <v>77917994</v>
          </cell>
          <cell r="I2728" t="str">
            <v>INTERBANK</v>
          </cell>
          <cell r="J2728" t="str">
            <v>898 330483560</v>
          </cell>
          <cell r="K2728" t="str">
            <v>DNI</v>
          </cell>
          <cell r="L2728">
            <v>10779179945</v>
          </cell>
          <cell r="M2728" t="str">
            <v>AEROPUERTO</v>
          </cell>
          <cell r="N2728">
            <v>45840.416666666664</v>
          </cell>
          <cell r="O2728">
            <v>235</v>
          </cell>
          <cell r="P2728" t="str">
            <v>COMFORT XL</v>
          </cell>
        </row>
        <row r="2729">
          <cell r="A2729">
            <v>3633</v>
          </cell>
          <cell r="B2729">
            <v>3633</v>
          </cell>
          <cell r="C2729" t="str">
            <v>CERO MATRICULA</v>
          </cell>
          <cell r="D2729" t="str">
            <v>ACTIVO</v>
          </cell>
          <cell r="E2729" t="str">
            <v>CKL629</v>
          </cell>
          <cell r="F2729" t="str">
            <v>Arrieta Medina Kenny Javier</v>
          </cell>
          <cell r="G2729" t="str">
            <v>Arrieta Medina Kenny Javier</v>
          </cell>
          <cell r="H2729" t="str">
            <v>003064686</v>
          </cell>
          <cell r="I2729" t="str">
            <v>INTERBANK</v>
          </cell>
          <cell r="J2729" t="str">
            <v>1553274704869</v>
          </cell>
          <cell r="K2729" t="str">
            <v>CARNET DE EXTRANJERÍA</v>
          </cell>
          <cell r="L2729">
            <v>15604959320</v>
          </cell>
          <cell r="M2729" t="str">
            <v>AEROPUERTO</v>
          </cell>
          <cell r="N2729">
            <v>45840.416666666664</v>
          </cell>
          <cell r="O2729">
            <v>240</v>
          </cell>
          <cell r="P2729" t="str">
            <v>XL</v>
          </cell>
        </row>
        <row r="2730">
          <cell r="A2730">
            <v>3634</v>
          </cell>
          <cell r="B2730">
            <v>3634</v>
          </cell>
          <cell r="C2730" t="str">
            <v>CERO MATRICULA</v>
          </cell>
          <cell r="D2730" t="str">
            <v>ACTIVO</v>
          </cell>
          <cell r="E2730" t="str">
            <v>CPA570</v>
          </cell>
          <cell r="F2730" t="str">
            <v>Zapata Giraldo José Fernando</v>
          </cell>
          <cell r="G2730" t="str">
            <v>Zapata Giraldo José Fernando</v>
          </cell>
          <cell r="H2730">
            <v>5604185</v>
          </cell>
          <cell r="I2730" t="str">
            <v>BBVA</v>
          </cell>
          <cell r="J2730" t="str">
            <v>1103520200500030</v>
          </cell>
          <cell r="K2730" t="str">
            <v>CARNET DE EXTRANJERÍA</v>
          </cell>
          <cell r="L2730">
            <v>15609652907</v>
          </cell>
          <cell r="M2730" t="str">
            <v>AEROLINEAS</v>
          </cell>
          <cell r="N2730">
            <v>45841.625</v>
          </cell>
          <cell r="O2730">
            <v>0</v>
          </cell>
          <cell r="P2730" t="str">
            <v>COMFORT</v>
          </cell>
        </row>
        <row r="2731">
          <cell r="A2731">
            <v>3635</v>
          </cell>
          <cell r="B2731">
            <v>3635</v>
          </cell>
          <cell r="C2731" t="str">
            <v>CERO MATRICULA</v>
          </cell>
          <cell r="D2731" t="str">
            <v>ACTIVO</v>
          </cell>
          <cell r="E2731" t="str">
            <v>CAU170</v>
          </cell>
          <cell r="F2731" t="str">
            <v>Morales Lízcano Jarley Efraín</v>
          </cell>
          <cell r="G2731" t="str">
            <v>Morales Lízcano Jarley Efraín</v>
          </cell>
          <cell r="H2731">
            <v>4076054</v>
          </cell>
          <cell r="I2731" t="str">
            <v>BCP</v>
          </cell>
          <cell r="J2731" t="str">
            <v>19170550476005</v>
          </cell>
          <cell r="K2731" t="str">
            <v>CARNET DE EXTRANJERÍA</v>
          </cell>
          <cell r="L2731">
            <v>15608128562</v>
          </cell>
          <cell r="M2731" t="str">
            <v>URBANO PARTNER</v>
          </cell>
          <cell r="N2731">
            <v>45841.625</v>
          </cell>
          <cell r="O2731">
            <v>0</v>
          </cell>
          <cell r="P2731" t="str">
            <v>COMFORT XL</v>
          </cell>
        </row>
        <row r="2732">
          <cell r="A2732">
            <v>3636</v>
          </cell>
          <cell r="B2732">
            <v>3636</v>
          </cell>
          <cell r="C2732" t="str">
            <v>CERO MATRICULA</v>
          </cell>
          <cell r="D2732" t="str">
            <v>ACTIVO</v>
          </cell>
          <cell r="E2732" t="str">
            <v>CTF624</v>
          </cell>
          <cell r="F2732" t="str">
            <v>Ortiz Irene betzabeth</v>
          </cell>
          <cell r="G2732" t="str">
            <v>Ortiz Irene betzabeth</v>
          </cell>
          <cell r="H2732">
            <v>4346791</v>
          </cell>
          <cell r="I2732" t="str">
            <v>INTERBANK</v>
          </cell>
          <cell r="J2732" t="str">
            <v>2433264108860</v>
          </cell>
          <cell r="K2732" t="str">
            <v>CARNET DE EXTRANJERÍA</v>
          </cell>
          <cell r="L2732">
            <v>15605997161</v>
          </cell>
          <cell r="M2732" t="str">
            <v>URBANO PARTNER</v>
          </cell>
          <cell r="N2732">
            <v>45841.125</v>
          </cell>
          <cell r="O2732">
            <v>0</v>
          </cell>
          <cell r="P2732" t="str">
            <v>LITE</v>
          </cell>
        </row>
        <row r="2733">
          <cell r="A2733">
            <v>3637</v>
          </cell>
          <cell r="B2733">
            <v>3637</v>
          </cell>
          <cell r="C2733" t="str">
            <v>CERO MATRICULA</v>
          </cell>
          <cell r="D2733" t="str">
            <v>ACTIVO</v>
          </cell>
          <cell r="E2733" t="str">
            <v>CTF314</v>
          </cell>
          <cell r="F2733" t="str">
            <v>Custodio Oballe Xiomy Astrid</v>
          </cell>
          <cell r="G2733" t="str">
            <v>Custodio Oballe Xiomy Astrid</v>
          </cell>
          <cell r="H2733">
            <v>70764512</v>
          </cell>
          <cell r="I2733" t="str">
            <v>BCP</v>
          </cell>
          <cell r="J2733" t="str">
            <v>19198239586002</v>
          </cell>
          <cell r="K2733" t="str">
            <v>DNI</v>
          </cell>
          <cell r="L2733">
            <v>10707645127</v>
          </cell>
          <cell r="M2733" t="str">
            <v>URBANO PARTNER</v>
          </cell>
          <cell r="N2733">
            <v>45841.125</v>
          </cell>
          <cell r="O2733">
            <v>0</v>
          </cell>
          <cell r="P2733" t="str">
            <v>COMFORT XL</v>
          </cell>
        </row>
        <row r="2734">
          <cell r="A2734">
            <v>3638</v>
          </cell>
          <cell r="B2734">
            <v>3638</v>
          </cell>
          <cell r="C2734" t="str">
            <v>CERO MATRICULA</v>
          </cell>
          <cell r="D2734" t="str">
            <v>ACTIVO</v>
          </cell>
          <cell r="E2734" t="str">
            <v>CSH376</v>
          </cell>
          <cell r="F2734" t="str">
            <v>Pillaca Loayza Juan</v>
          </cell>
          <cell r="G2734" t="str">
            <v>Pillaca Loayza Juan</v>
          </cell>
          <cell r="H2734">
            <v>7500098</v>
          </cell>
          <cell r="I2734" t="str">
            <v>BCP</v>
          </cell>
          <cell r="J2734" t="str">
            <v>19438338187039</v>
          </cell>
          <cell r="K2734" t="str">
            <v>DNI</v>
          </cell>
          <cell r="L2734">
            <v>10075000982</v>
          </cell>
          <cell r="M2734" t="str">
            <v>AEROLINEAS</v>
          </cell>
          <cell r="N2734">
            <v>45841.125</v>
          </cell>
          <cell r="O2734">
            <v>0</v>
          </cell>
          <cell r="P2734" t="str">
            <v>COMFORT XL</v>
          </cell>
        </row>
        <row r="2735">
          <cell r="A2735">
            <v>8113</v>
          </cell>
          <cell r="B2735">
            <v>8113</v>
          </cell>
          <cell r="C2735" t="str">
            <v>CERO MATRICULA</v>
          </cell>
          <cell r="D2735" t="str">
            <v>ACTIVO</v>
          </cell>
          <cell r="E2735" t="str">
            <v>CSQ633</v>
          </cell>
          <cell r="F2735" t="str">
            <v>Cañizales Flores Alfredo Alejandro</v>
          </cell>
          <cell r="G2735" t="str">
            <v>Cañizales Flores Alfredo Alejandro</v>
          </cell>
          <cell r="H2735" t="str">
            <v>002843040</v>
          </cell>
          <cell r="I2735" t="str">
            <v>INTERBANK</v>
          </cell>
          <cell r="J2735" t="str">
            <v>0523434235161</v>
          </cell>
          <cell r="K2735" t="str">
            <v>CARNET DE EXTRANJERÍA</v>
          </cell>
          <cell r="L2735">
            <v>15604669232</v>
          </cell>
          <cell r="M2735" t="str">
            <v>URBANO PARTNER</v>
          </cell>
          <cell r="N2735">
            <v>45839.083333333336</v>
          </cell>
          <cell r="O2735">
            <v>0</v>
          </cell>
          <cell r="P2735" t="str">
            <v>LITE</v>
          </cell>
        </row>
        <row r="2736">
          <cell r="A2736">
            <v>5</v>
          </cell>
          <cell r="B2736">
            <v>5</v>
          </cell>
          <cell r="C2736" t="str">
            <v>CERO MATRICULA</v>
          </cell>
          <cell r="D2736" t="str">
            <v>ACTIVO</v>
          </cell>
          <cell r="E2736" t="str">
            <v>MOVIL CONTINGENCIA</v>
          </cell>
          <cell r="F2736" t="str">
            <v>MOVIL CONTINGENCIA</v>
          </cell>
          <cell r="G2736" t="str">
            <v>MOVIL CONTINGENCIA</v>
          </cell>
          <cell r="H2736" t="str">
            <v>MOVIL CONTINGENCIA</v>
          </cell>
          <cell r="I2736" t="str">
            <v>MOVIL CONTINGENCIA</v>
          </cell>
          <cell r="J2736" t="str">
            <v>MOVIL CONTINGENCIA</v>
          </cell>
          <cell r="K2736" t="str">
            <v>MOVIL CONTINGENCIA</v>
          </cell>
          <cell r="L2736" t="str">
            <v>MOVIL CONTINGENCIA</v>
          </cell>
          <cell r="M2736" t="str">
            <v>MOVIL CONTINGENCIA</v>
          </cell>
          <cell r="N2736">
            <v>45859</v>
          </cell>
          <cell r="O2736">
            <v>0</v>
          </cell>
          <cell r="P2736" t="str">
            <v>LITE</v>
          </cell>
        </row>
        <row r="2737">
          <cell r="A2737">
            <v>7</v>
          </cell>
          <cell r="B2737">
            <v>7</v>
          </cell>
          <cell r="C2737" t="str">
            <v>CERO MATRICULA</v>
          </cell>
          <cell r="D2737" t="str">
            <v>ACTIVO</v>
          </cell>
          <cell r="E2737" t="str">
            <v>MOVIL CONTINGENCIA</v>
          </cell>
          <cell r="F2737" t="str">
            <v>MOVIL CONTINGENCIA</v>
          </cell>
          <cell r="G2737" t="str">
            <v>MOVIL CONTINGENCIA</v>
          </cell>
          <cell r="H2737" t="str">
            <v>MOVIL CONTINGENCIA</v>
          </cell>
          <cell r="I2737" t="str">
            <v>MOVIL CONTINGENCIA</v>
          </cell>
          <cell r="J2737" t="str">
            <v>MOVIL CONTINGENCIA</v>
          </cell>
          <cell r="K2737" t="str">
            <v>MOVIL CONTINGENCIA</v>
          </cell>
          <cell r="L2737" t="str">
            <v>MOVIL CONTINGENCIA</v>
          </cell>
          <cell r="M2737" t="str">
            <v>MOVIL CONTINGENCIA</v>
          </cell>
          <cell r="N2737">
            <v>45859</v>
          </cell>
          <cell r="O2737">
            <v>0</v>
          </cell>
          <cell r="P2737" t="str">
            <v>LITE</v>
          </cell>
        </row>
        <row r="2738">
          <cell r="A2738">
            <v>2865</v>
          </cell>
          <cell r="B2738">
            <v>2865</v>
          </cell>
          <cell r="C2738" t="str">
            <v>CERO MATRICULA</v>
          </cell>
          <cell r="D2738" t="str">
            <v>ACTIVO</v>
          </cell>
          <cell r="E2738" t="str">
            <v>BNM383</v>
          </cell>
          <cell r="F2738" t="str">
            <v>Aguirre Trujillo Edmar</v>
          </cell>
          <cell r="G2738" t="str">
            <v>Aguirre Trujillo Edmar</v>
          </cell>
          <cell r="H2738" t="str">
            <v>45643938</v>
          </cell>
          <cell r="I2738" t="str">
            <v>BCP</v>
          </cell>
          <cell r="J2738" t="str">
            <v>19298754426043</v>
          </cell>
          <cell r="K2738" t="str">
            <v>DNI</v>
          </cell>
          <cell r="L2738">
            <v>10456439387</v>
          </cell>
          <cell r="M2738" t="str">
            <v>AEROPUERTO</v>
          </cell>
          <cell r="N2738">
            <v>45835.416666666664</v>
          </cell>
          <cell r="O2738">
            <v>265</v>
          </cell>
          <cell r="P2738" t="str">
            <v>LITE</v>
          </cell>
        </row>
        <row r="2739">
          <cell r="A2739">
            <v>3334</v>
          </cell>
          <cell r="B2739">
            <v>3334</v>
          </cell>
          <cell r="C2739" t="str">
            <v>CERO MATRICULA</v>
          </cell>
          <cell r="D2739" t="str">
            <v>ACTIVO</v>
          </cell>
          <cell r="E2739" t="str">
            <v>BEA167</v>
          </cell>
          <cell r="F2739" t="str">
            <v>Inga Angulo William Roger</v>
          </cell>
          <cell r="G2739" t="str">
            <v>Inga Angulo William Roger</v>
          </cell>
          <cell r="H2739" t="str">
            <v>09946404</v>
          </cell>
          <cell r="I2739" t="str">
            <v>BCP</v>
          </cell>
          <cell r="J2739" t="str">
            <v>19119047945047</v>
          </cell>
          <cell r="K2739" t="str">
            <v>DNI</v>
          </cell>
          <cell r="L2739">
            <v>10099464041</v>
          </cell>
          <cell r="M2739" t="str">
            <v>AEROLINEAS</v>
          </cell>
          <cell r="N2739">
            <v>45846.083333333336</v>
          </cell>
          <cell r="O2739">
            <v>0</v>
          </cell>
          <cell r="P2739" t="str">
            <v>COMFORT</v>
          </cell>
        </row>
        <row r="2740">
          <cell r="A2740">
            <v>3566</v>
          </cell>
          <cell r="B2740">
            <v>3566</v>
          </cell>
          <cell r="C2740" t="str">
            <v>CERO MATRICULA</v>
          </cell>
          <cell r="D2740" t="str">
            <v>ACTIVO</v>
          </cell>
          <cell r="E2740" t="str">
            <v>CSV530</v>
          </cell>
          <cell r="F2740" t="str">
            <v>Mauricio Salas Edward Antonio</v>
          </cell>
          <cell r="G2740" t="str">
            <v>Mauricio Salas  Edward Antonio</v>
          </cell>
          <cell r="H2740">
            <v>15756151</v>
          </cell>
          <cell r="I2740" t="str">
            <v>BCP</v>
          </cell>
          <cell r="J2740" t="str">
            <v>19401523461048</v>
          </cell>
          <cell r="K2740" t="str">
            <v>DNI</v>
          </cell>
          <cell r="L2740">
            <v>10157561516</v>
          </cell>
          <cell r="M2740" t="str">
            <v>AEROPUERTO</v>
          </cell>
          <cell r="N2740">
            <v>45819.416666666664</v>
          </cell>
          <cell r="O2740">
            <v>265</v>
          </cell>
          <cell r="P2740" t="str">
            <v>LITE</v>
          </cell>
        </row>
        <row r="2741">
          <cell r="A2741">
            <v>3592</v>
          </cell>
          <cell r="B2741">
            <v>3592</v>
          </cell>
          <cell r="C2741" t="str">
            <v>CERO MATRICULA</v>
          </cell>
          <cell r="D2741" t="str">
            <v>ACTIVO</v>
          </cell>
          <cell r="E2741" t="str">
            <v>CSS078</v>
          </cell>
          <cell r="F2741" t="str">
            <v>Alvarez Alvarez Jhonny Jesús</v>
          </cell>
          <cell r="G2741" t="str">
            <v>Alvarez Alvarez Jhonny Jesús</v>
          </cell>
          <cell r="H2741" t="str">
            <v>006791466</v>
          </cell>
          <cell r="I2741" t="str">
            <v>BCP</v>
          </cell>
          <cell r="J2741" t="str">
            <v>19196638932080</v>
          </cell>
          <cell r="K2741" t="str">
            <v>CE</v>
          </cell>
          <cell r="L2741">
            <v>15614332783</v>
          </cell>
          <cell r="M2741" t="str">
            <v>AEROPUERTO</v>
          </cell>
          <cell r="N2741">
            <v>45835.416666666664</v>
          </cell>
          <cell r="O2741">
            <v>235</v>
          </cell>
          <cell r="P2741" t="str">
            <v>COMFORT XL</v>
          </cell>
        </row>
        <row r="2742">
          <cell r="A2742">
            <v>3596</v>
          </cell>
          <cell r="B2742">
            <v>3596</v>
          </cell>
          <cell r="C2742" t="str">
            <v>CERO MATRICULA</v>
          </cell>
          <cell r="D2742" t="str">
            <v>ACTIVO</v>
          </cell>
          <cell r="E2742" t="str">
            <v>CFT501</v>
          </cell>
          <cell r="F2742" t="str">
            <v>Molina Ricapa Richard Brayan</v>
          </cell>
          <cell r="G2742" t="str">
            <v>Molina Ricapa Richard Brayan</v>
          </cell>
          <cell r="H2742">
            <v>73808557</v>
          </cell>
          <cell r="I2742" t="str">
            <v>BBVA</v>
          </cell>
          <cell r="J2742" t="str">
            <v>0011-0842-0200128948</v>
          </cell>
          <cell r="K2742" t="str">
            <v>DNI</v>
          </cell>
          <cell r="L2742">
            <v>10738085570</v>
          </cell>
          <cell r="M2742" t="str">
            <v>AEROPUERTO</v>
          </cell>
          <cell r="N2742">
            <v>45833.416666666664</v>
          </cell>
          <cell r="O2742">
            <v>240</v>
          </cell>
          <cell r="P2742" t="str">
            <v>COMFORT</v>
          </cell>
        </row>
        <row r="2743">
          <cell r="A2743">
            <v>3624</v>
          </cell>
          <cell r="B2743">
            <v>3624</v>
          </cell>
          <cell r="C2743" t="str">
            <v>CERO MATRICULA</v>
          </cell>
          <cell r="D2743" t="str">
            <v>ACTIVO</v>
          </cell>
          <cell r="E2743" t="str">
            <v>CFD033</v>
          </cell>
          <cell r="F2743" t="str">
            <v>Vasquez Figueroa Wellington</v>
          </cell>
          <cell r="G2743" t="str">
            <v>Vasquez Figueroa Wellington</v>
          </cell>
          <cell r="H2743" t="str">
            <v>47970474</v>
          </cell>
          <cell r="I2743" t="str">
            <v>BCP</v>
          </cell>
          <cell r="J2743" t="str">
            <v>19377489518038</v>
          </cell>
          <cell r="K2743" t="str">
            <v>DNI</v>
          </cell>
          <cell r="L2743">
            <v>10479704746</v>
          </cell>
          <cell r="M2743" t="str">
            <v>URBANO PARTNER</v>
          </cell>
          <cell r="N2743">
            <v>45846.083333333336</v>
          </cell>
          <cell r="O2743">
            <v>0</v>
          </cell>
          <cell r="P2743" t="str">
            <v>LITE</v>
          </cell>
        </row>
        <row r="2744">
          <cell r="A2744">
            <v>3631</v>
          </cell>
          <cell r="B2744">
            <v>3631</v>
          </cell>
          <cell r="C2744" t="str">
            <v>CERO MATRICULA</v>
          </cell>
          <cell r="D2744" t="str">
            <v>ACTIVO</v>
          </cell>
          <cell r="E2744" t="str">
            <v>CRK095</v>
          </cell>
          <cell r="F2744" t="str">
            <v xml:space="preserve">Chavez Cardozo Yamileth Del Carmen </v>
          </cell>
          <cell r="G2744" t="str">
            <v xml:space="preserve">Chavez Cardozo Yamileth Del Carmen </v>
          </cell>
          <cell r="H2744" t="str">
            <v>003962722</v>
          </cell>
          <cell r="I2744" t="str">
            <v>BCP</v>
          </cell>
          <cell r="J2744" t="str">
            <v>19494294032095</v>
          </cell>
          <cell r="K2744" t="str">
            <v>CARNET DE EXTRANJERÍA</v>
          </cell>
          <cell r="L2744">
            <v>15605368155</v>
          </cell>
          <cell r="M2744" t="str">
            <v>AEROLINEAS</v>
          </cell>
          <cell r="N2744">
            <v>45840.416666666664</v>
          </cell>
          <cell r="O2744">
            <v>0</v>
          </cell>
          <cell r="P2744" t="str">
            <v>COMFORT</v>
          </cell>
        </row>
        <row r="2745">
          <cell r="A2745">
            <v>3641</v>
          </cell>
          <cell r="B2745">
            <v>3641</v>
          </cell>
          <cell r="C2745" t="str">
            <v>CERO MATRICULA</v>
          </cell>
          <cell r="D2745" t="str">
            <v>ACTIVO</v>
          </cell>
          <cell r="E2745" t="str">
            <v>CSP461</v>
          </cell>
          <cell r="F2745" t="str">
            <v>ROJAS LAYMITO WILLY JHON</v>
          </cell>
          <cell r="G2745" t="str">
            <v>ROJAS LAYMITO WILLY JHON</v>
          </cell>
          <cell r="H2745" t="str">
            <v>77230619</v>
          </cell>
          <cell r="I2745" t="str">
            <v>BCP</v>
          </cell>
          <cell r="J2745" t="str">
            <v>19402047034010</v>
          </cell>
          <cell r="K2745" t="str">
            <v>DNI</v>
          </cell>
          <cell r="L2745">
            <v>10772306194</v>
          </cell>
          <cell r="M2745" t="str">
            <v>URBANO PARTNER</v>
          </cell>
          <cell r="N2745">
            <v>45846.583333333336</v>
          </cell>
          <cell r="O2745">
            <v>0</v>
          </cell>
          <cell r="P2745" t="str">
            <v>COMFORT XL</v>
          </cell>
        </row>
        <row r="2746">
          <cell r="A2746">
            <v>3642</v>
          </cell>
          <cell r="B2746">
            <v>3642</v>
          </cell>
          <cell r="C2746" t="str">
            <v>CERO MATRICULA</v>
          </cell>
          <cell r="D2746" t="str">
            <v>ACTIVO</v>
          </cell>
          <cell r="E2746" t="str">
            <v>CRC199</v>
          </cell>
          <cell r="F2746" t="str">
            <v>Rodriguez Tarazona Richard Enrique</v>
          </cell>
          <cell r="G2746" t="str">
            <v>Rodriguez Tarazona Richard Enrique</v>
          </cell>
          <cell r="H2746" t="str">
            <v>10198105</v>
          </cell>
          <cell r="I2746" t="str">
            <v>BCP</v>
          </cell>
          <cell r="J2746" t="str">
            <v>19109239365090</v>
          </cell>
          <cell r="K2746" t="str">
            <v>DNI</v>
          </cell>
          <cell r="L2746">
            <v>10101981059</v>
          </cell>
          <cell r="M2746" t="str">
            <v>URBANO PARTNER</v>
          </cell>
          <cell r="N2746">
            <v>45846.083333333336</v>
          </cell>
          <cell r="O2746">
            <v>0</v>
          </cell>
          <cell r="P2746" t="str">
            <v>LITE</v>
          </cell>
        </row>
        <row r="2747">
          <cell r="A2747">
            <v>3646</v>
          </cell>
          <cell r="B2747">
            <v>3646</v>
          </cell>
          <cell r="C2747" t="str">
            <v>CERO MATRICULA</v>
          </cell>
          <cell r="D2747" t="str">
            <v>ACTIVO</v>
          </cell>
          <cell r="E2747" t="str">
            <v>BXR004</v>
          </cell>
          <cell r="F2747" t="str">
            <v xml:space="preserve">Calloapaza Ortega Severo Ricardo </v>
          </cell>
          <cell r="G2747" t="str">
            <v>EMPRESA DE TRANSPORTES ASAJA S.A.C</v>
          </cell>
          <cell r="H2747" t="str">
            <v>20614198860</v>
          </cell>
          <cell r="I2747" t="str">
            <v xml:space="preserve">Interbank </v>
          </cell>
          <cell r="J2747" t="str">
            <v>2003007503421</v>
          </cell>
          <cell r="K2747" t="str">
            <v>RUC</v>
          </cell>
          <cell r="L2747">
            <v>20614198860</v>
          </cell>
          <cell r="M2747" t="str">
            <v>URBANO PARTNER</v>
          </cell>
          <cell r="N2747">
            <v>45847.416666666664</v>
          </cell>
          <cell r="O2747">
            <v>0</v>
          </cell>
          <cell r="P2747" t="str">
            <v>COMFORT XL</v>
          </cell>
        </row>
        <row r="2748">
          <cell r="A2748">
            <v>3649</v>
          </cell>
          <cell r="B2748">
            <v>3649</v>
          </cell>
          <cell r="C2748" t="str">
            <v>CERO MATRICULA</v>
          </cell>
          <cell r="D2748" t="str">
            <v>ACTIVO</v>
          </cell>
          <cell r="E2748" t="str">
            <v>CPB140</v>
          </cell>
          <cell r="F2748" t="str">
            <v>Carhuavilca Vilela Eduardo Yunior</v>
          </cell>
          <cell r="G2748" t="str">
            <v>Carhuavilca Vilela Eduardo Yunior</v>
          </cell>
          <cell r="H2748" t="str">
            <v>73889754</v>
          </cell>
          <cell r="I2748" t="str">
            <v>BCP</v>
          </cell>
          <cell r="J2748" t="str">
            <v>19199283229088</v>
          </cell>
          <cell r="K2748" t="str">
            <v>DNI</v>
          </cell>
          <cell r="L2748">
            <v>10738897540</v>
          </cell>
          <cell r="M2748" t="str">
            <v>AEROLINEAS</v>
          </cell>
          <cell r="N2748">
            <v>45848.625</v>
          </cell>
          <cell r="O2748">
            <v>0</v>
          </cell>
          <cell r="P2748" t="str">
            <v>COMFORT XL</v>
          </cell>
        </row>
        <row r="2749">
          <cell r="A2749">
            <v>3650</v>
          </cell>
          <cell r="B2749">
            <v>3650</v>
          </cell>
          <cell r="C2749" t="str">
            <v>CERO MATRICULA</v>
          </cell>
          <cell r="D2749" t="str">
            <v>ACTIVO</v>
          </cell>
          <cell r="E2749" t="str">
            <v>AYU365</v>
          </cell>
          <cell r="F2749" t="str">
            <v>Bermeo García Darwil</v>
          </cell>
          <cell r="G2749" t="str">
            <v>Bermeo García Darwil</v>
          </cell>
          <cell r="H2749" t="str">
            <v>46602162</v>
          </cell>
          <cell r="I2749" t="str">
            <v>INTERBANK</v>
          </cell>
          <cell r="J2749" t="str">
            <v>8983377558741</v>
          </cell>
          <cell r="K2749" t="str">
            <v>DNI</v>
          </cell>
          <cell r="L2749">
            <v>10466021623</v>
          </cell>
          <cell r="M2749" t="str">
            <v>AEROLINEAS</v>
          </cell>
          <cell r="N2749">
            <v>45848.125</v>
          </cell>
          <cell r="O2749">
            <v>0</v>
          </cell>
          <cell r="P2749" t="str">
            <v>LITE</v>
          </cell>
        </row>
        <row r="2750">
          <cell r="A2750">
            <v>3651</v>
          </cell>
          <cell r="B2750">
            <v>3651</v>
          </cell>
          <cell r="C2750" t="str">
            <v>CERO MATRICULA</v>
          </cell>
          <cell r="D2750" t="str">
            <v>ACTIVO</v>
          </cell>
          <cell r="E2750" t="str">
            <v>BXT309</v>
          </cell>
          <cell r="F2750" t="str">
            <v>Coronado Avendaño Johan José</v>
          </cell>
          <cell r="G2750" t="str">
            <v>Coronado Avendaño Johan José</v>
          </cell>
          <cell r="H2750" t="str">
            <v>004732480</v>
          </cell>
          <cell r="I2750" t="str">
            <v>BCP</v>
          </cell>
          <cell r="J2750" t="str">
            <v>19491942763075</v>
          </cell>
          <cell r="K2750" t="str">
            <v>CARNET DE EXTRANJERÍA</v>
          </cell>
          <cell r="L2750">
            <v>15604674767</v>
          </cell>
          <cell r="M2750" t="str">
            <v>URBANO PARTNER</v>
          </cell>
          <cell r="N2750">
            <v>45848.125</v>
          </cell>
          <cell r="O2750">
            <v>0</v>
          </cell>
          <cell r="P2750" t="str">
            <v>COMFORT XL</v>
          </cell>
        </row>
        <row r="2751">
          <cell r="A2751">
            <v>3652</v>
          </cell>
          <cell r="B2751">
            <v>3652</v>
          </cell>
          <cell r="C2751" t="str">
            <v>CERO MATRICULA</v>
          </cell>
          <cell r="D2751" t="str">
            <v>ACTIVO</v>
          </cell>
          <cell r="E2751" t="str">
            <v>CBR502</v>
          </cell>
          <cell r="F2751" t="str">
            <v>Peraza Pineda Angel licenko</v>
          </cell>
          <cell r="G2751" t="str">
            <v>Peraza Pineda Angel licenko</v>
          </cell>
          <cell r="H2751" t="str">
            <v>005147836</v>
          </cell>
          <cell r="I2751" t="str">
            <v>BCP</v>
          </cell>
          <cell r="J2751" t="str">
            <v>19105468367001</v>
          </cell>
          <cell r="K2751" t="str">
            <v>CARNET DE EXTRANJERÍA</v>
          </cell>
          <cell r="L2751">
            <v>15613230138</v>
          </cell>
          <cell r="M2751" t="str">
            <v>AEROLINEAS</v>
          </cell>
          <cell r="N2751">
            <v>45848.125</v>
          </cell>
          <cell r="O2751">
            <v>0</v>
          </cell>
          <cell r="P2751" t="str">
            <v>COMFORT XL</v>
          </cell>
        </row>
        <row r="2752">
          <cell r="A2752">
            <v>21</v>
          </cell>
          <cell r="B2752">
            <v>21</v>
          </cell>
          <cell r="C2752" t="str">
            <v>CERO MATRICULA</v>
          </cell>
          <cell r="D2752" t="str">
            <v>ACTIVO</v>
          </cell>
          <cell r="E2752" t="str">
            <v>MOVIL CONTINGENCIA</v>
          </cell>
          <cell r="F2752" t="str">
            <v>MOVIL CONTINGENCIA</v>
          </cell>
          <cell r="G2752" t="str">
            <v>MOVIL CONTINGENCIA</v>
          </cell>
          <cell r="H2752" t="str">
            <v>MOVIL CONTINGENCIA</v>
          </cell>
          <cell r="I2752" t="str">
            <v>MOVIL CONTINGENCIA</v>
          </cell>
          <cell r="J2752" t="str">
            <v>MOVIL CONTINGENCIA</v>
          </cell>
          <cell r="K2752" t="str">
            <v>MOVIL CONTINGENCIA</v>
          </cell>
          <cell r="L2752" t="str">
            <v>MOVIL CONTINGENCIA</v>
          </cell>
          <cell r="M2752" t="str">
            <v>MOVIL CONTINGENCIA</v>
          </cell>
          <cell r="N2752">
            <v>45866</v>
          </cell>
          <cell r="O2752">
            <v>0</v>
          </cell>
          <cell r="P2752" t="str">
            <v>LITE</v>
          </cell>
        </row>
        <row r="2753">
          <cell r="A2753">
            <v>1</v>
          </cell>
          <cell r="B2753">
            <v>1</v>
          </cell>
          <cell r="C2753" t="str">
            <v>CERO MATRICULA</v>
          </cell>
          <cell r="D2753" t="str">
            <v>ACTIVO</v>
          </cell>
          <cell r="E2753" t="str">
            <v>MOVIL CONTINGENCIA</v>
          </cell>
          <cell r="F2753" t="str">
            <v>MOVIL CONTINGENCIA</v>
          </cell>
          <cell r="G2753" t="str">
            <v>MOVIL CONTINGENCIA</v>
          </cell>
          <cell r="H2753" t="str">
            <v>MOVIL CONTINGENCIA</v>
          </cell>
          <cell r="I2753" t="str">
            <v>MOVIL CONTINGENCIA</v>
          </cell>
          <cell r="J2753" t="str">
            <v>MOVIL CONTINGENCIA</v>
          </cell>
          <cell r="K2753" t="str">
            <v>MOVIL CONTINGENCIA</v>
          </cell>
          <cell r="L2753" t="str">
            <v>MOVIL CONTINGENCIA</v>
          </cell>
          <cell r="M2753" t="str">
            <v>MOVIL CONTINGENCIA</v>
          </cell>
          <cell r="N2753">
            <v>45866</v>
          </cell>
          <cell r="O2753">
            <v>0</v>
          </cell>
          <cell r="P2753" t="str">
            <v>LITE</v>
          </cell>
        </row>
        <row r="2754">
          <cell r="A2754">
            <v>9758</v>
          </cell>
          <cell r="B2754">
            <v>9758</v>
          </cell>
          <cell r="C2754" t="str">
            <v>CERO MATRICULA</v>
          </cell>
          <cell r="D2754" t="str">
            <v>ACTIVO</v>
          </cell>
          <cell r="E2754" t="str">
            <v>AVL113</v>
          </cell>
          <cell r="F2754" t="str">
            <v>REYES MARTINEZ JUAN CARLOS</v>
          </cell>
          <cell r="G2754" t="str">
            <v>REYES MARTINEZ JUAN CARLOS</v>
          </cell>
          <cell r="H2754" t="str">
            <v>10135869</v>
          </cell>
          <cell r="I2754" t="str">
            <v>BCP</v>
          </cell>
          <cell r="J2754" t="str">
            <v>193-12691202-0-95</v>
          </cell>
          <cell r="K2754" t="str">
            <v>DNI</v>
          </cell>
          <cell r="L2754">
            <v>10101358696</v>
          </cell>
          <cell r="M2754" t="str">
            <v>URBANO PARTNER</v>
          </cell>
          <cell r="N2754">
            <v>44987</v>
          </cell>
          <cell r="O2754">
            <v>0</v>
          </cell>
          <cell r="P2754" t="str">
            <v>COMFORT</v>
          </cell>
        </row>
        <row r="2755">
          <cell r="A2755">
            <v>9760</v>
          </cell>
          <cell r="B2755">
            <v>9760</v>
          </cell>
          <cell r="C2755" t="str">
            <v>CERO MATRICULA</v>
          </cell>
          <cell r="D2755" t="str">
            <v>ACTIVO</v>
          </cell>
          <cell r="E2755" t="str">
            <v>BHL515</v>
          </cell>
          <cell r="F2755" t="str">
            <v>SALVADOR BEJARANO ROGER</v>
          </cell>
          <cell r="G2755" t="str">
            <v>SALVADOR BEJARANO ROGER</v>
          </cell>
          <cell r="H2755" t="str">
            <v>09646153</v>
          </cell>
          <cell r="I2755" t="str">
            <v>BCP</v>
          </cell>
          <cell r="J2755" t="str">
            <v>193-98620170-0-31</v>
          </cell>
          <cell r="K2755" t="str">
            <v>DNI</v>
          </cell>
          <cell r="L2755">
            <v>10096461530</v>
          </cell>
          <cell r="M2755" t="str">
            <v>URBANO PARTNER</v>
          </cell>
          <cell r="N2755">
            <v>45017</v>
          </cell>
          <cell r="O2755">
            <v>0</v>
          </cell>
          <cell r="P2755" t="str">
            <v>LITE</v>
          </cell>
        </row>
        <row r="2756">
          <cell r="A2756">
            <v>7636</v>
          </cell>
          <cell r="B2756">
            <v>7636</v>
          </cell>
          <cell r="C2756" t="str">
            <v>CERO MATRICULA</v>
          </cell>
          <cell r="D2756" t="str">
            <v>ACTIVO</v>
          </cell>
          <cell r="E2756" t="str">
            <v>BPL173</v>
          </cell>
          <cell r="F2756" t="str">
            <v>SANCHEZ HERRERA JUAN CARLOS</v>
          </cell>
          <cell r="G2756" t="str">
            <v>SANCHEZ HERRERA JUAN CARLOS</v>
          </cell>
          <cell r="H2756" t="str">
            <v>41521539</v>
          </cell>
          <cell r="I2756" t="str">
            <v>BCP</v>
          </cell>
          <cell r="J2756" t="str">
            <v>194-36230957-0-25</v>
          </cell>
          <cell r="K2756" t="str">
            <v>DNI</v>
          </cell>
          <cell r="L2756">
            <v>10415215393</v>
          </cell>
          <cell r="M2756" t="str">
            <v>URBANO</v>
          </cell>
          <cell r="N2756">
            <v>45131</v>
          </cell>
          <cell r="O2756">
            <v>0</v>
          </cell>
          <cell r="P2756" t="str">
            <v>COMFORT</v>
          </cell>
        </row>
        <row r="2757">
          <cell r="A2757">
            <v>1540</v>
          </cell>
          <cell r="B2757">
            <v>1540</v>
          </cell>
          <cell r="C2757" t="str">
            <v>CERO MATRICULA</v>
          </cell>
          <cell r="D2757" t="str">
            <v>ACTIVO</v>
          </cell>
          <cell r="E2757" t="str">
            <v>CPI329</v>
          </cell>
          <cell r="F2757" t="str">
            <v>ATACHO BULLONES DIBLAHIN JOSUE</v>
          </cell>
          <cell r="G2757" t="str">
            <v>ATACHO BULLONES DIBLAHIN JOSUE</v>
          </cell>
          <cell r="H2757" t="str">
            <v>008131456</v>
          </cell>
          <cell r="I2757" t="str">
            <v>BCP</v>
          </cell>
          <cell r="J2757" t="str">
            <v>19402897546012</v>
          </cell>
          <cell r="K2757" t="str">
            <v>CE</v>
          </cell>
          <cell r="L2757">
            <v>15613696650</v>
          </cell>
          <cell r="M2757" t="str">
            <v>URBANO PARTNER</v>
          </cell>
          <cell r="N2757">
            <v>45681</v>
          </cell>
          <cell r="O2757">
            <v>0</v>
          </cell>
          <cell r="P2757" t="str">
            <v>COMFORT XL</v>
          </cell>
        </row>
        <row r="2758">
          <cell r="A2758">
            <v>1899</v>
          </cell>
          <cell r="B2758">
            <v>1899</v>
          </cell>
          <cell r="C2758" t="str">
            <v>CERO MATRICULA</v>
          </cell>
          <cell r="D2758" t="str">
            <v>ACTIVO</v>
          </cell>
          <cell r="E2758" t="str">
            <v>AZG331</v>
          </cell>
          <cell r="F2758" t="str">
            <v xml:space="preserve"> ALEMAN VINCES EDWIN JOEL</v>
          </cell>
          <cell r="G2758" t="str">
            <v xml:space="preserve"> ALEMAN VINCES EDWIN JOEL</v>
          </cell>
          <cell r="H2758" t="str">
            <v>75563726</v>
          </cell>
          <cell r="I2758" t="str">
            <v>BBVA</v>
          </cell>
          <cell r="J2758" t="str">
            <v>001105790216251473</v>
          </cell>
          <cell r="K2758" t="str">
            <v>DNI</v>
          </cell>
          <cell r="L2758">
            <v>10755637268</v>
          </cell>
          <cell r="M2758" t="str">
            <v>URBANO PARTNER</v>
          </cell>
          <cell r="N2758">
            <v>45754</v>
          </cell>
          <cell r="O2758">
            <v>0</v>
          </cell>
          <cell r="P2758" t="str">
            <v>COMFORT</v>
          </cell>
        </row>
        <row r="2759">
          <cell r="A2759">
            <v>1997</v>
          </cell>
          <cell r="B2759">
            <v>1997</v>
          </cell>
          <cell r="C2759" t="str">
            <v>CERO MATRICULA</v>
          </cell>
          <cell r="D2759" t="str">
            <v>ACTIVO</v>
          </cell>
          <cell r="E2759" t="str">
            <v>BPO077</v>
          </cell>
          <cell r="F2759" t="str">
            <v>Carrasco Rojas Erick</v>
          </cell>
          <cell r="G2759" t="str">
            <v>Carrasco Rojas Erick</v>
          </cell>
          <cell r="H2759" t="str">
            <v>46503854</v>
          </cell>
          <cell r="I2759" t="str">
            <v>BCP</v>
          </cell>
          <cell r="J2759" t="str">
            <v>19100428834064</v>
          </cell>
          <cell r="K2759" t="str">
            <v>DNI</v>
          </cell>
          <cell r="L2759">
            <v>10465038549</v>
          </cell>
          <cell r="M2759" t="str">
            <v>AEROLINEAS</v>
          </cell>
          <cell r="N2759">
            <v>45855.625</v>
          </cell>
          <cell r="O2759">
            <v>0</v>
          </cell>
          <cell r="P2759" t="str">
            <v>COMFORT</v>
          </cell>
        </row>
        <row r="2760">
          <cell r="A2760">
            <v>2410</v>
          </cell>
          <cell r="B2760">
            <v>2410</v>
          </cell>
          <cell r="C2760" t="str">
            <v>CERO MATRICULA</v>
          </cell>
          <cell r="D2760" t="str">
            <v>ACTIVO</v>
          </cell>
          <cell r="E2760" t="str">
            <v>CCN093</v>
          </cell>
          <cell r="F2760" t="str">
            <v>Sono Huapaya Hugo Antonio</v>
          </cell>
          <cell r="G2760" t="str">
            <v>Sono Huapaya Hugo Antonio</v>
          </cell>
          <cell r="H2760" t="str">
            <v>40000052</v>
          </cell>
          <cell r="I2760" t="str">
            <v>INTERBANK</v>
          </cell>
          <cell r="J2760" t="str">
            <v>8983296042074</v>
          </cell>
          <cell r="K2760" t="str">
            <v>DNI</v>
          </cell>
          <cell r="L2760">
            <v>10400000528</v>
          </cell>
          <cell r="M2760" t="str">
            <v>URBANO PARTNER</v>
          </cell>
          <cell r="N2760">
            <v>45853.583333333336</v>
          </cell>
          <cell r="O2760">
            <v>0</v>
          </cell>
          <cell r="P2760" t="str">
            <v>COMFORT</v>
          </cell>
        </row>
        <row r="2761">
          <cell r="A2761">
            <v>3278</v>
          </cell>
          <cell r="B2761">
            <v>3278</v>
          </cell>
          <cell r="C2761" t="str">
            <v>CERO MATRICULA</v>
          </cell>
          <cell r="D2761" t="str">
            <v>ACTIVO</v>
          </cell>
          <cell r="E2761" t="str">
            <v>CSW676</v>
          </cell>
          <cell r="F2761" t="str">
            <v>Salazar Quevedo Augusto</v>
          </cell>
          <cell r="G2761" t="str">
            <v>Salazar Quevedo  Augusto</v>
          </cell>
          <cell r="H2761" t="str">
            <v>10099747</v>
          </cell>
          <cell r="I2761" t="str">
            <v>BCP</v>
          </cell>
          <cell r="J2761" t="str">
            <v>19395848726092</v>
          </cell>
          <cell r="K2761" t="str">
            <v>DNI</v>
          </cell>
          <cell r="L2761">
            <v>10100997474</v>
          </cell>
          <cell r="M2761" t="str">
            <v>AEROPUERTO</v>
          </cell>
          <cell r="N2761">
            <v>45854.416666666664</v>
          </cell>
          <cell r="O2761">
            <v>235</v>
          </cell>
          <cell r="P2761" t="str">
            <v>COMFORT XL</v>
          </cell>
        </row>
        <row r="2762">
          <cell r="A2762">
            <v>3590</v>
          </cell>
          <cell r="B2762">
            <v>3590</v>
          </cell>
          <cell r="C2762" t="str">
            <v>CERO MATRICULA</v>
          </cell>
          <cell r="D2762" t="str">
            <v>ACTIVO</v>
          </cell>
          <cell r="E2762" t="str">
            <v>BRG678</v>
          </cell>
          <cell r="F2762" t="str">
            <v xml:space="preserve">Martínez Romero William Benjamín </v>
          </cell>
          <cell r="G2762" t="str">
            <v xml:space="preserve">Martinez Romero William Benjamín </v>
          </cell>
          <cell r="H2762" t="str">
            <v>005386065</v>
          </cell>
          <cell r="I2762" t="str">
            <v>INTERBANK</v>
          </cell>
          <cell r="J2762" t="str">
            <v>3783415158717</v>
          </cell>
          <cell r="K2762" t="str">
            <v>CE</v>
          </cell>
          <cell r="L2762">
            <v>15614398695</v>
          </cell>
          <cell r="M2762" t="str">
            <v>AEROPUERTO</v>
          </cell>
          <cell r="N2762">
            <v>45835.416666666664</v>
          </cell>
          <cell r="O2762">
            <v>265</v>
          </cell>
          <cell r="P2762" t="str">
            <v>LITE</v>
          </cell>
        </row>
        <row r="2763">
          <cell r="A2763">
            <v>3643</v>
          </cell>
          <cell r="B2763">
            <v>3643</v>
          </cell>
          <cell r="C2763" t="str">
            <v>CERO MATRICULA</v>
          </cell>
          <cell r="D2763" t="str">
            <v>ACTIVO</v>
          </cell>
          <cell r="E2763" t="str">
            <v>CPG609</v>
          </cell>
          <cell r="F2763" t="str">
            <v>Casavilca Manzanares Carlos Arturo</v>
          </cell>
          <cell r="G2763" t="str">
            <v>Sara Teresa Seclen Linares</v>
          </cell>
          <cell r="H2763" t="str">
            <v>25718458</v>
          </cell>
          <cell r="I2763" t="str">
            <v>BCP</v>
          </cell>
          <cell r="J2763" t="str">
            <v>19290070327027</v>
          </cell>
          <cell r="K2763" t="str">
            <v>DNI</v>
          </cell>
          <cell r="L2763">
            <v>10257184582</v>
          </cell>
          <cell r="M2763" t="str">
            <v>AEROPUERTO</v>
          </cell>
          <cell r="N2763">
            <v>45847.416666666664</v>
          </cell>
          <cell r="O2763">
            <v>235</v>
          </cell>
          <cell r="P2763" t="str">
            <v>COMFORT XL</v>
          </cell>
        </row>
        <row r="2764">
          <cell r="A2764">
            <v>3644</v>
          </cell>
          <cell r="B2764">
            <v>3644</v>
          </cell>
          <cell r="C2764" t="str">
            <v>CERO MATRICULA</v>
          </cell>
          <cell r="D2764" t="str">
            <v>ACTIVO</v>
          </cell>
          <cell r="E2764" t="str">
            <v>BFA573</v>
          </cell>
          <cell r="F2764" t="str">
            <v>De la cruz Tenorio Jean franco</v>
          </cell>
          <cell r="G2764" t="str">
            <v>De la Cruz Tenorio Jean franco</v>
          </cell>
          <cell r="H2764" t="str">
            <v>71927652</v>
          </cell>
          <cell r="I2764" t="str">
            <v>BCP</v>
          </cell>
          <cell r="J2764" t="str">
            <v>19496366897097</v>
          </cell>
          <cell r="K2764" t="str">
            <v>DNI</v>
          </cell>
          <cell r="L2764">
            <v>10719276526</v>
          </cell>
          <cell r="M2764" t="str">
            <v>AEROPUERTO</v>
          </cell>
          <cell r="N2764">
            <v>45847.416666666664</v>
          </cell>
          <cell r="O2764">
            <v>240</v>
          </cell>
          <cell r="P2764" t="str">
            <v>XL</v>
          </cell>
        </row>
        <row r="2765">
          <cell r="A2765">
            <v>3654</v>
          </cell>
          <cell r="B2765">
            <v>3654</v>
          </cell>
          <cell r="C2765" t="str">
            <v>CERO MATRICULA</v>
          </cell>
          <cell r="D2765" t="str">
            <v>ACTIVO</v>
          </cell>
          <cell r="E2765" t="str">
            <v>CEJ316</v>
          </cell>
          <cell r="F2765" t="str">
            <v>Ancajima Galdós Jorge luis</v>
          </cell>
          <cell r="G2765" t="str">
            <v>Ancajima Galdós Jorge luis</v>
          </cell>
          <cell r="H2765" t="str">
            <v>40697780</v>
          </cell>
          <cell r="I2765" t="str">
            <v>BBVA</v>
          </cell>
          <cell r="J2765" t="str">
            <v>001108140276516464</v>
          </cell>
          <cell r="K2765" t="str">
            <v>DNI</v>
          </cell>
          <cell r="L2765">
            <v>10406977809</v>
          </cell>
          <cell r="M2765" t="str">
            <v>URBANO PARTNER</v>
          </cell>
          <cell r="N2765">
            <v>45853.083333333336</v>
          </cell>
          <cell r="O2765">
            <v>0</v>
          </cell>
          <cell r="P2765" t="str">
            <v>COMFORT</v>
          </cell>
        </row>
        <row r="2766">
          <cell r="A2766">
            <v>3655</v>
          </cell>
          <cell r="B2766">
            <v>3655</v>
          </cell>
          <cell r="C2766" t="str">
            <v>CERO MATRICULA</v>
          </cell>
          <cell r="D2766" t="str">
            <v>ACTIVO</v>
          </cell>
          <cell r="E2766" t="str">
            <v>CBR038</v>
          </cell>
          <cell r="F2766" t="str">
            <v>Sánchez Moreno Carlos mallino</v>
          </cell>
          <cell r="G2766" t="str">
            <v>Sanchez Moreno Carlos mallino</v>
          </cell>
          <cell r="H2766" t="str">
            <v>47989370</v>
          </cell>
          <cell r="I2766" t="str">
            <v>BCP</v>
          </cell>
          <cell r="J2766" t="str">
            <v>19125943856013</v>
          </cell>
          <cell r="K2766" t="str">
            <v>DNI</v>
          </cell>
          <cell r="L2766">
            <v>10479893701</v>
          </cell>
          <cell r="M2766" t="str">
            <v>AEROLINEAS</v>
          </cell>
          <cell r="N2766">
            <v>45853.083333333336</v>
          </cell>
          <cell r="O2766">
            <v>0</v>
          </cell>
          <cell r="P2766" t="str">
            <v>LITE</v>
          </cell>
        </row>
        <row r="2767">
          <cell r="A2767">
            <v>3656</v>
          </cell>
          <cell r="B2767">
            <v>3656</v>
          </cell>
          <cell r="C2767" t="str">
            <v>CERO MATRICULA</v>
          </cell>
          <cell r="D2767" t="str">
            <v>ACTIVO</v>
          </cell>
          <cell r="E2767" t="str">
            <v>CFH422</v>
          </cell>
          <cell r="F2767" t="str">
            <v xml:space="preserve">Hernandez Franceschini Hebert yrai </v>
          </cell>
          <cell r="G2767" t="str">
            <v xml:space="preserve">Israel Jesús Hernández molero </v>
          </cell>
          <cell r="H2767" t="str">
            <v>002335336</v>
          </cell>
          <cell r="I2767" t="str">
            <v xml:space="preserve">BBVA </v>
          </cell>
          <cell r="J2767" t="str">
            <v>0011-0999-0200096846</v>
          </cell>
          <cell r="K2767" t="str">
            <v>CARNET DE EXTRANJERÍA</v>
          </cell>
          <cell r="L2767">
            <v>15603411428</v>
          </cell>
          <cell r="M2767" t="str">
            <v>URBANO PARTNER</v>
          </cell>
          <cell r="N2767">
            <v>45853.083333333336</v>
          </cell>
          <cell r="O2767">
            <v>0</v>
          </cell>
          <cell r="P2767" t="str">
            <v>LITE</v>
          </cell>
        </row>
        <row r="2768">
          <cell r="A2768">
            <v>3658</v>
          </cell>
          <cell r="B2768">
            <v>3658</v>
          </cell>
          <cell r="C2768" t="str">
            <v>CERO MATRICULA</v>
          </cell>
          <cell r="D2768" t="str">
            <v>ACTIVO</v>
          </cell>
          <cell r="E2768" t="str">
            <v>CPB050</v>
          </cell>
          <cell r="F2768" t="str">
            <v>López Malhaber Juan Gregorio</v>
          </cell>
          <cell r="G2768" t="str">
            <v>Lopez Malhaber Juan Gregorio</v>
          </cell>
          <cell r="H2768" t="str">
            <v>43415759</v>
          </cell>
          <cell r="I2768" t="str">
            <v>BCP</v>
          </cell>
          <cell r="J2768" t="str">
            <v>19170816206019</v>
          </cell>
          <cell r="K2768" t="str">
            <v>DNI</v>
          </cell>
          <cell r="L2768">
            <v>10434157591</v>
          </cell>
          <cell r="M2768" t="str">
            <v>URBANO PARTNER</v>
          </cell>
          <cell r="N2768">
            <v>45853.083333333336</v>
          </cell>
          <cell r="O2768">
            <v>0</v>
          </cell>
          <cell r="P2768" t="str">
            <v>COMFORT</v>
          </cell>
        </row>
        <row r="2769">
          <cell r="A2769">
            <v>3659</v>
          </cell>
          <cell r="B2769">
            <v>3659</v>
          </cell>
          <cell r="C2769" t="str">
            <v>CERO MATRICULA</v>
          </cell>
          <cell r="D2769" t="str">
            <v>ACTIVO</v>
          </cell>
          <cell r="E2769" t="str">
            <v>BJR206</v>
          </cell>
          <cell r="F2769" t="str">
            <v>Vasquez Camacho José Alberto</v>
          </cell>
          <cell r="G2769" t="str">
            <v>Vasquez Camacho José Alberto</v>
          </cell>
          <cell r="H2769" t="str">
            <v>75311900</v>
          </cell>
          <cell r="I2769" t="str">
            <v>INTERBANK</v>
          </cell>
          <cell r="J2769" t="str">
            <v>3683146527559</v>
          </cell>
          <cell r="K2769" t="str">
            <v>DNI</v>
          </cell>
          <cell r="L2769">
            <v>10753119006</v>
          </cell>
          <cell r="M2769" t="str">
            <v>URBANO PARTNER</v>
          </cell>
          <cell r="N2769">
            <v>45853.583333333336</v>
          </cell>
          <cell r="O2769">
            <v>0</v>
          </cell>
          <cell r="P2769" t="str">
            <v>COMFORT XL</v>
          </cell>
        </row>
        <row r="2770">
          <cell r="A2770">
            <v>3660</v>
          </cell>
          <cell r="B2770">
            <v>3660</v>
          </cell>
          <cell r="C2770" t="str">
            <v>CERO MATRICULA</v>
          </cell>
          <cell r="D2770" t="str">
            <v>ACTIVO</v>
          </cell>
          <cell r="E2770" t="str">
            <v>CST389</v>
          </cell>
          <cell r="F2770" t="str">
            <v>Olaguivel Gil Edgar Luis</v>
          </cell>
          <cell r="G2770" t="str">
            <v>Olaguivel Gil Edgar Luis</v>
          </cell>
          <cell r="H2770" t="str">
            <v>40392638</v>
          </cell>
          <cell r="I2770" t="str">
            <v>INTERBANK</v>
          </cell>
          <cell r="J2770" t="str">
            <v>2843110210340</v>
          </cell>
          <cell r="K2770" t="str">
            <v>DNI</v>
          </cell>
          <cell r="L2770">
            <v>10403926383</v>
          </cell>
          <cell r="M2770" t="str">
            <v>URBANO PARTNER</v>
          </cell>
          <cell r="N2770">
            <v>45853.083333333336</v>
          </cell>
          <cell r="O2770">
            <v>0</v>
          </cell>
          <cell r="P2770" t="str">
            <v>COMFORT XL</v>
          </cell>
        </row>
        <row r="2771">
          <cell r="A2771">
            <v>3661</v>
          </cell>
          <cell r="B2771">
            <v>3661</v>
          </cell>
          <cell r="C2771" t="str">
            <v>CERO MATRICULA</v>
          </cell>
          <cell r="D2771" t="str">
            <v>ACTIVO</v>
          </cell>
          <cell r="E2771" t="str">
            <v>CJU471</v>
          </cell>
          <cell r="F2771" t="str">
            <v>Colmenarez Rivero Alejandro Antonio</v>
          </cell>
          <cell r="G2771" t="str">
            <v xml:space="preserve">Diaz Montoya Rocío Anabell </v>
          </cell>
          <cell r="H2771">
            <v>10686751</v>
          </cell>
          <cell r="I2771" t="str">
            <v>BCP</v>
          </cell>
          <cell r="J2771" t="str">
            <v>19195136602076</v>
          </cell>
          <cell r="K2771" t="str">
            <v>DNI</v>
          </cell>
          <cell r="L2771">
            <v>10106867513</v>
          </cell>
          <cell r="M2771" t="str">
            <v>AEROPUERTO</v>
          </cell>
          <cell r="N2771">
            <v>45854.416666666664</v>
          </cell>
          <cell r="O2771">
            <v>235</v>
          </cell>
          <cell r="P2771" t="str">
            <v>COMFORT XL</v>
          </cell>
        </row>
        <row r="2772">
          <cell r="A2772">
            <v>3662</v>
          </cell>
          <cell r="B2772">
            <v>3662</v>
          </cell>
          <cell r="C2772" t="str">
            <v>CERO MATRICULA</v>
          </cell>
          <cell r="D2772" t="str">
            <v>ACTIVO</v>
          </cell>
          <cell r="E2772" t="str">
            <v>CCR117</v>
          </cell>
          <cell r="F2772" t="str">
            <v>Hernandez Troncoso Guisseppe Nilton</v>
          </cell>
          <cell r="G2772" t="str">
            <v>Hernandez Troncoso Guisseppe Nilton</v>
          </cell>
          <cell r="H2772" t="str">
            <v>25710482</v>
          </cell>
          <cell r="I2772" t="str">
            <v>BCP</v>
          </cell>
          <cell r="J2772" t="str">
            <v>19116486842074</v>
          </cell>
          <cell r="K2772" t="str">
            <v>DNI</v>
          </cell>
          <cell r="L2772">
            <v>10257104821</v>
          </cell>
          <cell r="M2772" t="str">
            <v>AEROPUERTO</v>
          </cell>
          <cell r="N2772">
            <v>45855.125</v>
          </cell>
          <cell r="O2772">
            <v>240</v>
          </cell>
          <cell r="P2772" t="str">
            <v>XL</v>
          </cell>
        </row>
        <row r="2773">
          <cell r="A2773">
            <v>3663</v>
          </cell>
          <cell r="B2773">
            <v>3663</v>
          </cell>
          <cell r="C2773" t="str">
            <v>CERO MATRICULA</v>
          </cell>
          <cell r="D2773" t="str">
            <v>ACTIVO</v>
          </cell>
          <cell r="E2773" t="str">
            <v>CSG517</v>
          </cell>
          <cell r="F2773" t="str">
            <v>Silupu Pacherres Jossie Joao Edwin</v>
          </cell>
          <cell r="G2773" t="str">
            <v>Silupu Pacherres Jossie Joao Edwin</v>
          </cell>
          <cell r="H2773" t="str">
            <v>74660030</v>
          </cell>
          <cell r="I2773" t="str">
            <v>BCP</v>
          </cell>
          <cell r="J2773" t="str">
            <v>19203890519016</v>
          </cell>
          <cell r="K2773" t="str">
            <v>DNI</v>
          </cell>
          <cell r="L2773">
            <v>10746600301</v>
          </cell>
          <cell r="M2773" t="str">
            <v>AEROPUERTO</v>
          </cell>
          <cell r="N2773">
            <v>45855.125</v>
          </cell>
          <cell r="O2773">
            <v>240</v>
          </cell>
          <cell r="P2773" t="str">
            <v>XL</v>
          </cell>
        </row>
        <row r="2774">
          <cell r="A2774">
            <v>3664</v>
          </cell>
          <cell r="B2774">
            <v>3664</v>
          </cell>
          <cell r="C2774" t="str">
            <v>CERO MATRICULA</v>
          </cell>
          <cell r="D2774" t="str">
            <v>ACTIVO</v>
          </cell>
          <cell r="E2774" t="str">
            <v>BWB327</v>
          </cell>
          <cell r="F2774" t="str">
            <v>Figallo Izaguirre  Luis Enrique</v>
          </cell>
          <cell r="G2774" t="str">
            <v>Figallo Izaguirre  Luis Enrique</v>
          </cell>
          <cell r="H2774" t="str">
            <v>002781858</v>
          </cell>
          <cell r="I2774" t="str">
            <v>INTERBANK</v>
          </cell>
          <cell r="J2774" t="str">
            <v>2003160007341</v>
          </cell>
          <cell r="K2774" t="str">
            <v>CARNET DE EXTRANJERÍA</v>
          </cell>
          <cell r="L2774">
            <v>15604625952</v>
          </cell>
          <cell r="M2774" t="str">
            <v>AEROPUERTO</v>
          </cell>
          <cell r="N2774">
            <v>45854.416666666664</v>
          </cell>
          <cell r="O2774">
            <v>265</v>
          </cell>
          <cell r="P2774" t="str">
            <v>LITE</v>
          </cell>
        </row>
        <row r="2775">
          <cell r="A2775">
            <v>3665</v>
          </cell>
          <cell r="B2775">
            <v>3665</v>
          </cell>
          <cell r="C2775" t="str">
            <v>CERO MATRICULA</v>
          </cell>
          <cell r="D2775" t="str">
            <v>ACTIVO</v>
          </cell>
          <cell r="E2775" t="str">
            <v>CSW573</v>
          </cell>
          <cell r="F2775" t="str">
            <v>HERNANDEZ REYES OMAR JOSE</v>
          </cell>
          <cell r="G2775" t="str">
            <v>Hernandez Reyes Omar Jose</v>
          </cell>
          <cell r="H2775" t="str">
            <v>002550704</v>
          </cell>
          <cell r="I2775" t="str">
            <v>BCP</v>
          </cell>
          <cell r="J2775" t="str">
            <v>19300887205065</v>
          </cell>
          <cell r="K2775" t="str">
            <v>CARNET DE EXTRANJERÍA</v>
          </cell>
          <cell r="L2775">
            <v>15604451938</v>
          </cell>
          <cell r="M2775" t="str">
            <v>AEROPUERTO</v>
          </cell>
          <cell r="N2775">
            <v>45854.416666666664</v>
          </cell>
          <cell r="O2775">
            <v>235</v>
          </cell>
          <cell r="P2775" t="str">
            <v>COMFORT XL</v>
          </cell>
        </row>
        <row r="2776">
          <cell r="A2776">
            <v>3666</v>
          </cell>
          <cell r="B2776">
            <v>3666</v>
          </cell>
          <cell r="C2776" t="str">
            <v>CERO MATRICULA</v>
          </cell>
          <cell r="D2776" t="str">
            <v>ACTIVO</v>
          </cell>
          <cell r="E2776" t="str">
            <v>BDB153</v>
          </cell>
          <cell r="F2776" t="str">
            <v>Benitez Coto Freddy Alexander</v>
          </cell>
          <cell r="G2776" t="str">
            <v>Benitez Coto Freddy Alexander</v>
          </cell>
          <cell r="H2776" t="str">
            <v>001752671</v>
          </cell>
          <cell r="I2776" t="str">
            <v>BCP</v>
          </cell>
          <cell r="J2776" t="str">
            <v>19136283765066</v>
          </cell>
          <cell r="K2776" t="str">
            <v>CARNET DE EXTRANJERÍA</v>
          </cell>
          <cell r="L2776">
            <v>15602412838</v>
          </cell>
          <cell r="M2776" t="str">
            <v>AEROPUERTO</v>
          </cell>
          <cell r="N2776">
            <v>45854.416666666664</v>
          </cell>
          <cell r="O2776">
            <v>235</v>
          </cell>
          <cell r="P2776" t="str">
            <v>COMFORT XL</v>
          </cell>
        </row>
        <row r="2777">
          <cell r="A2777">
            <v>3669</v>
          </cell>
          <cell r="B2777">
            <v>3669</v>
          </cell>
          <cell r="C2777" t="str">
            <v>CERO MATRICULA</v>
          </cell>
          <cell r="D2777" t="str">
            <v>ACTIVO</v>
          </cell>
          <cell r="E2777" t="str">
            <v>CHI565</v>
          </cell>
          <cell r="F2777" t="str">
            <v>Escalona Suarez Anyelo Alfonso</v>
          </cell>
          <cell r="G2777" t="str">
            <v>Escalona Suarez Anyelo Alfonso</v>
          </cell>
          <cell r="H2777" t="str">
            <v>003033630</v>
          </cell>
          <cell r="I2777" t="str">
            <v>BCP</v>
          </cell>
          <cell r="J2777" t="str">
            <v>19302057110088</v>
          </cell>
          <cell r="K2777" t="str">
            <v>CARNET DE EXTRANJERÍA</v>
          </cell>
          <cell r="L2777">
            <v>15607265116</v>
          </cell>
          <cell r="M2777" t="str">
            <v>AEROPUERTO</v>
          </cell>
          <cell r="N2777">
            <v>45854.416666666664</v>
          </cell>
          <cell r="O2777">
            <v>235</v>
          </cell>
          <cell r="P2777" t="str">
            <v>COMFORT XL</v>
          </cell>
        </row>
        <row r="2778">
          <cell r="A2778">
            <v>3671</v>
          </cell>
          <cell r="B2778">
            <v>3671</v>
          </cell>
          <cell r="C2778" t="str">
            <v>CERO MATRICULA</v>
          </cell>
          <cell r="D2778" t="str">
            <v>ACTIVO</v>
          </cell>
          <cell r="E2778" t="str">
            <v>CMX582</v>
          </cell>
          <cell r="F2778" t="str">
            <v>Saldarriaga Saldarriaga Roberto Carlos</v>
          </cell>
          <cell r="G2778" t="str">
            <v>Saldarriaga Saldarriaga Roberto Carlos</v>
          </cell>
          <cell r="H2778" t="str">
            <v>00322989</v>
          </cell>
          <cell r="I2778" t="str">
            <v>BCP</v>
          </cell>
          <cell r="J2778" t="str">
            <v>19202826944097</v>
          </cell>
          <cell r="K2778" t="str">
            <v>DNI</v>
          </cell>
          <cell r="L2778">
            <v>10003229896</v>
          </cell>
          <cell r="M2778" t="str">
            <v>AEROLINEAS</v>
          </cell>
          <cell r="N2778">
            <v>45855.625</v>
          </cell>
          <cell r="O2778">
            <v>0</v>
          </cell>
          <cell r="P2778" t="str">
            <v>LITE</v>
          </cell>
        </row>
        <row r="2779">
          <cell r="A2779">
            <v>3672</v>
          </cell>
          <cell r="B2779">
            <v>3672</v>
          </cell>
          <cell r="C2779" t="str">
            <v>CERO MATRICULA</v>
          </cell>
          <cell r="D2779" t="str">
            <v>ACTIVO</v>
          </cell>
          <cell r="E2779" t="str">
            <v>CTG339</v>
          </cell>
          <cell r="F2779" t="str">
            <v>Espinal De la torre Michel</v>
          </cell>
          <cell r="G2779" t="str">
            <v>Espinal de la Torre Elber Duarte</v>
          </cell>
          <cell r="H2779">
            <v>71713349</v>
          </cell>
          <cell r="I2779" t="str">
            <v>BBVA</v>
          </cell>
          <cell r="J2779" t="str">
            <v>0011-0323-02-01064976</v>
          </cell>
          <cell r="K2779" t="str">
            <v>DNI</v>
          </cell>
          <cell r="L2779">
            <v>10717133493</v>
          </cell>
          <cell r="M2779" t="str">
            <v>URBANO PARTNER</v>
          </cell>
          <cell r="N2779">
            <v>45855.625</v>
          </cell>
          <cell r="O2779">
            <v>0</v>
          </cell>
          <cell r="P2779" t="str">
            <v>XL</v>
          </cell>
        </row>
        <row r="2780">
          <cell r="A2780">
            <v>3673</v>
          </cell>
          <cell r="B2780">
            <v>3673</v>
          </cell>
          <cell r="C2780" t="str">
            <v>CERO MATRICULA</v>
          </cell>
          <cell r="D2780" t="str">
            <v>ACTIVO</v>
          </cell>
          <cell r="E2780" t="str">
            <v>CDL163</v>
          </cell>
          <cell r="F2780" t="str">
            <v>Zambrano Mora Emmanuel Yosue</v>
          </cell>
          <cell r="G2780" t="str">
            <v>Zambrano Mora Emmanuel Yosue</v>
          </cell>
          <cell r="H2780" t="str">
            <v>003615032</v>
          </cell>
          <cell r="I2780" t="str">
            <v>BCP</v>
          </cell>
          <cell r="J2780" t="str">
            <v>19405796843095</v>
          </cell>
          <cell r="K2780" t="str">
            <v>CARNET DE EXTRANJERÍA</v>
          </cell>
          <cell r="L2780">
            <v>15606746072</v>
          </cell>
          <cell r="M2780" t="str">
            <v>AEROLINEAS</v>
          </cell>
          <cell r="N2780">
            <v>45855.625</v>
          </cell>
          <cell r="O2780">
            <v>0</v>
          </cell>
          <cell r="P2780" t="str">
            <v>LITE</v>
          </cell>
        </row>
        <row r="2781">
          <cell r="A2781">
            <v>3674</v>
          </cell>
          <cell r="B2781">
            <v>3674</v>
          </cell>
          <cell r="C2781" t="str">
            <v>CERO MATRICULA</v>
          </cell>
          <cell r="D2781" t="str">
            <v>ACTIVO</v>
          </cell>
          <cell r="E2781" t="str">
            <v>D0H956</v>
          </cell>
          <cell r="F2781" t="str">
            <v>Lazarte Torres Gianfranco</v>
          </cell>
          <cell r="G2781" t="str">
            <v>J. J. LAZARTE TURISMO S.A.C.</v>
          </cell>
          <cell r="H2781">
            <v>20610731369</v>
          </cell>
          <cell r="I2781" t="str">
            <v>INTERBANK</v>
          </cell>
          <cell r="J2781" t="str">
            <v>0013007436812</v>
          </cell>
          <cell r="K2781" t="str">
            <v>RUC</v>
          </cell>
          <cell r="L2781">
            <v>20610731369</v>
          </cell>
          <cell r="M2781" t="str">
            <v>AEROLINEAS</v>
          </cell>
          <cell r="N2781">
            <v>45855.125</v>
          </cell>
          <cell r="O2781">
            <v>0</v>
          </cell>
          <cell r="P2781" t="str">
            <v>VAN</v>
          </cell>
        </row>
        <row r="2782">
          <cell r="A2782">
            <v>3675</v>
          </cell>
          <cell r="B2782">
            <v>3675</v>
          </cell>
          <cell r="C2782" t="str">
            <v>CERO MATRICULA</v>
          </cell>
          <cell r="D2782" t="str">
            <v>ACTIVO</v>
          </cell>
          <cell r="E2782" t="str">
            <v>Z6T614</v>
          </cell>
          <cell r="F2782" t="str">
            <v>Prieto Navarro Jesús Enrique</v>
          </cell>
          <cell r="G2782" t="str">
            <v>Prieto Navarro Jesús Enrique</v>
          </cell>
          <cell r="H2782" t="str">
            <v>004651584</v>
          </cell>
          <cell r="I2782" t="str">
            <v>BCP</v>
          </cell>
          <cell r="J2782" t="str">
            <v>19271594370043</v>
          </cell>
          <cell r="K2782" t="str">
            <v>CARNET DE EXTRANJERÍA</v>
          </cell>
          <cell r="L2782">
            <v>15608547433</v>
          </cell>
          <cell r="M2782" t="str">
            <v>AEROLINEAS</v>
          </cell>
          <cell r="N2782">
            <v>45855.125</v>
          </cell>
          <cell r="O2782">
            <v>0</v>
          </cell>
          <cell r="P2782" t="str">
            <v>LITE</v>
          </cell>
        </row>
        <row r="2783">
          <cell r="A2783">
            <v>9199</v>
          </cell>
          <cell r="B2783">
            <v>9199</v>
          </cell>
          <cell r="C2783" t="str">
            <v>CERO MATRICULA</v>
          </cell>
          <cell r="D2783" t="str">
            <v>ACTIVO</v>
          </cell>
          <cell r="E2783" t="str">
            <v>ANE662</v>
          </cell>
          <cell r="F2783" t="str">
            <v>Montenegro Saavedra José edwin</v>
          </cell>
          <cell r="G2783" t="str">
            <v>Montenegro Saavedra José edwin</v>
          </cell>
          <cell r="H2783" t="str">
            <v>73354956</v>
          </cell>
          <cell r="I2783" t="str">
            <v>BBVA</v>
          </cell>
          <cell r="J2783" t="str">
            <v>001108140257473622</v>
          </cell>
          <cell r="K2783" t="str">
            <v>DNI</v>
          </cell>
          <cell r="L2783">
            <v>10733549560</v>
          </cell>
          <cell r="M2783" t="str">
            <v>URBANO PARTNER</v>
          </cell>
          <cell r="N2783">
            <v>45853.083333333336</v>
          </cell>
          <cell r="O2783">
            <v>0</v>
          </cell>
          <cell r="P2783" t="str">
            <v>LITE</v>
          </cell>
        </row>
        <row r="2784">
          <cell r="A2784">
            <v>3739</v>
          </cell>
          <cell r="B2784">
            <v>3739</v>
          </cell>
          <cell r="C2784" t="str">
            <v>CERO MATRICULA</v>
          </cell>
          <cell r="D2784" t="str">
            <v>ACTIVO</v>
          </cell>
          <cell r="E2784" t="str">
            <v>MOVIL CONTINGENCIA</v>
          </cell>
          <cell r="F2784" t="str">
            <v>MOVIL CONTINGENCIA</v>
          </cell>
          <cell r="G2784" t="str">
            <v>MOVIL CONTINGENCIA</v>
          </cell>
          <cell r="H2784" t="str">
            <v>MOVIL CONTINGENCIA</v>
          </cell>
          <cell r="I2784" t="str">
            <v>MOVIL CONTINGENCIA</v>
          </cell>
          <cell r="J2784" t="str">
            <v>MOVIL CONTINGENCIA</v>
          </cell>
          <cell r="K2784" t="str">
            <v>MOVIL CONTINGENCIA</v>
          </cell>
          <cell r="L2784" t="str">
            <v>MOVIL CONTINGENCIA</v>
          </cell>
          <cell r="M2784" t="str">
            <v>MOVIL CONTINGENCIA</v>
          </cell>
          <cell r="N2784">
            <v>45874</v>
          </cell>
          <cell r="O2784">
            <v>0</v>
          </cell>
          <cell r="P2784" t="str">
            <v>LITE</v>
          </cell>
        </row>
        <row r="2785">
          <cell r="A2785">
            <v>3738</v>
          </cell>
          <cell r="B2785">
            <v>3738</v>
          </cell>
          <cell r="C2785" t="str">
            <v>CERO MATRICULA</v>
          </cell>
          <cell r="D2785" t="str">
            <v>ACTIVO</v>
          </cell>
          <cell r="E2785" t="str">
            <v>MOVIL CONTINGENCIA</v>
          </cell>
          <cell r="F2785" t="str">
            <v>MOVIL CONTINGENCIA</v>
          </cell>
          <cell r="G2785" t="str">
            <v>MOVIL CONTINGENCIA</v>
          </cell>
          <cell r="H2785" t="str">
            <v>MOVIL CONTINGENCIA</v>
          </cell>
          <cell r="I2785" t="str">
            <v>MOVIL CONTINGENCIA</v>
          </cell>
          <cell r="J2785" t="str">
            <v>MOVIL CONTINGENCIA</v>
          </cell>
          <cell r="K2785" t="str">
            <v>MOVIL CONTINGENCIA</v>
          </cell>
          <cell r="L2785" t="str">
            <v>MOVIL CONTINGENCIA</v>
          </cell>
          <cell r="M2785" t="str">
            <v>MOVIL CONTINGENCIA</v>
          </cell>
          <cell r="N2785">
            <v>45874</v>
          </cell>
          <cell r="O2785">
            <v>0</v>
          </cell>
          <cell r="P2785" t="str">
            <v>LITE</v>
          </cell>
        </row>
        <row r="2786">
          <cell r="A2786">
            <v>3647</v>
          </cell>
          <cell r="B2786">
            <v>3647</v>
          </cell>
          <cell r="C2786" t="str">
            <v>CERO MATRICULA</v>
          </cell>
          <cell r="D2786" t="str">
            <v>ACTIVO</v>
          </cell>
          <cell r="E2786" t="str">
            <v>CSX156</v>
          </cell>
          <cell r="F2786" t="str">
            <v xml:space="preserve">Ugarte Espinoza José Gustavo </v>
          </cell>
          <cell r="G2786" t="str">
            <v xml:space="preserve">Ugarte Espinoza José Gustavo </v>
          </cell>
          <cell r="H2786" t="str">
            <v>08705254</v>
          </cell>
          <cell r="I2786" t="str">
            <v>BCP</v>
          </cell>
          <cell r="J2786" t="str">
            <v>19208783391010</v>
          </cell>
          <cell r="K2786" t="str">
            <v>DNI</v>
          </cell>
          <cell r="L2786">
            <v>10087052546</v>
          </cell>
          <cell r="M2786" t="str">
            <v>AEROPUERTO</v>
          </cell>
          <cell r="N2786">
            <v>45854.416666666664</v>
          </cell>
          <cell r="O2786">
            <v>235</v>
          </cell>
          <cell r="P2786" t="str">
            <v>COMFORT XL</v>
          </cell>
        </row>
        <row r="2787">
          <cell r="A2787">
            <v>3648</v>
          </cell>
          <cell r="B2787">
            <v>3648</v>
          </cell>
          <cell r="C2787" t="str">
            <v>CERO MATRICULA</v>
          </cell>
          <cell r="D2787" t="str">
            <v>ACTIVO</v>
          </cell>
          <cell r="E2787" t="str">
            <v>CRB152</v>
          </cell>
          <cell r="F2787" t="str">
            <v>Laguna Concepción Angel Rafael</v>
          </cell>
          <cell r="G2787" t="str">
            <v>Laguna Concepción Angel Rafael</v>
          </cell>
          <cell r="H2787" t="str">
            <v>003611994</v>
          </cell>
          <cell r="I2787" t="str">
            <v>BCP</v>
          </cell>
          <cell r="J2787" t="str">
            <v>19495109222019</v>
          </cell>
          <cell r="K2787" t="str">
            <v>CE</v>
          </cell>
          <cell r="L2787">
            <v>15607429402</v>
          </cell>
          <cell r="M2787" t="str">
            <v>AEROLINEAS</v>
          </cell>
          <cell r="N2787">
            <v>45862.416666666664</v>
          </cell>
          <cell r="O2787">
            <v>0</v>
          </cell>
          <cell r="P2787" t="str">
            <v>XL</v>
          </cell>
        </row>
        <row r="2788">
          <cell r="A2788">
            <v>3657</v>
          </cell>
          <cell r="B2788">
            <v>3657</v>
          </cell>
          <cell r="C2788" t="str">
            <v>CERO MATRICULA</v>
          </cell>
          <cell r="D2788" t="str">
            <v>ACTIVO</v>
          </cell>
          <cell r="E2788" t="str">
            <v>Z7C519</v>
          </cell>
          <cell r="F2788" t="str">
            <v>Castro Mayorga Rubén</v>
          </cell>
          <cell r="G2788" t="str">
            <v>Castro Mayorga Rubén</v>
          </cell>
          <cell r="H2788" t="str">
            <v>09615900</v>
          </cell>
          <cell r="I2788" t="str">
            <v>INTERBANK</v>
          </cell>
          <cell r="J2788" t="str">
            <v>8983385990210</v>
          </cell>
          <cell r="K2788" t="str">
            <v>DNI</v>
          </cell>
          <cell r="L2788">
            <v>10096159001</v>
          </cell>
          <cell r="M2788" t="str">
            <v>URBANO PARTNER</v>
          </cell>
          <cell r="N2788">
            <v>45862.083333333336</v>
          </cell>
          <cell r="O2788">
            <v>0</v>
          </cell>
          <cell r="P2788" t="str">
            <v>XL</v>
          </cell>
        </row>
        <row r="2789">
          <cell r="A2789">
            <v>3668</v>
          </cell>
          <cell r="B2789">
            <v>3668</v>
          </cell>
          <cell r="C2789" t="str">
            <v>CERO MATRICULA</v>
          </cell>
          <cell r="D2789" t="str">
            <v>ACTIVO</v>
          </cell>
          <cell r="E2789" t="str">
            <v>BHO626</v>
          </cell>
          <cell r="F2789" t="str">
            <v>Díaz Ravelo Edward</v>
          </cell>
          <cell r="G2789" t="str">
            <v>Diaz Ravelo Edward</v>
          </cell>
          <cell r="H2789" t="str">
            <v>007290037</v>
          </cell>
          <cell r="I2789" t="str">
            <v>INTERBANK</v>
          </cell>
          <cell r="J2789" t="str">
            <v>2743469753872</v>
          </cell>
          <cell r="K2789" t="str">
            <v>CARNET DE EXTRANJERÍA</v>
          </cell>
          <cell r="L2789">
            <v>15609818872</v>
          </cell>
          <cell r="M2789" t="str">
            <v>AEROPUERTO</v>
          </cell>
          <cell r="N2789">
            <v>45854.416666666664</v>
          </cell>
          <cell r="O2789">
            <v>265</v>
          </cell>
          <cell r="P2789" t="str">
            <v>LITE</v>
          </cell>
        </row>
        <row r="2790">
          <cell r="A2790">
            <v>3676</v>
          </cell>
          <cell r="B2790">
            <v>3676</v>
          </cell>
          <cell r="C2790" t="str">
            <v>CERO MATRICULA</v>
          </cell>
          <cell r="D2790" t="str">
            <v>ACTIVO</v>
          </cell>
          <cell r="E2790" t="str">
            <v>U1K449</v>
          </cell>
          <cell r="F2790" t="str">
            <v>Hinostroza Paredes Rogger Andrew</v>
          </cell>
          <cell r="G2790" t="str">
            <v xml:space="preserve">Ramos Espinoza Soledad Stefany </v>
          </cell>
          <cell r="H2790" t="str">
            <v>47602499</v>
          </cell>
          <cell r="I2790" t="str">
            <v>BCP</v>
          </cell>
          <cell r="J2790" t="str">
            <v>19191174967024</v>
          </cell>
          <cell r="K2790" t="str">
            <v>DNI</v>
          </cell>
          <cell r="L2790">
            <v>10476024990</v>
          </cell>
          <cell r="M2790" t="str">
            <v>AEROPUERTO</v>
          </cell>
          <cell r="N2790">
            <v>45860.416666666664</v>
          </cell>
          <cell r="O2790">
            <v>265</v>
          </cell>
          <cell r="P2790" t="str">
            <v>LITE</v>
          </cell>
        </row>
        <row r="2791">
          <cell r="A2791">
            <v>3679</v>
          </cell>
          <cell r="B2791">
            <v>3679</v>
          </cell>
          <cell r="C2791" t="str">
            <v>CERO MATRICULA</v>
          </cell>
          <cell r="D2791" t="str">
            <v>ACTIVO</v>
          </cell>
          <cell r="E2791" t="str">
            <v>CNW232</v>
          </cell>
          <cell r="F2791" t="str">
            <v>Flores Romero Francisco Rafael</v>
          </cell>
          <cell r="G2791" t="str">
            <v>Flores Romero Francisco Rafael</v>
          </cell>
          <cell r="H2791" t="str">
            <v>006812044</v>
          </cell>
          <cell r="I2791" t="str">
            <v>INTERBANK</v>
          </cell>
          <cell r="J2791" t="str">
            <v>4153414197341</v>
          </cell>
          <cell r="K2791" t="str">
            <v>CE</v>
          </cell>
          <cell r="L2791">
            <v>15604821697</v>
          </cell>
          <cell r="M2791" t="str">
            <v>AEROLINEAS</v>
          </cell>
          <cell r="N2791">
            <v>45862.416666666664</v>
          </cell>
          <cell r="O2791">
            <v>0</v>
          </cell>
          <cell r="P2791" t="str">
            <v>COMFORT XL</v>
          </cell>
        </row>
        <row r="2792">
          <cell r="A2792">
            <v>3680</v>
          </cell>
          <cell r="B2792">
            <v>3680</v>
          </cell>
          <cell r="C2792" t="str">
            <v>CERO MATRICULA</v>
          </cell>
          <cell r="D2792" t="str">
            <v>ACTIVO</v>
          </cell>
          <cell r="E2792" t="str">
            <v>CFA384</v>
          </cell>
          <cell r="F2792" t="str">
            <v>Cedeño  Lino Jose</v>
          </cell>
          <cell r="G2792" t="str">
            <v xml:space="preserve"> Lino Jose</v>
          </cell>
          <cell r="H2792" t="str">
            <v>003265446</v>
          </cell>
          <cell r="I2792" t="str">
            <v>BBVA</v>
          </cell>
          <cell r="J2792" t="str">
            <v>001101900200833125</v>
          </cell>
          <cell r="K2792" t="str">
            <v>CE</v>
          </cell>
          <cell r="L2792">
            <v>15604222874</v>
          </cell>
          <cell r="M2792" t="str">
            <v>AEROLINEAS</v>
          </cell>
          <cell r="N2792">
            <v>45862.416666666664</v>
          </cell>
          <cell r="O2792">
            <v>0</v>
          </cell>
          <cell r="P2792" t="str">
            <v>COMFORT</v>
          </cell>
        </row>
        <row r="2793">
          <cell r="A2793">
            <v>3681</v>
          </cell>
          <cell r="B2793">
            <v>3681</v>
          </cell>
          <cell r="C2793" t="str">
            <v>CERO MATRICULA</v>
          </cell>
          <cell r="D2793" t="str">
            <v>ACTIVO</v>
          </cell>
          <cell r="E2793" t="str">
            <v>CMN349</v>
          </cell>
          <cell r="F2793" t="str">
            <v>Jimenez Calvo Christian John</v>
          </cell>
          <cell r="G2793" t="str">
            <v>Jimenez Calvo Christian John</v>
          </cell>
          <cell r="H2793" t="str">
            <v>41805456</v>
          </cell>
          <cell r="I2793" t="str">
            <v>BCP</v>
          </cell>
          <cell r="J2793" t="str">
            <v>19107151879019</v>
          </cell>
          <cell r="K2793" t="str">
            <v>DNI</v>
          </cell>
          <cell r="L2793">
            <v>10418054561</v>
          </cell>
          <cell r="M2793" t="str">
            <v>AEROLINEAS</v>
          </cell>
          <cell r="N2793">
            <v>45862.416666666664</v>
          </cell>
          <cell r="O2793">
            <v>0</v>
          </cell>
          <cell r="P2793" t="str">
            <v>COMFORT</v>
          </cell>
        </row>
        <row r="2794">
          <cell r="A2794">
            <v>3682</v>
          </cell>
          <cell r="B2794">
            <v>3682</v>
          </cell>
          <cell r="C2794" t="str">
            <v>CERO MATRICULA</v>
          </cell>
          <cell r="D2794" t="str">
            <v>ACTIVO</v>
          </cell>
          <cell r="E2794" t="str">
            <v>CDF277</v>
          </cell>
          <cell r="F2794" t="str">
            <v>Lizarraga Murillo Luis Enrique</v>
          </cell>
          <cell r="G2794" t="str">
            <v>Lizarraga Murillo Luis Enrique</v>
          </cell>
          <cell r="H2794" t="str">
            <v>07878309</v>
          </cell>
          <cell r="I2794" t="str">
            <v>INTERBANK</v>
          </cell>
          <cell r="J2794" t="str">
            <v>1643129801796</v>
          </cell>
          <cell r="K2794" t="str">
            <v>DNI</v>
          </cell>
          <cell r="L2794">
            <v>10078783091</v>
          </cell>
          <cell r="M2794" t="str">
            <v>AEROLINEAS</v>
          </cell>
          <cell r="N2794">
            <v>45862.416666666664</v>
          </cell>
          <cell r="O2794">
            <v>0</v>
          </cell>
          <cell r="P2794" t="str">
            <v>COMFORT XL</v>
          </cell>
        </row>
        <row r="2795">
          <cell r="A2795">
            <v>3683</v>
          </cell>
          <cell r="B2795">
            <v>3683</v>
          </cell>
          <cell r="C2795" t="str">
            <v>CERO MATRICULA</v>
          </cell>
          <cell r="D2795" t="str">
            <v>ACTIVO</v>
          </cell>
          <cell r="E2795" t="str">
            <v>ART024</v>
          </cell>
          <cell r="F2795" t="str">
            <v>Li Bedregal Héctor Mario</v>
          </cell>
          <cell r="G2795" t="str">
            <v>Bedregal Héctor Mario</v>
          </cell>
          <cell r="H2795" t="str">
            <v>07856722</v>
          </cell>
          <cell r="I2795" t="str">
            <v>BCP</v>
          </cell>
          <cell r="J2795" t="str">
            <v>19493709805066</v>
          </cell>
          <cell r="K2795" t="str">
            <v>DNI</v>
          </cell>
          <cell r="L2795">
            <v>10078567223</v>
          </cell>
          <cell r="M2795" t="str">
            <v>AEROLINEAS</v>
          </cell>
          <cell r="N2795">
            <v>45862.416666666664</v>
          </cell>
          <cell r="O2795">
            <v>0</v>
          </cell>
          <cell r="P2795" t="str">
            <v>XL</v>
          </cell>
        </row>
        <row r="2796">
          <cell r="A2796">
            <v>3687</v>
          </cell>
          <cell r="B2796">
            <v>3687</v>
          </cell>
          <cell r="C2796" t="str">
            <v>CERO MATRICULA</v>
          </cell>
          <cell r="D2796" t="str">
            <v>ACTIVO</v>
          </cell>
          <cell r="E2796" t="str">
            <v>CSF394</v>
          </cell>
          <cell r="F2796" t="str">
            <v>Diaz Requejo Ever Jhonatan</v>
          </cell>
          <cell r="G2796" t="str">
            <v xml:space="preserve"> Gonzales Inga Gianela </v>
          </cell>
          <cell r="H2796" t="str">
            <v>71857857</v>
          </cell>
          <cell r="I2796" t="str">
            <v>INTERBANK</v>
          </cell>
          <cell r="J2796" t="str">
            <v>8983144270365</v>
          </cell>
          <cell r="K2796" t="str">
            <v>DNI</v>
          </cell>
          <cell r="L2796">
            <v>10718578570</v>
          </cell>
          <cell r="M2796" t="str">
            <v>URBANO PARTNER</v>
          </cell>
          <cell r="N2796">
            <v>45862.083333333336</v>
          </cell>
          <cell r="O2796">
            <v>0</v>
          </cell>
          <cell r="P2796" t="str">
            <v>COMFORT XL</v>
          </cell>
        </row>
        <row r="2797">
          <cell r="A2797">
            <v>3688</v>
          </cell>
          <cell r="B2797">
            <v>3688</v>
          </cell>
          <cell r="C2797" t="str">
            <v>CERO MATRICULA</v>
          </cell>
          <cell r="D2797" t="str">
            <v>ACTIVO</v>
          </cell>
          <cell r="E2797" t="str">
            <v>CNS547</v>
          </cell>
          <cell r="F2797" t="str">
            <v>Calero Calderon Jean Pierre</v>
          </cell>
          <cell r="G2797" t="str">
            <v>Calero Calderon Jean Pierre</v>
          </cell>
          <cell r="H2797" t="str">
            <v>43781228</v>
          </cell>
          <cell r="I2797" t="str">
            <v>BCP</v>
          </cell>
          <cell r="J2797" t="str">
            <v>1933364818806</v>
          </cell>
          <cell r="K2797" t="str">
            <v>DNI</v>
          </cell>
          <cell r="L2797">
            <v>10437812280</v>
          </cell>
          <cell r="M2797" t="str">
            <v>URBANO PARTNER</v>
          </cell>
          <cell r="N2797">
            <v>45862.083333333336</v>
          </cell>
          <cell r="O2797">
            <v>0</v>
          </cell>
          <cell r="P2797" t="str">
            <v>COMFORT XL</v>
          </cell>
        </row>
        <row r="2798">
          <cell r="A2798">
            <v>3689</v>
          </cell>
          <cell r="B2798">
            <v>3689</v>
          </cell>
          <cell r="C2798" t="str">
            <v>CERO MATRICULA</v>
          </cell>
          <cell r="D2798" t="str">
            <v>ACTIVO</v>
          </cell>
          <cell r="E2798" t="str">
            <v>CTD500</v>
          </cell>
          <cell r="F2798" t="str">
            <v>Cornejo Quevedo Gino</v>
          </cell>
          <cell r="G2798" t="str">
            <v>Cornejo Quevedo Gino</v>
          </cell>
          <cell r="H2798" t="str">
            <v>41397393</v>
          </cell>
          <cell r="I2798" t="str">
            <v>BCP</v>
          </cell>
          <cell r="J2798" t="str">
            <v>19409114743010</v>
          </cell>
          <cell r="K2798" t="str">
            <v>DNI</v>
          </cell>
          <cell r="L2798">
            <v>10413973932</v>
          </cell>
          <cell r="M2798" t="str">
            <v>URBANO PARTNER</v>
          </cell>
          <cell r="N2798">
            <v>45862.083333333336</v>
          </cell>
          <cell r="O2798">
            <v>0</v>
          </cell>
          <cell r="P2798" t="str">
            <v>COMFORT</v>
          </cell>
        </row>
        <row r="2799">
          <cell r="A2799">
            <v>3690</v>
          </cell>
          <cell r="B2799">
            <v>3690</v>
          </cell>
          <cell r="C2799" t="str">
            <v>CERO MATRICULA</v>
          </cell>
          <cell r="D2799" t="str">
            <v>ACTIVO</v>
          </cell>
          <cell r="E2799" t="str">
            <v>CCO586</v>
          </cell>
          <cell r="F2799" t="str">
            <v xml:space="preserve">Porras Villano Carlos Raúl </v>
          </cell>
          <cell r="G2799" t="str">
            <v xml:space="preserve">Porras Villano Carlos Raúl </v>
          </cell>
          <cell r="H2799" t="str">
            <v>10256086</v>
          </cell>
          <cell r="I2799" t="str">
            <v>BBVA</v>
          </cell>
          <cell r="J2799" t="str">
            <v>001100570290238642</v>
          </cell>
          <cell r="K2799" t="str">
            <v>DNI</v>
          </cell>
          <cell r="L2799">
            <v>10102560863</v>
          </cell>
          <cell r="M2799" t="str">
            <v>URBANO PARTNER</v>
          </cell>
          <cell r="N2799">
            <v>45862.083333333336</v>
          </cell>
          <cell r="O2799">
            <v>0</v>
          </cell>
          <cell r="P2799" t="str">
            <v>COMFORT</v>
          </cell>
        </row>
        <row r="2800">
          <cell r="A2800">
            <v>6</v>
          </cell>
          <cell r="B2800">
            <v>6</v>
          </cell>
          <cell r="C2800" t="str">
            <v>CERO MATRICULA</v>
          </cell>
          <cell r="D2800" t="str">
            <v>ACTIVO</v>
          </cell>
          <cell r="E2800" t="str">
            <v>MOVIL CONTINGENCIA</v>
          </cell>
          <cell r="F2800" t="str">
            <v>MOVIL CONTINGENCIA</v>
          </cell>
          <cell r="G2800" t="str">
            <v>MOVIL CONTINGENCIA</v>
          </cell>
          <cell r="H2800" t="str">
            <v>MOVIL CONTINGENCIA</v>
          </cell>
          <cell r="I2800" t="str">
            <v>MOVIL CONTINGENCIA</v>
          </cell>
          <cell r="J2800" t="str">
            <v>MOVIL CONTINGENCIA</v>
          </cell>
          <cell r="K2800" t="str">
            <v>MOVIL CONTINGENCIA</v>
          </cell>
          <cell r="L2800" t="str">
            <v>MOVIL CONTINGENCIA</v>
          </cell>
          <cell r="M2800" t="str">
            <v>MOVIL CONTINGENCIA</v>
          </cell>
          <cell r="N2800">
            <v>45880</v>
          </cell>
          <cell r="O2800">
            <v>0</v>
          </cell>
          <cell r="P2800" t="str">
            <v>LITE</v>
          </cell>
        </row>
        <row r="2801">
          <cell r="A2801">
            <v>20</v>
          </cell>
          <cell r="B2801">
            <v>20</v>
          </cell>
          <cell r="C2801" t="str">
            <v>CERO MATRICULA</v>
          </cell>
          <cell r="D2801" t="str">
            <v>ACTIVO</v>
          </cell>
          <cell r="E2801" t="str">
            <v>MOVIL CONTINGENCIA</v>
          </cell>
          <cell r="F2801" t="str">
            <v>MOVIL CONTINGENCIA</v>
          </cell>
          <cell r="G2801" t="str">
            <v>MOVIL CONTINGENCIA</v>
          </cell>
          <cell r="H2801" t="str">
            <v>MOVIL CONTINGENCIA</v>
          </cell>
          <cell r="I2801" t="str">
            <v>MOVIL CONTINGENCIA</v>
          </cell>
          <cell r="J2801" t="str">
            <v>MOVIL CONTINGENCIA</v>
          </cell>
          <cell r="K2801" t="str">
            <v>MOVIL CONTINGENCIA</v>
          </cell>
          <cell r="L2801" t="str">
            <v>MOVIL CONTINGENCIA</v>
          </cell>
          <cell r="M2801" t="str">
            <v>MOVIL CONTINGENCIA</v>
          </cell>
          <cell r="N2801">
            <v>45880</v>
          </cell>
          <cell r="O2801">
            <v>0</v>
          </cell>
          <cell r="P2801" t="str">
            <v>COMFORT</v>
          </cell>
        </row>
        <row r="2802">
          <cell r="A2802">
            <v>52</v>
          </cell>
          <cell r="B2802">
            <v>52</v>
          </cell>
          <cell r="C2802" t="str">
            <v>CERO MATRICULA</v>
          </cell>
          <cell r="D2802" t="str">
            <v>ACTIVO</v>
          </cell>
          <cell r="E2802" t="str">
            <v>MOVIL CONTINGENCIA</v>
          </cell>
          <cell r="F2802" t="str">
            <v>MOVIL CONTINGENCIA</v>
          </cell>
          <cell r="G2802" t="str">
            <v>MOVIL CONTINGENCIA</v>
          </cell>
          <cell r="H2802" t="str">
            <v>MOVIL CONTINGENCIA</v>
          </cell>
          <cell r="I2802" t="str">
            <v>MOVIL CONTINGENCIA</v>
          </cell>
          <cell r="J2802" t="str">
            <v>MOVIL CONTINGENCIA</v>
          </cell>
          <cell r="K2802" t="str">
            <v>MOVIL CONTINGENCIA</v>
          </cell>
          <cell r="L2802" t="str">
            <v>MOVIL CONTINGENCIA</v>
          </cell>
          <cell r="M2802" t="str">
            <v>MOVIL CONTINGENCIA</v>
          </cell>
          <cell r="N2802">
            <v>45880</v>
          </cell>
          <cell r="O2802">
            <v>0</v>
          </cell>
          <cell r="P2802">
            <v>0</v>
          </cell>
        </row>
        <row r="2803">
          <cell r="A2803">
            <v>1487</v>
          </cell>
          <cell r="B2803">
            <v>1487</v>
          </cell>
          <cell r="C2803" t="str">
            <v>CERO MATRICULA</v>
          </cell>
          <cell r="D2803" t="str">
            <v>ACTIVO</v>
          </cell>
          <cell r="E2803" t="str">
            <v>BNB493</v>
          </cell>
          <cell r="F2803" t="str">
            <v>Zapata Zeladita Maximo Abel</v>
          </cell>
          <cell r="G2803" t="str">
            <v>Zapata Zeladita Maximo Abel</v>
          </cell>
          <cell r="H2803" t="str">
            <v>25557518</v>
          </cell>
          <cell r="I2803" t="str">
            <v>BCP</v>
          </cell>
          <cell r="J2803" t="str">
            <v>19102496801020</v>
          </cell>
          <cell r="K2803" t="str">
            <v>DNI</v>
          </cell>
          <cell r="L2803">
            <v>10255575185</v>
          </cell>
          <cell r="M2803" t="str">
            <v>AEROPUERTO</v>
          </cell>
          <cell r="N2803">
            <v>45869</v>
          </cell>
          <cell r="O2803">
            <v>235</v>
          </cell>
          <cell r="P2803" t="str">
            <v>COMFORT XL</v>
          </cell>
        </row>
        <row r="2804">
          <cell r="A2804">
            <v>3677</v>
          </cell>
          <cell r="B2804">
            <v>3677</v>
          </cell>
          <cell r="C2804" t="str">
            <v>CERO MATRICULA</v>
          </cell>
          <cell r="D2804" t="str">
            <v>ACTIVO</v>
          </cell>
          <cell r="E2804" t="str">
            <v>BFO389</v>
          </cell>
          <cell r="F2804" t="str">
            <v>Choque Quispe Octavio</v>
          </cell>
          <cell r="G2804" t="str">
            <v>Choque Quispe Octavio</v>
          </cell>
          <cell r="H2804" t="str">
            <v>25326975</v>
          </cell>
          <cell r="I2804" t="str">
            <v>BCP</v>
          </cell>
          <cell r="J2804" t="str">
            <v>19193657436068</v>
          </cell>
          <cell r="K2804" t="str">
            <v>DNI</v>
          </cell>
          <cell r="L2804">
            <v>10253269753</v>
          </cell>
          <cell r="M2804" t="str">
            <v>AEROPUERTO</v>
          </cell>
          <cell r="N2804">
            <v>45860.416666666664</v>
          </cell>
          <cell r="O2804">
            <v>240</v>
          </cell>
          <cell r="P2804" t="str">
            <v>XL</v>
          </cell>
        </row>
        <row r="2805">
          <cell r="A2805">
            <v>3691</v>
          </cell>
          <cell r="B2805">
            <v>3691</v>
          </cell>
          <cell r="C2805" t="str">
            <v>CERO MATRICULA</v>
          </cell>
          <cell r="D2805" t="str">
            <v>ACTIVO</v>
          </cell>
          <cell r="E2805" t="str">
            <v>CCG246</v>
          </cell>
          <cell r="F2805" t="str">
            <v xml:space="preserve">Palacios Ccasahuilca Adrian </v>
          </cell>
          <cell r="G2805" t="str">
            <v xml:space="preserve">Palacios Ccasahuilca Adrian </v>
          </cell>
          <cell r="H2805" t="str">
            <v>07511227</v>
          </cell>
          <cell r="I2805" t="str">
            <v>BBVA</v>
          </cell>
          <cell r="J2805" t="str">
            <v>001108140278684356</v>
          </cell>
          <cell r="K2805" t="str">
            <v>DNI</v>
          </cell>
          <cell r="L2805">
            <v>10075112276</v>
          </cell>
          <cell r="M2805" t="str">
            <v>AEROPUERTO</v>
          </cell>
          <cell r="N2805">
            <v>45869.583333333336</v>
          </cell>
          <cell r="O2805">
            <v>235</v>
          </cell>
          <cell r="P2805" t="str">
            <v>COMFORT XL</v>
          </cell>
        </row>
        <row r="2806">
          <cell r="A2806">
            <v>219</v>
          </cell>
          <cell r="B2806">
            <v>219</v>
          </cell>
          <cell r="C2806" t="str">
            <v>CERO MATRICULA</v>
          </cell>
          <cell r="D2806" t="str">
            <v>ACTIVO</v>
          </cell>
          <cell r="E2806" t="str">
            <v>CEP236</v>
          </cell>
          <cell r="F2806" t="str">
            <v>Mallqui Pozo Homer Gustavo</v>
          </cell>
          <cell r="G2806" t="str">
            <v>Mallqui Pozo Homer Gustavo</v>
          </cell>
          <cell r="H2806" t="str">
            <v>08676916</v>
          </cell>
          <cell r="I2806" t="str">
            <v>BCP</v>
          </cell>
          <cell r="J2806" t="str">
            <v>19139759665075</v>
          </cell>
          <cell r="K2806" t="str">
            <v>DNI</v>
          </cell>
          <cell r="L2806">
            <v>10086769161</v>
          </cell>
          <cell r="M2806" t="str">
            <v>AEROPUERTO</v>
          </cell>
          <cell r="N2806">
            <v>45854.416666666664</v>
          </cell>
          <cell r="O2806">
            <v>235</v>
          </cell>
          <cell r="P2806" t="str">
            <v>COMFORT XL</v>
          </cell>
        </row>
        <row r="2807">
          <cell r="A2807">
            <v>1297</v>
          </cell>
          <cell r="B2807">
            <v>1297</v>
          </cell>
          <cell r="C2807" t="str">
            <v>CERO MATRICULA</v>
          </cell>
          <cell r="D2807" t="str">
            <v>ACTIVO</v>
          </cell>
          <cell r="E2807" t="str">
            <v>BKG258</v>
          </cell>
          <cell r="F2807" t="str">
            <v>Heredia Fernandez Eladio</v>
          </cell>
          <cell r="G2807" t="str">
            <v>Heredia Fernandez Eladio</v>
          </cell>
          <cell r="H2807" t="str">
            <v>10152697</v>
          </cell>
          <cell r="I2807" t="str">
            <v>BCP</v>
          </cell>
          <cell r="J2807" t="str">
            <v>19298273813076</v>
          </cell>
          <cell r="K2807" t="str">
            <v>DNI</v>
          </cell>
          <cell r="L2807">
            <v>10101526971</v>
          </cell>
          <cell r="M2807" t="str">
            <v>AEROPUERTO</v>
          </cell>
          <cell r="N2807">
            <v>45869.083333333336</v>
          </cell>
          <cell r="O2807">
            <v>265</v>
          </cell>
          <cell r="P2807" t="str">
            <v>LITE</v>
          </cell>
        </row>
        <row r="2808">
          <cell r="A2808">
            <v>1482</v>
          </cell>
          <cell r="B2808">
            <v>1482</v>
          </cell>
          <cell r="C2808" t="str">
            <v>CERO MATRICULA</v>
          </cell>
          <cell r="D2808" t="str">
            <v>ACTIVO</v>
          </cell>
          <cell r="E2808" t="str">
            <v>CNN506</v>
          </cell>
          <cell r="F2808" t="str">
            <v>Di giacinto Gutierrez Gabriel alejandro</v>
          </cell>
          <cell r="G2808" t="str">
            <v>Di giacinto Gutierrez Gabriel alejandro</v>
          </cell>
          <cell r="H2808" t="str">
            <v>006724824</v>
          </cell>
          <cell r="I2808" t="str">
            <v>INTERBANK</v>
          </cell>
          <cell r="J2808" t="str">
            <v>2843412033987</v>
          </cell>
          <cell r="K2808" t="str">
            <v>CARNET DE EXTRANJERÍA</v>
          </cell>
          <cell r="L2808">
            <v>15613253928</v>
          </cell>
          <cell r="M2808" t="str">
            <v>AEROPUERTO</v>
          </cell>
          <cell r="N2808">
            <v>45876.416666666664</v>
          </cell>
          <cell r="O2808">
            <v>235</v>
          </cell>
          <cell r="P2808" t="str">
            <v>COMFORT XL</v>
          </cell>
        </row>
        <row r="2809">
          <cell r="A2809">
            <v>3428</v>
          </cell>
          <cell r="B2809">
            <v>3428</v>
          </cell>
          <cell r="C2809" t="str">
            <v>CERO MATRICULA</v>
          </cell>
          <cell r="D2809" t="str">
            <v>ACTIVO</v>
          </cell>
          <cell r="E2809" t="str">
            <v>CML339</v>
          </cell>
          <cell r="F2809" t="str">
            <v>Morante Briceño Javier Francisco</v>
          </cell>
          <cell r="G2809" t="str">
            <v xml:space="preserve">Bolsa de viaje Raymi Travel Perú </v>
          </cell>
          <cell r="H2809">
            <v>20612423173</v>
          </cell>
          <cell r="I2809" t="str">
            <v>BCP</v>
          </cell>
          <cell r="J2809" t="str">
            <v>1944202525046</v>
          </cell>
          <cell r="K2809" t="str">
            <v>RUC</v>
          </cell>
          <cell r="L2809">
            <v>20612423173</v>
          </cell>
          <cell r="M2809" t="str">
            <v>AEROPUERTO VAN</v>
          </cell>
          <cell r="N2809">
            <v>45847.416666666664</v>
          </cell>
          <cell r="O2809">
            <v>240</v>
          </cell>
          <cell r="P2809" t="str">
            <v>VAN</v>
          </cell>
        </row>
        <row r="2810">
          <cell r="A2810">
            <v>3685</v>
          </cell>
          <cell r="B2810">
            <v>3685</v>
          </cell>
          <cell r="C2810" t="str">
            <v>CERO MATRICULA</v>
          </cell>
          <cell r="D2810" t="str">
            <v>ACTIVO</v>
          </cell>
          <cell r="E2810" t="str">
            <v>BDR487</v>
          </cell>
          <cell r="F2810" t="str">
            <v>Mollehuanca Luque Daniel Enrique</v>
          </cell>
          <cell r="G2810" t="str">
            <v>Luque Daniel Enrique</v>
          </cell>
          <cell r="H2810" t="str">
            <v>41759955</v>
          </cell>
          <cell r="I2810" t="str">
            <v>BCP</v>
          </cell>
          <cell r="J2810" t="str">
            <v>19109036321096</v>
          </cell>
          <cell r="K2810" t="str">
            <v>DNI</v>
          </cell>
          <cell r="L2810">
            <v>10417599555</v>
          </cell>
          <cell r="M2810" t="str">
            <v>AEROLINEAS</v>
          </cell>
          <cell r="N2810">
            <v>45876.625</v>
          </cell>
          <cell r="O2810">
            <v>0</v>
          </cell>
          <cell r="P2810" t="str">
            <v>COMFORT XL</v>
          </cell>
        </row>
        <row r="2811">
          <cell r="A2811">
            <v>3686</v>
          </cell>
          <cell r="B2811">
            <v>3686</v>
          </cell>
          <cell r="C2811" t="str">
            <v>CERO MATRICULA</v>
          </cell>
          <cell r="D2811" t="str">
            <v>ACTIVO</v>
          </cell>
          <cell r="E2811" t="str">
            <v>CMK123</v>
          </cell>
          <cell r="F2811" t="str">
            <v>Lopez Cordova Jorge</v>
          </cell>
          <cell r="G2811" t="str">
            <v xml:space="preserve">Vera Espinoza Katherine Suny </v>
          </cell>
          <cell r="H2811" t="str">
            <v>44770719</v>
          </cell>
          <cell r="I2811" t="str">
            <v>BCP</v>
          </cell>
          <cell r="J2811" t="str">
            <v>19109224712090</v>
          </cell>
          <cell r="K2811" t="str">
            <v>DNI</v>
          </cell>
          <cell r="L2811">
            <v>10447707191</v>
          </cell>
          <cell r="M2811" t="str">
            <v>AEROLINEAS</v>
          </cell>
          <cell r="N2811">
            <v>45876.625</v>
          </cell>
          <cell r="O2811">
            <v>0</v>
          </cell>
          <cell r="P2811" t="str">
            <v>XL</v>
          </cell>
        </row>
        <row r="2812">
          <cell r="A2812">
            <v>3692</v>
          </cell>
          <cell r="B2812">
            <v>3692</v>
          </cell>
          <cell r="C2812" t="str">
            <v>CERO MATRICULA</v>
          </cell>
          <cell r="D2812" t="str">
            <v>ACTIVO</v>
          </cell>
          <cell r="E2812" t="str">
            <v>CTK346</v>
          </cell>
          <cell r="F2812" t="str">
            <v xml:space="preserve">Ascanoa De la Cruz Jhon Jesús </v>
          </cell>
          <cell r="G2812" t="str">
            <v xml:space="preserve">Ascanoa De la Cruz Jhon Jesús </v>
          </cell>
          <cell r="H2812" t="str">
            <v>70373615</v>
          </cell>
          <cell r="I2812" t="str">
            <v>BCP</v>
          </cell>
          <cell r="J2812" t="str">
            <v>19198983774007</v>
          </cell>
          <cell r="K2812" t="str">
            <v>DNI</v>
          </cell>
          <cell r="L2812">
            <v>10703736152</v>
          </cell>
          <cell r="M2812" t="str">
            <v>AEROPUERTO</v>
          </cell>
          <cell r="N2812">
            <v>45869.583333333336</v>
          </cell>
          <cell r="O2812">
            <v>235</v>
          </cell>
          <cell r="P2812" t="str">
            <v>COMFORT XL</v>
          </cell>
        </row>
        <row r="2813">
          <cell r="A2813">
            <v>3693</v>
          </cell>
          <cell r="B2813">
            <v>3693</v>
          </cell>
          <cell r="C2813" t="str">
            <v>CERO MATRICULA</v>
          </cell>
          <cell r="D2813" t="str">
            <v>ACTIVO</v>
          </cell>
          <cell r="E2813" t="str">
            <v>CTA465</v>
          </cell>
          <cell r="F2813" t="str">
            <v>CAMPOS MILLA GARL JHONSON</v>
          </cell>
          <cell r="G2813" t="str">
            <v>CAMPOS MILLA GARL JHONSON</v>
          </cell>
          <cell r="H2813">
            <v>44841222</v>
          </cell>
          <cell r="I2813" t="str">
            <v>BCP</v>
          </cell>
          <cell r="J2813" t="str">
            <v>19105329431062</v>
          </cell>
          <cell r="K2813" t="str">
            <v>DNI</v>
          </cell>
          <cell r="L2813">
            <v>10448412224</v>
          </cell>
          <cell r="M2813" t="str">
            <v>AEROPUERTO</v>
          </cell>
          <cell r="N2813">
            <v>45869.583333333336</v>
          </cell>
          <cell r="O2813">
            <v>240</v>
          </cell>
          <cell r="P2813" t="str">
            <v>XL</v>
          </cell>
        </row>
        <row r="2814">
          <cell r="A2814">
            <v>3695</v>
          </cell>
          <cell r="B2814">
            <v>3695</v>
          </cell>
          <cell r="C2814" t="str">
            <v>CERO MATRICULA</v>
          </cell>
          <cell r="D2814" t="str">
            <v>ACTIVO</v>
          </cell>
          <cell r="E2814" t="str">
            <v>CEI542</v>
          </cell>
          <cell r="F2814" t="str">
            <v xml:space="preserve">agama flores Félix </v>
          </cell>
          <cell r="G2814" t="str">
            <v xml:space="preserve">Agama Flores Félix </v>
          </cell>
          <cell r="H2814" t="str">
            <v>10505382</v>
          </cell>
          <cell r="I2814" t="str">
            <v>INTERBANK</v>
          </cell>
          <cell r="J2814" t="str">
            <v>003-368013133217003-87</v>
          </cell>
          <cell r="K2814" t="str">
            <v>DNI</v>
          </cell>
          <cell r="L2814">
            <v>10105053822</v>
          </cell>
          <cell r="M2814" t="str">
            <v>AEROPUERTO</v>
          </cell>
          <cell r="N2814">
            <v>45869.083333333336</v>
          </cell>
          <cell r="O2814">
            <v>240</v>
          </cell>
          <cell r="P2814" t="str">
            <v>XL</v>
          </cell>
        </row>
        <row r="2815">
          <cell r="A2815">
            <v>3697</v>
          </cell>
          <cell r="B2815">
            <v>3697</v>
          </cell>
          <cell r="C2815" t="str">
            <v>CERO MATRICULA</v>
          </cell>
          <cell r="D2815" t="str">
            <v>ACTIVO</v>
          </cell>
          <cell r="E2815" t="str">
            <v>CST582</v>
          </cell>
          <cell r="F2815" t="str">
            <v xml:space="preserve">Rodríguez Puentes José Luis </v>
          </cell>
          <cell r="G2815" t="str">
            <v xml:space="preserve">Rodriguez Puentes José Luis </v>
          </cell>
          <cell r="H2815" t="str">
            <v>006302326</v>
          </cell>
          <cell r="I2815" t="str">
            <v>BCP</v>
          </cell>
          <cell r="J2815" t="str">
            <v>19394551395057</v>
          </cell>
          <cell r="K2815" t="str">
            <v>CARNET DE EXTRANJERÍA</v>
          </cell>
          <cell r="L2815">
            <v>15606623035</v>
          </cell>
          <cell r="M2815" t="str">
            <v>AEROPUERTO</v>
          </cell>
          <cell r="N2815">
            <v>45869.583333333336</v>
          </cell>
          <cell r="O2815">
            <v>235</v>
          </cell>
          <cell r="P2815" t="str">
            <v>COMFORT XL</v>
          </cell>
        </row>
        <row r="2816">
          <cell r="A2816">
            <v>3698</v>
          </cell>
          <cell r="B2816">
            <v>3698</v>
          </cell>
          <cell r="C2816" t="str">
            <v>CERO MATRICULA</v>
          </cell>
          <cell r="D2816" t="str">
            <v>ACTIVO</v>
          </cell>
          <cell r="E2816" t="str">
            <v>BdI362</v>
          </cell>
          <cell r="F2816" t="str">
            <v xml:space="preserve">Castillo Vargas Juan henry </v>
          </cell>
          <cell r="G2816" t="str">
            <v xml:space="preserve">Castillo Vargas Juan henry </v>
          </cell>
          <cell r="H2816" t="str">
            <v>46174873</v>
          </cell>
          <cell r="I2816" t="str">
            <v>BCP</v>
          </cell>
          <cell r="J2816" t="str">
            <v>19171021225010</v>
          </cell>
          <cell r="K2816" t="str">
            <v>DNI</v>
          </cell>
          <cell r="L2816">
            <v>10461748738</v>
          </cell>
          <cell r="M2816" t="str">
            <v>URBANO PARTNER</v>
          </cell>
          <cell r="N2816">
            <v>45874.583333333336</v>
          </cell>
          <cell r="O2816">
            <v>0</v>
          </cell>
          <cell r="P2816" t="str">
            <v>LITE</v>
          </cell>
        </row>
        <row r="2817">
          <cell r="A2817">
            <v>3699</v>
          </cell>
          <cell r="B2817">
            <v>3699</v>
          </cell>
          <cell r="C2817" t="str">
            <v>CERO MATRICULA</v>
          </cell>
          <cell r="D2817" t="str">
            <v>ACTIVO</v>
          </cell>
          <cell r="E2817" t="str">
            <v>Azo391</v>
          </cell>
          <cell r="F2817" t="str">
            <v>Becerra Ramos Erikson jean</v>
          </cell>
          <cell r="G2817" t="str">
            <v>Espinoza Chiroque Lucero</v>
          </cell>
          <cell r="H2817" t="str">
            <v>48217706</v>
          </cell>
          <cell r="I2817" t="str">
            <v>BCP</v>
          </cell>
          <cell r="J2817" t="str">
            <v>19107499424074</v>
          </cell>
          <cell r="K2817" t="str">
            <v>DNI</v>
          </cell>
          <cell r="L2817">
            <v>10484528115</v>
          </cell>
          <cell r="M2817" t="str">
            <v>URBANO PARTNER</v>
          </cell>
          <cell r="N2817">
            <v>45874.583333333336</v>
          </cell>
          <cell r="O2817">
            <v>0</v>
          </cell>
          <cell r="P2817" t="str">
            <v>LITE</v>
          </cell>
        </row>
        <row r="2818">
          <cell r="A2818">
            <v>3700</v>
          </cell>
          <cell r="B2818">
            <v>3700</v>
          </cell>
          <cell r="C2818" t="str">
            <v>CERO MATRICULA</v>
          </cell>
          <cell r="D2818" t="str">
            <v>ACTIVO</v>
          </cell>
          <cell r="E2818" t="str">
            <v>ADL550</v>
          </cell>
          <cell r="F2818" t="str">
            <v>Solis Chuquiyauri Donato</v>
          </cell>
          <cell r="G2818" t="str">
            <v>Solis Chuquiyauri Donato</v>
          </cell>
          <cell r="H2818" t="str">
            <v>25752907</v>
          </cell>
          <cell r="I2818" t="str">
            <v>INTERBANK</v>
          </cell>
          <cell r="J2818" t="str">
            <v>8983302276945</v>
          </cell>
          <cell r="K2818" t="str">
            <v>DNI</v>
          </cell>
          <cell r="L2818">
            <v>15377690297</v>
          </cell>
          <cell r="M2818" t="str">
            <v>URBANO PARTNER</v>
          </cell>
          <cell r="N2818">
            <v>45874.583333333336</v>
          </cell>
          <cell r="O2818">
            <v>0</v>
          </cell>
          <cell r="P2818" t="str">
            <v>COMFORT</v>
          </cell>
        </row>
        <row r="2819">
          <cell r="A2819">
            <v>3706</v>
          </cell>
          <cell r="B2819">
            <v>3706</v>
          </cell>
          <cell r="C2819" t="str">
            <v>CERO MATRICULA</v>
          </cell>
          <cell r="D2819" t="str">
            <v>ACTIVO</v>
          </cell>
          <cell r="E2819" t="str">
            <v>CCC300</v>
          </cell>
          <cell r="F2819" t="str">
            <v>Morffe Delgado Joan Manuel Julian</v>
          </cell>
          <cell r="G2819" t="str">
            <v>Candela Gonzales Gladys Paulina</v>
          </cell>
          <cell r="H2819" t="str">
            <v>09450338</v>
          </cell>
          <cell r="I2819" t="str">
            <v>BCP</v>
          </cell>
          <cell r="J2819" t="str">
            <v>19170349198093</v>
          </cell>
          <cell r="K2819" t="str">
            <v>DNI</v>
          </cell>
          <cell r="L2819">
            <v>10094503383</v>
          </cell>
          <cell r="M2819" t="str">
            <v>URBANO PARTNER</v>
          </cell>
          <cell r="N2819">
            <v>45874.583333333336</v>
          </cell>
          <cell r="O2819">
            <v>0</v>
          </cell>
          <cell r="P2819" t="str">
            <v>LITE</v>
          </cell>
        </row>
        <row r="2820">
          <cell r="A2820">
            <v>3707</v>
          </cell>
          <cell r="B2820">
            <v>3707</v>
          </cell>
          <cell r="C2820" t="str">
            <v>CERO MATRICULA</v>
          </cell>
          <cell r="D2820" t="str">
            <v>ACTIVO</v>
          </cell>
          <cell r="E2820" t="str">
            <v>CSM351</v>
          </cell>
          <cell r="F2820" t="str">
            <v>Alecio Hernandez Pedro Jose</v>
          </cell>
          <cell r="G2820" t="str">
            <v>Hernandez Pedro Jose</v>
          </cell>
          <cell r="H2820" t="str">
            <v>007582458</v>
          </cell>
          <cell r="I2820" t="str">
            <v>BCP</v>
          </cell>
          <cell r="J2820" t="str">
            <v>19206606249077</v>
          </cell>
          <cell r="K2820" t="str">
            <v>CARNET DE EXTRANJERÍA</v>
          </cell>
          <cell r="L2820">
            <v>15614470477</v>
          </cell>
          <cell r="M2820" t="str">
            <v>AEROLINEAS</v>
          </cell>
          <cell r="N2820">
            <v>45876.125</v>
          </cell>
          <cell r="O2820">
            <v>0</v>
          </cell>
          <cell r="P2820" t="str">
            <v>COMFORT</v>
          </cell>
        </row>
        <row r="2821">
          <cell r="A2821">
            <v>3725</v>
          </cell>
          <cell r="B2821">
            <v>3725</v>
          </cell>
          <cell r="C2821" t="str">
            <v>CERO MATRICULA</v>
          </cell>
          <cell r="D2821" t="str">
            <v>ACTIVO</v>
          </cell>
          <cell r="E2821" t="str">
            <v>BDK000</v>
          </cell>
          <cell r="F2821" t="str">
            <v>Cubillas Nicho Gustavo Adolfo</v>
          </cell>
          <cell r="G2821" t="str">
            <v>Nicho Gustavo Adolfo</v>
          </cell>
          <cell r="H2821" t="str">
            <v>40473176</v>
          </cell>
          <cell r="I2821" t="str">
            <v>INTERBANK</v>
          </cell>
          <cell r="J2821" t="str">
            <v>1073223791917</v>
          </cell>
          <cell r="K2821" t="str">
            <v>DNI</v>
          </cell>
          <cell r="L2821">
            <v>10404731764</v>
          </cell>
          <cell r="M2821" t="str">
            <v>AEROLINEAS</v>
          </cell>
          <cell r="N2821">
            <v>45876.625</v>
          </cell>
          <cell r="O2821">
            <v>0</v>
          </cell>
          <cell r="P2821" t="str">
            <v>VAN</v>
          </cell>
        </row>
        <row r="2822">
          <cell r="A2822">
            <v>3726</v>
          </cell>
          <cell r="B2822">
            <v>3726</v>
          </cell>
          <cell r="C2822" t="str">
            <v>CERO MATRICULA</v>
          </cell>
          <cell r="D2822" t="str">
            <v>ACTIVO</v>
          </cell>
          <cell r="E2822" t="str">
            <v>CTB149</v>
          </cell>
          <cell r="F2822" t="str">
            <v>Trejo Cacha Diego Orlando</v>
          </cell>
          <cell r="G2822" t="str">
            <v>Cataño Arce Marianela Katerin</v>
          </cell>
          <cell r="H2822" t="str">
            <v>77427223</v>
          </cell>
          <cell r="I2822" t="str">
            <v>BCP</v>
          </cell>
          <cell r="J2822" t="str">
            <v>19174841147016</v>
          </cell>
          <cell r="K2822" t="str">
            <v>DNI</v>
          </cell>
          <cell r="L2822">
            <v>10774272238</v>
          </cell>
          <cell r="M2822" t="str">
            <v>AEROLINEAS</v>
          </cell>
          <cell r="N2822">
            <v>45876.125</v>
          </cell>
          <cell r="O2822">
            <v>0</v>
          </cell>
          <cell r="P2822" t="str">
            <v>COMFORT XL</v>
          </cell>
        </row>
        <row r="2823">
          <cell r="A2823">
            <v>3727</v>
          </cell>
          <cell r="B2823">
            <v>3727</v>
          </cell>
          <cell r="C2823" t="str">
            <v>CERO MATRICULA</v>
          </cell>
          <cell r="D2823" t="str">
            <v>ACTIVO</v>
          </cell>
          <cell r="E2823" t="str">
            <v>CJW046</v>
          </cell>
          <cell r="F2823" t="str">
            <v>Juape Rojas Maynark Denis</v>
          </cell>
          <cell r="G2823" t="str">
            <v>Rojas Maynark Denis</v>
          </cell>
          <cell r="H2823" t="str">
            <v>43733222</v>
          </cell>
          <cell r="I2823" t="str">
            <v>INTERBANK</v>
          </cell>
          <cell r="J2823" t="str">
            <v>898 3302349799</v>
          </cell>
          <cell r="K2823" t="str">
            <v>DNI</v>
          </cell>
          <cell r="L2823">
            <v>10437332229</v>
          </cell>
          <cell r="M2823" t="str">
            <v>AEROLINEAS</v>
          </cell>
          <cell r="N2823">
            <v>45876.625</v>
          </cell>
          <cell r="O2823">
            <v>0</v>
          </cell>
          <cell r="P2823" t="str">
            <v>LITE</v>
          </cell>
        </row>
        <row r="2824">
          <cell r="A2824">
            <v>3728</v>
          </cell>
          <cell r="B2824">
            <v>3728</v>
          </cell>
          <cell r="C2824" t="str">
            <v>CERO MATRICULA</v>
          </cell>
          <cell r="D2824" t="str">
            <v>ACTIVO</v>
          </cell>
          <cell r="E2824" t="str">
            <v>CJG658</v>
          </cell>
          <cell r="F2824" t="str">
            <v>Pacheco Gonzalez Antonio Fernando</v>
          </cell>
          <cell r="G2824" t="str">
            <v>Gonzalez Antonio Fernando</v>
          </cell>
          <cell r="H2824" t="str">
            <v>003335412</v>
          </cell>
          <cell r="I2824" t="str">
            <v>INTERBANK</v>
          </cell>
          <cell r="J2824" t="str">
            <v>2443255032944</v>
          </cell>
          <cell r="K2824" t="str">
            <v>CARNET DE EXTRANJERÍA</v>
          </cell>
          <cell r="L2824">
            <v>15603935257</v>
          </cell>
          <cell r="M2824" t="str">
            <v>AEROLINEAS</v>
          </cell>
          <cell r="N2824">
            <v>45876.125</v>
          </cell>
          <cell r="O2824">
            <v>0</v>
          </cell>
          <cell r="P2824" t="str">
            <v>XL</v>
          </cell>
        </row>
        <row r="2825">
          <cell r="A2825">
            <v>3729</v>
          </cell>
          <cell r="B2825">
            <v>3729</v>
          </cell>
          <cell r="C2825" t="str">
            <v>CERO MATRICULA</v>
          </cell>
          <cell r="D2825" t="str">
            <v>ACTIVO</v>
          </cell>
          <cell r="E2825" t="str">
            <v>CCK451</v>
          </cell>
          <cell r="F2825" t="str">
            <v>Tejeda Valero Fermin</v>
          </cell>
          <cell r="G2825" t="str">
            <v xml:space="preserve">Zapata Cubas Romell Jhosef </v>
          </cell>
          <cell r="H2825" t="str">
            <v>73073262</v>
          </cell>
          <cell r="I2825" t="str">
            <v>BCP</v>
          </cell>
          <cell r="J2825" t="str">
            <v>19205606891024</v>
          </cell>
          <cell r="K2825" t="str">
            <v>DNI</v>
          </cell>
          <cell r="L2825">
            <v>10730732622</v>
          </cell>
          <cell r="M2825" t="str">
            <v>AEROLINEAS</v>
          </cell>
          <cell r="N2825">
            <v>45876.625</v>
          </cell>
          <cell r="O2825">
            <v>0</v>
          </cell>
          <cell r="P2825" t="str">
            <v>LITE</v>
          </cell>
        </row>
        <row r="2826">
          <cell r="A2826">
            <v>3731</v>
          </cell>
          <cell r="B2826">
            <v>3731</v>
          </cell>
          <cell r="C2826" t="str">
            <v>CERO MATRICULA</v>
          </cell>
          <cell r="D2826" t="str">
            <v>ACTIVO</v>
          </cell>
          <cell r="E2826" t="str">
            <v>CTL045</v>
          </cell>
          <cell r="F2826" t="str">
            <v>Espinoza Quispe Esteban</v>
          </cell>
          <cell r="G2826" t="str">
            <v xml:space="preserve"> Niño Jesús de Pucro tours. </v>
          </cell>
          <cell r="H2826" t="str">
            <v>20613232321</v>
          </cell>
          <cell r="I2826" t="str">
            <v>BCP</v>
          </cell>
          <cell r="J2826" t="str">
            <v>19107558702051</v>
          </cell>
          <cell r="K2826" t="str">
            <v>DNI</v>
          </cell>
          <cell r="L2826">
            <v>20613232321</v>
          </cell>
          <cell r="M2826" t="str">
            <v>AEROPUERTO</v>
          </cell>
          <cell r="N2826">
            <v>45876.416666666664</v>
          </cell>
          <cell r="O2826">
            <v>240</v>
          </cell>
          <cell r="P2826" t="str">
            <v>XL</v>
          </cell>
        </row>
        <row r="2827">
          <cell r="A2827">
            <v>3732</v>
          </cell>
          <cell r="B2827">
            <v>3732</v>
          </cell>
          <cell r="C2827" t="str">
            <v>CERO MATRICULA</v>
          </cell>
          <cell r="D2827" t="str">
            <v>ACTIVO</v>
          </cell>
          <cell r="E2827" t="str">
            <v>CTB699</v>
          </cell>
          <cell r="F2827" t="str">
            <v>Stoll Colichon Julio cesar</v>
          </cell>
          <cell r="G2827" t="str">
            <v>Stoll Colichon Julio cesar</v>
          </cell>
          <cell r="H2827" t="str">
            <v>08353908</v>
          </cell>
          <cell r="I2827" t="str">
            <v>BCP</v>
          </cell>
          <cell r="J2827" t="str">
            <v>19329704673018</v>
          </cell>
          <cell r="K2827" t="str">
            <v>DNI</v>
          </cell>
          <cell r="L2827">
            <v>10083539084</v>
          </cell>
          <cell r="M2827" t="str">
            <v>AEROPUERTO</v>
          </cell>
          <cell r="N2827">
            <v>45876.416666666664</v>
          </cell>
          <cell r="O2827">
            <v>235</v>
          </cell>
          <cell r="P2827" t="str">
            <v>COMFORT XL</v>
          </cell>
        </row>
        <row r="2828">
          <cell r="A2828">
            <v>3733</v>
          </cell>
          <cell r="B2828">
            <v>3733</v>
          </cell>
          <cell r="C2828" t="str">
            <v>CERO MATRICULA</v>
          </cell>
          <cell r="D2828" t="str">
            <v>ACTIVO</v>
          </cell>
          <cell r="E2828" t="str">
            <v>CPY400</v>
          </cell>
          <cell r="F2828" t="str">
            <v>Castelar Franco Alberto Carlos</v>
          </cell>
          <cell r="G2828" t="str">
            <v>Castelar Franco Alberto Carlos</v>
          </cell>
          <cell r="H2828" t="str">
            <v>40500355</v>
          </cell>
          <cell r="I2828" t="str">
            <v>BBVA</v>
          </cell>
          <cell r="J2828" t="str">
            <v>001107120200037309</v>
          </cell>
          <cell r="K2828" t="str">
            <v>DNI</v>
          </cell>
          <cell r="L2828">
            <v>10405003550</v>
          </cell>
          <cell r="M2828" t="str">
            <v>AEROPUERTO</v>
          </cell>
          <cell r="N2828">
            <v>45876.416666666664</v>
          </cell>
          <cell r="O2828">
            <v>235</v>
          </cell>
          <cell r="P2828" t="str">
            <v>COMFORT XL</v>
          </cell>
        </row>
        <row r="2829">
          <cell r="A2829">
            <v>3735</v>
          </cell>
          <cell r="B2829">
            <v>3735</v>
          </cell>
          <cell r="C2829" t="str">
            <v>CERO MATRICULA</v>
          </cell>
          <cell r="D2829" t="str">
            <v>ACTIVO</v>
          </cell>
          <cell r="E2829" t="str">
            <v>CSW255</v>
          </cell>
          <cell r="F2829" t="str">
            <v>Martinez Casas Jose</v>
          </cell>
          <cell r="G2829" t="str">
            <v>Martinez Casas Jose</v>
          </cell>
          <cell r="H2829" t="str">
            <v>10549901</v>
          </cell>
          <cell r="I2829" t="str">
            <v>BBVA</v>
          </cell>
          <cell r="J2829" t="str">
            <v>001103550200266731</v>
          </cell>
          <cell r="K2829" t="str">
            <v>DNI</v>
          </cell>
          <cell r="L2829">
            <v>10105499014</v>
          </cell>
          <cell r="M2829" t="str">
            <v>AEROPUERTO</v>
          </cell>
          <cell r="N2829">
            <v>45876.416666666664</v>
          </cell>
          <cell r="O2829">
            <v>235</v>
          </cell>
          <cell r="P2829" t="str">
            <v>COMFORT XL</v>
          </cell>
        </row>
        <row r="2830">
          <cell r="A2830">
            <v>3736</v>
          </cell>
          <cell r="B2830">
            <v>3736</v>
          </cell>
          <cell r="C2830" t="str">
            <v>CERO MATRICULA</v>
          </cell>
          <cell r="D2830" t="str">
            <v>ACTIVO</v>
          </cell>
          <cell r="E2830" t="str">
            <v>CMH397</v>
          </cell>
          <cell r="F2830" t="str">
            <v>Castro Castillo Wilder Edgardo Castro Castillo</v>
          </cell>
          <cell r="G2830" t="str">
            <v>Castro Castillo Wilder Edgardo Castro Castillo</v>
          </cell>
          <cell r="H2830" t="str">
            <v>10530861</v>
          </cell>
          <cell r="I2830" t="str">
            <v>BCP</v>
          </cell>
          <cell r="J2830" t="str">
            <v>19196353617084</v>
          </cell>
          <cell r="K2830" t="str">
            <v>DNI</v>
          </cell>
          <cell r="L2830">
            <v>10105308618</v>
          </cell>
          <cell r="M2830" t="str">
            <v>AEROPUERTO</v>
          </cell>
          <cell r="N2830">
            <v>45876.416666666664</v>
          </cell>
          <cell r="O2830">
            <v>235</v>
          </cell>
          <cell r="P2830" t="str">
            <v>COMFORT XL</v>
          </cell>
        </row>
        <row r="2831">
          <cell r="A2831">
            <v>3737</v>
          </cell>
          <cell r="B2831">
            <v>3737</v>
          </cell>
          <cell r="C2831" t="str">
            <v>CERO MATRICULA</v>
          </cell>
          <cell r="D2831" t="str">
            <v>ACTIVO</v>
          </cell>
          <cell r="E2831" t="str">
            <v>CTE040</v>
          </cell>
          <cell r="F2831" t="str">
            <v>Novoa Bravo Marco Antonio</v>
          </cell>
          <cell r="G2831" t="str">
            <v>Marco Antonio Novoa Bravo</v>
          </cell>
          <cell r="H2831">
            <v>40301700</v>
          </cell>
          <cell r="I2831" t="str">
            <v>BCP</v>
          </cell>
          <cell r="J2831" t="str">
            <v>19170179394074</v>
          </cell>
          <cell r="K2831" t="str">
            <v>DNI</v>
          </cell>
          <cell r="L2831">
            <v>10403017006</v>
          </cell>
          <cell r="M2831" t="str">
            <v>AEROLINEAS</v>
          </cell>
          <cell r="N2831">
            <v>45876.625</v>
          </cell>
          <cell r="O2831">
            <v>0</v>
          </cell>
          <cell r="P2831" t="str">
            <v>COMFORT XL</v>
          </cell>
        </row>
        <row r="2832">
          <cell r="A2832">
            <v>33</v>
          </cell>
          <cell r="B2832">
            <v>33</v>
          </cell>
          <cell r="C2832" t="str">
            <v>CERO MATRICULA</v>
          </cell>
          <cell r="D2832" t="str">
            <v>ACTIVO</v>
          </cell>
          <cell r="E2832" t="str">
            <v>MOVIL CONTINGENCIA</v>
          </cell>
          <cell r="F2832" t="str">
            <v>MOVIL CONTINGENCIA</v>
          </cell>
          <cell r="G2832" t="str">
            <v>MOVIL CONTINGENCIA</v>
          </cell>
          <cell r="H2832" t="str">
            <v>MOVIL CONTINGENCIA</v>
          </cell>
          <cell r="I2832" t="str">
            <v>MOVIL CONTINGENCIA</v>
          </cell>
          <cell r="J2832" t="str">
            <v>MOVIL CONTINGENCIA</v>
          </cell>
          <cell r="K2832" t="str">
            <v>MOVIL CONTINGENCIA</v>
          </cell>
          <cell r="L2832" t="str">
            <v>MOVIL CONTINGENCIA</v>
          </cell>
          <cell r="M2832" t="str">
            <v>MOVIL CONTINGENCIA</v>
          </cell>
          <cell r="N2832">
            <v>45894</v>
          </cell>
          <cell r="O2832">
            <v>0</v>
          </cell>
          <cell r="P2832" t="str">
            <v>LITE</v>
          </cell>
        </row>
        <row r="2833">
          <cell r="A2833">
            <v>30</v>
          </cell>
          <cell r="B2833">
            <v>30</v>
          </cell>
          <cell r="C2833" t="str">
            <v>CERO MATRICULA</v>
          </cell>
          <cell r="D2833" t="str">
            <v>ACTIVO</v>
          </cell>
          <cell r="E2833" t="str">
            <v>MOVIL CONTINGENCIA</v>
          </cell>
          <cell r="F2833" t="str">
            <v>MOVIL CONTINGENCIA</v>
          </cell>
          <cell r="G2833" t="str">
            <v>MOVIL CONTINGENCIA</v>
          </cell>
          <cell r="H2833" t="str">
            <v>MOVIL CONTINGENCIA</v>
          </cell>
          <cell r="I2833" t="str">
            <v>MOVIL CONTINGENCIA</v>
          </cell>
          <cell r="J2833" t="str">
            <v>MOVIL CONTINGENCIA</v>
          </cell>
          <cell r="K2833" t="str">
            <v>MOVIL CONTINGENCIA</v>
          </cell>
          <cell r="L2833" t="str">
            <v>MOVIL CONTINGENCIA</v>
          </cell>
          <cell r="M2833" t="str">
            <v>MOVIL CONTINGENCIA</v>
          </cell>
          <cell r="N2833">
            <v>45894</v>
          </cell>
          <cell r="O2833">
            <v>0</v>
          </cell>
          <cell r="P2833" t="str">
            <v>LITE</v>
          </cell>
        </row>
        <row r="2834">
          <cell r="A2834">
            <v>36</v>
          </cell>
          <cell r="B2834">
            <v>36</v>
          </cell>
          <cell r="C2834" t="str">
            <v>CERO MATRICULA</v>
          </cell>
          <cell r="D2834" t="str">
            <v>ACTIVO</v>
          </cell>
          <cell r="E2834" t="str">
            <v>MOVIL CONTINGENCIA</v>
          </cell>
          <cell r="F2834" t="str">
            <v>MOVIL CONTINGENCIA</v>
          </cell>
          <cell r="G2834" t="str">
            <v>MOVIL CONTINGENCIA</v>
          </cell>
          <cell r="H2834" t="str">
            <v>MOVIL CONTINGENCIA</v>
          </cell>
          <cell r="I2834" t="str">
            <v>MOVIL CONTINGENCIA</v>
          </cell>
          <cell r="J2834" t="str">
            <v>MOVIL CONTINGENCIA</v>
          </cell>
          <cell r="K2834" t="str">
            <v>MOVIL CONTINGENCIA</v>
          </cell>
          <cell r="L2834" t="str">
            <v>MOVIL CONTINGENCIA</v>
          </cell>
          <cell r="M2834" t="str">
            <v>MOVIL CONTINGENCIA</v>
          </cell>
          <cell r="N2834">
            <v>45894</v>
          </cell>
          <cell r="O2834">
            <v>0</v>
          </cell>
          <cell r="P2834" t="str">
            <v>LITE</v>
          </cell>
        </row>
        <row r="2835">
          <cell r="A2835">
            <v>970</v>
          </cell>
          <cell r="B2835">
            <v>970</v>
          </cell>
          <cell r="C2835" t="str">
            <v>CERO MATRICULA</v>
          </cell>
          <cell r="D2835" t="str">
            <v>ACTIVO</v>
          </cell>
          <cell r="E2835" t="str">
            <v>BSO570</v>
          </cell>
          <cell r="F2835" t="str">
            <v>Ruiz Arango Jose Guillermo</v>
          </cell>
          <cell r="G2835" t="str">
            <v>Ruiz Arango Jose Guillermo</v>
          </cell>
          <cell r="H2835" t="str">
            <v>004749115</v>
          </cell>
          <cell r="I2835" t="str">
            <v>BCP</v>
          </cell>
          <cell r="J2835" t="str">
            <v>19403226411000</v>
          </cell>
          <cell r="K2835" t="str">
            <v>CARNET DE EXTRANJERÍA</v>
          </cell>
          <cell r="L2835">
            <v>15608755184</v>
          </cell>
          <cell r="M2835" t="str">
            <v>AEROPUERTO</v>
          </cell>
          <cell r="N2835">
            <v>45854.416666666664</v>
          </cell>
          <cell r="O2835">
            <v>265</v>
          </cell>
          <cell r="P2835" t="str">
            <v>LITE</v>
          </cell>
        </row>
        <row r="2836">
          <cell r="A2836">
            <v>2654</v>
          </cell>
          <cell r="B2836">
            <v>2654</v>
          </cell>
          <cell r="C2836" t="str">
            <v>CERO MATRICULA</v>
          </cell>
          <cell r="D2836" t="str">
            <v>ACTIVO</v>
          </cell>
          <cell r="E2836" t="str">
            <v>CPZ304</v>
          </cell>
          <cell r="F2836" t="str">
            <v>Mayta Alcazar Luis Alberto</v>
          </cell>
          <cell r="G2836" t="str">
            <v>Mayta Vilca Manuel Alberto</v>
          </cell>
          <cell r="H2836" t="str">
            <v>74080033</v>
          </cell>
          <cell r="I2836" t="str">
            <v>BCP</v>
          </cell>
          <cell r="J2836" t="str">
            <v>19299506404017</v>
          </cell>
          <cell r="K2836" t="str">
            <v>DNI</v>
          </cell>
          <cell r="L2836">
            <v>10740800332</v>
          </cell>
          <cell r="M2836" t="str">
            <v>URBANO PARTNER</v>
          </cell>
          <cell r="N2836">
            <v>45881.125</v>
          </cell>
          <cell r="O2836">
            <v>0</v>
          </cell>
          <cell r="P2836" t="str">
            <v>LITE</v>
          </cell>
        </row>
        <row r="2837">
          <cell r="A2837">
            <v>3645</v>
          </cell>
          <cell r="B2837">
            <v>3645</v>
          </cell>
          <cell r="C2837" t="str">
            <v>CERO MATRICULA</v>
          </cell>
          <cell r="D2837" t="str">
            <v>ACTIVO</v>
          </cell>
          <cell r="E2837" t="str">
            <v>CCZ655</v>
          </cell>
          <cell r="F2837" t="str">
            <v>Ruiz Rojas Wilmer Antonio</v>
          </cell>
          <cell r="G2837" t="str">
            <v>Ruiz Rojas Wilmer Antonio</v>
          </cell>
          <cell r="H2837" t="str">
            <v>26696355</v>
          </cell>
          <cell r="I2837" t="str">
            <v>SCOTIABANK</v>
          </cell>
          <cell r="J2837">
            <v>7228461351</v>
          </cell>
          <cell r="K2837" t="str">
            <v>DNI</v>
          </cell>
          <cell r="L2837">
            <v>10266963551</v>
          </cell>
          <cell r="M2837" t="str">
            <v>AEROPUERTO</v>
          </cell>
          <cell r="N2837">
            <v>45881.375</v>
          </cell>
          <cell r="O2837">
            <v>235</v>
          </cell>
          <cell r="P2837" t="str">
            <v>COMFORT XL</v>
          </cell>
        </row>
        <row r="2838">
          <cell r="A2838">
            <v>3694</v>
          </cell>
          <cell r="B2838">
            <v>3694</v>
          </cell>
          <cell r="C2838" t="str">
            <v>CERO MATRICULA</v>
          </cell>
          <cell r="D2838" t="str">
            <v>ACTIVO</v>
          </cell>
          <cell r="E2838" t="str">
            <v>CLW414</v>
          </cell>
          <cell r="F2838" t="str">
            <v>Sánchez Manchego Javier Agustín</v>
          </cell>
          <cell r="G2838" t="str">
            <v>Sanchez Manchego Javier Agustín</v>
          </cell>
          <cell r="H2838" t="str">
            <v>09058854</v>
          </cell>
          <cell r="I2838" t="str">
            <v>BCP</v>
          </cell>
          <cell r="J2838" t="str">
            <v>19199640829000</v>
          </cell>
          <cell r="K2838" t="str">
            <v>DNI</v>
          </cell>
          <cell r="L2838">
            <v>10090588546</v>
          </cell>
          <cell r="M2838" t="str">
            <v>AEROPUERTO</v>
          </cell>
          <cell r="N2838">
            <v>45869.083333333336</v>
          </cell>
          <cell r="O2838">
            <v>235</v>
          </cell>
          <cell r="P2838" t="str">
            <v>COMFORT XL</v>
          </cell>
        </row>
        <row r="2839">
          <cell r="A2839">
            <v>3718</v>
          </cell>
          <cell r="B2839">
            <v>3718</v>
          </cell>
          <cell r="C2839" t="str">
            <v>CERO MATRICULA</v>
          </cell>
          <cell r="D2839" t="str">
            <v>ACTIVO</v>
          </cell>
          <cell r="E2839" t="str">
            <v>CSQ242</v>
          </cell>
          <cell r="F2839" t="str">
            <v xml:space="preserve">Villavicencio Silva Eric Alexander </v>
          </cell>
          <cell r="G2839" t="str">
            <v xml:space="preserve">Villavicencio Silva Eric Alexander </v>
          </cell>
          <cell r="H2839" t="str">
            <v>74563052</v>
          </cell>
          <cell r="I2839" t="str">
            <v>BBVA</v>
          </cell>
          <cell r="J2839" t="str">
            <v>001103600200692959</v>
          </cell>
          <cell r="K2839" t="str">
            <v>DNI</v>
          </cell>
          <cell r="L2839">
            <v>10745630524</v>
          </cell>
          <cell r="M2839" t="str">
            <v>AEROLINEAS</v>
          </cell>
          <cell r="N2839">
            <v>45883.375</v>
          </cell>
          <cell r="O2839">
            <v>0</v>
          </cell>
          <cell r="P2839" t="str">
            <v>LITE</v>
          </cell>
        </row>
        <row r="2840">
          <cell r="A2840">
            <v>3724</v>
          </cell>
          <cell r="B2840">
            <v>3724</v>
          </cell>
          <cell r="C2840" t="str">
            <v>CERO MATRICULA</v>
          </cell>
          <cell r="D2840" t="str">
            <v>ACTIVO</v>
          </cell>
          <cell r="E2840" t="str">
            <v>CHC017</v>
          </cell>
          <cell r="F2840" t="str">
            <v>Marín Noguera Edgar Alexander</v>
          </cell>
          <cell r="G2840" t="str">
            <v>Amaut Campos  Cesar Augusto</v>
          </cell>
          <cell r="H2840" t="str">
            <v>09921178</v>
          </cell>
          <cell r="I2840" t="str">
            <v>BCP</v>
          </cell>
          <cell r="J2840" t="str">
            <v>19179782208087</v>
          </cell>
          <cell r="K2840" t="str">
            <v>DNI</v>
          </cell>
          <cell r="L2840">
            <v>10099211780</v>
          </cell>
          <cell r="M2840" t="str">
            <v>AEROLINEAS</v>
          </cell>
          <cell r="N2840">
            <v>45883.375</v>
          </cell>
          <cell r="O2840">
            <v>0</v>
          </cell>
          <cell r="P2840" t="str">
            <v>VAN</v>
          </cell>
        </row>
        <row r="2841">
          <cell r="A2841">
            <v>3730</v>
          </cell>
          <cell r="B2841">
            <v>3730</v>
          </cell>
          <cell r="C2841" t="str">
            <v>CERO MATRICULA</v>
          </cell>
          <cell r="D2841" t="str">
            <v>ACTIVO</v>
          </cell>
          <cell r="E2841" t="str">
            <v>CPU467</v>
          </cell>
          <cell r="F2841" t="str">
            <v xml:space="preserve">Castillo Rodriguez Jesus Rafael </v>
          </cell>
          <cell r="G2841" t="str">
            <v xml:space="preserve">Castillo Rodriguez Jesus Rafael </v>
          </cell>
          <cell r="H2841" t="str">
            <v>003574795</v>
          </cell>
          <cell r="I2841" t="str">
            <v>BCP</v>
          </cell>
          <cell r="J2841" t="str">
            <v>19205220761095</v>
          </cell>
          <cell r="K2841" t="str">
            <v>CE</v>
          </cell>
          <cell r="L2841">
            <v>15607700351</v>
          </cell>
          <cell r="M2841" t="str">
            <v>AEROLINEAS</v>
          </cell>
          <cell r="N2841">
            <v>45883.375</v>
          </cell>
          <cell r="O2841">
            <v>0</v>
          </cell>
          <cell r="P2841" t="str">
            <v>COMFORT</v>
          </cell>
        </row>
        <row r="2842">
          <cell r="A2842">
            <v>3734</v>
          </cell>
          <cell r="B2842">
            <v>3734</v>
          </cell>
          <cell r="C2842" t="str">
            <v>CERO MATRICULA</v>
          </cell>
          <cell r="D2842" t="str">
            <v>ACTIVO</v>
          </cell>
          <cell r="E2842" t="str">
            <v>CTQ178</v>
          </cell>
          <cell r="F2842" t="str">
            <v xml:space="preserve">Sotelo Espinoza Santiago Lauro </v>
          </cell>
          <cell r="G2842" t="str">
            <v xml:space="preserve">Sotelo Espinoza Santiago Lauro </v>
          </cell>
          <cell r="H2842" t="str">
            <v>09893080</v>
          </cell>
          <cell r="I2842" t="str">
            <v>BCP</v>
          </cell>
          <cell r="J2842" t="str">
            <v>19292394930010</v>
          </cell>
          <cell r="K2842" t="str">
            <v>DNI</v>
          </cell>
          <cell r="L2842">
            <v>10098930804</v>
          </cell>
          <cell r="M2842" t="str">
            <v>AEROPUERTO</v>
          </cell>
          <cell r="N2842">
            <v>45876.416666666664</v>
          </cell>
          <cell r="O2842">
            <v>265</v>
          </cell>
          <cell r="P2842" t="str">
            <v>LITE</v>
          </cell>
        </row>
        <row r="2843">
          <cell r="A2843">
            <v>3740</v>
          </cell>
          <cell r="B2843">
            <v>3740</v>
          </cell>
          <cell r="C2843" t="str">
            <v>CERO MATRICULA</v>
          </cell>
          <cell r="D2843" t="str">
            <v>ACTIVO</v>
          </cell>
          <cell r="E2843" t="str">
            <v>T7E578</v>
          </cell>
          <cell r="F2843" t="str">
            <v>Morales Mojica Angel</v>
          </cell>
          <cell r="G2843" t="str">
            <v>Morales Mojica Angel</v>
          </cell>
          <cell r="H2843" t="str">
            <v>08104514</v>
          </cell>
          <cell r="I2843" t="str">
            <v>BCP</v>
          </cell>
          <cell r="J2843" t="str">
            <v>19118550106080</v>
          </cell>
          <cell r="K2843" t="str">
            <v>DNI</v>
          </cell>
          <cell r="L2843">
            <v>10081045149</v>
          </cell>
          <cell r="M2843" t="str">
            <v>AEROPUERTO</v>
          </cell>
          <cell r="N2843">
            <v>45881.375</v>
          </cell>
          <cell r="O2843">
            <v>240</v>
          </cell>
          <cell r="P2843" t="str">
            <v>XL</v>
          </cell>
        </row>
        <row r="2844">
          <cell r="A2844">
            <v>3741</v>
          </cell>
          <cell r="B2844">
            <v>3741</v>
          </cell>
          <cell r="C2844" t="str">
            <v>CERO MATRICULA</v>
          </cell>
          <cell r="D2844" t="str">
            <v>ACTIVO</v>
          </cell>
          <cell r="E2844" t="str">
            <v>CNC285</v>
          </cell>
          <cell r="F2844" t="str">
            <v>Ponciano Tueros Ricardo Mario</v>
          </cell>
          <cell r="G2844" t="str">
            <v>Ponciano Tueros Ricardo Mario</v>
          </cell>
          <cell r="H2844" t="str">
            <v>40381882</v>
          </cell>
          <cell r="I2844" t="str">
            <v>BCP</v>
          </cell>
          <cell r="J2844" t="str">
            <v>19177243176008</v>
          </cell>
          <cell r="K2844" t="str">
            <v>DNI</v>
          </cell>
          <cell r="L2844">
            <v>10403818823</v>
          </cell>
          <cell r="M2844" t="str">
            <v>AEROPUERTO</v>
          </cell>
          <cell r="N2844">
            <v>45881.375</v>
          </cell>
          <cell r="O2844">
            <v>235</v>
          </cell>
          <cell r="P2844" t="str">
            <v>COMFORT XL</v>
          </cell>
        </row>
        <row r="2845">
          <cell r="A2845">
            <v>3742</v>
          </cell>
          <cell r="B2845">
            <v>3742</v>
          </cell>
          <cell r="C2845" t="str">
            <v>CERO MATRICULA</v>
          </cell>
          <cell r="D2845" t="str">
            <v>ACTIVO</v>
          </cell>
          <cell r="E2845" t="str">
            <v>Cnz585</v>
          </cell>
          <cell r="F2845" t="str">
            <v>Barreto Sierra Armando Jose</v>
          </cell>
          <cell r="G2845" t="str">
            <v>Barreto Sierra Armando Jose</v>
          </cell>
          <cell r="H2845" t="str">
            <v>003627626</v>
          </cell>
          <cell r="I2845" t="str">
            <v>INTERBANK</v>
          </cell>
          <cell r="J2845" t="str">
            <v>0013414898488</v>
          </cell>
          <cell r="K2845" t="str">
            <v>CE</v>
          </cell>
          <cell r="L2845">
            <v>15604971150</v>
          </cell>
          <cell r="M2845" t="str">
            <v>AEROPUERTO</v>
          </cell>
          <cell r="N2845">
            <v>45881.375</v>
          </cell>
          <cell r="O2845">
            <v>235</v>
          </cell>
          <cell r="P2845" t="str">
            <v>COMFORT XL</v>
          </cell>
        </row>
        <row r="2846">
          <cell r="A2846">
            <v>3744</v>
          </cell>
          <cell r="B2846">
            <v>3744</v>
          </cell>
          <cell r="C2846" t="str">
            <v>CERO MATRICULA</v>
          </cell>
          <cell r="D2846" t="str">
            <v>ACTIVO</v>
          </cell>
          <cell r="E2846" t="str">
            <v>CRM208</v>
          </cell>
          <cell r="F2846" t="str">
            <v>La torre Acosta Dennis Percy</v>
          </cell>
          <cell r="G2846" t="str">
            <v>La Tore Acosta Dennis Percy</v>
          </cell>
          <cell r="H2846" t="str">
            <v>41529988</v>
          </cell>
          <cell r="I2846" t="str">
            <v>BCP</v>
          </cell>
          <cell r="J2846" t="str">
            <v>19397662309095</v>
          </cell>
          <cell r="K2846" t="str">
            <v>DNI</v>
          </cell>
          <cell r="L2846">
            <v>10415299881</v>
          </cell>
          <cell r="M2846" t="str">
            <v>AEROPUERTO</v>
          </cell>
          <cell r="N2846">
            <v>45883.583333333336</v>
          </cell>
          <cell r="O2846">
            <v>235</v>
          </cell>
          <cell r="P2846" t="str">
            <v>COMFORT XL</v>
          </cell>
        </row>
        <row r="2847">
          <cell r="A2847">
            <v>3748</v>
          </cell>
          <cell r="B2847">
            <v>3748</v>
          </cell>
          <cell r="C2847" t="str">
            <v>CERO MATRICULA</v>
          </cell>
          <cell r="D2847" t="str">
            <v>ACTIVO</v>
          </cell>
          <cell r="E2847" t="str">
            <v>CPW070</v>
          </cell>
          <cell r="F2847" t="str">
            <v>Tubiñes Alvarez José Ángel</v>
          </cell>
          <cell r="G2847" t="str">
            <v>Tubiñes Alvarez José Ángel</v>
          </cell>
          <cell r="H2847" t="str">
            <v>003308518</v>
          </cell>
          <cell r="I2847" t="str">
            <v>BCP</v>
          </cell>
          <cell r="J2847" t="str">
            <v>19337156846066</v>
          </cell>
          <cell r="K2847" t="str">
            <v>CE</v>
          </cell>
          <cell r="L2847">
            <v>15602267714</v>
          </cell>
          <cell r="M2847" t="str">
            <v>AEROLINEAS</v>
          </cell>
          <cell r="N2847">
            <v>45883.083333333336</v>
          </cell>
          <cell r="O2847">
            <v>0</v>
          </cell>
          <cell r="P2847" t="str">
            <v>COMFORT XL</v>
          </cell>
        </row>
        <row r="2848">
          <cell r="A2848">
            <v>3750</v>
          </cell>
          <cell r="B2848">
            <v>3750</v>
          </cell>
          <cell r="C2848" t="str">
            <v>CERO MATRICULA</v>
          </cell>
          <cell r="D2848" t="str">
            <v>ACTIVO</v>
          </cell>
          <cell r="E2848" t="str">
            <v>M4X542</v>
          </cell>
          <cell r="F2848" t="str">
            <v xml:space="preserve">Villacorta Quispe Wilfredo </v>
          </cell>
          <cell r="G2848" t="str">
            <v xml:space="preserve">Villacorta Quispe Wilfredo </v>
          </cell>
          <cell r="H2848" t="str">
            <v>10149854</v>
          </cell>
          <cell r="I2848" t="str">
            <v>INTERBANK</v>
          </cell>
          <cell r="J2848" t="str">
            <v>8983201991740</v>
          </cell>
          <cell r="K2848" t="str">
            <v>DNI</v>
          </cell>
          <cell r="L2848">
            <v>10101498544</v>
          </cell>
          <cell r="M2848" t="str">
            <v>URBANO PARTNER</v>
          </cell>
          <cell r="N2848">
            <v>45881.625</v>
          </cell>
          <cell r="O2848">
            <v>0</v>
          </cell>
          <cell r="P2848" t="str">
            <v>XL</v>
          </cell>
        </row>
        <row r="2849">
          <cell r="A2849">
            <v>3751</v>
          </cell>
          <cell r="B2849">
            <v>3751</v>
          </cell>
          <cell r="C2849" t="str">
            <v>CERO MATRICULA</v>
          </cell>
          <cell r="D2849" t="str">
            <v>ACTIVO</v>
          </cell>
          <cell r="E2849" t="str">
            <v>CFR058</v>
          </cell>
          <cell r="F2849" t="str">
            <v>Sandoval Peña Rafael Henry</v>
          </cell>
          <cell r="G2849" t="str">
            <v>Sandoval Peña Rafael Henry</v>
          </cell>
          <cell r="H2849" t="str">
            <v>09930516</v>
          </cell>
          <cell r="I2849" t="str">
            <v>INTERBANK</v>
          </cell>
          <cell r="J2849" t="str">
            <v>8983478471108</v>
          </cell>
          <cell r="K2849" t="str">
            <v>DNI</v>
          </cell>
          <cell r="L2849">
            <v>10099305164</v>
          </cell>
          <cell r="M2849" t="str">
            <v>AEROLINEAS</v>
          </cell>
          <cell r="N2849">
            <v>45881.625</v>
          </cell>
          <cell r="O2849">
            <v>0</v>
          </cell>
          <cell r="P2849" t="str">
            <v>COMFORT XL</v>
          </cell>
        </row>
        <row r="2850">
          <cell r="A2850">
            <v>3752</v>
          </cell>
          <cell r="B2850">
            <v>3752</v>
          </cell>
          <cell r="C2850" t="str">
            <v>CERO MATRICULA</v>
          </cell>
          <cell r="D2850" t="str">
            <v>ACTIVO</v>
          </cell>
          <cell r="E2850" t="str">
            <v>BRB004</v>
          </cell>
          <cell r="F2850" t="str">
            <v>Salcedo Loayza Victor Isaac</v>
          </cell>
          <cell r="G2850" t="str">
            <v>Salcedo Loayza Victor Isaac</v>
          </cell>
          <cell r="H2850" t="str">
            <v>40610044</v>
          </cell>
          <cell r="I2850" t="str">
            <v>BCP</v>
          </cell>
          <cell r="J2850" t="str">
            <v>19135625666019</v>
          </cell>
          <cell r="K2850" t="str">
            <v>DNI</v>
          </cell>
          <cell r="L2850">
            <v>10406100443</v>
          </cell>
          <cell r="M2850" t="str">
            <v>URBANO PARTNER</v>
          </cell>
          <cell r="N2850">
            <v>45881.625</v>
          </cell>
          <cell r="O2850">
            <v>0</v>
          </cell>
          <cell r="P2850" t="str">
            <v>COMFORT XL</v>
          </cell>
        </row>
        <row r="2851">
          <cell r="A2851">
            <v>3753</v>
          </cell>
          <cell r="B2851">
            <v>3753</v>
          </cell>
          <cell r="C2851" t="str">
            <v>CERO MATRICULA</v>
          </cell>
          <cell r="D2851" t="str">
            <v>ACTIVO</v>
          </cell>
          <cell r="E2851" t="str">
            <v>CSJ528</v>
          </cell>
          <cell r="F2851" t="str">
            <v>Hidalgo Guere Marvin Eder</v>
          </cell>
          <cell r="G2851" t="str">
            <v>Nuñez Chavez  Kimberly Jeannette</v>
          </cell>
          <cell r="H2851" t="str">
            <v>77137966</v>
          </cell>
          <cell r="I2851" t="str">
            <v>BCP</v>
          </cell>
          <cell r="J2851" t="str">
            <v>19470868643085</v>
          </cell>
          <cell r="K2851" t="str">
            <v>DNI</v>
          </cell>
          <cell r="L2851">
            <v>10771379660</v>
          </cell>
          <cell r="M2851" t="str">
            <v>URBANO PARTNER</v>
          </cell>
          <cell r="N2851">
            <v>45881.625</v>
          </cell>
          <cell r="O2851">
            <v>0</v>
          </cell>
          <cell r="P2851" t="str">
            <v>COMFORT XL</v>
          </cell>
        </row>
        <row r="2852">
          <cell r="A2852">
            <v>3754</v>
          </cell>
          <cell r="B2852">
            <v>3754</v>
          </cell>
          <cell r="C2852" t="str">
            <v>CERO MATRICULA</v>
          </cell>
          <cell r="D2852" t="str">
            <v>ACTIVO</v>
          </cell>
          <cell r="E2852" t="str">
            <v>CLF647</v>
          </cell>
          <cell r="F2852" t="str">
            <v>Urrieta Angelo Luis</v>
          </cell>
          <cell r="G2852" t="str">
            <v>Urrieta Angelo Luis</v>
          </cell>
          <cell r="H2852" t="str">
            <v>003684228</v>
          </cell>
          <cell r="I2852" t="str">
            <v>BBVA</v>
          </cell>
          <cell r="J2852" t="str">
            <v>001103280200247683</v>
          </cell>
          <cell r="K2852" t="str">
            <v>CE</v>
          </cell>
          <cell r="L2852">
            <v>15604042396</v>
          </cell>
          <cell r="M2852" t="str">
            <v>URBANO PARTNER</v>
          </cell>
          <cell r="N2852">
            <v>45881.625</v>
          </cell>
          <cell r="O2852">
            <v>0</v>
          </cell>
          <cell r="P2852" t="str">
            <v>XL</v>
          </cell>
        </row>
        <row r="2853">
          <cell r="A2853">
            <v>3755</v>
          </cell>
          <cell r="B2853">
            <v>3755</v>
          </cell>
          <cell r="C2853" t="str">
            <v>CERO MATRICULA</v>
          </cell>
          <cell r="D2853" t="str">
            <v>ACTIVO</v>
          </cell>
          <cell r="E2853" t="str">
            <v>CSY203</v>
          </cell>
          <cell r="F2853" t="str">
            <v>Soplopuco Tarazona Henrry Yohel</v>
          </cell>
          <cell r="G2853" t="str">
            <v>Soplopuco Tarazona Henrry Yohel</v>
          </cell>
          <cell r="H2853" t="str">
            <v>43279625</v>
          </cell>
          <cell r="I2853" t="str">
            <v>BCP</v>
          </cell>
          <cell r="J2853" t="str">
            <v>19194811014099</v>
          </cell>
          <cell r="K2853" t="str">
            <v>DNI</v>
          </cell>
          <cell r="L2853">
            <v>10432796251</v>
          </cell>
          <cell r="M2853" t="str">
            <v>URBANO PARTNER</v>
          </cell>
          <cell r="N2853">
            <v>45881.625</v>
          </cell>
          <cell r="O2853">
            <v>0</v>
          </cell>
          <cell r="P2853" t="str">
            <v>COMFORT</v>
          </cell>
        </row>
        <row r="2854">
          <cell r="A2854">
            <v>3756</v>
          </cell>
          <cell r="B2854">
            <v>3756</v>
          </cell>
          <cell r="C2854" t="str">
            <v>CERO MATRICULA</v>
          </cell>
          <cell r="D2854" t="str">
            <v>ACTIVO</v>
          </cell>
          <cell r="E2854" t="str">
            <v>Z7W037</v>
          </cell>
          <cell r="F2854" t="str">
            <v xml:space="preserve">Rios Perez Luis felipe </v>
          </cell>
          <cell r="G2854" t="str">
            <v xml:space="preserve">Rios Perez Luis felipe </v>
          </cell>
          <cell r="H2854" t="str">
            <v>48067032</v>
          </cell>
          <cell r="I2854" t="str">
            <v>BCP</v>
          </cell>
          <cell r="J2854" t="str">
            <v>19205637514057</v>
          </cell>
          <cell r="K2854" t="str">
            <v>DNI</v>
          </cell>
          <cell r="L2854">
            <v>10480670324</v>
          </cell>
          <cell r="M2854" t="str">
            <v>URBANO PARTNER</v>
          </cell>
          <cell r="N2854">
            <v>45881.625</v>
          </cell>
          <cell r="O2854">
            <v>0</v>
          </cell>
          <cell r="P2854" t="str">
            <v>COMFORT XL</v>
          </cell>
        </row>
        <row r="2855">
          <cell r="A2855">
            <v>3758</v>
          </cell>
          <cell r="B2855">
            <v>3758</v>
          </cell>
          <cell r="C2855" t="str">
            <v>CERO MATRICULA</v>
          </cell>
          <cell r="D2855" t="str">
            <v>ACTIVO</v>
          </cell>
          <cell r="E2855" t="str">
            <v>CTM036</v>
          </cell>
          <cell r="F2855" t="str">
            <v>Guerra Palomino Oscar Enrique</v>
          </cell>
          <cell r="G2855" t="str">
            <v>Prado Arguelles Amelia Liliana</v>
          </cell>
          <cell r="H2855" t="str">
            <v>06309184</v>
          </cell>
          <cell r="I2855" t="str">
            <v>INTERBANK</v>
          </cell>
          <cell r="J2855" t="str">
            <v>8983125961675</v>
          </cell>
          <cell r="K2855" t="str">
            <v>DNI</v>
          </cell>
          <cell r="L2855">
            <v>10063091842</v>
          </cell>
          <cell r="M2855" t="str">
            <v>AEROLINEAS</v>
          </cell>
          <cell r="N2855">
            <v>45883.375</v>
          </cell>
          <cell r="O2855">
            <v>0</v>
          </cell>
          <cell r="P2855" t="str">
            <v>COMFORT XL</v>
          </cell>
        </row>
        <row r="2856">
          <cell r="A2856">
            <v>3760</v>
          </cell>
          <cell r="B2856">
            <v>3760</v>
          </cell>
          <cell r="C2856" t="str">
            <v>CERO MATRICULA</v>
          </cell>
          <cell r="D2856" t="str">
            <v>ACTIVO</v>
          </cell>
          <cell r="E2856" t="str">
            <v>CRO087</v>
          </cell>
          <cell r="F2856" t="str">
            <v>Miranda Altamirano Sofia Rocio</v>
          </cell>
          <cell r="G2856" t="str">
            <v>Miranda Altamirano Sofia Rocio</v>
          </cell>
          <cell r="H2856" t="str">
            <v>44916365</v>
          </cell>
          <cell r="I2856" t="str">
            <v>BCP</v>
          </cell>
          <cell r="J2856" t="str">
            <v>19292249173080</v>
          </cell>
          <cell r="K2856" t="str">
            <v>DNI</v>
          </cell>
          <cell r="L2856">
            <v>10449163651</v>
          </cell>
          <cell r="M2856" t="str">
            <v>AEROLINEAS</v>
          </cell>
          <cell r="N2856">
            <v>45883.375</v>
          </cell>
          <cell r="O2856">
            <v>0</v>
          </cell>
          <cell r="P2856" t="str">
            <v>XL</v>
          </cell>
        </row>
        <row r="2857">
          <cell r="A2857">
            <v>3761</v>
          </cell>
          <cell r="B2857">
            <v>3761</v>
          </cell>
          <cell r="C2857" t="str">
            <v>CERO MATRICULA</v>
          </cell>
          <cell r="D2857" t="str">
            <v>ACTIVO</v>
          </cell>
          <cell r="E2857" t="str">
            <v>CTP213</v>
          </cell>
          <cell r="F2857" t="str">
            <v>Rondón Pastor Tommy Esteban</v>
          </cell>
          <cell r="G2857" t="str">
            <v>Rondon Pastor Tommy Esteban</v>
          </cell>
          <cell r="H2857" t="str">
            <v>25857085</v>
          </cell>
          <cell r="I2857" t="str">
            <v>BCP</v>
          </cell>
          <cell r="J2857" t="str">
            <v>19333851525058</v>
          </cell>
          <cell r="K2857" t="str">
            <v>DNI</v>
          </cell>
          <cell r="L2857">
            <v>10258570851</v>
          </cell>
          <cell r="M2857" t="str">
            <v>AEROLINEAS</v>
          </cell>
          <cell r="N2857">
            <v>45883.375</v>
          </cell>
          <cell r="O2857">
            <v>0</v>
          </cell>
          <cell r="P2857" t="str">
            <v>COMFORT</v>
          </cell>
        </row>
        <row r="2858">
          <cell r="A2858">
            <v>3762</v>
          </cell>
          <cell r="B2858">
            <v>3762</v>
          </cell>
          <cell r="C2858" t="str">
            <v>CERO MATRICULA</v>
          </cell>
          <cell r="D2858" t="str">
            <v>ACTIVO</v>
          </cell>
          <cell r="E2858" t="str">
            <v>CJD032</v>
          </cell>
          <cell r="F2858" t="str">
            <v>Gallardo Izquierdo Marcos Antonio</v>
          </cell>
          <cell r="G2858" t="str">
            <v>Gallardo Izquierdo Marcos Antonio</v>
          </cell>
          <cell r="H2858" t="str">
            <v>06779556</v>
          </cell>
          <cell r="I2858" t="str">
            <v>BCP</v>
          </cell>
          <cell r="J2858" t="str">
            <v>19436085162057</v>
          </cell>
          <cell r="K2858" t="str">
            <v>DNI</v>
          </cell>
          <cell r="L2858">
            <v>10067795569</v>
          </cell>
          <cell r="M2858" t="str">
            <v>AEROLINEAS</v>
          </cell>
          <cell r="N2858">
            <v>45883.375</v>
          </cell>
          <cell r="O2858">
            <v>0</v>
          </cell>
          <cell r="P2858" t="str">
            <v>COMFORT</v>
          </cell>
        </row>
        <row r="2859">
          <cell r="A2859">
            <v>26</v>
          </cell>
          <cell r="B2859">
            <v>26</v>
          </cell>
          <cell r="C2859" t="str">
            <v>CERO MATRICULA</v>
          </cell>
          <cell r="D2859" t="str">
            <v>ACTIVO</v>
          </cell>
          <cell r="E2859" t="str">
            <v>MOVIL CONTINGENCIA</v>
          </cell>
          <cell r="F2859" t="str">
            <v>MOVIL CONTINGENCIA</v>
          </cell>
          <cell r="G2859" t="str">
            <v>MOVIL CONTINGENCIA</v>
          </cell>
          <cell r="H2859" t="str">
            <v>MOVIL CONTINGENCIA</v>
          </cell>
          <cell r="I2859" t="str">
            <v>MOVIL CONTINGENCIA</v>
          </cell>
          <cell r="J2859" t="str">
            <v>MOVIL CONTINGENCIA</v>
          </cell>
          <cell r="K2859" t="str">
            <v>MOVIL CONTINGENCIA</v>
          </cell>
          <cell r="L2859" t="str">
            <v>MOVIL CONTINGENCIA</v>
          </cell>
          <cell r="M2859" t="str">
            <v>MOVIL CONTINGENCIA</v>
          </cell>
          <cell r="N2859">
            <v>45894</v>
          </cell>
          <cell r="O2859">
            <v>0</v>
          </cell>
          <cell r="P2859" t="str">
            <v>LITE</v>
          </cell>
        </row>
        <row r="2860">
          <cell r="A2860">
            <v>27</v>
          </cell>
          <cell r="B2860">
            <v>27</v>
          </cell>
          <cell r="C2860" t="str">
            <v>CERO MATRICULA</v>
          </cell>
          <cell r="D2860" t="str">
            <v>ACTIVO</v>
          </cell>
          <cell r="E2860" t="str">
            <v>MOVIL CONTINGENCIA</v>
          </cell>
          <cell r="F2860" t="str">
            <v>MOVIL CONTINGENCIA</v>
          </cell>
          <cell r="G2860" t="str">
            <v>MOVIL CONTINGENCIA</v>
          </cell>
          <cell r="H2860" t="str">
            <v>MOVIL CONTINGENCIA</v>
          </cell>
          <cell r="I2860" t="str">
            <v>MOVIL CONTINGENCIA</v>
          </cell>
          <cell r="J2860" t="str">
            <v>MOVIL CONTINGENCIA</v>
          </cell>
          <cell r="K2860" t="str">
            <v>MOVIL CONTINGENCIA</v>
          </cell>
          <cell r="L2860" t="str">
            <v>MOVIL CONTINGENCIA</v>
          </cell>
          <cell r="M2860" t="str">
            <v>MOVIL CONTINGENCIA</v>
          </cell>
          <cell r="N2860">
            <v>45894</v>
          </cell>
          <cell r="O2860">
            <v>0</v>
          </cell>
          <cell r="P2860" t="str">
            <v>LITE</v>
          </cell>
        </row>
        <row r="2861">
          <cell r="A2861">
            <v>49</v>
          </cell>
          <cell r="B2861">
            <v>49</v>
          </cell>
          <cell r="C2861" t="str">
            <v>CERO MATRICULA</v>
          </cell>
          <cell r="D2861" t="str">
            <v>ACTIVO</v>
          </cell>
          <cell r="E2861" t="str">
            <v>MOVIL CONTINGENCIA</v>
          </cell>
          <cell r="F2861" t="str">
            <v>MOVIL CONTINGENCIA</v>
          </cell>
          <cell r="G2861" t="str">
            <v>MOVIL CONTINGENCIA</v>
          </cell>
          <cell r="H2861" t="str">
            <v>MOVIL CONTINGENCIA</v>
          </cell>
          <cell r="I2861" t="str">
            <v>MOVIL CONTINGENCIA</v>
          </cell>
          <cell r="J2861" t="str">
            <v>MOVIL CONTINGENCIA</v>
          </cell>
          <cell r="K2861" t="str">
            <v>MOVIL CONTINGENCIA</v>
          </cell>
          <cell r="L2861" t="str">
            <v>MOVIL CONTINGENCIA</v>
          </cell>
          <cell r="M2861" t="str">
            <v>MOVIL CONTINGENCIA</v>
          </cell>
          <cell r="N2861">
            <v>45894</v>
          </cell>
          <cell r="O2861">
            <v>0</v>
          </cell>
          <cell r="P2861" t="str">
            <v>LITE</v>
          </cell>
        </row>
        <row r="2862">
          <cell r="A2862">
            <v>3836</v>
          </cell>
          <cell r="B2862">
            <v>3836</v>
          </cell>
          <cell r="C2862" t="str">
            <v>CERO MATRICULA</v>
          </cell>
          <cell r="D2862" t="str">
            <v>ACTIVO</v>
          </cell>
          <cell r="E2862" t="str">
            <v>MOVIL CONTINGENCIA</v>
          </cell>
          <cell r="F2862" t="str">
            <v>MOVIL CONTINGENCIA</v>
          </cell>
          <cell r="G2862" t="str">
            <v>MOVIL CONTINGENCIA</v>
          </cell>
          <cell r="H2862" t="str">
            <v>MOVIL CONTINGENCIA</v>
          </cell>
          <cell r="I2862" t="str">
            <v>MOVIL CONTINGENCIA</v>
          </cell>
          <cell r="J2862" t="str">
            <v>MOVIL CONTINGENCIA</v>
          </cell>
          <cell r="K2862" t="str">
            <v>MOVIL CONTINGENCIA</v>
          </cell>
          <cell r="L2862" t="str">
            <v>MOVIL CONTINGENCIA</v>
          </cell>
          <cell r="M2862" t="str">
            <v>MOVIL CONTINGENCIA</v>
          </cell>
          <cell r="N2862">
            <v>45905</v>
          </cell>
          <cell r="O2862">
            <v>0</v>
          </cell>
          <cell r="P2862" t="str">
            <v>LITE</v>
          </cell>
        </row>
        <row r="2863">
          <cell r="A2863">
            <v>3798</v>
          </cell>
          <cell r="B2863">
            <v>3798</v>
          </cell>
          <cell r="C2863" t="str">
            <v>CERO MATRICULA</v>
          </cell>
          <cell r="D2863" t="str">
            <v>ACTIVO</v>
          </cell>
          <cell r="E2863" t="str">
            <v>CTZ121</v>
          </cell>
          <cell r="F2863" t="str">
            <v>VASQUEZ VEGA JHON ALEXANDER</v>
          </cell>
          <cell r="G2863" t="str">
            <v>VASQUEZ VEGA JHON ALEXANDER</v>
          </cell>
          <cell r="H2863">
            <v>73039520</v>
          </cell>
          <cell r="I2863" t="str">
            <v>BCP</v>
          </cell>
          <cell r="J2863" t="str">
            <v>19104686735074</v>
          </cell>
          <cell r="K2863" t="str">
            <v>DNI</v>
          </cell>
          <cell r="L2863">
            <v>10730395201</v>
          </cell>
          <cell r="M2863" t="str">
            <v>AEROPUERTO</v>
          </cell>
          <cell r="N2863">
            <v>45901</v>
          </cell>
          <cell r="O2863">
            <v>235</v>
          </cell>
          <cell r="P2863" t="str">
            <v>COMFORT XL</v>
          </cell>
        </row>
        <row r="2864">
          <cell r="A2864">
            <v>3809</v>
          </cell>
          <cell r="B2864">
            <v>3809</v>
          </cell>
          <cell r="C2864" t="str">
            <v>CERO MATRICULA</v>
          </cell>
          <cell r="D2864" t="str">
            <v>ACTIVO</v>
          </cell>
          <cell r="E2864" t="str">
            <v>BYV118</v>
          </cell>
          <cell r="F2864" t="str">
            <v>MENDOZA CARDENAS ALI ROBERTO</v>
          </cell>
          <cell r="G2864" t="str">
            <v>MENDOZA CARDENAS ALI ROBERTO</v>
          </cell>
          <cell r="H2864" t="str">
            <v>002979267</v>
          </cell>
          <cell r="I2864" t="str">
            <v>BCP</v>
          </cell>
          <cell r="J2864" t="str">
            <v>19372071259050</v>
          </cell>
          <cell r="K2864" t="str">
            <v>CARNET DE EXTRANJERÍA</v>
          </cell>
          <cell r="L2864">
            <v>15603978177</v>
          </cell>
          <cell r="M2864" t="str">
            <v>AEROPUERTO</v>
          </cell>
          <cell r="N2864">
            <v>45901</v>
          </cell>
          <cell r="O2864">
            <v>265</v>
          </cell>
          <cell r="P2864" t="str">
            <v>LITE</v>
          </cell>
        </row>
        <row r="2865">
          <cell r="A2865">
            <v>1028</v>
          </cell>
          <cell r="B2865">
            <v>1028</v>
          </cell>
          <cell r="C2865" t="str">
            <v>CERO MATRICULA</v>
          </cell>
          <cell r="D2865" t="str">
            <v>ACTIVO</v>
          </cell>
          <cell r="E2865" t="str">
            <v>CRF435</v>
          </cell>
          <cell r="F2865" t="str">
            <v>Merino Jaramillo Felix Angelo</v>
          </cell>
          <cell r="G2865" t="str">
            <v>Merino Jaramillo Felix Angelo</v>
          </cell>
          <cell r="H2865" t="str">
            <v>41491403</v>
          </cell>
          <cell r="I2865" t="str">
            <v>BBVA</v>
          </cell>
          <cell r="J2865" t="str">
            <v>001101680200058660</v>
          </cell>
          <cell r="K2865" t="str">
            <v>DNI</v>
          </cell>
          <cell r="L2865">
            <v>10414914034</v>
          </cell>
          <cell r="M2865" t="str">
            <v>AEROLINEAS</v>
          </cell>
          <cell r="N2865">
            <v>45890.375</v>
          </cell>
          <cell r="O2865">
            <v>0</v>
          </cell>
          <cell r="P2865" t="str">
            <v>COMFORT</v>
          </cell>
        </row>
        <row r="2866">
          <cell r="A2866">
            <v>1507</v>
          </cell>
          <cell r="B2866">
            <v>1507</v>
          </cell>
          <cell r="C2866" t="str">
            <v>CERO MATRICULA</v>
          </cell>
          <cell r="D2866" t="str">
            <v>ACTIVO</v>
          </cell>
          <cell r="E2866" t="str">
            <v>CNV512</v>
          </cell>
          <cell r="F2866" t="str">
            <v xml:space="preserve">Bellodas Isidro Mario Samuel </v>
          </cell>
          <cell r="G2866" t="str">
            <v xml:space="preserve">Sanchez Pacheco  Daniela maylet </v>
          </cell>
          <cell r="H2866" t="str">
            <v>003364215</v>
          </cell>
          <cell r="I2866" t="str">
            <v>INTERBANK</v>
          </cell>
          <cell r="J2866" t="str">
            <v>1443130987376</v>
          </cell>
          <cell r="K2866" t="str">
            <v>CE</v>
          </cell>
          <cell r="L2866">
            <v>15608236853</v>
          </cell>
          <cell r="M2866" t="str">
            <v>AEROPUERTO</v>
          </cell>
          <cell r="N2866">
            <v>45888.375</v>
          </cell>
          <cell r="O2866">
            <v>235</v>
          </cell>
          <cell r="P2866" t="str">
            <v>COMFORT XL</v>
          </cell>
        </row>
        <row r="2867">
          <cell r="A2867">
            <v>3541</v>
          </cell>
          <cell r="B2867">
            <v>3541</v>
          </cell>
          <cell r="C2867" t="str">
            <v>CERO MATRICULA</v>
          </cell>
          <cell r="D2867" t="str">
            <v>ACTIVO</v>
          </cell>
          <cell r="E2867" t="str">
            <v>CSI193</v>
          </cell>
          <cell r="F2867" t="str">
            <v>Chávez Angulo Marco Antonio</v>
          </cell>
          <cell r="G2867" t="str">
            <v xml:space="preserve">Marco Antonio Chávez Angulo </v>
          </cell>
          <cell r="H2867" t="str">
            <v>29311719</v>
          </cell>
          <cell r="I2867" t="str">
            <v>BBVA</v>
          </cell>
          <cell r="J2867" t="str">
            <v>001100570222453330</v>
          </cell>
          <cell r="K2867" t="str">
            <v>DNI</v>
          </cell>
          <cell r="L2867">
            <v>10293117191</v>
          </cell>
          <cell r="M2867" t="str">
            <v>AEROPUERTO</v>
          </cell>
          <cell r="N2867">
            <v>45812</v>
          </cell>
          <cell r="O2867">
            <v>235</v>
          </cell>
          <cell r="P2867" t="str">
            <v>COMFORT XL</v>
          </cell>
        </row>
        <row r="2868">
          <cell r="A2868">
            <v>3747</v>
          </cell>
          <cell r="B2868">
            <v>3747</v>
          </cell>
          <cell r="C2868" t="str">
            <v>CERO MATRICULA</v>
          </cell>
          <cell r="D2868" t="str">
            <v>ACTIVO</v>
          </cell>
          <cell r="E2868" t="str">
            <v>CSW253</v>
          </cell>
          <cell r="F2868" t="str">
            <v>Mori Cubas Imer</v>
          </cell>
          <cell r="G2868" t="str">
            <v>Mori Cubas Imer</v>
          </cell>
          <cell r="H2868" t="str">
            <v>74745962</v>
          </cell>
          <cell r="I2868" t="str">
            <v>INTERBANK</v>
          </cell>
          <cell r="J2868" t="str">
            <v>8983441628880</v>
          </cell>
          <cell r="K2868" t="str">
            <v>DNI</v>
          </cell>
          <cell r="L2868">
            <v>10747459628</v>
          </cell>
          <cell r="M2868" t="str">
            <v>AEROPUERTO</v>
          </cell>
          <cell r="N2868">
            <v>45888.375</v>
          </cell>
          <cell r="O2868">
            <v>235</v>
          </cell>
          <cell r="P2868" t="str">
            <v>COMFORT XL</v>
          </cell>
        </row>
        <row r="2869">
          <cell r="A2869">
            <v>3763</v>
          </cell>
          <cell r="B2869">
            <v>3763</v>
          </cell>
          <cell r="C2869" t="str">
            <v>CERO MATRICULA</v>
          </cell>
          <cell r="D2869" t="str">
            <v>ACTIVO</v>
          </cell>
          <cell r="E2869" t="str">
            <v>CRV377</v>
          </cell>
          <cell r="F2869" t="str">
            <v>Huapaya Becerra Julio Cesar</v>
          </cell>
          <cell r="G2869" t="str">
            <v>Huapaya Becerra Julio Cesar</v>
          </cell>
          <cell r="H2869" t="str">
            <v>44220159</v>
          </cell>
          <cell r="I2869" t="str">
            <v>BBVA</v>
          </cell>
          <cell r="J2869" t="str">
            <v>001101310200264900</v>
          </cell>
          <cell r="K2869" t="str">
            <v>DNI</v>
          </cell>
          <cell r="L2869">
            <v>10442201591</v>
          </cell>
          <cell r="M2869" t="str">
            <v>AEROPUERTO</v>
          </cell>
          <cell r="N2869">
            <v>45888.375</v>
          </cell>
          <cell r="O2869">
            <v>235</v>
          </cell>
          <cell r="P2869" t="str">
            <v>COMFORT XL</v>
          </cell>
        </row>
        <row r="2870">
          <cell r="A2870">
            <v>3764</v>
          </cell>
          <cell r="B2870">
            <v>3764</v>
          </cell>
          <cell r="C2870" t="str">
            <v>CERO MATRICULA</v>
          </cell>
          <cell r="D2870" t="str">
            <v>ACTIVO</v>
          </cell>
          <cell r="E2870" t="str">
            <v>CTA045</v>
          </cell>
          <cell r="F2870" t="str">
            <v>Arquino Vera Humberto  Enrique</v>
          </cell>
          <cell r="G2870" t="str">
            <v>Arquino Vera Humberto  Enrique</v>
          </cell>
          <cell r="H2870" t="str">
            <v>003730220</v>
          </cell>
          <cell r="I2870" t="str">
            <v>BCP</v>
          </cell>
          <cell r="J2870" t="str">
            <v>19115462024005</v>
          </cell>
          <cell r="K2870" t="str">
            <v>CARNET DE EXTRANJERÍA</v>
          </cell>
          <cell r="L2870">
            <v>15604288107</v>
          </cell>
          <cell r="M2870" t="str">
            <v>AEROPUERTO</v>
          </cell>
          <cell r="N2870">
            <v>45888.375</v>
          </cell>
          <cell r="O2870">
            <v>235</v>
          </cell>
          <cell r="P2870" t="str">
            <v>COMFORT XL</v>
          </cell>
        </row>
        <row r="2871">
          <cell r="A2871">
            <v>3765</v>
          </cell>
          <cell r="B2871">
            <v>3765</v>
          </cell>
          <cell r="C2871" t="str">
            <v>CERO MATRICULA</v>
          </cell>
          <cell r="D2871" t="str">
            <v>ACTIVO</v>
          </cell>
          <cell r="E2871" t="str">
            <v>CTS113</v>
          </cell>
          <cell r="F2871" t="str">
            <v>Alvarez Zurita José Reynaldo</v>
          </cell>
          <cell r="G2871" t="str">
            <v xml:space="preserve">Garcia Marchena Teolinda Soledad </v>
          </cell>
          <cell r="H2871" t="str">
            <v>09337742</v>
          </cell>
          <cell r="I2871" t="str">
            <v>BCP</v>
          </cell>
          <cell r="J2871" t="str">
            <v>19178291525047</v>
          </cell>
          <cell r="K2871" t="str">
            <v>DNI</v>
          </cell>
          <cell r="L2871">
            <v>10093377422</v>
          </cell>
          <cell r="M2871" t="str">
            <v>AEROPUERTO</v>
          </cell>
          <cell r="N2871">
            <v>45888.375</v>
          </cell>
          <cell r="O2871">
            <v>240</v>
          </cell>
          <cell r="P2871" t="str">
            <v>XL</v>
          </cell>
        </row>
        <row r="2872">
          <cell r="A2872">
            <v>3766</v>
          </cell>
          <cell r="B2872">
            <v>3766</v>
          </cell>
          <cell r="C2872" t="str">
            <v>CERO MATRICULA</v>
          </cell>
          <cell r="D2872" t="str">
            <v>ACTIVO</v>
          </cell>
          <cell r="E2872" t="str">
            <v>CTJ660</v>
          </cell>
          <cell r="F2872" t="str">
            <v>Timmermann Flores Pablo Bruno</v>
          </cell>
          <cell r="G2872" t="str">
            <v>Timmermann Flores Pablo Bruno</v>
          </cell>
          <cell r="H2872" t="str">
            <v>10266554</v>
          </cell>
          <cell r="I2872" t="str">
            <v>BCP</v>
          </cell>
          <cell r="J2872" t="str">
            <v>19437272679069</v>
          </cell>
          <cell r="K2872" t="str">
            <v>DNI</v>
          </cell>
          <cell r="L2872">
            <v>10102665541</v>
          </cell>
          <cell r="M2872" t="str">
            <v>AEROPUERTO</v>
          </cell>
          <cell r="N2872">
            <v>45888.375</v>
          </cell>
          <cell r="O2872">
            <v>235</v>
          </cell>
          <cell r="P2872" t="str">
            <v>COMFORT XL</v>
          </cell>
        </row>
        <row r="2873">
          <cell r="A2873">
            <v>3768</v>
          </cell>
          <cell r="B2873">
            <v>3768</v>
          </cell>
          <cell r="C2873" t="str">
            <v>CERO MATRICULA</v>
          </cell>
          <cell r="D2873" t="str">
            <v>ACTIVO</v>
          </cell>
          <cell r="E2873" t="str">
            <v>CSM575</v>
          </cell>
          <cell r="F2873" t="str">
            <v>Huanca Cubas Geiger</v>
          </cell>
          <cell r="G2873" t="str">
            <v>Huanca Cubas Geiger</v>
          </cell>
          <cell r="H2873" t="str">
            <v>07506724</v>
          </cell>
          <cell r="I2873" t="str">
            <v>BCP</v>
          </cell>
          <cell r="J2873" t="str">
            <v>19177455761040</v>
          </cell>
          <cell r="K2873" t="str">
            <v>DNI</v>
          </cell>
          <cell r="L2873">
            <v>10075067246</v>
          </cell>
          <cell r="M2873" t="str">
            <v>AEROPUERTO</v>
          </cell>
          <cell r="N2873">
            <v>45888.375</v>
          </cell>
          <cell r="O2873">
            <v>240</v>
          </cell>
          <cell r="P2873" t="str">
            <v>XL</v>
          </cell>
        </row>
        <row r="2874">
          <cell r="A2874">
            <v>3769</v>
          </cell>
          <cell r="B2874">
            <v>3769</v>
          </cell>
          <cell r="C2874" t="str">
            <v>CERO MATRICULA</v>
          </cell>
          <cell r="D2874" t="str">
            <v>ACTIVO</v>
          </cell>
          <cell r="E2874" t="str">
            <v>BNP061</v>
          </cell>
          <cell r="F2874" t="str">
            <v>Valverde Castillo Leandro Felix</v>
          </cell>
          <cell r="G2874" t="str">
            <v>Valverde Castillo Leandro Felix</v>
          </cell>
          <cell r="H2874" t="str">
            <v>07172194</v>
          </cell>
          <cell r="I2874" t="str">
            <v>BCP</v>
          </cell>
          <cell r="J2874" t="str">
            <v>19170822382057</v>
          </cell>
          <cell r="K2874" t="str">
            <v>DNI</v>
          </cell>
          <cell r="L2874">
            <v>10071721944</v>
          </cell>
          <cell r="M2874" t="str">
            <v>AEROPUERTO</v>
          </cell>
          <cell r="N2874">
            <v>45888.375</v>
          </cell>
          <cell r="O2874">
            <v>265</v>
          </cell>
          <cell r="P2874" t="str">
            <v>LITE</v>
          </cell>
        </row>
        <row r="2875">
          <cell r="A2875">
            <v>3770</v>
          </cell>
          <cell r="B2875">
            <v>3770</v>
          </cell>
          <cell r="C2875" t="str">
            <v>CERO MATRICULA</v>
          </cell>
          <cell r="D2875" t="str">
            <v>ACTIVO</v>
          </cell>
          <cell r="E2875" t="str">
            <v>CRS369</v>
          </cell>
          <cell r="F2875" t="str">
            <v>Escalona Silva Ramón Daniel</v>
          </cell>
          <cell r="G2875" t="str">
            <v>Escalona Silva Ramón Daniel</v>
          </cell>
          <cell r="H2875" t="str">
            <v>008057516</v>
          </cell>
          <cell r="I2875" t="str">
            <v>BCP</v>
          </cell>
          <cell r="J2875" t="str">
            <v>19301294960039</v>
          </cell>
          <cell r="K2875" t="str">
            <v>CARNET DE EXTRANJERÍA</v>
          </cell>
          <cell r="L2875">
            <v>15612461161</v>
          </cell>
          <cell r="M2875" t="str">
            <v>AEROPUERTO</v>
          </cell>
          <cell r="N2875">
            <v>45888.375</v>
          </cell>
          <cell r="O2875">
            <v>240</v>
          </cell>
          <cell r="P2875" t="str">
            <v>XL</v>
          </cell>
        </row>
        <row r="2876">
          <cell r="A2876">
            <v>3771</v>
          </cell>
          <cell r="B2876">
            <v>3771</v>
          </cell>
          <cell r="C2876" t="str">
            <v>CERO MATRICULA</v>
          </cell>
          <cell r="D2876" t="str">
            <v>ACTIVO</v>
          </cell>
          <cell r="E2876" t="str">
            <v>CRV526</v>
          </cell>
          <cell r="F2876" t="str">
            <v>Alburqueque Gálvez Walter Alexander</v>
          </cell>
          <cell r="G2876" t="str">
            <v>Alburqueque Gálvez Walter Alexander</v>
          </cell>
          <cell r="H2876" t="str">
            <v>46513418</v>
          </cell>
          <cell r="I2876" t="str">
            <v>BBVA</v>
          </cell>
          <cell r="J2876" t="str">
            <v>001108140280150164</v>
          </cell>
          <cell r="K2876" t="str">
            <v>DNI</v>
          </cell>
          <cell r="L2876">
            <v>10465134181</v>
          </cell>
          <cell r="M2876" t="str">
            <v>AEROPUERTO</v>
          </cell>
          <cell r="N2876">
            <v>45888.375</v>
          </cell>
          <cell r="O2876">
            <v>240</v>
          </cell>
          <cell r="P2876" t="str">
            <v>XL</v>
          </cell>
        </row>
        <row r="2877">
          <cell r="A2877">
            <v>3772</v>
          </cell>
          <cell r="B2877">
            <v>3772</v>
          </cell>
          <cell r="C2877" t="str">
            <v>CERO MATRICULA</v>
          </cell>
          <cell r="D2877" t="str">
            <v>ACTIVO</v>
          </cell>
          <cell r="E2877" t="str">
            <v>CMT293</v>
          </cell>
          <cell r="F2877" t="str">
            <v>Ordoñez Payano Emil Florencio</v>
          </cell>
          <cell r="G2877" t="str">
            <v>Ordoñez Payano Emil Florencio</v>
          </cell>
          <cell r="H2877" t="str">
            <v>42429032</v>
          </cell>
          <cell r="I2877" t="str">
            <v>BCP</v>
          </cell>
          <cell r="J2877" t="str">
            <v>19302072360092</v>
          </cell>
          <cell r="K2877" t="str">
            <v>DNI</v>
          </cell>
          <cell r="L2877">
            <v>10424290322</v>
          </cell>
          <cell r="M2877" t="str">
            <v>AEROPUERTO</v>
          </cell>
          <cell r="N2877">
            <v>45888.375</v>
          </cell>
          <cell r="O2877">
            <v>265</v>
          </cell>
          <cell r="P2877" t="str">
            <v>LITE</v>
          </cell>
        </row>
        <row r="2878">
          <cell r="A2878">
            <v>3773</v>
          </cell>
          <cell r="B2878">
            <v>3773</v>
          </cell>
          <cell r="C2878" t="str">
            <v>CERO MATRICULA</v>
          </cell>
          <cell r="D2878" t="str">
            <v>ACTIVO</v>
          </cell>
          <cell r="E2878" t="str">
            <v>CTR096</v>
          </cell>
          <cell r="F2878" t="str">
            <v>Loreto Alvarado Arnaldo Jose</v>
          </cell>
          <cell r="G2878" t="str">
            <v>Loreto Alvarado Arnaldo Jose</v>
          </cell>
          <cell r="H2878" t="str">
            <v>003238205</v>
          </cell>
          <cell r="I2878" t="str">
            <v>BCP</v>
          </cell>
          <cell r="J2878" t="str">
            <v>19204785649087</v>
          </cell>
          <cell r="K2878" t="str">
            <v>CARNET DE EXTRANJERÍA</v>
          </cell>
          <cell r="L2878">
            <v>15608231932</v>
          </cell>
          <cell r="M2878" t="str">
            <v>AEROPUERTO</v>
          </cell>
          <cell r="N2878">
            <v>45888.375</v>
          </cell>
          <cell r="O2878">
            <v>240</v>
          </cell>
          <cell r="P2878" t="str">
            <v>XL</v>
          </cell>
        </row>
        <row r="2879">
          <cell r="A2879">
            <v>3774</v>
          </cell>
          <cell r="B2879">
            <v>3774</v>
          </cell>
          <cell r="C2879" t="str">
            <v>CERO MATRICULA</v>
          </cell>
          <cell r="D2879" t="str">
            <v>ACTIVO</v>
          </cell>
          <cell r="E2879" t="str">
            <v>CSZ307</v>
          </cell>
          <cell r="F2879" t="str">
            <v>Buendia Sierra Roger</v>
          </cell>
          <cell r="G2879" t="str">
            <v>Buendia Sierra Nildo</v>
          </cell>
          <cell r="H2879" t="str">
            <v>75825970</v>
          </cell>
          <cell r="I2879" t="str">
            <v>BCP</v>
          </cell>
          <cell r="J2879" t="str">
            <v>19104839502084</v>
          </cell>
          <cell r="K2879" t="str">
            <v>DNI</v>
          </cell>
          <cell r="L2879">
            <v>10758259701</v>
          </cell>
          <cell r="M2879" t="str">
            <v>URBANO PARTNER</v>
          </cell>
          <cell r="N2879">
            <v>45888.625</v>
          </cell>
          <cell r="O2879">
            <v>0</v>
          </cell>
          <cell r="P2879" t="str">
            <v>VAN</v>
          </cell>
        </row>
        <row r="2880">
          <cell r="A2880">
            <v>3775</v>
          </cell>
          <cell r="B2880">
            <v>3775</v>
          </cell>
          <cell r="C2880" t="str">
            <v>CERO MATRICULA</v>
          </cell>
          <cell r="D2880" t="str">
            <v>ACTIVO</v>
          </cell>
          <cell r="E2880" t="str">
            <v>AYJ153</v>
          </cell>
          <cell r="F2880" t="str">
            <v>Carrasquero Tovar Yeison Hermenson</v>
          </cell>
          <cell r="G2880" t="str">
            <v>Carrasquero Tovar Yeison Hermenson</v>
          </cell>
          <cell r="H2880" t="str">
            <v>004380592</v>
          </cell>
          <cell r="I2880" t="str">
            <v>BCP</v>
          </cell>
          <cell r="J2880" t="str">
            <v>19194325362041</v>
          </cell>
          <cell r="K2880" t="str">
            <v>CARNET DE EXTRANJERÍA</v>
          </cell>
          <cell r="L2880">
            <v>15605360669</v>
          </cell>
          <cell r="M2880" t="str">
            <v>URBANO PARTNER</v>
          </cell>
          <cell r="N2880">
            <v>45888.625</v>
          </cell>
          <cell r="O2880">
            <v>0</v>
          </cell>
          <cell r="P2880" t="str">
            <v>LITE</v>
          </cell>
        </row>
        <row r="2881">
          <cell r="A2881">
            <v>3777</v>
          </cell>
          <cell r="B2881">
            <v>3777</v>
          </cell>
          <cell r="C2881" t="str">
            <v>CERO MATRICULA</v>
          </cell>
          <cell r="D2881" t="str">
            <v>ACTIVO</v>
          </cell>
          <cell r="E2881" t="str">
            <v>CRR338</v>
          </cell>
          <cell r="F2881" t="str">
            <v xml:space="preserve">Bramon La Torre Jonathan Robinson </v>
          </cell>
          <cell r="G2881" t="str">
            <v xml:space="preserve">Bramon La Torre Jonathan Robinson </v>
          </cell>
          <cell r="H2881" t="str">
            <v>41517426</v>
          </cell>
          <cell r="I2881" t="str">
            <v>BCP</v>
          </cell>
          <cell r="J2881" t="str">
            <v>19213582062053</v>
          </cell>
          <cell r="K2881" t="str">
            <v>DNI</v>
          </cell>
          <cell r="L2881">
            <v>10415174263</v>
          </cell>
          <cell r="M2881" t="str">
            <v>URBANO PARTNER</v>
          </cell>
          <cell r="N2881">
            <v>45888.125</v>
          </cell>
          <cell r="O2881">
            <v>0</v>
          </cell>
          <cell r="P2881" t="str">
            <v>LITE</v>
          </cell>
        </row>
        <row r="2882">
          <cell r="A2882">
            <v>3778</v>
          </cell>
          <cell r="B2882">
            <v>3778</v>
          </cell>
          <cell r="C2882" t="str">
            <v>CERO MATRICULA</v>
          </cell>
          <cell r="D2882" t="str">
            <v>ACTIVO</v>
          </cell>
          <cell r="E2882" t="str">
            <v>CTP598</v>
          </cell>
          <cell r="F2882" t="str">
            <v>Castillo Alcivar Daniel gregorio</v>
          </cell>
          <cell r="G2882" t="str">
            <v>Castillo Alcantara Sebastian</v>
          </cell>
          <cell r="H2882">
            <v>71701361</v>
          </cell>
          <cell r="I2882" t="str">
            <v>BCP</v>
          </cell>
          <cell r="J2882" t="str">
            <v>19171999834002</v>
          </cell>
          <cell r="K2882" t="str">
            <v>DNI</v>
          </cell>
          <cell r="L2882">
            <v>10717013617</v>
          </cell>
          <cell r="M2882" t="str">
            <v>URBANO PARTNER</v>
          </cell>
          <cell r="N2882">
            <v>45888.625</v>
          </cell>
          <cell r="O2882">
            <v>0</v>
          </cell>
          <cell r="P2882" t="str">
            <v>LITE</v>
          </cell>
        </row>
        <row r="2883">
          <cell r="A2883">
            <v>3780</v>
          </cell>
          <cell r="B2883">
            <v>3780</v>
          </cell>
          <cell r="C2883" t="str">
            <v>CERO MATRICULA</v>
          </cell>
          <cell r="D2883" t="str">
            <v>ACTIVO</v>
          </cell>
          <cell r="E2883" t="str">
            <v>BWV368</v>
          </cell>
          <cell r="F2883" t="str">
            <v>Allende Vilchez Hubert</v>
          </cell>
          <cell r="G2883" t="str">
            <v>Allende Vilchez Hubert</v>
          </cell>
          <cell r="H2883" t="str">
            <v>09688162</v>
          </cell>
          <cell r="I2883" t="str">
            <v>BCP</v>
          </cell>
          <cell r="J2883" t="str">
            <v>19305924850095</v>
          </cell>
          <cell r="K2883" t="str">
            <v>DNI</v>
          </cell>
          <cell r="L2883">
            <v>10096881628</v>
          </cell>
          <cell r="M2883" t="str">
            <v>URBANO PARTNER</v>
          </cell>
          <cell r="N2883">
            <v>45888.625</v>
          </cell>
          <cell r="O2883">
            <v>0</v>
          </cell>
          <cell r="P2883" t="str">
            <v>XL</v>
          </cell>
        </row>
        <row r="2884">
          <cell r="A2884">
            <v>3781</v>
          </cell>
          <cell r="B2884">
            <v>3781</v>
          </cell>
          <cell r="C2884" t="str">
            <v>CERO MATRICULA</v>
          </cell>
          <cell r="D2884" t="str">
            <v>ACTIVO</v>
          </cell>
          <cell r="E2884" t="str">
            <v>CFH615</v>
          </cell>
          <cell r="F2884" t="str">
            <v>Miranda Huanca Samuel silverio</v>
          </cell>
          <cell r="G2884" t="str">
            <v>Miranda Huanca Samuel silverio</v>
          </cell>
          <cell r="H2884" t="str">
            <v>47096114</v>
          </cell>
          <cell r="I2884" t="str">
            <v>BCP</v>
          </cell>
          <cell r="J2884" t="str">
            <v>19473661328080</v>
          </cell>
          <cell r="K2884" t="str">
            <v>DNI</v>
          </cell>
          <cell r="L2884">
            <v>10470961142</v>
          </cell>
          <cell r="M2884" t="str">
            <v>URBANO PARTNER</v>
          </cell>
          <cell r="N2884">
            <v>45888.625</v>
          </cell>
          <cell r="O2884">
            <v>0</v>
          </cell>
          <cell r="P2884" t="str">
            <v>COMFORT XL</v>
          </cell>
        </row>
        <row r="2885">
          <cell r="A2885">
            <v>3784</v>
          </cell>
          <cell r="B2885">
            <v>3784</v>
          </cell>
          <cell r="C2885" t="str">
            <v>CERO MATRICULA</v>
          </cell>
          <cell r="D2885" t="str">
            <v>ACTIVO</v>
          </cell>
          <cell r="E2885" t="str">
            <v>CTG513</v>
          </cell>
          <cell r="F2885" t="str">
            <v>Maranzana Orrego Claudio Gino</v>
          </cell>
          <cell r="G2885" t="str">
            <v xml:space="preserve">Briceño Vallejos Lourdes Regina </v>
          </cell>
          <cell r="H2885" t="str">
            <v>09537608</v>
          </cell>
          <cell r="I2885" t="str">
            <v>BCP</v>
          </cell>
          <cell r="J2885" t="str">
            <v>24503091383035</v>
          </cell>
          <cell r="K2885" t="str">
            <v>DNI</v>
          </cell>
          <cell r="L2885">
            <v>10095376083</v>
          </cell>
          <cell r="M2885" t="str">
            <v>AEROLINEAS</v>
          </cell>
          <cell r="N2885">
            <v>45890.375</v>
          </cell>
          <cell r="O2885">
            <v>0</v>
          </cell>
          <cell r="P2885" t="str">
            <v>COMFORT XL</v>
          </cell>
        </row>
        <row r="2886">
          <cell r="A2886">
            <v>3785</v>
          </cell>
          <cell r="B2886">
            <v>3785</v>
          </cell>
          <cell r="C2886" t="str">
            <v>CERO MATRICULA</v>
          </cell>
          <cell r="D2886" t="str">
            <v>ACTIVO</v>
          </cell>
          <cell r="E2886" t="str">
            <v>CNH660</v>
          </cell>
          <cell r="F2886" t="str">
            <v>De la Quintana Solano Carla Guilianna</v>
          </cell>
          <cell r="G2886" t="str">
            <v>De la Qiontana Solano Carla Guilianna</v>
          </cell>
          <cell r="H2886" t="str">
            <v>48905961</v>
          </cell>
          <cell r="I2886" t="str">
            <v>BBVA</v>
          </cell>
          <cell r="J2886" t="str">
            <v>001107130200226689</v>
          </cell>
          <cell r="K2886" t="str">
            <v>DNI</v>
          </cell>
          <cell r="L2886">
            <v>10489059610</v>
          </cell>
          <cell r="M2886" t="str">
            <v>AEROLINEAS</v>
          </cell>
          <cell r="N2886">
            <v>45890.375</v>
          </cell>
          <cell r="O2886">
            <v>0</v>
          </cell>
          <cell r="P2886" t="str">
            <v>LITE</v>
          </cell>
        </row>
        <row r="2887">
          <cell r="A2887">
            <v>3786</v>
          </cell>
          <cell r="B2887">
            <v>3786</v>
          </cell>
          <cell r="C2887" t="str">
            <v>CERO MATRICULA</v>
          </cell>
          <cell r="D2887" t="str">
            <v>ACTIVO</v>
          </cell>
          <cell r="E2887" t="str">
            <v>CCR442</v>
          </cell>
          <cell r="F2887" t="str">
            <v xml:space="preserve">Llave Carrazas Andy Russell </v>
          </cell>
          <cell r="G2887" t="str">
            <v xml:space="preserve">Llave Carrazas Andy Russell </v>
          </cell>
          <cell r="H2887" t="str">
            <v>42398936</v>
          </cell>
          <cell r="I2887" t="str">
            <v>BCP</v>
          </cell>
          <cell r="J2887" t="str">
            <v>19116542343036</v>
          </cell>
          <cell r="K2887" t="str">
            <v>DNI</v>
          </cell>
          <cell r="L2887">
            <v>10423989365</v>
          </cell>
          <cell r="M2887" t="str">
            <v>AEROLINEAS</v>
          </cell>
          <cell r="N2887">
            <v>45890.375</v>
          </cell>
          <cell r="O2887">
            <v>0</v>
          </cell>
          <cell r="P2887" t="str">
            <v>XL</v>
          </cell>
        </row>
        <row r="2888">
          <cell r="A2888">
            <v>3787</v>
          </cell>
          <cell r="B2888">
            <v>3787</v>
          </cell>
          <cell r="C2888" t="str">
            <v>CERO MATRICULA</v>
          </cell>
          <cell r="D2888" t="str">
            <v>ACTIVO</v>
          </cell>
          <cell r="E2888" t="str">
            <v>CSY523</v>
          </cell>
          <cell r="F2888" t="str">
            <v>Calderon Ango Michael Jhordy</v>
          </cell>
          <cell r="G2888" t="str">
            <v>Calderon Ango Michael Jhordy</v>
          </cell>
          <cell r="H2888" t="str">
            <v>70936293</v>
          </cell>
          <cell r="I2888" t="str">
            <v>INTERBANK</v>
          </cell>
          <cell r="J2888" t="str">
            <v>8983298683697</v>
          </cell>
          <cell r="K2888" t="str">
            <v>DNI</v>
          </cell>
          <cell r="L2888">
            <v>10709362939</v>
          </cell>
          <cell r="M2888" t="str">
            <v>URBANO PARTNER</v>
          </cell>
          <cell r="N2888">
            <v>45890.375</v>
          </cell>
          <cell r="O2888">
            <v>0</v>
          </cell>
          <cell r="P2888" t="str">
            <v>LITE</v>
          </cell>
        </row>
        <row r="2889">
          <cell r="A2889">
            <v>3788</v>
          </cell>
          <cell r="B2889">
            <v>3788</v>
          </cell>
          <cell r="C2889" t="str">
            <v>CERO MATRICULA</v>
          </cell>
          <cell r="D2889" t="str">
            <v>ACTIVO</v>
          </cell>
          <cell r="E2889" t="str">
            <v>M5X307</v>
          </cell>
          <cell r="F2889" t="str">
            <v>Condori Carbajal Cristhofer Christian</v>
          </cell>
          <cell r="G2889" t="str">
            <v>Condori Carbajal Cristhofer Christian</v>
          </cell>
          <cell r="H2889" t="str">
            <v>74743955</v>
          </cell>
          <cell r="I2889" t="str">
            <v>INTERBANK</v>
          </cell>
          <cell r="J2889" t="str">
            <v>200311393825</v>
          </cell>
          <cell r="K2889" t="str">
            <v>DNI</v>
          </cell>
          <cell r="L2889">
            <v>10747439554</v>
          </cell>
          <cell r="M2889" t="str">
            <v>AEROLINEAS</v>
          </cell>
          <cell r="N2889">
            <v>45890.375</v>
          </cell>
          <cell r="O2889">
            <v>0</v>
          </cell>
          <cell r="P2889" t="str">
            <v>COMFORT XL</v>
          </cell>
        </row>
        <row r="2890">
          <cell r="A2890">
            <v>7602</v>
          </cell>
          <cell r="B2890">
            <v>7602</v>
          </cell>
          <cell r="C2890" t="str">
            <v>CERO MATRICULA</v>
          </cell>
          <cell r="D2890" t="str">
            <v>ACTIVO</v>
          </cell>
          <cell r="E2890" t="str">
            <v>BSR109</v>
          </cell>
          <cell r="F2890" t="str">
            <v xml:space="preserve">Loyo López Carlos Alberto </v>
          </cell>
          <cell r="G2890" t="str">
            <v xml:space="preserve">Loyo López Carlos Alberto </v>
          </cell>
          <cell r="H2890" t="str">
            <v>002596116</v>
          </cell>
          <cell r="I2890" t="str">
            <v>BCP</v>
          </cell>
          <cell r="J2890" t="str">
            <v>19200625639057</v>
          </cell>
          <cell r="K2890" t="str">
            <v>CARNET DE EXTRANJERÍA</v>
          </cell>
          <cell r="L2890">
            <v>15603896359</v>
          </cell>
          <cell r="M2890" t="str">
            <v>URBANO PARTNER</v>
          </cell>
          <cell r="N2890">
            <v>45888.625</v>
          </cell>
          <cell r="O2890">
            <v>0</v>
          </cell>
          <cell r="P2890" t="str">
            <v>LITE</v>
          </cell>
        </row>
        <row r="2891">
          <cell r="A2891">
            <v>3837</v>
          </cell>
          <cell r="B2891">
            <v>3837</v>
          </cell>
          <cell r="C2891" t="str">
            <v>CERO MATRICULA</v>
          </cell>
          <cell r="D2891" t="str">
            <v>ACTIVO</v>
          </cell>
          <cell r="E2891" t="str">
            <v>CTJ479</v>
          </cell>
          <cell r="F2891" t="str">
            <v>Bravo Minaya Levi Alvin</v>
          </cell>
          <cell r="G2891" t="str">
            <v>Bravo Minaya Levi Alvin</v>
          </cell>
          <cell r="H2891" t="str">
            <v>47895483</v>
          </cell>
          <cell r="I2891" t="str">
            <v>BCP</v>
          </cell>
          <cell r="J2891" t="str">
            <v>19198110458071</v>
          </cell>
          <cell r="K2891" t="str">
            <v>DNI</v>
          </cell>
          <cell r="L2891">
            <v>10478954838</v>
          </cell>
          <cell r="M2891" t="str">
            <v>AEROPUERTO</v>
          </cell>
          <cell r="N2891">
            <v>45909</v>
          </cell>
          <cell r="O2891">
            <v>235</v>
          </cell>
          <cell r="P2891" t="str">
            <v>COMFORT XL</v>
          </cell>
        </row>
        <row r="2892">
          <cell r="A2892">
            <v>3832</v>
          </cell>
          <cell r="B2892">
            <v>3832</v>
          </cell>
          <cell r="C2892" t="str">
            <v>CERO MATRICULA</v>
          </cell>
          <cell r="D2892" t="str">
            <v>ACTIVO</v>
          </cell>
          <cell r="E2892" t="str">
            <v>CPL029</v>
          </cell>
          <cell r="F2892" t="str">
            <v xml:space="preserve">González Jones Daniel Alberto </v>
          </cell>
          <cell r="G2892" t="str">
            <v xml:space="preserve">González Jones Daniel Alberto </v>
          </cell>
          <cell r="H2892" t="str">
            <v>004395576</v>
          </cell>
          <cell r="I2892" t="str">
            <v>INTERBANK</v>
          </cell>
          <cell r="J2892" t="str">
            <v>2963447262739</v>
          </cell>
          <cell r="K2892" t="str">
            <v>CARNET DE EXTRANJERÍA</v>
          </cell>
          <cell r="L2892">
            <v>15605998922</v>
          </cell>
          <cell r="M2892" t="str">
            <v>AEROPUERTO</v>
          </cell>
          <cell r="N2892">
            <v>45909</v>
          </cell>
          <cell r="O2892">
            <v>235</v>
          </cell>
          <cell r="P2892" t="str">
            <v>COMFORT XL</v>
          </cell>
        </row>
        <row r="2893">
          <cell r="A2893">
            <v>3839</v>
          </cell>
          <cell r="B2893">
            <v>3839</v>
          </cell>
          <cell r="C2893" t="str">
            <v>CERO MATRICULA</v>
          </cell>
          <cell r="D2893" t="str">
            <v>ACTIVO</v>
          </cell>
          <cell r="E2893" t="str">
            <v>CCK298</v>
          </cell>
          <cell r="F2893" t="str">
            <v>Puicon Tullume Jorge Enrrique</v>
          </cell>
          <cell r="G2893" t="str">
            <v>Puicon Tullume Jorge Enrrique</v>
          </cell>
          <cell r="H2893" t="str">
            <v>08875771</v>
          </cell>
          <cell r="I2893" t="str">
            <v>BCP</v>
          </cell>
          <cell r="J2893" t="str">
            <v>19190438300016</v>
          </cell>
          <cell r="K2893" t="str">
            <v>DNI</v>
          </cell>
          <cell r="L2893">
            <v>10088757713</v>
          </cell>
          <cell r="M2893" t="str">
            <v>AEROPUERTO</v>
          </cell>
          <cell r="N2893">
            <v>45910</v>
          </cell>
          <cell r="O2893">
            <v>235</v>
          </cell>
          <cell r="P2893" t="str">
            <v>COMFORT XL</v>
          </cell>
        </row>
        <row r="2894">
          <cell r="A2894">
            <v>3840</v>
          </cell>
          <cell r="B2894">
            <v>3840</v>
          </cell>
          <cell r="C2894" t="str">
            <v>CERO MATRICULA</v>
          </cell>
          <cell r="D2894" t="str">
            <v>ACTIVO</v>
          </cell>
          <cell r="E2894" t="str">
            <v>CTX684</v>
          </cell>
          <cell r="F2894" t="str">
            <v>Campos Chupillon Joselito</v>
          </cell>
          <cell r="G2894" t="str">
            <v>Campos Chupillon Joselito</v>
          </cell>
          <cell r="H2894" t="str">
            <v>71661151</v>
          </cell>
          <cell r="I2894" t="str">
            <v>BCP</v>
          </cell>
          <cell r="J2894" t="str">
            <v>19296106666038</v>
          </cell>
          <cell r="K2894" t="str">
            <v>DNI</v>
          </cell>
          <cell r="L2894">
            <v>10716611511</v>
          </cell>
          <cell r="M2894" t="str">
            <v>AEROPUERTO</v>
          </cell>
          <cell r="N2894">
            <v>45911</v>
          </cell>
          <cell r="O2894">
            <v>240</v>
          </cell>
          <cell r="P2894" t="str">
            <v>XL</v>
          </cell>
        </row>
        <row r="2895">
          <cell r="A2895">
            <v>3841</v>
          </cell>
          <cell r="B2895">
            <v>3841</v>
          </cell>
          <cell r="C2895" t="str">
            <v>CERO MATRICULA</v>
          </cell>
          <cell r="D2895" t="str">
            <v>ACTIVO</v>
          </cell>
          <cell r="E2895" t="str">
            <v>CEK588</v>
          </cell>
          <cell r="F2895" t="str">
            <v>Quispe Gutierrez Alaen Michel</v>
          </cell>
          <cell r="G2895" t="str">
            <v>Quispe Gutierrez Alaen Michel</v>
          </cell>
          <cell r="H2895" t="str">
            <v>42261472</v>
          </cell>
          <cell r="I2895" t="str">
            <v>BCP</v>
          </cell>
          <cell r="J2895" t="str">
            <v>19392782735032</v>
          </cell>
          <cell r="K2895" t="str">
            <v>DNI</v>
          </cell>
          <cell r="L2895">
            <v>10422614724</v>
          </cell>
          <cell r="M2895" t="str">
            <v>AEROPUERTO</v>
          </cell>
          <cell r="N2895">
            <v>45910</v>
          </cell>
          <cell r="O2895">
            <v>240</v>
          </cell>
          <cell r="P2895" t="str">
            <v>XL</v>
          </cell>
        </row>
        <row r="2896">
          <cell r="A2896">
            <v>3842</v>
          </cell>
          <cell r="B2896">
            <v>3842</v>
          </cell>
          <cell r="C2896" t="str">
            <v>CERO MATRICULA</v>
          </cell>
          <cell r="D2896" t="str">
            <v>ACTIVO</v>
          </cell>
          <cell r="E2896" t="str">
            <v>CTZ353</v>
          </cell>
          <cell r="F2896" t="str">
            <v>Parra Rojas Carlos José</v>
          </cell>
          <cell r="G2896" t="str">
            <v>Heredia Muñoz Joaquin Carlos</v>
          </cell>
          <cell r="H2896" t="str">
            <v>07880802</v>
          </cell>
          <cell r="I2896" t="str">
            <v>INTERBANK</v>
          </cell>
          <cell r="J2896" t="str">
            <v>2973253107264</v>
          </cell>
          <cell r="K2896" t="str">
            <v>DNI</v>
          </cell>
          <cell r="L2896">
            <v>10078808026</v>
          </cell>
          <cell r="M2896" t="str">
            <v>AEROPUERTO</v>
          </cell>
          <cell r="N2896">
            <v>45910</v>
          </cell>
          <cell r="O2896">
            <v>265</v>
          </cell>
          <cell r="P2896" t="str">
            <v>LITE</v>
          </cell>
        </row>
        <row r="2897">
          <cell r="A2897">
            <v>3843</v>
          </cell>
          <cell r="B2897">
            <v>3843</v>
          </cell>
          <cell r="C2897" t="str">
            <v>CERO MATRICULA</v>
          </cell>
          <cell r="D2897" t="str">
            <v>ACTIVO</v>
          </cell>
          <cell r="E2897" t="str">
            <v>CUD350</v>
          </cell>
          <cell r="F2897" t="str">
            <v>Silva Mesías Daniel Ricardo</v>
          </cell>
          <cell r="G2897" t="str">
            <v>Silva Mesías Daniel Ricardo</v>
          </cell>
          <cell r="H2897" t="str">
            <v>07629972</v>
          </cell>
          <cell r="I2897" t="str">
            <v>BCP</v>
          </cell>
          <cell r="J2897" t="str">
            <v>19339660932046</v>
          </cell>
          <cell r="K2897" t="str">
            <v>DNI</v>
          </cell>
          <cell r="L2897">
            <v>10076299728</v>
          </cell>
          <cell r="M2897" t="str">
            <v>AEROPUERTO</v>
          </cell>
          <cell r="N2897">
            <v>45909</v>
          </cell>
          <cell r="O2897">
            <v>235</v>
          </cell>
          <cell r="P2897" t="str">
            <v>COMFORT XL</v>
          </cell>
        </row>
        <row r="2898">
          <cell r="A2898">
            <v>18</v>
          </cell>
          <cell r="B2898">
            <v>18</v>
          </cell>
          <cell r="C2898" t="str">
            <v>CERO MATRICULA</v>
          </cell>
          <cell r="D2898" t="str">
            <v>ACTIVO</v>
          </cell>
          <cell r="E2898" t="str">
            <v>MOVIL CONTINGENCIA</v>
          </cell>
          <cell r="F2898" t="str">
            <v>MOVIL CONTINGENCIA</v>
          </cell>
          <cell r="G2898" t="str">
            <v>MOVIL CONTINGENCIA</v>
          </cell>
          <cell r="H2898" t="str">
            <v>MOVIL CONTINGENCIA</v>
          </cell>
          <cell r="I2898" t="str">
            <v>MOVIL CONTINGENCIA</v>
          </cell>
          <cell r="J2898" t="str">
            <v>MOVIL CONTINGENCIA</v>
          </cell>
          <cell r="K2898" t="str">
            <v>MOVIL CONTINGENCIA</v>
          </cell>
          <cell r="L2898" t="str">
            <v>MOVIL CONTINGENCIA</v>
          </cell>
          <cell r="M2898" t="str">
            <v>MOVIL CONTINGENCIA</v>
          </cell>
          <cell r="N2898">
            <v>45908</v>
          </cell>
          <cell r="O2898">
            <v>0</v>
          </cell>
          <cell r="P2898" t="str">
            <v>LITE</v>
          </cell>
        </row>
        <row r="2899">
          <cell r="A2899">
            <v>32</v>
          </cell>
          <cell r="B2899">
            <v>32</v>
          </cell>
          <cell r="C2899" t="str">
            <v>CERO MATRICULA</v>
          </cell>
          <cell r="D2899" t="str">
            <v>ACTIVO</v>
          </cell>
          <cell r="E2899" t="str">
            <v>MOVIL CONTINGENCIA</v>
          </cell>
          <cell r="F2899" t="str">
            <v>MOVIL CONTINGENCIA</v>
          </cell>
          <cell r="G2899" t="str">
            <v>MOVIL CONTINGENCIA</v>
          </cell>
          <cell r="H2899" t="str">
            <v>MOVIL CONTINGENCIA</v>
          </cell>
          <cell r="I2899" t="str">
            <v>MOVIL CONTINGENCIA</v>
          </cell>
          <cell r="J2899" t="str">
            <v>MOVIL CONTINGENCIA</v>
          </cell>
          <cell r="K2899" t="str">
            <v>MOVIL CONTINGENCIA</v>
          </cell>
          <cell r="L2899" t="str">
            <v>MOVIL CONTINGENCIA</v>
          </cell>
          <cell r="M2899" t="str">
            <v>MOVIL CONTINGENCIA</v>
          </cell>
          <cell r="N2899">
            <v>45908</v>
          </cell>
          <cell r="O2899">
            <v>0</v>
          </cell>
          <cell r="P2899" t="str">
            <v>LITE</v>
          </cell>
        </row>
        <row r="2900">
          <cell r="A2900">
            <v>3696</v>
          </cell>
          <cell r="B2900">
            <v>3696</v>
          </cell>
          <cell r="C2900" t="str">
            <v>CERO MATRICULA</v>
          </cell>
          <cell r="D2900" t="str">
            <v>ACTIVO</v>
          </cell>
          <cell r="E2900" t="str">
            <v>CJX651</v>
          </cell>
          <cell r="F2900" t="str">
            <v>Gonzalo Mannucci Sara-Lafosse</v>
          </cell>
          <cell r="G2900" t="str">
            <v>Gonzalo Mannucci Sara-Lafosse</v>
          </cell>
          <cell r="H2900" t="str">
            <v>45826072</v>
          </cell>
          <cell r="I2900" t="str">
            <v>BBVA</v>
          </cell>
          <cell r="J2900" t="str">
            <v>001108140263554537</v>
          </cell>
          <cell r="K2900" t="str">
            <v>DNI</v>
          </cell>
          <cell r="L2900">
            <v>10458260724</v>
          </cell>
          <cell r="M2900" t="str">
            <v>URBANO PARTNER</v>
          </cell>
          <cell r="N2900">
            <v>45908</v>
          </cell>
          <cell r="O2900">
            <v>0</v>
          </cell>
          <cell r="P2900" t="str">
            <v>LITE</v>
          </cell>
        </row>
        <row r="2901">
          <cell r="A2901">
            <v>530</v>
          </cell>
          <cell r="B2901">
            <v>530</v>
          </cell>
          <cell r="C2901" t="str">
            <v>CERO MATRICULA</v>
          </cell>
          <cell r="D2901" t="str">
            <v>ACTIVO</v>
          </cell>
          <cell r="E2901" t="str">
            <v>CTB472</v>
          </cell>
          <cell r="F2901" t="str">
            <v>Prieto Mendro César Augusto</v>
          </cell>
          <cell r="G2901" t="str">
            <v>Prieto Mendro César Augusto</v>
          </cell>
          <cell r="H2901" t="str">
            <v>41030336</v>
          </cell>
          <cell r="I2901" t="str">
            <v>BCP</v>
          </cell>
          <cell r="J2901" t="str">
            <v>19297184836099</v>
          </cell>
          <cell r="K2901" t="str">
            <v>DNI</v>
          </cell>
          <cell r="L2901">
            <v>10410303367</v>
          </cell>
          <cell r="M2901" t="str">
            <v>URBANO PARTNER</v>
          </cell>
          <cell r="N2901">
            <v>45895.375</v>
          </cell>
          <cell r="O2901">
            <v>0</v>
          </cell>
          <cell r="P2901" t="str">
            <v>COMFORT XL</v>
          </cell>
        </row>
        <row r="2902">
          <cell r="A2902">
            <v>2469</v>
          </cell>
          <cell r="B2902">
            <v>2469</v>
          </cell>
          <cell r="C2902" t="str">
            <v>CERO MATRICULA</v>
          </cell>
          <cell r="D2902" t="str">
            <v>ACTIVO</v>
          </cell>
          <cell r="E2902" t="str">
            <v>CPO462</v>
          </cell>
          <cell r="F2902" t="str">
            <v>Barrutia Llosa Jonathan Pierre</v>
          </cell>
          <cell r="G2902" t="str">
            <v>Llosa Jonathan Pierre</v>
          </cell>
          <cell r="H2902" t="str">
            <v>41700043</v>
          </cell>
          <cell r="I2902" t="str">
            <v>BCP</v>
          </cell>
          <cell r="J2902" t="str">
            <v>19134156123033</v>
          </cell>
          <cell r="K2902" t="str">
            <v>DNI</v>
          </cell>
          <cell r="L2902">
            <v>10417000432</v>
          </cell>
          <cell r="M2902" t="str">
            <v>AEROPUERTO</v>
          </cell>
          <cell r="N2902">
            <v>45897.583333333336</v>
          </cell>
          <cell r="O2902">
            <v>240</v>
          </cell>
          <cell r="P2902" t="str">
            <v>XL</v>
          </cell>
        </row>
        <row r="2903">
          <cell r="A2903">
            <v>2545</v>
          </cell>
          <cell r="B2903">
            <v>2545</v>
          </cell>
          <cell r="C2903" t="str">
            <v>CERO MATRICULA</v>
          </cell>
          <cell r="D2903" t="str">
            <v>ACTIVO</v>
          </cell>
          <cell r="E2903" t="str">
            <v>CFL269</v>
          </cell>
          <cell r="F2903" t="str">
            <v>Villalobos Cabezudo Kenny alberto</v>
          </cell>
          <cell r="G2903" t="str">
            <v>KALMY TRAVEL</v>
          </cell>
          <cell r="H2903">
            <v>20612096164</v>
          </cell>
          <cell r="I2903" t="str">
            <v>BCP</v>
          </cell>
          <cell r="J2903" t="str">
            <v>1912344918038</v>
          </cell>
          <cell r="K2903" t="str">
            <v>RUC</v>
          </cell>
          <cell r="L2903">
            <v>20612096164</v>
          </cell>
          <cell r="M2903" t="str">
            <v>AEROLINEAS</v>
          </cell>
          <cell r="N2903">
            <v>45897.375</v>
          </cell>
          <cell r="O2903">
            <v>0</v>
          </cell>
          <cell r="P2903" t="str">
            <v>COMFORT XL</v>
          </cell>
        </row>
        <row r="2904">
          <cell r="A2904">
            <v>3783</v>
          </cell>
          <cell r="B2904">
            <v>3783</v>
          </cell>
          <cell r="C2904" t="str">
            <v>CERO MATRICULA</v>
          </cell>
          <cell r="D2904" t="str">
            <v>ACTIVO</v>
          </cell>
          <cell r="E2904" t="str">
            <v>BMK493</v>
          </cell>
          <cell r="F2904" t="str">
            <v>Coz Alvarez Christian Manuel</v>
          </cell>
          <cell r="G2904" t="str">
            <v>Coz Alvarez Christian Manuel</v>
          </cell>
          <cell r="H2904" t="str">
            <v>10796162</v>
          </cell>
          <cell r="I2904" t="str">
            <v>INTERBANK</v>
          </cell>
          <cell r="J2904" t="str">
            <v>2413135699189</v>
          </cell>
          <cell r="K2904" t="str">
            <v>DNI</v>
          </cell>
          <cell r="L2904">
            <v>10107961629</v>
          </cell>
          <cell r="M2904" t="str">
            <v>AEROLINEAS</v>
          </cell>
          <cell r="N2904">
            <v>45897.375</v>
          </cell>
          <cell r="O2904">
            <v>0</v>
          </cell>
          <cell r="P2904" t="str">
            <v>COMFORT XL</v>
          </cell>
        </row>
        <row r="2905">
          <cell r="A2905">
            <v>3790</v>
          </cell>
          <cell r="B2905">
            <v>3790</v>
          </cell>
          <cell r="C2905" t="str">
            <v>CERO MATRICULA</v>
          </cell>
          <cell r="D2905" t="str">
            <v>ACTIVO</v>
          </cell>
          <cell r="E2905" t="str">
            <v>BHC273</v>
          </cell>
          <cell r="F2905" t="str">
            <v>Flores De La Torre Nestor</v>
          </cell>
          <cell r="G2905" t="str">
            <v>Flores De La Torre Nestor</v>
          </cell>
          <cell r="H2905" t="str">
            <v>70006476</v>
          </cell>
          <cell r="I2905" t="str">
            <v>BBVA</v>
          </cell>
          <cell r="J2905" t="str">
            <v>001101230200732994</v>
          </cell>
          <cell r="K2905" t="str">
            <v>DNI</v>
          </cell>
          <cell r="L2905">
            <v>10700064765</v>
          </cell>
          <cell r="M2905" t="str">
            <v>AEROPUERTO</v>
          </cell>
          <cell r="N2905">
            <v>45895.375</v>
          </cell>
          <cell r="O2905">
            <v>265</v>
          </cell>
          <cell r="P2905" t="str">
            <v>LITE</v>
          </cell>
        </row>
        <row r="2906">
          <cell r="A2906">
            <v>3791</v>
          </cell>
          <cell r="B2906">
            <v>3791</v>
          </cell>
          <cell r="C2906" t="str">
            <v>CERO MATRICULA</v>
          </cell>
          <cell r="D2906" t="str">
            <v>ACTIVO</v>
          </cell>
          <cell r="E2906" t="str">
            <v>CLZ065</v>
          </cell>
          <cell r="F2906" t="str">
            <v>Rivero Castillo Oswaldo Alexander</v>
          </cell>
          <cell r="G2906" t="str">
            <v>Rivero Castillo Oswaldo Alexander</v>
          </cell>
          <cell r="H2906" t="str">
            <v>007799290</v>
          </cell>
          <cell r="I2906" t="str">
            <v>BCP</v>
          </cell>
          <cell r="J2906" t="str">
            <v>19298472778050</v>
          </cell>
          <cell r="K2906" t="str">
            <v>CARNET DE EXTRANJERÍA</v>
          </cell>
          <cell r="L2906">
            <v>15614616218</v>
          </cell>
          <cell r="M2906" t="str">
            <v>AEROPUERTO</v>
          </cell>
          <cell r="N2906">
            <v>45895.375</v>
          </cell>
          <cell r="O2906">
            <v>235</v>
          </cell>
          <cell r="P2906" t="str">
            <v>COMFORT XL</v>
          </cell>
        </row>
        <row r="2907">
          <cell r="A2907">
            <v>3792</v>
          </cell>
          <cell r="B2907">
            <v>3792</v>
          </cell>
          <cell r="C2907" t="str">
            <v>CERO MATRICULA</v>
          </cell>
          <cell r="D2907" t="str">
            <v>ACTIVO</v>
          </cell>
          <cell r="E2907" t="str">
            <v>CRQ215</v>
          </cell>
          <cell r="F2907" t="str">
            <v>Crisanto Guerrero Cesar Alberto</v>
          </cell>
          <cell r="G2907" t="str">
            <v>Crisanto Guerrero Cesar Alberto</v>
          </cell>
          <cell r="H2907" t="str">
            <v>43888929</v>
          </cell>
          <cell r="I2907" t="str">
            <v>BCP</v>
          </cell>
          <cell r="J2907" t="str">
            <v>19177160017010</v>
          </cell>
          <cell r="K2907" t="str">
            <v>DNI</v>
          </cell>
          <cell r="L2907">
            <v>10438889294</v>
          </cell>
          <cell r="M2907" t="str">
            <v>AEROPUERTO</v>
          </cell>
          <cell r="N2907">
            <v>45895.375</v>
          </cell>
          <cell r="O2907">
            <v>265</v>
          </cell>
          <cell r="P2907" t="str">
            <v>LITE</v>
          </cell>
        </row>
        <row r="2908">
          <cell r="A2908">
            <v>3793</v>
          </cell>
          <cell r="B2908">
            <v>3793</v>
          </cell>
          <cell r="C2908" t="str">
            <v>CERO MATRICULA</v>
          </cell>
          <cell r="D2908" t="str">
            <v>ACTIVO</v>
          </cell>
          <cell r="E2908" t="str">
            <v>CRU030</v>
          </cell>
          <cell r="F2908" t="str">
            <v>Navarro Ciancas Paul Willian</v>
          </cell>
          <cell r="G2908" t="str">
            <v>Navarro Ciancas Paul Willian</v>
          </cell>
          <cell r="H2908" t="str">
            <v>10816204</v>
          </cell>
          <cell r="I2908" t="str">
            <v>INTERBANK</v>
          </cell>
          <cell r="J2908" t="str">
            <v>8983303758234</v>
          </cell>
          <cell r="K2908" t="str">
            <v>DNI</v>
          </cell>
          <cell r="L2908">
            <v>10108162045</v>
          </cell>
          <cell r="M2908" t="str">
            <v>AEROPUERTO</v>
          </cell>
          <cell r="N2908">
            <v>45895.375</v>
          </cell>
          <cell r="O2908">
            <v>235</v>
          </cell>
          <cell r="P2908" t="str">
            <v>COMFORT XL</v>
          </cell>
        </row>
        <row r="2909">
          <cell r="A2909">
            <v>3794</v>
          </cell>
          <cell r="B2909">
            <v>3794</v>
          </cell>
          <cell r="C2909" t="str">
            <v>CERO MATRICULA</v>
          </cell>
          <cell r="D2909" t="str">
            <v>ACTIVO</v>
          </cell>
          <cell r="E2909" t="str">
            <v>CDZ472</v>
          </cell>
          <cell r="F2909" t="str">
            <v>Gil Espinoza Rafael Angel</v>
          </cell>
          <cell r="G2909" t="str">
            <v>Gil Espinoza Rafael Angel</v>
          </cell>
          <cell r="H2909" t="str">
            <v>002872283</v>
          </cell>
          <cell r="I2909" t="str">
            <v>BCP</v>
          </cell>
          <cell r="J2909" t="str">
            <v>19292156073040</v>
          </cell>
          <cell r="K2909" t="str">
            <v>CARNET DE EXTRANJERÍA</v>
          </cell>
          <cell r="L2909">
            <v>15604168934</v>
          </cell>
          <cell r="M2909" t="str">
            <v>AEROPUERTO</v>
          </cell>
          <cell r="N2909">
            <v>45895.375</v>
          </cell>
          <cell r="O2909">
            <v>265</v>
          </cell>
          <cell r="P2909" t="str">
            <v>LITE</v>
          </cell>
        </row>
        <row r="2910">
          <cell r="A2910">
            <v>3795</v>
          </cell>
          <cell r="B2910">
            <v>3795</v>
          </cell>
          <cell r="C2910" t="str">
            <v>CERO MATRICULA</v>
          </cell>
          <cell r="D2910" t="str">
            <v>ACTIVO</v>
          </cell>
          <cell r="E2910" t="str">
            <v>CTW042</v>
          </cell>
          <cell r="F2910" t="str">
            <v>Chuqui Villanueva Yony Greunaldo</v>
          </cell>
          <cell r="G2910" t="str">
            <v xml:space="preserve">Chaupis Pillaca Roxana Isabel </v>
          </cell>
          <cell r="H2910" t="str">
            <v>70307593</v>
          </cell>
          <cell r="I2910" t="str">
            <v>INTERBANK</v>
          </cell>
          <cell r="J2910" t="str">
            <v>8983479977730</v>
          </cell>
          <cell r="K2910" t="str">
            <v>DNI</v>
          </cell>
          <cell r="L2910">
            <v>10703075938</v>
          </cell>
          <cell r="M2910" t="str">
            <v>AEROPUERTO</v>
          </cell>
          <cell r="N2910">
            <v>45895.375</v>
          </cell>
          <cell r="O2910">
            <v>235</v>
          </cell>
          <cell r="P2910" t="str">
            <v>COMFORT XL</v>
          </cell>
        </row>
        <row r="2911">
          <cell r="A2911">
            <v>3796</v>
          </cell>
          <cell r="B2911">
            <v>3796</v>
          </cell>
          <cell r="C2911" t="str">
            <v>CERO MATRICULA</v>
          </cell>
          <cell r="D2911" t="str">
            <v>ACTIVO</v>
          </cell>
          <cell r="E2911" t="str">
            <v>CTV084</v>
          </cell>
          <cell r="F2911" t="str">
            <v>Fernández Lara Vicente Angel</v>
          </cell>
          <cell r="G2911" t="str">
            <v>Fernandez Lara Vicente Angel</v>
          </cell>
          <cell r="H2911" t="str">
            <v>40446225</v>
          </cell>
          <cell r="I2911" t="str">
            <v>BCP</v>
          </cell>
          <cell r="J2911" t="str">
            <v>19105503298085</v>
          </cell>
          <cell r="K2911" t="str">
            <v>DNI</v>
          </cell>
          <cell r="L2911">
            <v>10404462259</v>
          </cell>
          <cell r="M2911" t="str">
            <v>AEROPUERTO</v>
          </cell>
          <cell r="N2911">
            <v>45895.375</v>
          </cell>
          <cell r="O2911">
            <v>235</v>
          </cell>
          <cell r="P2911" t="str">
            <v>COMFORT XL</v>
          </cell>
        </row>
        <row r="2912">
          <cell r="A2912">
            <v>3799</v>
          </cell>
          <cell r="B2912">
            <v>3799</v>
          </cell>
          <cell r="C2912" t="str">
            <v>CERO MATRICULA</v>
          </cell>
          <cell r="D2912" t="str">
            <v>ACTIVO</v>
          </cell>
          <cell r="E2912" t="str">
            <v>CTU642</v>
          </cell>
          <cell r="F2912" t="str">
            <v>Granados Hidalgo Miguel Aldo</v>
          </cell>
          <cell r="G2912" t="str">
            <v>Granados Hidalgo Miguel Aldo</v>
          </cell>
          <cell r="H2912" t="str">
            <v>41258648</v>
          </cell>
          <cell r="I2912" t="str">
            <v>INTERBANK</v>
          </cell>
          <cell r="J2912" t="str">
            <v>8983269273781</v>
          </cell>
          <cell r="K2912" t="str">
            <v>DNI</v>
          </cell>
          <cell r="L2912">
            <v>10412586480</v>
          </cell>
          <cell r="M2912" t="str">
            <v>URBANO PARTNER</v>
          </cell>
          <cell r="N2912">
            <v>45895.625</v>
          </cell>
          <cell r="O2912">
            <v>0</v>
          </cell>
          <cell r="P2912" t="str">
            <v>COMFORT</v>
          </cell>
        </row>
        <row r="2913">
          <cell r="A2913">
            <v>3801</v>
          </cell>
          <cell r="B2913">
            <v>3801</v>
          </cell>
          <cell r="C2913" t="str">
            <v>CERO MATRICULA</v>
          </cell>
          <cell r="D2913" t="str">
            <v>ACTIVO</v>
          </cell>
          <cell r="E2913" t="str">
            <v>CCM084</v>
          </cell>
          <cell r="F2913" t="str">
            <v>Parco Apayco Cesar Antonio</v>
          </cell>
          <cell r="G2913" t="str">
            <v>Parco Apayco Cesar Antonio</v>
          </cell>
          <cell r="H2913" t="str">
            <v>48273274</v>
          </cell>
          <cell r="I2913" t="str">
            <v>BCP</v>
          </cell>
          <cell r="J2913" t="str">
            <v>19100152310048</v>
          </cell>
          <cell r="K2913" t="str">
            <v>DNI</v>
          </cell>
          <cell r="L2913">
            <v>10482732742</v>
          </cell>
          <cell r="M2913" t="str">
            <v>URBANO PARTNER</v>
          </cell>
          <cell r="N2913">
            <v>45895.125</v>
          </cell>
          <cell r="O2913">
            <v>0</v>
          </cell>
          <cell r="P2913" t="str">
            <v>COMFORT</v>
          </cell>
        </row>
        <row r="2914">
          <cell r="A2914">
            <v>3802</v>
          </cell>
          <cell r="B2914">
            <v>3802</v>
          </cell>
          <cell r="C2914" t="str">
            <v>CERO MATRICULA</v>
          </cell>
          <cell r="D2914" t="str">
            <v>ACTIVO</v>
          </cell>
          <cell r="E2914" t="str">
            <v>CPI344</v>
          </cell>
          <cell r="F2914" t="str">
            <v>Yzazzy Hernández Alejandra</v>
          </cell>
          <cell r="G2914" t="str">
            <v>Yzazzy Hernández Alejandra</v>
          </cell>
          <cell r="H2914" t="str">
            <v>004071916</v>
          </cell>
          <cell r="I2914" t="str">
            <v>BCP</v>
          </cell>
          <cell r="J2914" t="str">
            <v>19196468583010</v>
          </cell>
          <cell r="K2914" t="str">
            <v>CARNET DE EXTRANJERÍA</v>
          </cell>
          <cell r="L2914">
            <v>15614628780</v>
          </cell>
          <cell r="M2914" t="str">
            <v>URBANO PARTNER</v>
          </cell>
          <cell r="N2914">
            <v>45895.625</v>
          </cell>
          <cell r="O2914">
            <v>0</v>
          </cell>
          <cell r="P2914" t="str">
            <v>XL</v>
          </cell>
        </row>
        <row r="2915">
          <cell r="A2915">
            <v>3803</v>
          </cell>
          <cell r="B2915">
            <v>3803</v>
          </cell>
          <cell r="C2915" t="str">
            <v>CERO MATRICULA</v>
          </cell>
          <cell r="D2915" t="str">
            <v>ACTIVO</v>
          </cell>
          <cell r="E2915" t="str">
            <v>CBZ635</v>
          </cell>
          <cell r="F2915" t="str">
            <v>Díaz Alcalde Jeiner</v>
          </cell>
          <cell r="G2915" t="str">
            <v>Diaz Alcalde Jeiner</v>
          </cell>
          <cell r="H2915" t="str">
            <v>70564330</v>
          </cell>
          <cell r="I2915" t="str">
            <v>BCP</v>
          </cell>
          <cell r="J2915" t="str">
            <v>19195305098073</v>
          </cell>
          <cell r="K2915" t="str">
            <v>DNI</v>
          </cell>
          <cell r="L2915">
            <v>10705643305</v>
          </cell>
          <cell r="M2915" t="str">
            <v>URBANO PARTNER</v>
          </cell>
          <cell r="N2915">
            <v>45895.125</v>
          </cell>
          <cell r="O2915">
            <v>0</v>
          </cell>
          <cell r="P2915" t="str">
            <v>COMFORT XL</v>
          </cell>
        </row>
        <row r="2916">
          <cell r="A2916">
            <v>3805</v>
          </cell>
          <cell r="B2916">
            <v>3805</v>
          </cell>
          <cell r="C2916" t="str">
            <v>CERO MATRICULA</v>
          </cell>
          <cell r="D2916" t="str">
            <v>ACTIVO</v>
          </cell>
          <cell r="E2916" t="str">
            <v>CKJ171</v>
          </cell>
          <cell r="F2916" t="str">
            <v>Michelena Briceño Yeison joxsuel</v>
          </cell>
          <cell r="G2916" t="str">
            <v>Michelena Briceño Yeison joxsuel</v>
          </cell>
          <cell r="H2916" t="str">
            <v>005374636</v>
          </cell>
          <cell r="I2916" t="str">
            <v>BCP</v>
          </cell>
          <cell r="J2916" t="str">
            <v>19107020764080</v>
          </cell>
          <cell r="K2916" t="str">
            <v>CARNET DE EXTRANJERÍA</v>
          </cell>
          <cell r="L2916">
            <v>15609160184</v>
          </cell>
          <cell r="M2916" t="str">
            <v>AEROLINEAS</v>
          </cell>
          <cell r="N2916">
            <v>45897.375</v>
          </cell>
          <cell r="O2916">
            <v>0</v>
          </cell>
          <cell r="P2916" t="str">
            <v>COMFORT XL</v>
          </cell>
        </row>
        <row r="2917">
          <cell r="A2917">
            <v>3806</v>
          </cell>
          <cell r="B2917">
            <v>3806</v>
          </cell>
          <cell r="C2917" t="str">
            <v>CERO MATRICULA</v>
          </cell>
          <cell r="D2917" t="str">
            <v>ACTIVO</v>
          </cell>
          <cell r="E2917" t="str">
            <v>CRU149</v>
          </cell>
          <cell r="F2917" t="str">
            <v>GOMEZ RIVERA JUAN CARLOS</v>
          </cell>
          <cell r="G2917" t="str">
            <v>GOMEZ RIVERA JUAN CARLOS</v>
          </cell>
          <cell r="H2917" t="str">
            <v>41915028</v>
          </cell>
          <cell r="I2917" t="str">
            <v>BCP</v>
          </cell>
          <cell r="J2917" t="str">
            <v>19170229297081</v>
          </cell>
          <cell r="K2917" t="str">
            <v>DNI</v>
          </cell>
          <cell r="L2917">
            <v>10419150288</v>
          </cell>
          <cell r="M2917" t="str">
            <v>AEROLINEAS</v>
          </cell>
          <cell r="N2917">
            <v>45897.375</v>
          </cell>
          <cell r="O2917">
            <v>0</v>
          </cell>
          <cell r="P2917" t="str">
            <v>COMFORT XL</v>
          </cell>
        </row>
        <row r="2918">
          <cell r="A2918">
            <v>3810</v>
          </cell>
          <cell r="B2918">
            <v>3810</v>
          </cell>
          <cell r="C2918" t="str">
            <v>CERO MATRICULA</v>
          </cell>
          <cell r="D2918" t="str">
            <v>ACTIVO</v>
          </cell>
          <cell r="E2918" t="str">
            <v>CJZ028</v>
          </cell>
          <cell r="F2918" t="str">
            <v>Quezada Villanueva Alfredo Jack</v>
          </cell>
          <cell r="G2918" t="str">
            <v>Carmen Cecilia Rodriguez Yarleque</v>
          </cell>
          <cell r="H2918">
            <v>41453097</v>
          </cell>
          <cell r="I2918" t="str">
            <v>BCP</v>
          </cell>
          <cell r="J2918" t="str">
            <v>19299840102086</v>
          </cell>
          <cell r="K2918" t="str">
            <v>DNI</v>
          </cell>
          <cell r="L2918">
            <v>10414530970</v>
          </cell>
          <cell r="M2918" t="str">
            <v>AEROPUERTO</v>
          </cell>
          <cell r="N2918">
            <v>45897.583333333336</v>
          </cell>
          <cell r="O2918">
            <v>265</v>
          </cell>
          <cell r="P2918" t="str">
            <v>LITE</v>
          </cell>
        </row>
        <row r="2919">
          <cell r="A2919">
            <v>3811</v>
          </cell>
          <cell r="B2919">
            <v>3811</v>
          </cell>
          <cell r="C2919" t="str">
            <v>CERO MATRICULA</v>
          </cell>
          <cell r="D2919" t="str">
            <v>ACTIVO</v>
          </cell>
          <cell r="E2919" t="str">
            <v>CTJ135</v>
          </cell>
          <cell r="F2919" t="str">
            <v>Quevedo Mendez José Ali</v>
          </cell>
          <cell r="G2919" t="str">
            <v>Mendez José Ali</v>
          </cell>
          <cell r="H2919" t="str">
            <v>003516606</v>
          </cell>
          <cell r="I2919" t="str">
            <v>BCP</v>
          </cell>
          <cell r="J2919" t="str">
            <v>19194423639011</v>
          </cell>
          <cell r="K2919" t="str">
            <v>CARNET DE EXTRANJERÍA</v>
          </cell>
          <cell r="L2919">
            <v>15614656040</v>
          </cell>
          <cell r="M2919" t="str">
            <v>AEROPUERTO</v>
          </cell>
          <cell r="N2919">
            <v>45897.583333333336</v>
          </cell>
          <cell r="O2919">
            <v>235</v>
          </cell>
          <cell r="P2919" t="str">
            <v>COMFORT XL</v>
          </cell>
        </row>
        <row r="2920">
          <cell r="A2920">
            <v>3812</v>
          </cell>
          <cell r="B2920">
            <v>3812</v>
          </cell>
          <cell r="C2920" t="str">
            <v>CERO MATRICULA</v>
          </cell>
          <cell r="D2920" t="str">
            <v>ACTIVO</v>
          </cell>
          <cell r="E2920" t="str">
            <v>CMF254</v>
          </cell>
          <cell r="F2920" t="str">
            <v>Llanos Rojas Ronal</v>
          </cell>
          <cell r="G2920" t="str">
            <v>Rojas Ronal</v>
          </cell>
          <cell r="H2920" t="str">
            <v>43457192</v>
          </cell>
          <cell r="I2920" t="str">
            <v>INTERBANK</v>
          </cell>
          <cell r="J2920" t="str">
            <v>8983480350032</v>
          </cell>
          <cell r="K2920" t="str">
            <v>DNI</v>
          </cell>
          <cell r="L2920">
            <v>10434571923</v>
          </cell>
          <cell r="M2920" t="str">
            <v>AEROPUERTO</v>
          </cell>
          <cell r="N2920">
            <v>45897.083333333336</v>
          </cell>
          <cell r="O2920">
            <v>240</v>
          </cell>
          <cell r="P2920" t="str">
            <v>COMFORT</v>
          </cell>
        </row>
        <row r="2921">
          <cell r="A2921">
            <v>3813</v>
          </cell>
          <cell r="B2921">
            <v>3813</v>
          </cell>
          <cell r="C2921" t="str">
            <v>CERO MATRICULA</v>
          </cell>
          <cell r="D2921" t="str">
            <v>ACTIVO</v>
          </cell>
          <cell r="E2921" t="str">
            <v>CTC480</v>
          </cell>
          <cell r="F2921" t="str">
            <v>Franco Mizare Felix Ernesto</v>
          </cell>
          <cell r="G2921" t="str">
            <v>Franco Mizare Felix Ernesto</v>
          </cell>
          <cell r="H2921" t="str">
            <v>42573898</v>
          </cell>
          <cell r="I2921" t="str">
            <v>BCP</v>
          </cell>
          <cell r="J2921" t="str">
            <v>19238880946081</v>
          </cell>
          <cell r="K2921" t="str">
            <v>DNI</v>
          </cell>
          <cell r="L2921">
            <v>10425738980</v>
          </cell>
          <cell r="M2921" t="str">
            <v>AEROLINEAS</v>
          </cell>
          <cell r="N2921">
            <v>45897.375</v>
          </cell>
          <cell r="O2921">
            <v>0</v>
          </cell>
          <cell r="P2921" t="str">
            <v>COMFORT XL</v>
          </cell>
        </row>
        <row r="2922">
          <cell r="A2922">
            <v>9358</v>
          </cell>
          <cell r="B2922">
            <v>9358</v>
          </cell>
          <cell r="C2922" t="str">
            <v>CERO MATRICULA</v>
          </cell>
          <cell r="D2922" t="str">
            <v>ACTIVO</v>
          </cell>
          <cell r="E2922" t="str">
            <v>CLC008</v>
          </cell>
          <cell r="F2922" t="str">
            <v>Santiago Palacios Miguel Angel</v>
          </cell>
          <cell r="G2922" t="str">
            <v>Santiago Palacios Miguel Angel</v>
          </cell>
          <cell r="H2922" t="str">
            <v>10690368</v>
          </cell>
          <cell r="I2922" t="str">
            <v>BBVA</v>
          </cell>
          <cell r="J2922" t="str">
            <v>001108140265628252</v>
          </cell>
          <cell r="K2922" t="str">
            <v>DNI</v>
          </cell>
          <cell r="L2922">
            <v>10106903684</v>
          </cell>
          <cell r="M2922" t="str">
            <v>URBANO PARTNER</v>
          </cell>
          <cell r="N2922">
            <v>45895.125</v>
          </cell>
          <cell r="O2922">
            <v>0</v>
          </cell>
          <cell r="P2922" t="str">
            <v>LITE</v>
          </cell>
        </row>
        <row r="2923">
          <cell r="A2923">
            <v>3782</v>
          </cell>
          <cell r="B2923">
            <v>3782</v>
          </cell>
          <cell r="C2923" t="str">
            <v>CERO MATRICULA</v>
          </cell>
          <cell r="D2923" t="str">
            <v>ACTIVO</v>
          </cell>
          <cell r="E2923" t="str">
            <v>Atv134</v>
          </cell>
          <cell r="F2923" t="str">
            <v>Valera Alvarado Junior Alonso</v>
          </cell>
          <cell r="G2923" t="str">
            <v>Valera Alvarado Junior Alonso</v>
          </cell>
          <cell r="H2923" t="str">
            <v>76406459</v>
          </cell>
          <cell r="I2923" t="str">
            <v>BBVA</v>
          </cell>
          <cell r="J2923" t="str">
            <v xml:space="preserve"> 0011-0814-0242361089</v>
          </cell>
          <cell r="K2923" t="str">
            <v>DNI</v>
          </cell>
          <cell r="L2923">
            <v>10764064599</v>
          </cell>
          <cell r="M2923" t="str">
            <v>AEROLINEAS</v>
          </cell>
          <cell r="N2923">
            <v>45904</v>
          </cell>
          <cell r="O2923">
            <v>0</v>
          </cell>
          <cell r="P2923" t="str">
            <v>COMFORT</v>
          </cell>
        </row>
        <row r="2924">
          <cell r="A2924">
            <v>3814</v>
          </cell>
          <cell r="B2924">
            <v>3814</v>
          </cell>
          <cell r="C2924" t="str">
            <v>CERO MATRICULA</v>
          </cell>
          <cell r="D2924" t="str">
            <v>ACTIVO</v>
          </cell>
          <cell r="E2924" t="str">
            <v>BNU574</v>
          </cell>
          <cell r="F2924" t="str">
            <v>Espinoza Falcon Jonas Alejandro</v>
          </cell>
          <cell r="G2924" t="str">
            <v>Espinoza Falcon Jonas Alejandro</v>
          </cell>
          <cell r="H2924" t="str">
            <v>43139007</v>
          </cell>
          <cell r="I2924" t="str">
            <v>INTERBANK</v>
          </cell>
          <cell r="J2924" t="str">
            <v>8983124894222</v>
          </cell>
          <cell r="K2924" t="str">
            <v>DNI</v>
          </cell>
          <cell r="L2924">
            <v>10431390073</v>
          </cell>
          <cell r="M2924" t="str">
            <v>AEROPUERTO</v>
          </cell>
          <cell r="N2924">
            <v>45902</v>
          </cell>
          <cell r="O2924">
            <v>265</v>
          </cell>
          <cell r="P2924" t="str">
            <v>LITE</v>
          </cell>
        </row>
        <row r="2925">
          <cell r="A2925">
            <v>3815</v>
          </cell>
          <cell r="B2925">
            <v>3815</v>
          </cell>
          <cell r="C2925" t="str">
            <v>CERO MATRICULA</v>
          </cell>
          <cell r="D2925" t="str">
            <v>ACTIVO</v>
          </cell>
          <cell r="E2925" t="str">
            <v>CNN010</v>
          </cell>
          <cell r="F2925" t="str">
            <v>Pinedo Valverde Rolando</v>
          </cell>
          <cell r="G2925" t="str">
            <v>Pinedo Valverde Rolando</v>
          </cell>
          <cell r="H2925" t="str">
            <v>08693920</v>
          </cell>
          <cell r="I2925" t="str">
            <v>BCP</v>
          </cell>
          <cell r="J2925" t="str">
            <v>19135215191098</v>
          </cell>
          <cell r="K2925" t="str">
            <v>DNI</v>
          </cell>
          <cell r="L2925">
            <v>10086939202</v>
          </cell>
          <cell r="M2925" t="str">
            <v>AEROPUERTO</v>
          </cell>
          <cell r="N2925">
            <v>45902</v>
          </cell>
          <cell r="O2925">
            <v>240</v>
          </cell>
          <cell r="P2925" t="str">
            <v>XL</v>
          </cell>
        </row>
        <row r="2926">
          <cell r="A2926">
            <v>3817</v>
          </cell>
          <cell r="B2926">
            <v>3817</v>
          </cell>
          <cell r="C2926" t="str">
            <v>CERO MATRICULA</v>
          </cell>
          <cell r="D2926" t="str">
            <v>ACTIVO</v>
          </cell>
          <cell r="E2926" t="str">
            <v>CSQ187</v>
          </cell>
          <cell r="F2926" t="str">
            <v>Mercedes Avendaño Edgar Paul</v>
          </cell>
          <cell r="G2926" t="str">
            <v>Mercedes Avendaño Edgar Paul</v>
          </cell>
          <cell r="H2926" t="str">
            <v>41140212</v>
          </cell>
          <cell r="I2926" t="str">
            <v>BCP</v>
          </cell>
          <cell r="J2926" t="str">
            <v>19102881338041</v>
          </cell>
          <cell r="K2926" t="str">
            <v>DNI</v>
          </cell>
          <cell r="L2926">
            <v>10411402121</v>
          </cell>
          <cell r="M2926" t="str">
            <v>AEROPUERTO</v>
          </cell>
          <cell r="N2926">
            <v>45902</v>
          </cell>
          <cell r="O2926">
            <v>235</v>
          </cell>
          <cell r="P2926" t="str">
            <v>COMFORT XL</v>
          </cell>
        </row>
        <row r="2927">
          <cell r="A2927">
            <v>3818</v>
          </cell>
          <cell r="B2927">
            <v>3818</v>
          </cell>
          <cell r="C2927" t="str">
            <v>CERO MATRICULA</v>
          </cell>
          <cell r="D2927" t="str">
            <v>ACTIVO</v>
          </cell>
          <cell r="E2927" t="str">
            <v>M4E582</v>
          </cell>
          <cell r="F2927" t="str">
            <v>Berrocal Morante marco antonio edgard</v>
          </cell>
          <cell r="G2927" t="str">
            <v>Berrocal Morante marco antonio edgard</v>
          </cell>
          <cell r="H2927" t="str">
            <v>08052352</v>
          </cell>
          <cell r="I2927" t="str">
            <v>BCP</v>
          </cell>
          <cell r="J2927" t="str">
            <v>19107730142023</v>
          </cell>
          <cell r="K2927" t="str">
            <v>DNI</v>
          </cell>
          <cell r="L2927">
            <v>10080523527</v>
          </cell>
          <cell r="M2927" t="str">
            <v>AEROPUERTO</v>
          </cell>
          <cell r="N2927">
            <v>45902</v>
          </cell>
          <cell r="O2927">
            <v>235</v>
          </cell>
          <cell r="P2927" t="str">
            <v>COMFORT XL</v>
          </cell>
        </row>
        <row r="2928">
          <cell r="A2928">
            <v>3819</v>
          </cell>
          <cell r="B2928">
            <v>3819</v>
          </cell>
          <cell r="C2928" t="str">
            <v>CERO MATRICULA</v>
          </cell>
          <cell r="D2928" t="str">
            <v>ACTIVO</v>
          </cell>
          <cell r="E2928" t="str">
            <v>CTV660</v>
          </cell>
          <cell r="F2928" t="str">
            <v>López Escalona Wilmer Antonio</v>
          </cell>
          <cell r="G2928" t="str">
            <v>Lopez Escalona Wilmer Antonio</v>
          </cell>
          <cell r="H2928" t="str">
            <v>008060952</v>
          </cell>
          <cell r="I2928" t="str">
            <v>BCP</v>
          </cell>
          <cell r="J2928" t="str">
            <v>19110368245073</v>
          </cell>
          <cell r="K2928" t="str">
            <v>CARNET DE EXTRANJERÍA</v>
          </cell>
          <cell r="L2928">
            <v>15614689819</v>
          </cell>
          <cell r="M2928" t="str">
            <v>AEROPUERTO</v>
          </cell>
          <cell r="N2928">
            <v>45902</v>
          </cell>
          <cell r="O2928">
            <v>235</v>
          </cell>
          <cell r="P2928" t="str">
            <v>COMFORT XL</v>
          </cell>
        </row>
        <row r="2929">
          <cell r="A2929">
            <v>3820</v>
          </cell>
          <cell r="B2929">
            <v>3820</v>
          </cell>
          <cell r="C2929" t="str">
            <v>CERO MATRICULA</v>
          </cell>
          <cell r="D2929" t="str">
            <v>ACTIVO</v>
          </cell>
          <cell r="E2929" t="str">
            <v>CFF213</v>
          </cell>
          <cell r="F2929" t="str">
            <v>Chavez Martell Gian Carlo</v>
          </cell>
          <cell r="G2929" t="str">
            <v>Chavez Martell Gian Carlo</v>
          </cell>
          <cell r="H2929" t="str">
            <v>44393214</v>
          </cell>
          <cell r="I2929" t="str">
            <v>BCP</v>
          </cell>
          <cell r="J2929" t="str">
            <v>19179275547008</v>
          </cell>
          <cell r="K2929" t="str">
            <v>DNI</v>
          </cell>
          <cell r="L2929">
            <v>10443932149</v>
          </cell>
          <cell r="M2929" t="str">
            <v>URBANO PARTNER</v>
          </cell>
          <cell r="N2929">
            <v>45902</v>
          </cell>
          <cell r="O2929">
            <v>0</v>
          </cell>
          <cell r="P2929" t="str">
            <v>XL</v>
          </cell>
        </row>
        <row r="2930">
          <cell r="A2930">
            <v>3821</v>
          </cell>
          <cell r="B2930">
            <v>3821</v>
          </cell>
          <cell r="C2930" t="str">
            <v>CERO MATRICULA</v>
          </cell>
          <cell r="D2930" t="str">
            <v>ACTIVO</v>
          </cell>
          <cell r="E2930" t="str">
            <v>CNQ457</v>
          </cell>
          <cell r="F2930" t="str">
            <v>Martinez Quintana Renzo Manuel</v>
          </cell>
          <cell r="G2930" t="str">
            <v>Martinez Quintana Renzo Manuel</v>
          </cell>
          <cell r="H2930" t="str">
            <v>75961254</v>
          </cell>
          <cell r="I2930" t="str">
            <v>BCP</v>
          </cell>
          <cell r="J2930" t="str">
            <v>19199515176077</v>
          </cell>
          <cell r="K2930" t="str">
            <v>DNI</v>
          </cell>
          <cell r="L2930">
            <v>10759612545</v>
          </cell>
          <cell r="M2930" t="str">
            <v>URBANO PARTNER</v>
          </cell>
          <cell r="N2930">
            <v>45902</v>
          </cell>
          <cell r="O2930">
            <v>0</v>
          </cell>
          <cell r="P2930" t="str">
            <v>COMFORT</v>
          </cell>
        </row>
        <row r="2931">
          <cell r="A2931">
            <v>3822</v>
          </cell>
          <cell r="B2931">
            <v>3822</v>
          </cell>
          <cell r="C2931" t="str">
            <v>CERO MATRICULA</v>
          </cell>
          <cell r="D2931" t="str">
            <v>ACTIVO</v>
          </cell>
          <cell r="E2931" t="str">
            <v>CPE020</v>
          </cell>
          <cell r="F2931" t="str">
            <v>Arevalo Campos Yordan Stiven</v>
          </cell>
          <cell r="G2931" t="str">
            <v>Arevalo Campos Yordan Stiven</v>
          </cell>
          <cell r="H2931" t="str">
            <v>47412155</v>
          </cell>
          <cell r="I2931" t="str">
            <v>BCP</v>
          </cell>
          <cell r="J2931" t="str">
            <v>19138832530076</v>
          </cell>
          <cell r="K2931" t="str">
            <v>DNI</v>
          </cell>
          <cell r="L2931">
            <v>10474121556</v>
          </cell>
          <cell r="M2931" t="str">
            <v>URBANO PARTNER</v>
          </cell>
          <cell r="N2931">
            <v>45902</v>
          </cell>
          <cell r="O2931">
            <v>0</v>
          </cell>
          <cell r="P2931" t="str">
            <v>COMFORT XL</v>
          </cell>
        </row>
        <row r="2932">
          <cell r="A2932">
            <v>3824</v>
          </cell>
          <cell r="B2932">
            <v>3824</v>
          </cell>
          <cell r="C2932" t="str">
            <v>CERO MATRICULA</v>
          </cell>
          <cell r="D2932" t="str">
            <v>ACTIVO</v>
          </cell>
          <cell r="E2932" t="str">
            <v>BUV133</v>
          </cell>
          <cell r="F2932" t="str">
            <v>Mejia Mangoyalle Riche Cid</v>
          </cell>
          <cell r="G2932" t="str">
            <v>Mejia Mangoyalle Riche Cid</v>
          </cell>
          <cell r="H2932" t="str">
            <v>25788283</v>
          </cell>
          <cell r="I2932" t="str">
            <v>BCP</v>
          </cell>
          <cell r="J2932" t="str">
            <v>19410248764085</v>
          </cell>
          <cell r="K2932" t="str">
            <v>DNI</v>
          </cell>
          <cell r="L2932">
            <v>10257882832</v>
          </cell>
          <cell r="M2932" t="str">
            <v>URBANO PARTNER</v>
          </cell>
          <cell r="N2932">
            <v>45902</v>
          </cell>
          <cell r="O2932">
            <v>0</v>
          </cell>
          <cell r="P2932" t="str">
            <v>LITE</v>
          </cell>
        </row>
        <row r="2933">
          <cell r="A2933">
            <v>3829</v>
          </cell>
          <cell r="B2933">
            <v>3829</v>
          </cell>
          <cell r="C2933" t="str">
            <v>CERO MATRICULA</v>
          </cell>
          <cell r="D2933" t="str">
            <v>ACTIVO</v>
          </cell>
          <cell r="E2933" t="str">
            <v>CNA499</v>
          </cell>
          <cell r="F2933" t="str">
            <v>Medina Del Pino Diego Sebastian</v>
          </cell>
          <cell r="G2933" t="str">
            <v>Medina Del Pino Diego Sebastian</v>
          </cell>
          <cell r="H2933" t="str">
            <v>73040613</v>
          </cell>
          <cell r="I2933" t="str">
            <v>INTERBANK</v>
          </cell>
          <cell r="J2933" t="str">
            <v>042 336094473</v>
          </cell>
          <cell r="K2933" t="str">
            <v>DNI</v>
          </cell>
          <cell r="L2933">
            <v>10730406130</v>
          </cell>
          <cell r="M2933" t="str">
            <v>AEROLINEAS</v>
          </cell>
          <cell r="N2933">
            <v>45904</v>
          </cell>
          <cell r="O2933">
            <v>0</v>
          </cell>
          <cell r="P2933" t="str">
            <v>COMFORT</v>
          </cell>
        </row>
        <row r="2934">
          <cell r="A2934">
            <v>3830</v>
          </cell>
          <cell r="B2934">
            <v>3830</v>
          </cell>
          <cell r="C2934" t="str">
            <v>CERO MATRICULA</v>
          </cell>
          <cell r="D2934" t="str">
            <v>ACTIVO</v>
          </cell>
          <cell r="E2934" t="str">
            <v>CTU172</v>
          </cell>
          <cell r="F2934" t="str">
            <v>Navarro Porras Robinson Jamiro</v>
          </cell>
          <cell r="G2934" t="str">
            <v>Navarro Porras Robinson Jamiro</v>
          </cell>
          <cell r="H2934" t="str">
            <v>04073193</v>
          </cell>
          <cell r="I2934" t="str">
            <v>BCP</v>
          </cell>
          <cell r="J2934" t="str">
            <v>19423768245026</v>
          </cell>
          <cell r="K2934" t="str">
            <v>DNI</v>
          </cell>
          <cell r="L2934">
            <v>10040731933</v>
          </cell>
          <cell r="M2934" t="str">
            <v>AEROLINEAS</v>
          </cell>
          <cell r="N2934">
            <v>45904</v>
          </cell>
          <cell r="O2934">
            <v>0</v>
          </cell>
          <cell r="P2934" t="str">
            <v>COMFORT XL</v>
          </cell>
        </row>
        <row r="2935">
          <cell r="A2935">
            <v>3831</v>
          </cell>
          <cell r="B2935">
            <v>3831</v>
          </cell>
          <cell r="C2935" t="str">
            <v>CERO MATRICULA</v>
          </cell>
          <cell r="D2935" t="str">
            <v>ACTIVO</v>
          </cell>
          <cell r="E2935" t="str">
            <v>CTV238</v>
          </cell>
          <cell r="F2935" t="str">
            <v xml:space="preserve">Escobar Mantilla Carlos Eduardo </v>
          </cell>
          <cell r="G2935" t="str">
            <v xml:space="preserve">Escobar Mantilla Carlos Eduardo </v>
          </cell>
          <cell r="H2935" t="str">
            <v>005531755</v>
          </cell>
          <cell r="I2935" t="str">
            <v>BCP</v>
          </cell>
          <cell r="J2935" t="str">
            <v>19471665676069</v>
          </cell>
          <cell r="K2935" t="str">
            <v>CARNET DE EXTRANJERÍA</v>
          </cell>
          <cell r="L2935">
            <v>15610989346</v>
          </cell>
          <cell r="M2935" t="str">
            <v>AEROPUERTO</v>
          </cell>
          <cell r="N2935">
            <v>45904</v>
          </cell>
          <cell r="O2935">
            <v>235</v>
          </cell>
          <cell r="P2935" t="str">
            <v>COMFORT XL</v>
          </cell>
        </row>
        <row r="2936">
          <cell r="A2936">
            <v>3833</v>
          </cell>
          <cell r="B2936">
            <v>3833</v>
          </cell>
          <cell r="C2936" t="str">
            <v>CERO MATRICULA</v>
          </cell>
          <cell r="D2936" t="str">
            <v>ACTIVO</v>
          </cell>
          <cell r="E2936" t="str">
            <v>CTN657</v>
          </cell>
          <cell r="F2936" t="str">
            <v>Coronel González Loreto</v>
          </cell>
          <cell r="G2936" t="str">
            <v>Coronel González Loreto</v>
          </cell>
          <cell r="H2936" t="str">
            <v>41978334</v>
          </cell>
          <cell r="I2936" t="str">
            <v>BCP</v>
          </cell>
          <cell r="J2936" t="str">
            <v>19191468692015</v>
          </cell>
          <cell r="K2936" t="str">
            <v>DNI</v>
          </cell>
          <cell r="L2936">
            <v>10419783345</v>
          </cell>
          <cell r="M2936" t="str">
            <v>AEROPUERTO</v>
          </cell>
          <cell r="N2936">
            <v>45904</v>
          </cell>
          <cell r="O2936">
            <v>240</v>
          </cell>
          <cell r="P2936" t="str">
            <v>XL</v>
          </cell>
        </row>
        <row r="2937">
          <cell r="A2937">
            <v>3834</v>
          </cell>
          <cell r="B2937">
            <v>3834</v>
          </cell>
          <cell r="C2937" t="str">
            <v>CERO MATRICULA</v>
          </cell>
          <cell r="D2937" t="str">
            <v>ACTIVO</v>
          </cell>
          <cell r="E2937" t="str">
            <v>CTT286</v>
          </cell>
          <cell r="F2937" t="str">
            <v>Gonzales Verona Lennyn Joel</v>
          </cell>
          <cell r="G2937" t="str">
            <v>Gonzales Verona Lennyn Joel</v>
          </cell>
          <cell r="H2937" t="str">
            <v>48279165</v>
          </cell>
          <cell r="I2937" t="str">
            <v>BCP</v>
          </cell>
          <cell r="J2937" t="str">
            <v>19107902493014</v>
          </cell>
          <cell r="K2937" t="str">
            <v>DNI</v>
          </cell>
          <cell r="L2937">
            <v>10482791650</v>
          </cell>
          <cell r="M2937" t="str">
            <v>URBANO PARTNER</v>
          </cell>
          <cell r="N2937">
            <v>45904</v>
          </cell>
          <cell r="O2937">
            <v>0</v>
          </cell>
          <cell r="P2937" t="str">
            <v>COMFORT XL</v>
          </cell>
        </row>
        <row r="2938">
          <cell r="A2938">
            <v>2973</v>
          </cell>
          <cell r="B2938">
            <v>2973</v>
          </cell>
          <cell r="C2938" t="str">
            <v>CERO MATRICULA</v>
          </cell>
          <cell r="D2938" t="str">
            <v>ACTIVO</v>
          </cell>
          <cell r="E2938" t="str">
            <v>FLOTA PROPIA</v>
          </cell>
          <cell r="F2938" t="str">
            <v>FLOTA PROPIA</v>
          </cell>
          <cell r="G2938" t="str">
            <v>FLOTA PROPIA</v>
          </cell>
          <cell r="H2938" t="str">
            <v>FLOTA PROPIA</v>
          </cell>
          <cell r="I2938" t="str">
            <v>FLOTA PROPIA</v>
          </cell>
          <cell r="J2938" t="str">
            <v>FLOTA PROPIA</v>
          </cell>
          <cell r="K2938" t="str">
            <v>FLOTA PROPIA</v>
          </cell>
          <cell r="L2938" t="str">
            <v>FLOTA PROPIA</v>
          </cell>
          <cell r="M2938" t="str">
            <v>FLOTA PROPIA</v>
          </cell>
          <cell r="N2938">
            <v>45922</v>
          </cell>
          <cell r="O2938">
            <v>0</v>
          </cell>
          <cell r="P2938" t="str">
            <v>VAN</v>
          </cell>
        </row>
        <row r="2939">
          <cell r="A2939">
            <v>3866</v>
          </cell>
          <cell r="B2939">
            <v>3866</v>
          </cell>
          <cell r="C2939" t="str">
            <v>CERO MATRICULA</v>
          </cell>
          <cell r="D2939" t="str">
            <v>ACTIVO</v>
          </cell>
          <cell r="E2939"/>
          <cell r="F2939" t="str">
            <v>MANUEL RICARDO ALEJOS PAZ</v>
          </cell>
          <cell r="G2939" t="str">
            <v>MANUEL RICARDO ALEJOS PAZ</v>
          </cell>
          <cell r="H2939" t="str">
            <v>70484514</v>
          </cell>
          <cell r="I2939" t="str">
            <v>BCP</v>
          </cell>
          <cell r="J2939" t="str">
            <v>19100750216093</v>
          </cell>
          <cell r="K2939" t="str">
            <v>DNI</v>
          </cell>
          <cell r="L2939">
            <v>10704845141</v>
          </cell>
          <cell r="M2939" t="str">
            <v>AEROPUERTO</v>
          </cell>
          <cell r="N2939">
            <v>45922</v>
          </cell>
          <cell r="O2939">
            <v>235</v>
          </cell>
          <cell r="P2939" t="str">
            <v>COMFORT XL</v>
          </cell>
        </row>
        <row r="2940">
          <cell r="A2940">
            <v>3823</v>
          </cell>
          <cell r="B2940">
            <v>3823</v>
          </cell>
          <cell r="C2940" t="str">
            <v>CERO MATRICULA</v>
          </cell>
          <cell r="D2940" t="str">
            <v>ACTIVO</v>
          </cell>
          <cell r="E2940" t="str">
            <v>BVI443</v>
          </cell>
          <cell r="F2940" t="str">
            <v>Vasquez Arce Fernando Pablo</v>
          </cell>
          <cell r="G2940" t="str">
            <v>Vasquez Arce Fernando Pablo</v>
          </cell>
          <cell r="H2940" t="str">
            <v>41257654</v>
          </cell>
          <cell r="I2940" t="str">
            <v>BBVA</v>
          </cell>
          <cell r="J2940" t="str">
            <v>001108140264314653</v>
          </cell>
          <cell r="K2940" t="str">
            <v>DNI</v>
          </cell>
          <cell r="L2940">
            <v>10412576549</v>
          </cell>
          <cell r="M2940" t="str">
            <v>URBANO PARTNER</v>
          </cell>
          <cell r="N2940">
            <v>45909</v>
          </cell>
          <cell r="O2940">
            <v>0</v>
          </cell>
          <cell r="P2940" t="str">
            <v>COMFORT</v>
          </cell>
        </row>
        <row r="2941">
          <cell r="A2941">
            <v>3846</v>
          </cell>
          <cell r="B2941">
            <v>3846</v>
          </cell>
          <cell r="C2941" t="str">
            <v>CERO MATRICULA</v>
          </cell>
          <cell r="D2941" t="str">
            <v>ACTIVO</v>
          </cell>
          <cell r="E2941" t="str">
            <v>VBW499</v>
          </cell>
          <cell r="F2941" t="str">
            <v>Monteza Berrios Isai beltsasar</v>
          </cell>
          <cell r="G2941" t="str">
            <v>Monteza Berrios Isai beltsasar</v>
          </cell>
          <cell r="H2941" t="str">
            <v>43102923</v>
          </cell>
          <cell r="I2941" t="str">
            <v>BCP</v>
          </cell>
          <cell r="J2941" t="str">
            <v>19400626247071</v>
          </cell>
          <cell r="K2941" t="str">
            <v>DNI</v>
          </cell>
          <cell r="L2941">
            <v>10431029231</v>
          </cell>
          <cell r="M2941" t="str">
            <v>URBANO PARTNER</v>
          </cell>
          <cell r="N2941">
            <v>45909</v>
          </cell>
          <cell r="O2941">
            <v>0</v>
          </cell>
          <cell r="P2941" t="str">
            <v>LITE</v>
          </cell>
        </row>
        <row r="2942">
          <cell r="A2942">
            <v>3847</v>
          </cell>
          <cell r="B2942">
            <v>3847</v>
          </cell>
          <cell r="C2942" t="str">
            <v>CERO MATRICULA</v>
          </cell>
          <cell r="D2942" t="str">
            <v>ACTIVO</v>
          </cell>
          <cell r="E2942" t="str">
            <v>CTB403</v>
          </cell>
          <cell r="F2942" t="str">
            <v>Perez Alvarado Luis Alejandro</v>
          </cell>
          <cell r="G2942" t="str">
            <v>Perez Alvarado Luis Alejandro</v>
          </cell>
          <cell r="H2942" t="str">
            <v>006818397</v>
          </cell>
          <cell r="I2942" t="str">
            <v>BCP</v>
          </cell>
          <cell r="J2942" t="str">
            <v>19404042035063</v>
          </cell>
          <cell r="K2942" t="str">
            <v>CARNET DE EXTRANJERÍA</v>
          </cell>
          <cell r="L2942">
            <v>15609397281</v>
          </cell>
          <cell r="M2942" t="str">
            <v>URBANO PARTNER</v>
          </cell>
          <cell r="N2942">
            <v>45909</v>
          </cell>
          <cell r="O2942">
            <v>0</v>
          </cell>
          <cell r="P2942" t="str">
            <v>XL</v>
          </cell>
        </row>
        <row r="2943">
          <cell r="A2943">
            <v>3848</v>
          </cell>
          <cell r="B2943">
            <v>3848</v>
          </cell>
          <cell r="C2943" t="str">
            <v>CERO MATRICULA</v>
          </cell>
          <cell r="D2943" t="str">
            <v>ACTIVO</v>
          </cell>
          <cell r="E2943" t="str">
            <v>Bxk431</v>
          </cell>
          <cell r="F2943" t="str">
            <v>Pérez Ruiz Deivi José</v>
          </cell>
          <cell r="G2943" t="str">
            <v>Perez Ruiz Deivi José</v>
          </cell>
          <cell r="H2943" t="str">
            <v>004893048</v>
          </cell>
          <cell r="I2943" t="str">
            <v>BCP</v>
          </cell>
          <cell r="J2943" t="str">
            <v>19495859930009</v>
          </cell>
          <cell r="K2943" t="str">
            <v>CARNET DE EXTRANJERÍA</v>
          </cell>
          <cell r="L2943">
            <v>15614713183</v>
          </cell>
          <cell r="M2943" t="str">
            <v>URBANO PARTNER</v>
          </cell>
          <cell r="N2943">
            <v>45909</v>
          </cell>
          <cell r="O2943">
            <v>0</v>
          </cell>
          <cell r="P2943" t="str">
            <v>LITE</v>
          </cell>
        </row>
        <row r="2944">
          <cell r="A2944">
            <v>3849</v>
          </cell>
          <cell r="B2944">
            <v>3849</v>
          </cell>
          <cell r="C2944" t="str">
            <v>CERO MATRICULA</v>
          </cell>
          <cell r="D2944" t="str">
            <v>ACTIVO</v>
          </cell>
          <cell r="E2944" t="str">
            <v>CUA032</v>
          </cell>
          <cell r="F2944" t="str">
            <v>Paredes Charun Fredy Rolando</v>
          </cell>
          <cell r="G2944" t="str">
            <v>Paredes Charun Fredy Rolando</v>
          </cell>
          <cell r="H2944" t="str">
            <v>10622289</v>
          </cell>
          <cell r="I2944" t="str">
            <v>BCP</v>
          </cell>
          <cell r="J2944" t="str">
            <v>19293149005002</v>
          </cell>
          <cell r="K2944" t="str">
            <v>DNI</v>
          </cell>
          <cell r="L2944">
            <v>10106222890</v>
          </cell>
          <cell r="M2944" t="str">
            <v>AEROLINEAS</v>
          </cell>
          <cell r="N2944">
            <v>45911</v>
          </cell>
          <cell r="O2944">
            <v>0</v>
          </cell>
          <cell r="P2944" t="str">
            <v>VAN</v>
          </cell>
        </row>
        <row r="2945">
          <cell r="A2945">
            <v>3850</v>
          </cell>
          <cell r="B2945">
            <v>3850</v>
          </cell>
          <cell r="C2945" t="str">
            <v>CERO MATRICULA</v>
          </cell>
          <cell r="D2945" t="str">
            <v>ACTIVO</v>
          </cell>
          <cell r="E2945" t="str">
            <v>BWD476</v>
          </cell>
          <cell r="F2945" t="str">
            <v>Bayona Guardia Hector Dionicio</v>
          </cell>
          <cell r="G2945" t="str">
            <v>Bayona Guardia Hector Dionicio</v>
          </cell>
          <cell r="H2945" t="str">
            <v>25418189</v>
          </cell>
          <cell r="I2945" t="str">
            <v>BBVA</v>
          </cell>
          <cell r="J2945" t="str">
            <v>001101620200430648</v>
          </cell>
          <cell r="K2945" t="str">
            <v>DNI</v>
          </cell>
          <cell r="L2945">
            <v>10254181892</v>
          </cell>
          <cell r="M2945" t="str">
            <v>AEROLINEAS</v>
          </cell>
          <cell r="N2945">
            <v>45911</v>
          </cell>
          <cell r="O2945">
            <v>0</v>
          </cell>
          <cell r="P2945" t="str">
            <v>COMFORT</v>
          </cell>
        </row>
        <row r="2946">
          <cell r="A2946">
            <v>2971</v>
          </cell>
          <cell r="B2946">
            <v>2971</v>
          </cell>
          <cell r="C2946" t="str">
            <v>CERO MATRICULA</v>
          </cell>
          <cell r="D2946" t="str">
            <v>ACTIVO</v>
          </cell>
          <cell r="E2946" t="str">
            <v>FLOTA PROPIA</v>
          </cell>
          <cell r="F2946" t="str">
            <v>FLOTA PROPIA</v>
          </cell>
          <cell r="G2946" t="str">
            <v>FLOTA PROPIA</v>
          </cell>
          <cell r="H2946" t="str">
            <v>FLOTA PROPIA</v>
          </cell>
          <cell r="I2946" t="str">
            <v>FLOTA PROPIA</v>
          </cell>
          <cell r="J2946" t="str">
            <v>FLOTA PROPIA</v>
          </cell>
          <cell r="K2946" t="str">
            <v>FLOTA PROPIA</v>
          </cell>
          <cell r="L2946" t="str">
            <v>FLOTA PROPIA</v>
          </cell>
          <cell r="M2946" t="str">
            <v>FLOTA PROPIA</v>
          </cell>
          <cell r="N2946">
            <v>45922</v>
          </cell>
          <cell r="O2946">
            <v>0</v>
          </cell>
          <cell r="P2946" t="str">
            <v>VAN</v>
          </cell>
        </row>
        <row r="2947">
          <cell r="A2947">
            <v>2972</v>
          </cell>
          <cell r="B2947">
            <v>2972</v>
          </cell>
          <cell r="C2947" t="str">
            <v>CERO MATRICULA</v>
          </cell>
          <cell r="D2947" t="str">
            <v>ACTIVO</v>
          </cell>
          <cell r="E2947" t="str">
            <v>FLOTA PROPIA</v>
          </cell>
          <cell r="F2947" t="str">
            <v>FLOTA PROPIA</v>
          </cell>
          <cell r="G2947" t="str">
            <v>FLOTA PROPIA</v>
          </cell>
          <cell r="H2947" t="str">
            <v>FLOTA PROPIA</v>
          </cell>
          <cell r="I2947" t="str">
            <v>FLOTA PROPIA</v>
          </cell>
          <cell r="J2947" t="str">
            <v>FLOTA PROPIA</v>
          </cell>
          <cell r="K2947" t="str">
            <v>FLOTA PROPIA</v>
          </cell>
          <cell r="L2947" t="str">
            <v>FLOTA PROPIA</v>
          </cell>
          <cell r="M2947" t="str">
            <v>FLOTA PROPIA</v>
          </cell>
          <cell r="N2947">
            <v>45922</v>
          </cell>
          <cell r="O2947">
            <v>0</v>
          </cell>
          <cell r="P2947" t="str">
            <v>VAN</v>
          </cell>
        </row>
        <row r="2948">
          <cell r="A2948">
            <v>2974</v>
          </cell>
          <cell r="B2948">
            <v>2974</v>
          </cell>
          <cell r="C2948" t="str">
            <v>CERO MATRICULA</v>
          </cell>
          <cell r="D2948" t="str">
            <v>ACTIVO</v>
          </cell>
          <cell r="E2948" t="str">
            <v>FLOTA PROPIA</v>
          </cell>
          <cell r="F2948" t="str">
            <v>FLOTA PROPIA</v>
          </cell>
          <cell r="G2948" t="str">
            <v>FLOTA PROPIA</v>
          </cell>
          <cell r="H2948" t="str">
            <v>FLOTA PROPIA</v>
          </cell>
          <cell r="I2948" t="str">
            <v>FLOTA PROPIA</v>
          </cell>
          <cell r="J2948" t="str">
            <v>FLOTA PROPIA</v>
          </cell>
          <cell r="K2948" t="str">
            <v>FLOTA PROPIA</v>
          </cell>
          <cell r="L2948" t="str">
            <v>FLOTA PROPIA</v>
          </cell>
          <cell r="M2948" t="str">
            <v>FLOTA PROPIA</v>
          </cell>
          <cell r="N2948">
            <v>45922</v>
          </cell>
          <cell r="O2948">
            <v>0</v>
          </cell>
          <cell r="P2948" t="str">
            <v>VAN</v>
          </cell>
        </row>
        <row r="2949">
          <cell r="A2949">
            <v>2975</v>
          </cell>
          <cell r="B2949">
            <v>2975</v>
          </cell>
          <cell r="C2949" t="str">
            <v>CERO MATRICULA</v>
          </cell>
          <cell r="D2949" t="str">
            <v>ACTIVO</v>
          </cell>
          <cell r="E2949" t="str">
            <v>FLOTA PROPIA</v>
          </cell>
          <cell r="F2949" t="str">
            <v>FLOTA PROPIA</v>
          </cell>
          <cell r="G2949" t="str">
            <v>FLOTA PROPIA</v>
          </cell>
          <cell r="H2949" t="str">
            <v>FLOTA PROPIA</v>
          </cell>
          <cell r="I2949" t="str">
            <v>FLOTA PROPIA</v>
          </cell>
          <cell r="J2949" t="str">
            <v>FLOTA PROPIA</v>
          </cell>
          <cell r="K2949" t="str">
            <v>FLOTA PROPIA</v>
          </cell>
          <cell r="L2949" t="str">
            <v>FLOTA PROPIA</v>
          </cell>
          <cell r="M2949" t="str">
            <v>FLOTA PROPIA</v>
          </cell>
          <cell r="N2949">
            <v>45922</v>
          </cell>
          <cell r="O2949">
            <v>0</v>
          </cell>
          <cell r="P2949" t="str">
            <v>VAN</v>
          </cell>
        </row>
        <row r="2950">
          <cell r="A2950">
            <v>13</v>
          </cell>
          <cell r="B2950">
            <v>13</v>
          </cell>
          <cell r="C2950" t="str">
            <v>CERO MATRICULA</v>
          </cell>
          <cell r="D2950" t="str">
            <v>ACTIVO</v>
          </cell>
          <cell r="E2950" t="str">
            <v>MOVIL CONTINGENCIA</v>
          </cell>
          <cell r="F2950" t="str">
            <v>MOVIL CONTINGENCIA</v>
          </cell>
          <cell r="G2950" t="str">
            <v>MOVIL CONTINGENCIA</v>
          </cell>
          <cell r="H2950" t="str">
            <v>MOVIL CONTINGENCIA</v>
          </cell>
          <cell r="I2950" t="str">
            <v>MOVIL CONTINGENCIA</v>
          </cell>
          <cell r="J2950" t="str">
            <v>MOVIL CONTINGENCIA</v>
          </cell>
          <cell r="K2950" t="str">
            <v>MOVIL CONTINGENCIA</v>
          </cell>
          <cell r="L2950" t="str">
            <v>MOVIL CONTINGENCIA</v>
          </cell>
          <cell r="M2950" t="str">
            <v>MOVIL CONTINGENCIA</v>
          </cell>
          <cell r="N2950">
            <v>45908</v>
          </cell>
          <cell r="O2950">
            <v>0</v>
          </cell>
          <cell r="P2950" t="str">
            <v>LITE</v>
          </cell>
        </row>
        <row r="2951">
          <cell r="A2951">
            <v>3851</v>
          </cell>
          <cell r="B2951">
            <v>3851</v>
          </cell>
          <cell r="C2951" t="str">
            <v>CERO MATRICULA</v>
          </cell>
          <cell r="D2951" t="str">
            <v>ACTIVO</v>
          </cell>
          <cell r="E2951" t="str">
            <v>CRX628</v>
          </cell>
          <cell r="F2951" t="str">
            <v>Boscan Herrera Leandro</v>
          </cell>
          <cell r="G2951" t="str">
            <v>Boscan Herrera Leandro</v>
          </cell>
          <cell r="H2951" t="str">
            <v>003634881</v>
          </cell>
          <cell r="I2951" t="str">
            <v>BCP</v>
          </cell>
          <cell r="J2951" t="str">
            <v>19199035689047</v>
          </cell>
          <cell r="K2951" t="str">
            <v>CARNET DE EXTRANJERÍA</v>
          </cell>
          <cell r="L2951">
            <v>20614747979</v>
          </cell>
          <cell r="M2951" t="str">
            <v>AEROPUERTO</v>
          </cell>
          <cell r="N2951">
            <v>45916</v>
          </cell>
          <cell r="O2951">
            <v>265</v>
          </cell>
          <cell r="P2951" t="str">
            <v>LITE</v>
          </cell>
        </row>
        <row r="2952">
          <cell r="A2952">
            <v>3852</v>
          </cell>
          <cell r="B2952">
            <v>3852</v>
          </cell>
          <cell r="C2952" t="str">
            <v>CERO MATRICULA</v>
          </cell>
          <cell r="D2952" t="str">
            <v>ACTIVO</v>
          </cell>
          <cell r="E2952" t="str">
            <v>CSD671</v>
          </cell>
          <cell r="F2952" t="str">
            <v>Fajardo Ravelo Carlos José</v>
          </cell>
          <cell r="G2952" t="str">
            <v>Fajardo Ravelo Carlos José</v>
          </cell>
          <cell r="H2952" t="str">
            <v>006941930</v>
          </cell>
          <cell r="I2952" t="str">
            <v>INTERBANK</v>
          </cell>
          <cell r="J2952" t="str">
            <v>2893343736014</v>
          </cell>
          <cell r="K2952" t="str">
            <v>CARNET DE EXTRANJERÍA</v>
          </cell>
          <cell r="L2952">
            <v>15609204017</v>
          </cell>
          <cell r="M2952" t="str">
            <v>AEROPUERTO</v>
          </cell>
          <cell r="N2952">
            <v>45916</v>
          </cell>
          <cell r="O2952">
            <v>235</v>
          </cell>
          <cell r="P2952" t="str">
            <v>COMFORT XL</v>
          </cell>
        </row>
        <row r="2953">
          <cell r="A2953">
            <v>3853</v>
          </cell>
          <cell r="B2953">
            <v>3853</v>
          </cell>
          <cell r="C2953" t="str">
            <v>CERO MATRICULA</v>
          </cell>
          <cell r="D2953" t="str">
            <v>ACTIVO</v>
          </cell>
          <cell r="E2953" t="str">
            <v>CLO290</v>
          </cell>
          <cell r="F2953" t="str">
            <v>Rivas Sanchez Yilber Elieser</v>
          </cell>
          <cell r="G2953" t="str">
            <v>Rivas Sanchez Yilber Elieser</v>
          </cell>
          <cell r="H2953" t="str">
            <v>004309425</v>
          </cell>
          <cell r="I2953" t="str">
            <v>BCP</v>
          </cell>
          <cell r="J2953" t="str">
            <v>19493280251074</v>
          </cell>
          <cell r="K2953" t="str">
            <v>CARNET DE EXTRANJERÍA</v>
          </cell>
          <cell r="L2953">
            <v>15611653953</v>
          </cell>
          <cell r="M2953" t="str">
            <v>AEROPUERTO</v>
          </cell>
          <cell r="N2953">
            <v>45916</v>
          </cell>
          <cell r="O2953">
            <v>240</v>
          </cell>
          <cell r="P2953" t="str">
            <v>COMFORT</v>
          </cell>
        </row>
        <row r="2954">
          <cell r="A2954">
            <v>3855</v>
          </cell>
          <cell r="B2954">
            <v>3855</v>
          </cell>
          <cell r="C2954" t="str">
            <v>CERO MATRICULA</v>
          </cell>
          <cell r="D2954" t="str">
            <v>ACTIVO</v>
          </cell>
          <cell r="E2954" t="str">
            <v>CUC607</v>
          </cell>
          <cell r="F2954" t="str">
            <v>Alavena Albujar Romeo Fernando</v>
          </cell>
          <cell r="G2954" t="str">
            <v>Alavena Albujar Romeo Fernando</v>
          </cell>
          <cell r="H2954" t="str">
            <v>10586661</v>
          </cell>
          <cell r="I2954" t="str">
            <v>BCP</v>
          </cell>
          <cell r="J2954" t="str">
            <v>19140108092022</v>
          </cell>
          <cell r="K2954" t="str">
            <v>DNI</v>
          </cell>
          <cell r="L2954">
            <v>10105866611</v>
          </cell>
          <cell r="M2954" t="str">
            <v>AEROPUERTO</v>
          </cell>
          <cell r="N2954">
            <v>45916</v>
          </cell>
          <cell r="O2954">
            <v>235</v>
          </cell>
          <cell r="P2954" t="str">
            <v>COMFORT XL</v>
          </cell>
        </row>
        <row r="2955">
          <cell r="A2955">
            <v>3856</v>
          </cell>
          <cell r="B2955">
            <v>3856</v>
          </cell>
          <cell r="C2955" t="str">
            <v>CERO MATRICULA</v>
          </cell>
          <cell r="D2955" t="str">
            <v>ACTIVO</v>
          </cell>
          <cell r="E2955" t="str">
            <v>CTP196</v>
          </cell>
          <cell r="F2955" t="str">
            <v>Servan Recalde Sergio David</v>
          </cell>
          <cell r="G2955" t="str">
            <v>Servan Recalde Sergio David</v>
          </cell>
          <cell r="H2955" t="str">
            <v>47218724</v>
          </cell>
          <cell r="I2955" t="str">
            <v>BCP</v>
          </cell>
          <cell r="J2955" t="str">
            <v>19174396627006</v>
          </cell>
          <cell r="K2955" t="str">
            <v>DNI</v>
          </cell>
          <cell r="L2955">
            <v>10472187240</v>
          </cell>
          <cell r="M2955" t="str">
            <v>URBANO PARTNER</v>
          </cell>
          <cell r="N2955">
            <v>45916</v>
          </cell>
          <cell r="O2955">
            <v>0</v>
          </cell>
          <cell r="P2955" t="str">
            <v>COMFORT XL</v>
          </cell>
        </row>
        <row r="2956">
          <cell r="A2956">
            <v>3857</v>
          </cell>
          <cell r="B2956">
            <v>3857</v>
          </cell>
          <cell r="C2956" t="str">
            <v>CERO MATRICULA</v>
          </cell>
          <cell r="D2956" t="str">
            <v>ACTIVO</v>
          </cell>
          <cell r="E2956" t="str">
            <v>BZZ527</v>
          </cell>
          <cell r="F2956" t="str">
            <v xml:space="preserve"> Velasquez  Calcina Christian Omar</v>
          </cell>
          <cell r="G2956" t="str">
            <v>Velasquez Calcina Christian Omar</v>
          </cell>
          <cell r="H2956" t="str">
            <v>72794620</v>
          </cell>
          <cell r="I2956" t="str">
            <v>BCP</v>
          </cell>
          <cell r="J2956" t="str">
            <v>19407401530092</v>
          </cell>
          <cell r="K2956" t="str">
            <v>DNI</v>
          </cell>
          <cell r="L2956">
            <v>10727946204</v>
          </cell>
          <cell r="M2956" t="str">
            <v>URBANO PARTNER</v>
          </cell>
          <cell r="N2956">
            <v>45916</v>
          </cell>
          <cell r="O2956">
            <v>0</v>
          </cell>
          <cell r="P2956" t="str">
            <v>COMFORT</v>
          </cell>
        </row>
        <row r="2957">
          <cell r="A2957">
            <v>3858</v>
          </cell>
          <cell r="B2957">
            <v>3858</v>
          </cell>
          <cell r="C2957" t="str">
            <v>CERO MATRICULA</v>
          </cell>
          <cell r="D2957" t="str">
            <v>ACTIVO</v>
          </cell>
          <cell r="E2957" t="str">
            <v>Z7B267</v>
          </cell>
          <cell r="F2957" t="str">
            <v>Lacunza Balarezo Roberto Mario</v>
          </cell>
          <cell r="G2957" t="str">
            <v>Lacunza Balarezo Roberto Mario</v>
          </cell>
          <cell r="H2957" t="str">
            <v>40070436</v>
          </cell>
          <cell r="I2957" t="str">
            <v>BCP</v>
          </cell>
          <cell r="J2957" t="str">
            <v>19395097882064</v>
          </cell>
          <cell r="K2957" t="str">
            <v>DNI</v>
          </cell>
          <cell r="L2957">
            <v>10400704363</v>
          </cell>
          <cell r="M2957" t="str">
            <v>URBANO PARTNER</v>
          </cell>
          <cell r="N2957">
            <v>45916</v>
          </cell>
          <cell r="O2957">
            <v>0</v>
          </cell>
          <cell r="P2957" t="str">
            <v>COMFORT XL</v>
          </cell>
        </row>
        <row r="2958">
          <cell r="A2958">
            <v>3859</v>
          </cell>
          <cell r="B2958">
            <v>3859</v>
          </cell>
          <cell r="C2958" t="str">
            <v>CERO MATRICULA</v>
          </cell>
          <cell r="D2958" t="str">
            <v>ACTIVO</v>
          </cell>
          <cell r="E2958" t="str">
            <v>CRP621</v>
          </cell>
          <cell r="F2958" t="str">
            <v>Ramirez Gonzales Jorge luis</v>
          </cell>
          <cell r="G2958" t="str">
            <v>Jorge Luis Ramírez Gonzáles</v>
          </cell>
          <cell r="H2958">
            <v>25765982</v>
          </cell>
          <cell r="I2958" t="str">
            <v>BCP</v>
          </cell>
          <cell r="J2958" t="str">
            <v>19198073324062</v>
          </cell>
          <cell r="K2958" t="str">
            <v>DNI</v>
          </cell>
          <cell r="L2958">
            <v>20608119460</v>
          </cell>
          <cell r="M2958" t="str">
            <v>URBANO PARTNER</v>
          </cell>
          <cell r="N2958">
            <v>45916</v>
          </cell>
          <cell r="O2958">
            <v>0</v>
          </cell>
          <cell r="P2958" t="str">
            <v>LITE</v>
          </cell>
        </row>
        <row r="2959">
          <cell r="A2959">
            <v>3860</v>
          </cell>
          <cell r="B2959">
            <v>3860</v>
          </cell>
          <cell r="C2959" t="str">
            <v>CERO MATRICULA</v>
          </cell>
          <cell r="D2959" t="str">
            <v>ACTIVO</v>
          </cell>
          <cell r="E2959" t="str">
            <v>BSZ446</v>
          </cell>
          <cell r="F2959" t="str">
            <v>Sánchez Rivero Alex</v>
          </cell>
          <cell r="G2959" t="str">
            <v>Sanchez Rivero Alex</v>
          </cell>
          <cell r="H2959" t="str">
            <v>002334066</v>
          </cell>
          <cell r="I2959" t="str">
            <v>BCP</v>
          </cell>
          <cell r="J2959" t="str">
            <v>19493244441002</v>
          </cell>
          <cell r="K2959" t="str">
            <v>CARNET DE EXTRANJERÍA</v>
          </cell>
          <cell r="L2959">
            <v>15604066571</v>
          </cell>
          <cell r="M2959" t="str">
            <v>AEROPUERTO</v>
          </cell>
          <cell r="N2959">
            <v>45918</v>
          </cell>
          <cell r="O2959">
            <v>265</v>
          </cell>
          <cell r="P2959" t="str">
            <v>LITE</v>
          </cell>
        </row>
        <row r="2960">
          <cell r="A2960">
            <v>3861</v>
          </cell>
          <cell r="B2960">
            <v>3861</v>
          </cell>
          <cell r="C2960" t="str">
            <v>CERO MATRICULA</v>
          </cell>
          <cell r="D2960" t="str">
            <v>ACTIVO</v>
          </cell>
          <cell r="E2960" t="str">
            <v>CMG265</v>
          </cell>
          <cell r="F2960" t="str">
            <v>González Figueroa Johan Antonio</v>
          </cell>
          <cell r="G2960" t="str">
            <v>Gonzalez Figueroa Johan Antonio</v>
          </cell>
          <cell r="H2960" t="str">
            <v>002562090</v>
          </cell>
          <cell r="I2960" t="str">
            <v>BCP</v>
          </cell>
          <cell r="J2960" t="str">
            <v>19491083137067</v>
          </cell>
          <cell r="K2960" t="str">
            <v>CARNET DE EXTRANJERÍA</v>
          </cell>
          <cell r="L2960">
            <v>15606992545</v>
          </cell>
          <cell r="M2960" t="str">
            <v>AEROPUERTO</v>
          </cell>
          <cell r="N2960">
            <v>45918</v>
          </cell>
          <cell r="O2960">
            <v>235</v>
          </cell>
          <cell r="P2960" t="str">
            <v>COMFORT XL</v>
          </cell>
        </row>
        <row r="2961">
          <cell r="A2961">
            <v>3863</v>
          </cell>
          <cell r="B2961">
            <v>3863</v>
          </cell>
          <cell r="C2961" t="str">
            <v>CERO MATRICULA</v>
          </cell>
          <cell r="D2961" t="str">
            <v>ACTIVO</v>
          </cell>
          <cell r="E2961" t="str">
            <v>BYD162</v>
          </cell>
          <cell r="F2961" t="str">
            <v>Arbieto Riveros Héctor Gabriel</v>
          </cell>
          <cell r="G2961" t="str">
            <v>Arbieto Riveros Héctor Gabriel</v>
          </cell>
          <cell r="H2961" t="str">
            <v>45551897</v>
          </cell>
          <cell r="I2961" t="str">
            <v>BCP</v>
          </cell>
          <cell r="J2961" t="str">
            <v>191-01259630-052</v>
          </cell>
          <cell r="K2961" t="str">
            <v>DNI</v>
          </cell>
          <cell r="L2961">
            <v>10455518976</v>
          </cell>
          <cell r="M2961" t="str">
            <v>URBANO PARTNER</v>
          </cell>
          <cell r="N2961">
            <v>45918</v>
          </cell>
          <cell r="O2961">
            <v>0</v>
          </cell>
          <cell r="P2961" t="str">
            <v>COMFORT XL</v>
          </cell>
        </row>
        <row r="2962">
          <cell r="A2962">
            <v>3864</v>
          </cell>
          <cell r="B2962">
            <v>3864</v>
          </cell>
          <cell r="C2962" t="str">
            <v>CERO MATRICULA</v>
          </cell>
          <cell r="D2962" t="str">
            <v>ACTIVO</v>
          </cell>
          <cell r="E2962" t="str">
            <v>CUE476</v>
          </cell>
          <cell r="F2962" t="str">
            <v>Silupu Jaramillo Frank Jeison</v>
          </cell>
          <cell r="G2962" t="str">
            <v>Silupu Jaramillo Frank Jeison</v>
          </cell>
          <cell r="H2962" t="str">
            <v>73428753</v>
          </cell>
          <cell r="I2962" t="str">
            <v>BCP</v>
          </cell>
          <cell r="J2962" t="str">
            <v>PENDIENTE</v>
          </cell>
          <cell r="K2962" t="str">
            <v>DNI</v>
          </cell>
          <cell r="L2962">
            <v>10734287534</v>
          </cell>
          <cell r="M2962" t="str">
            <v>AEROPUERTO</v>
          </cell>
          <cell r="N2962">
            <v>45918</v>
          </cell>
          <cell r="O2962">
            <v>235</v>
          </cell>
          <cell r="P2962" t="str">
            <v>COMFORT XL</v>
          </cell>
        </row>
        <row r="2963">
          <cell r="A2963">
            <v>3865</v>
          </cell>
          <cell r="B2963">
            <v>3865</v>
          </cell>
          <cell r="C2963" t="str">
            <v>CERO MATRICULA</v>
          </cell>
          <cell r="D2963" t="str">
            <v>ACTIVO</v>
          </cell>
          <cell r="E2963" t="str">
            <v>CME513</v>
          </cell>
          <cell r="F2963" t="str">
            <v>Araque Borges Cesar alberto</v>
          </cell>
          <cell r="G2963" t="str">
            <v>Araque Borges Cesar Alberto</v>
          </cell>
          <cell r="H2963" t="str">
            <v>004978457</v>
          </cell>
          <cell r="I2963" t="str">
            <v>CAJA PIURA</v>
          </cell>
          <cell r="J2963" t="str">
            <v>80117621001176653191</v>
          </cell>
          <cell r="K2963" t="str">
            <v>CARNET DE EXTRANJERÍA</v>
          </cell>
          <cell r="L2963">
            <v>15614458191</v>
          </cell>
          <cell r="M2963" t="str">
            <v>AEROPUERTO</v>
          </cell>
          <cell r="N2963">
            <v>45918</v>
          </cell>
          <cell r="O2963">
            <v>235</v>
          </cell>
          <cell r="P2963" t="str">
            <v>COMFORT XL</v>
          </cell>
        </row>
        <row r="2964">
          <cell r="A2964">
            <v>9289</v>
          </cell>
          <cell r="B2964">
            <v>9289</v>
          </cell>
          <cell r="C2964" t="str">
            <v>CERO MATRICULA</v>
          </cell>
          <cell r="D2964" t="str">
            <v>ACTIVO</v>
          </cell>
          <cell r="E2964" t="str">
            <v>BMC305</v>
          </cell>
          <cell r="F2964" t="str">
            <v>Soto Salazar Frank</v>
          </cell>
          <cell r="G2964" t="str">
            <v>Soto Salazar Frank</v>
          </cell>
          <cell r="H2964" t="str">
            <v>72719170</v>
          </cell>
          <cell r="I2964" t="str">
            <v>BBVA</v>
          </cell>
          <cell r="J2964" t="str">
            <v>001108140232411231</v>
          </cell>
          <cell r="K2964" t="str">
            <v>DNI</v>
          </cell>
          <cell r="L2964">
            <v>10727191700</v>
          </cell>
          <cell r="M2964" t="str">
            <v>URBANO PARTNER</v>
          </cell>
          <cell r="N2964">
            <v>45916</v>
          </cell>
          <cell r="O2964">
            <v>0</v>
          </cell>
          <cell r="P2964" t="str">
            <v>COMFORT</v>
          </cell>
        </row>
        <row r="2965">
          <cell r="A2965">
            <v>2976</v>
          </cell>
          <cell r="B2965">
            <v>2976</v>
          </cell>
          <cell r="C2965" t="str">
            <v>CERO MATRICULA</v>
          </cell>
          <cell r="D2965" t="str">
            <v>ACTIVO</v>
          </cell>
          <cell r="E2965" t="str">
            <v>FLOTA PROPIA</v>
          </cell>
          <cell r="F2965" t="str">
            <v>FLOTA PROPIA</v>
          </cell>
          <cell r="G2965" t="str">
            <v>FLOTA PROPIA</v>
          </cell>
          <cell r="H2965" t="str">
            <v>FLOTA PROPIA</v>
          </cell>
          <cell r="I2965" t="str">
            <v>FLOTA PROPIA</v>
          </cell>
          <cell r="J2965" t="str">
            <v>FLOTA PROPIA</v>
          </cell>
          <cell r="K2965" t="str">
            <v>FLOTA PROPIA</v>
          </cell>
          <cell r="L2965" t="str">
            <v>FLOTA PROPIA</v>
          </cell>
          <cell r="M2965" t="str">
            <v>FLOTA PROPIA</v>
          </cell>
          <cell r="N2965">
            <v>45931</v>
          </cell>
          <cell r="O2965">
            <v>0</v>
          </cell>
          <cell r="P2965" t="str">
            <v>VAN</v>
          </cell>
        </row>
        <row r="2966">
          <cell r="A2966">
            <v>2977</v>
          </cell>
          <cell r="B2966">
            <v>2977</v>
          </cell>
          <cell r="C2966" t="str">
            <v>CERO MATRICULA</v>
          </cell>
          <cell r="D2966" t="str">
            <v>ACTIVO</v>
          </cell>
          <cell r="E2966" t="str">
            <v>FLOTA PROPIA</v>
          </cell>
          <cell r="F2966" t="str">
            <v>FLOTA PROPIA</v>
          </cell>
          <cell r="G2966" t="str">
            <v>FLOTA PROPIA</v>
          </cell>
          <cell r="H2966" t="str">
            <v>FLOTA PROPIA</v>
          </cell>
          <cell r="I2966" t="str">
            <v>FLOTA PROPIA</v>
          </cell>
          <cell r="J2966" t="str">
            <v>FLOTA PROPIA</v>
          </cell>
          <cell r="K2966" t="str">
            <v>FLOTA PROPIA</v>
          </cell>
          <cell r="L2966" t="str">
            <v>FLOTA PROPIA</v>
          </cell>
          <cell r="M2966" t="str">
            <v>FLOTA PROPIA</v>
          </cell>
          <cell r="N2966">
            <v>45931</v>
          </cell>
          <cell r="O2966">
            <v>0</v>
          </cell>
          <cell r="P2966" t="str">
            <v>VAN</v>
          </cell>
        </row>
        <row r="2967">
          <cell r="A2967">
            <v>2978</v>
          </cell>
          <cell r="B2967">
            <v>2978</v>
          </cell>
          <cell r="C2967" t="str">
            <v>CERO MATRICULA</v>
          </cell>
          <cell r="D2967" t="str">
            <v>ACTIVO</v>
          </cell>
          <cell r="E2967" t="str">
            <v>FLOTA PROPIA</v>
          </cell>
          <cell r="F2967" t="str">
            <v>FLOTA PROPIA</v>
          </cell>
          <cell r="G2967" t="str">
            <v>FLOTA PROPIA</v>
          </cell>
          <cell r="H2967" t="str">
            <v>FLOTA PROPIA</v>
          </cell>
          <cell r="I2967" t="str">
            <v>FLOTA PROPIA</v>
          </cell>
          <cell r="J2967" t="str">
            <v>FLOTA PROPIA</v>
          </cell>
          <cell r="K2967" t="str">
            <v>FLOTA PROPIA</v>
          </cell>
          <cell r="L2967" t="str">
            <v>FLOTA PROPIA</v>
          </cell>
          <cell r="M2967" t="str">
            <v>FLOTA PROPIA</v>
          </cell>
          <cell r="N2967">
            <v>45931</v>
          </cell>
          <cell r="O2967">
            <v>0</v>
          </cell>
          <cell r="P2967" t="str">
            <v>VAN</v>
          </cell>
        </row>
        <row r="2968">
          <cell r="A2968">
            <v>2979</v>
          </cell>
          <cell r="B2968">
            <v>2979</v>
          </cell>
          <cell r="C2968" t="str">
            <v>CERO MATRICULA</v>
          </cell>
          <cell r="D2968" t="str">
            <v>ACTIVO</v>
          </cell>
          <cell r="E2968" t="str">
            <v>FLOTA PROPIA</v>
          </cell>
          <cell r="F2968" t="str">
            <v>FLOTA PROPIA</v>
          </cell>
          <cell r="G2968" t="str">
            <v>FLOTA PROPIA</v>
          </cell>
          <cell r="H2968" t="str">
            <v>FLOTA PROPIA</v>
          </cell>
          <cell r="I2968" t="str">
            <v>FLOTA PROPIA</v>
          </cell>
          <cell r="J2968" t="str">
            <v>FLOTA PROPIA</v>
          </cell>
          <cell r="K2968" t="str">
            <v>FLOTA PROPIA</v>
          </cell>
          <cell r="L2968" t="str">
            <v>FLOTA PROPIA</v>
          </cell>
          <cell r="M2968" t="str">
            <v>FLOTA PROPIA</v>
          </cell>
          <cell r="N2968">
            <v>45931</v>
          </cell>
          <cell r="O2968">
            <v>0</v>
          </cell>
          <cell r="P2968" t="str">
            <v>VAN</v>
          </cell>
        </row>
        <row r="2969">
          <cell r="A2969">
            <v>31</v>
          </cell>
          <cell r="B2969">
            <v>31</v>
          </cell>
          <cell r="C2969" t="str">
            <v>CERO MATRICULA</v>
          </cell>
          <cell r="D2969" t="str">
            <v>ACTIVO</v>
          </cell>
          <cell r="E2969" t="str">
            <v>MOVIL CONTINGENCIA</v>
          </cell>
          <cell r="F2969" t="str">
            <v>MOVIL CONTINGENCIA</v>
          </cell>
          <cell r="G2969" t="str">
            <v>MOVIL CONTINGENCIA</v>
          </cell>
          <cell r="H2969" t="str">
            <v>MOVIL CONTINGENCIA</v>
          </cell>
          <cell r="I2969" t="str">
            <v>MOVIL CONTINGENCIA</v>
          </cell>
          <cell r="J2969" t="str">
            <v>MOVIL CONTINGENCIA</v>
          </cell>
          <cell r="K2969" t="str">
            <v>MOVIL CONTINGENCIA</v>
          </cell>
          <cell r="L2969" t="str">
            <v>MOVIL CONTINGENCIA</v>
          </cell>
          <cell r="M2969" t="str">
            <v>MOVIL CONTINGENCIA</v>
          </cell>
          <cell r="N2969">
            <v>45908</v>
          </cell>
          <cell r="O2969">
            <v>0</v>
          </cell>
          <cell r="P2969" t="str">
            <v>COMFORT</v>
          </cell>
        </row>
        <row r="2970">
          <cell r="A2970">
            <v>1550</v>
          </cell>
          <cell r="B2970">
            <v>1550</v>
          </cell>
          <cell r="C2970" t="str">
            <v>CERO MATRICULA</v>
          </cell>
          <cell r="D2970" t="str">
            <v>ACTIVO</v>
          </cell>
          <cell r="E2970" t="str">
            <v>CSZ400</v>
          </cell>
          <cell r="F2970" t="str">
            <v xml:space="preserve">Asencios Arteaga Edison Jair </v>
          </cell>
          <cell r="G2970" t="str">
            <v xml:space="preserve">Asencios Arteaga Edison Jair </v>
          </cell>
          <cell r="H2970" t="str">
            <v>42860978</v>
          </cell>
          <cell r="I2970" t="str">
            <v>BCP</v>
          </cell>
          <cell r="J2970" t="str">
            <v>19197498662094</v>
          </cell>
          <cell r="K2970" t="str">
            <v>DNI</v>
          </cell>
          <cell r="L2970">
            <v>10428609781</v>
          </cell>
          <cell r="M2970" t="str">
            <v>AEROPUERTO</v>
          </cell>
          <cell r="N2970">
            <v>45918</v>
          </cell>
          <cell r="O2970">
            <v>240</v>
          </cell>
          <cell r="P2970" t="str">
            <v>XL</v>
          </cell>
        </row>
        <row r="2971">
          <cell r="A2971">
            <v>1798</v>
          </cell>
          <cell r="B2971">
            <v>1798</v>
          </cell>
          <cell r="C2971" t="str">
            <v>CERO MATRICULA</v>
          </cell>
          <cell r="D2971" t="str">
            <v>ACTIVO</v>
          </cell>
          <cell r="E2971" t="str">
            <v>Bno307</v>
          </cell>
          <cell r="F2971" t="str">
            <v>Mercedes Julca Jose Elmer</v>
          </cell>
          <cell r="G2971" t="str">
            <v>Mercedes Julca Jose Elmer</v>
          </cell>
          <cell r="H2971" t="str">
            <v>46027320</v>
          </cell>
          <cell r="I2971" t="str">
            <v>BCP</v>
          </cell>
          <cell r="J2971" t="str">
            <v>19403816982035</v>
          </cell>
          <cell r="K2971" t="str">
            <v>DNI</v>
          </cell>
          <cell r="L2971">
            <v>10460273205</v>
          </cell>
          <cell r="M2971" t="str">
            <v>URBANO PARTNER</v>
          </cell>
          <cell r="N2971">
            <v>45925</v>
          </cell>
          <cell r="O2971">
            <v>0</v>
          </cell>
          <cell r="P2971" t="str">
            <v>LITE</v>
          </cell>
        </row>
        <row r="2972">
          <cell r="A2972">
            <v>3804</v>
          </cell>
          <cell r="B2972">
            <v>3804</v>
          </cell>
          <cell r="C2972" t="str">
            <v>CERO MATRICULA</v>
          </cell>
          <cell r="D2972" t="str">
            <v>ACTIVO</v>
          </cell>
          <cell r="E2972" t="str">
            <v>CTI126</v>
          </cell>
          <cell r="F2972" t="str">
            <v>Del valle De armas Sergio David</v>
          </cell>
          <cell r="G2972" t="str">
            <v>Del Valle De armas Sergio David</v>
          </cell>
          <cell r="H2972" t="str">
            <v>003300842</v>
          </cell>
          <cell r="I2972" t="str">
            <v>BBVA</v>
          </cell>
          <cell r="J2972" t="str">
            <v>001108490200349624</v>
          </cell>
          <cell r="K2972" t="str">
            <v>CARNET DE EXTRANJERÍA</v>
          </cell>
          <cell r="L2972">
            <v>15604007582</v>
          </cell>
          <cell r="M2972" t="str">
            <v>AEROLINEAS</v>
          </cell>
          <cell r="N2972">
            <v>45925</v>
          </cell>
          <cell r="O2972">
            <v>0</v>
          </cell>
          <cell r="P2972" t="str">
            <v>LITE</v>
          </cell>
        </row>
        <row r="2973">
          <cell r="A2973">
            <v>3816</v>
          </cell>
          <cell r="B2973">
            <v>3816</v>
          </cell>
          <cell r="C2973" t="str">
            <v>CERO MATRICULA</v>
          </cell>
          <cell r="D2973" t="str">
            <v>ACTIVO</v>
          </cell>
          <cell r="E2973" t="str">
            <v>CTZ008</v>
          </cell>
          <cell r="F2973" t="str">
            <v>Gutierrez Matute Sergio Rafael de jesus</v>
          </cell>
          <cell r="G2973" t="str">
            <v>Gutierrez Matute Sergio Rafael de jesus</v>
          </cell>
          <cell r="H2973" t="str">
            <v>003187566</v>
          </cell>
          <cell r="I2973" t="str">
            <v>BBVA</v>
          </cell>
          <cell r="J2973" t="str">
            <v>001103960200443408</v>
          </cell>
          <cell r="K2973" t="str">
            <v>CARNET DE EXTRANJERÍA</v>
          </cell>
          <cell r="L2973">
            <v>15605691479</v>
          </cell>
          <cell r="M2973" t="str">
            <v>AEROPUERTO</v>
          </cell>
          <cell r="N2973">
            <v>45902</v>
          </cell>
          <cell r="O2973">
            <v>240</v>
          </cell>
          <cell r="P2973" t="str">
            <v>XL</v>
          </cell>
        </row>
        <row r="2974">
          <cell r="A2974">
            <v>3827</v>
          </cell>
          <cell r="B2974">
            <v>3827</v>
          </cell>
          <cell r="C2974" t="str">
            <v>CERO MATRICULA</v>
          </cell>
          <cell r="D2974" t="str">
            <v>ACTIVO</v>
          </cell>
          <cell r="E2974" t="str">
            <v>CTW051</v>
          </cell>
          <cell r="F2974" t="str">
            <v>Iparraguirre Mamani Kevin</v>
          </cell>
          <cell r="G2974" t="str">
            <v>Iparraguirre Mamani Kevin</v>
          </cell>
          <cell r="H2974" t="str">
            <v>48322537</v>
          </cell>
          <cell r="I2974" t="str">
            <v>BBVA</v>
          </cell>
          <cell r="J2974" t="str">
            <v>001108140280530560</v>
          </cell>
          <cell r="K2974" t="str">
            <v>DNI</v>
          </cell>
          <cell r="L2974">
            <v>10483225372</v>
          </cell>
          <cell r="M2974" t="str">
            <v>AEROLINEAS</v>
          </cell>
          <cell r="N2974">
            <v>45925</v>
          </cell>
          <cell r="O2974">
            <v>0</v>
          </cell>
          <cell r="P2974" t="str">
            <v>LITE</v>
          </cell>
        </row>
        <row r="2975">
          <cell r="A2975">
            <v>3828</v>
          </cell>
          <cell r="B2975">
            <v>3828</v>
          </cell>
          <cell r="C2975" t="str">
            <v>CERO MATRICULA</v>
          </cell>
          <cell r="D2975" t="str">
            <v>ACTIVO</v>
          </cell>
          <cell r="E2975" t="str">
            <v>M4T097</v>
          </cell>
          <cell r="F2975" t="str">
            <v>Saldarriaga Olivera Marlon Nicolás</v>
          </cell>
          <cell r="G2975" t="str">
            <v>Saldarriaga Olivera Marlon Nicolás</v>
          </cell>
          <cell r="H2975">
            <v>43081678</v>
          </cell>
          <cell r="I2975" t="str">
            <v>BCP</v>
          </cell>
          <cell r="J2975" t="str">
            <v>19229580046033</v>
          </cell>
          <cell r="K2975" t="str">
            <v>DNI</v>
          </cell>
          <cell r="L2975">
            <v>10430816786</v>
          </cell>
          <cell r="M2975" t="str">
            <v>AEROLINEAS</v>
          </cell>
          <cell r="N2975">
            <v>45925</v>
          </cell>
          <cell r="O2975">
            <v>0</v>
          </cell>
          <cell r="P2975" t="str">
            <v>COMFORT XL</v>
          </cell>
        </row>
        <row r="2976">
          <cell r="A2976">
            <v>3838</v>
          </cell>
          <cell r="B2976">
            <v>3838</v>
          </cell>
          <cell r="C2976" t="str">
            <v>CERO MATRICULA</v>
          </cell>
          <cell r="D2976" t="str">
            <v>ACTIVO</v>
          </cell>
          <cell r="E2976" t="str">
            <v>CTH234</v>
          </cell>
          <cell r="F2976" t="str">
            <v>Donayre Mantilla Raúl Miguel</v>
          </cell>
          <cell r="G2976" t="str">
            <v>Donayre Mantilla Raúl Miguel</v>
          </cell>
          <cell r="H2976" t="str">
            <v>09637337</v>
          </cell>
          <cell r="I2976" t="str">
            <v>BCP</v>
          </cell>
          <cell r="J2976" t="str">
            <v>19299336028020</v>
          </cell>
          <cell r="K2976" t="str">
            <v>DNI</v>
          </cell>
          <cell r="L2976">
            <v>10096373371</v>
          </cell>
          <cell r="M2976" t="str">
            <v>AEROPUERTO</v>
          </cell>
          <cell r="N2976">
            <v>45909</v>
          </cell>
          <cell r="O2976">
            <v>235</v>
          </cell>
          <cell r="P2976" t="str">
            <v>COMFORT XL</v>
          </cell>
        </row>
        <row r="2977">
          <cell r="A2977">
            <v>3868</v>
          </cell>
          <cell r="B2977">
            <v>3868</v>
          </cell>
          <cell r="C2977" t="str">
            <v>CERO MATRICULA</v>
          </cell>
          <cell r="D2977" t="str">
            <v>ACTIVO</v>
          </cell>
          <cell r="E2977" t="str">
            <v>CTX348</v>
          </cell>
          <cell r="F2977" t="str">
            <v>Trujillo Medina Segundo</v>
          </cell>
          <cell r="G2977" t="str">
            <v>Trujillo Medina Segundo</v>
          </cell>
          <cell r="H2977" t="str">
            <v>05221465</v>
          </cell>
          <cell r="I2977" t="str">
            <v>INTERBANK</v>
          </cell>
          <cell r="J2977" t="str">
            <v>8983234130236</v>
          </cell>
          <cell r="K2977" t="str">
            <v>DNI</v>
          </cell>
          <cell r="L2977">
            <v>10052214659</v>
          </cell>
          <cell r="M2977" t="str">
            <v>AEROPUERTO</v>
          </cell>
          <cell r="N2977">
            <v>45923</v>
          </cell>
          <cell r="O2977">
            <v>235</v>
          </cell>
          <cell r="P2977" t="str">
            <v>COMFORT XL</v>
          </cell>
        </row>
        <row r="2978">
          <cell r="A2978">
            <v>3870</v>
          </cell>
          <cell r="B2978">
            <v>3870</v>
          </cell>
          <cell r="C2978" t="str">
            <v>CERO MATRICULA</v>
          </cell>
          <cell r="D2978" t="str">
            <v>ACTIVO</v>
          </cell>
          <cell r="E2978" t="str">
            <v>CUD597</v>
          </cell>
          <cell r="F2978" t="str">
            <v>Díaz Cordova Joao Jesús</v>
          </cell>
          <cell r="G2978" t="str">
            <v>Diaz Cordova Joao Jesús</v>
          </cell>
          <cell r="H2978" t="str">
            <v>46794792</v>
          </cell>
          <cell r="I2978" t="str">
            <v>BCP</v>
          </cell>
          <cell r="J2978" t="str">
            <v>57091244168079</v>
          </cell>
          <cell r="K2978" t="str">
            <v>DNI</v>
          </cell>
          <cell r="L2978">
            <v>10467947929</v>
          </cell>
          <cell r="M2978" t="str">
            <v>AEROPUERTO</v>
          </cell>
          <cell r="N2978">
            <v>45923</v>
          </cell>
          <cell r="O2978">
            <v>235</v>
          </cell>
          <cell r="P2978" t="str">
            <v>COMFORT XL</v>
          </cell>
        </row>
        <row r="2979">
          <cell r="A2979">
            <v>3871</v>
          </cell>
          <cell r="B2979">
            <v>3871</v>
          </cell>
          <cell r="C2979" t="str">
            <v>CERO MATRICULA</v>
          </cell>
          <cell r="D2979" t="str">
            <v>ACTIVO</v>
          </cell>
          <cell r="E2979" t="str">
            <v>CRL511</v>
          </cell>
          <cell r="F2979" t="str">
            <v>Rodríguez Torres Ruben</v>
          </cell>
          <cell r="G2979" t="str">
            <v>Rodriguez Torres Ruben</v>
          </cell>
          <cell r="H2979" t="str">
            <v>005242962</v>
          </cell>
          <cell r="I2979" t="str">
            <v>INTERBANK</v>
          </cell>
          <cell r="J2979" t="str">
            <v>8213407333860</v>
          </cell>
          <cell r="K2979" t="str">
            <v>CARNET DE EXTRANJERÍA</v>
          </cell>
          <cell r="L2979">
            <v>15611989081</v>
          </cell>
          <cell r="M2979" t="str">
            <v>AEROPUERTO</v>
          </cell>
          <cell r="N2979">
            <v>45923</v>
          </cell>
          <cell r="O2979">
            <v>265</v>
          </cell>
          <cell r="P2979" t="str">
            <v>LITE</v>
          </cell>
        </row>
        <row r="2980">
          <cell r="A2980">
            <v>3874</v>
          </cell>
          <cell r="B2980">
            <v>3874</v>
          </cell>
          <cell r="C2980" t="str">
            <v>CERO MATRICULA</v>
          </cell>
          <cell r="D2980" t="str">
            <v>ACTIVO</v>
          </cell>
          <cell r="E2980" t="str">
            <v>CUD595</v>
          </cell>
          <cell r="F2980" t="str">
            <v>Requena Olivos Marlon Martín</v>
          </cell>
          <cell r="G2980" t="str">
            <v>Requena Peña Luis Martin</v>
          </cell>
          <cell r="H2980" t="str">
            <v>74121872</v>
          </cell>
          <cell r="I2980" t="str">
            <v>INTERBANK</v>
          </cell>
          <cell r="J2980" t="str">
            <v>8983482817787</v>
          </cell>
          <cell r="K2980" t="str">
            <v>DNI</v>
          </cell>
          <cell r="L2980">
            <v>10741218726</v>
          </cell>
          <cell r="M2980" t="str">
            <v>AEROPUERTO</v>
          </cell>
          <cell r="N2980">
            <v>45925</v>
          </cell>
          <cell r="O2980">
            <v>235</v>
          </cell>
          <cell r="P2980" t="str">
            <v>COMFORT XL</v>
          </cell>
        </row>
        <row r="2981">
          <cell r="A2981">
            <v>3877</v>
          </cell>
          <cell r="B2981">
            <v>3877</v>
          </cell>
          <cell r="C2981" t="str">
            <v>CERO MATRICULA</v>
          </cell>
          <cell r="D2981" t="str">
            <v>ACTIVO</v>
          </cell>
          <cell r="E2981" t="str">
            <v>BEB353</v>
          </cell>
          <cell r="F2981" t="str">
            <v xml:space="preserve">Alberca Paucar Hilbert </v>
          </cell>
          <cell r="G2981" t="str">
            <v xml:space="preserve">Alberca Paucar Hilbert </v>
          </cell>
          <cell r="H2981" t="str">
            <v>46338600</v>
          </cell>
          <cell r="I2981" t="str">
            <v>BCP</v>
          </cell>
          <cell r="J2981" t="str">
            <v>19190442807069</v>
          </cell>
          <cell r="K2981" t="str">
            <v>DNI</v>
          </cell>
          <cell r="L2981">
            <v>10463386001</v>
          </cell>
          <cell r="M2981" t="str">
            <v>URBANO PARTNER</v>
          </cell>
          <cell r="N2981">
            <v>45923</v>
          </cell>
          <cell r="O2981">
            <v>0</v>
          </cell>
          <cell r="P2981" t="str">
            <v>COMFORT</v>
          </cell>
        </row>
        <row r="2982">
          <cell r="A2982">
            <v>3878</v>
          </cell>
          <cell r="B2982">
            <v>3878</v>
          </cell>
          <cell r="C2982" t="str">
            <v>CERO MATRICULA</v>
          </cell>
          <cell r="D2982" t="str">
            <v>ACTIVO</v>
          </cell>
          <cell r="E2982" t="str">
            <v>BLT646</v>
          </cell>
          <cell r="F2982" t="str">
            <v>Pinco Monge Socrates Abraham</v>
          </cell>
          <cell r="G2982" t="str">
            <v>Pinco Monge Socrates Abraham</v>
          </cell>
          <cell r="H2982" t="str">
            <v>70919557</v>
          </cell>
          <cell r="I2982" t="str">
            <v>BCP</v>
          </cell>
          <cell r="J2982" t="str">
            <v>19139540810011</v>
          </cell>
          <cell r="K2982" t="str">
            <v>DNI</v>
          </cell>
          <cell r="L2982">
            <v>10709195579</v>
          </cell>
          <cell r="M2982" t="str">
            <v>URBANO PARTNER</v>
          </cell>
          <cell r="N2982">
            <v>45923</v>
          </cell>
          <cell r="O2982">
            <v>0</v>
          </cell>
          <cell r="P2982" t="str">
            <v>LITE</v>
          </cell>
        </row>
        <row r="2983">
          <cell r="A2983">
            <v>3879</v>
          </cell>
          <cell r="B2983">
            <v>3879</v>
          </cell>
          <cell r="C2983" t="str">
            <v>CERO MATRICULA</v>
          </cell>
          <cell r="D2983" t="str">
            <v>ACTIVO</v>
          </cell>
          <cell r="E2983" t="str">
            <v>CUF652</v>
          </cell>
          <cell r="F2983" t="str">
            <v>Torres Muñoz Dey Haslet</v>
          </cell>
          <cell r="G2983" t="str">
            <v>Torres Muñoz Dey Haslet</v>
          </cell>
          <cell r="H2983" t="str">
            <v>70282573</v>
          </cell>
          <cell r="I2983" t="str">
            <v>BCP</v>
          </cell>
          <cell r="J2983" t="str">
            <v>19170525484060</v>
          </cell>
          <cell r="K2983" t="str">
            <v>DNI</v>
          </cell>
          <cell r="L2983">
            <v>10702825739</v>
          </cell>
          <cell r="M2983" t="str">
            <v>URBANO PARTNER</v>
          </cell>
          <cell r="N2983">
            <v>45923</v>
          </cell>
          <cell r="O2983">
            <v>0</v>
          </cell>
          <cell r="P2983" t="str">
            <v>COMFORT</v>
          </cell>
        </row>
        <row r="2984">
          <cell r="A2984">
            <v>3880</v>
          </cell>
          <cell r="B2984">
            <v>3880</v>
          </cell>
          <cell r="C2984" t="str">
            <v>CERO MATRICULA</v>
          </cell>
          <cell r="D2984" t="str">
            <v>ACTIVO</v>
          </cell>
          <cell r="E2984" t="str">
            <v>CUM610</v>
          </cell>
          <cell r="F2984" t="str">
            <v>Chávez Huarote Cesar Augusto</v>
          </cell>
          <cell r="G2984" t="str">
            <v>Chavez Huarote Cesar Augusto</v>
          </cell>
          <cell r="H2984" t="str">
            <v>07757538</v>
          </cell>
          <cell r="I2984" t="str">
            <v>BBVA</v>
          </cell>
          <cell r="J2984" t="str">
            <v>001108140252901677</v>
          </cell>
          <cell r="K2984" t="str">
            <v>DNI</v>
          </cell>
          <cell r="L2984">
            <v>10077575389</v>
          </cell>
          <cell r="M2984" t="str">
            <v>URBANO PARTNER</v>
          </cell>
          <cell r="N2984">
            <v>45923</v>
          </cell>
          <cell r="O2984">
            <v>0</v>
          </cell>
          <cell r="P2984" t="str">
            <v>COMFORT XL</v>
          </cell>
        </row>
        <row r="2985">
          <cell r="A2985">
            <v>3881</v>
          </cell>
          <cell r="B2985">
            <v>3881</v>
          </cell>
          <cell r="C2985" t="str">
            <v>CERO MATRICULA</v>
          </cell>
          <cell r="D2985" t="str">
            <v>ACTIVO</v>
          </cell>
          <cell r="E2985" t="str">
            <v>CTO382</v>
          </cell>
          <cell r="F2985" t="str">
            <v>Saenz Paulet Cesar Enrique</v>
          </cell>
          <cell r="G2985" t="str">
            <v>Saenz Paulet Cesar Enrique</v>
          </cell>
          <cell r="H2985" t="str">
            <v>07633939</v>
          </cell>
          <cell r="I2985" t="str">
            <v>BBVA</v>
          </cell>
          <cell r="J2985" t="str">
            <v>001108790200016165</v>
          </cell>
          <cell r="K2985" t="str">
            <v>DNI</v>
          </cell>
          <cell r="L2985">
            <v>10076339398</v>
          </cell>
          <cell r="M2985" t="str">
            <v>AEROLINEAS</v>
          </cell>
          <cell r="N2985">
            <v>45925</v>
          </cell>
          <cell r="O2985">
            <v>0</v>
          </cell>
          <cell r="P2985" t="str">
            <v>XL</v>
          </cell>
        </row>
        <row r="2986">
          <cell r="A2986">
            <v>3882</v>
          </cell>
          <cell r="B2986">
            <v>3882</v>
          </cell>
          <cell r="C2986" t="str">
            <v>CERO MATRICULA</v>
          </cell>
          <cell r="D2986" t="str">
            <v>ACTIVO</v>
          </cell>
          <cell r="E2986" t="str">
            <v>CRU577</v>
          </cell>
          <cell r="F2986" t="str">
            <v>Manosalva Ruiz Augusto Edgardo</v>
          </cell>
          <cell r="G2986" t="str">
            <v>Manosalva Ruiz Augusto Edgardo</v>
          </cell>
          <cell r="H2986" t="str">
            <v>43047113</v>
          </cell>
          <cell r="I2986" t="str">
            <v>BCP</v>
          </cell>
          <cell r="J2986" t="str">
            <v>191-11929356052</v>
          </cell>
          <cell r="K2986" t="str">
            <v>DNI</v>
          </cell>
          <cell r="L2986">
            <v>10430471134</v>
          </cell>
          <cell r="M2986" t="str">
            <v>AEROLINEAS</v>
          </cell>
          <cell r="N2986">
            <v>45925</v>
          </cell>
          <cell r="O2986">
            <v>0</v>
          </cell>
          <cell r="P2986" t="str">
            <v>LITE</v>
          </cell>
        </row>
        <row r="2987">
          <cell r="A2987">
            <v>3883</v>
          </cell>
          <cell r="B2987">
            <v>3883</v>
          </cell>
          <cell r="C2987" t="str">
            <v>CERO MATRICULA</v>
          </cell>
          <cell r="D2987" t="str">
            <v>ACTIVO</v>
          </cell>
          <cell r="E2987" t="str">
            <v>CTY296</v>
          </cell>
          <cell r="F2987" t="str">
            <v>Gómez García Juan Javier</v>
          </cell>
          <cell r="G2987" t="str">
            <v>Gomez García Juan Javier</v>
          </cell>
          <cell r="H2987" t="str">
            <v>09829100</v>
          </cell>
          <cell r="I2987" t="str">
            <v>BCP</v>
          </cell>
          <cell r="J2987" t="str">
            <v>19400197633028</v>
          </cell>
          <cell r="K2987" t="str">
            <v>DNI</v>
          </cell>
          <cell r="L2987">
            <v>10098291003</v>
          </cell>
          <cell r="M2987" t="str">
            <v>AEROLINEAS</v>
          </cell>
          <cell r="N2987">
            <v>45925</v>
          </cell>
          <cell r="O2987">
            <v>0</v>
          </cell>
          <cell r="P2987" t="str">
            <v>COMFORT XL</v>
          </cell>
        </row>
        <row r="2988">
          <cell r="A2988">
            <v>3884</v>
          </cell>
          <cell r="B2988">
            <v>3884</v>
          </cell>
          <cell r="C2988" t="str">
            <v>CERO MATRICULA</v>
          </cell>
          <cell r="D2988" t="str">
            <v>ACTIVO</v>
          </cell>
          <cell r="E2988" t="str">
            <v>CUB055</v>
          </cell>
          <cell r="F2988" t="str">
            <v xml:space="preserve">Viza Lluncor Manuel Antonio </v>
          </cell>
          <cell r="G2988" t="str">
            <v xml:space="preserve">Viza Lluncor Manuel Antonio </v>
          </cell>
          <cell r="H2988">
            <v>42946673</v>
          </cell>
          <cell r="I2988" t="str">
            <v>BCP</v>
          </cell>
          <cell r="J2988" t="str">
            <v>19104723274082</v>
          </cell>
          <cell r="K2988" t="str">
            <v>DNI</v>
          </cell>
          <cell r="L2988">
            <v>10429466739</v>
          </cell>
          <cell r="M2988" t="str">
            <v>AEROPUERTO</v>
          </cell>
          <cell r="N2988">
            <v>45925</v>
          </cell>
          <cell r="O2988">
            <v>235</v>
          </cell>
          <cell r="P2988" t="str">
            <v>COMFORT XL</v>
          </cell>
        </row>
        <row r="2989">
          <cell r="A2989">
            <v>3885</v>
          </cell>
          <cell r="B2989">
            <v>3885</v>
          </cell>
          <cell r="C2989" t="str">
            <v>CERO MATRICULA</v>
          </cell>
          <cell r="D2989" t="str">
            <v>ACTIVO</v>
          </cell>
          <cell r="E2989" t="str">
            <v>CUM572</v>
          </cell>
          <cell r="F2989" t="str">
            <v>Viera Reyes Juan Alexander</v>
          </cell>
          <cell r="G2989" t="str">
            <v>Viera Reyes Juan Alexander</v>
          </cell>
          <cell r="H2989" t="str">
            <v>48367829</v>
          </cell>
          <cell r="I2989" t="str">
            <v>BCP</v>
          </cell>
          <cell r="J2989" t="str">
            <v>19101786703049</v>
          </cell>
          <cell r="K2989" t="str">
            <v>DNI</v>
          </cell>
          <cell r="L2989">
            <v>10483678296</v>
          </cell>
          <cell r="M2989" t="str">
            <v>AEROLINEAS</v>
          </cell>
          <cell r="N2989">
            <v>45925</v>
          </cell>
          <cell r="O2989">
            <v>0</v>
          </cell>
          <cell r="P2989" t="str">
            <v>XL</v>
          </cell>
        </row>
        <row r="2990">
          <cell r="A2990">
            <v>3887</v>
          </cell>
          <cell r="B2990">
            <v>3887</v>
          </cell>
          <cell r="C2990" t="str">
            <v>CERO MATRICULA</v>
          </cell>
          <cell r="D2990" t="str">
            <v>ACTIVO</v>
          </cell>
          <cell r="E2990" t="str">
            <v>CPY426</v>
          </cell>
          <cell r="F2990" t="str">
            <v>Caso Sicos Alfredo Isaac - obs</v>
          </cell>
          <cell r="G2990" t="str">
            <v>Caso Sicos Robert Ulises</v>
          </cell>
          <cell r="H2990" t="str">
            <v>40188065</v>
          </cell>
          <cell r="I2990" t="str">
            <v>BCP</v>
          </cell>
          <cell r="J2990" t="str">
            <v>19110929626024</v>
          </cell>
          <cell r="K2990" t="str">
            <v>DNI</v>
          </cell>
          <cell r="L2990">
            <v>10401880653</v>
          </cell>
          <cell r="M2990" t="str">
            <v>URBANO PARTNER</v>
          </cell>
          <cell r="N2990">
            <v>45925</v>
          </cell>
          <cell r="O2990">
            <v>0</v>
          </cell>
          <cell r="P2990" t="str">
            <v>LITE</v>
          </cell>
        </row>
        <row r="2991">
          <cell r="A2991">
            <v>3888</v>
          </cell>
          <cell r="B2991">
            <v>3888</v>
          </cell>
          <cell r="C2991" t="str">
            <v>CERO MATRICULA</v>
          </cell>
          <cell r="D2991" t="str">
            <v>ACTIVO</v>
          </cell>
          <cell r="E2991" t="str">
            <v>BUD652</v>
          </cell>
          <cell r="F2991" t="str">
            <v>Rojas Marure Rolly Felipe</v>
          </cell>
          <cell r="G2991" t="str">
            <v>Rojas Marure Rolly Felipe</v>
          </cell>
          <cell r="H2991" t="str">
            <v>41197963</v>
          </cell>
          <cell r="I2991" t="str">
            <v>BCP</v>
          </cell>
          <cell r="J2991" t="str">
            <v>19195702675066</v>
          </cell>
          <cell r="K2991" t="str">
            <v>DNI</v>
          </cell>
          <cell r="L2991">
            <v>10411979631</v>
          </cell>
          <cell r="M2991" t="str">
            <v>AEROLINEAS</v>
          </cell>
          <cell r="N2991">
            <v>45925</v>
          </cell>
          <cell r="O2991">
            <v>0</v>
          </cell>
          <cell r="P2991" t="str">
            <v>COMFORT</v>
          </cell>
        </row>
        <row r="2992">
          <cell r="A2992">
            <v>9293</v>
          </cell>
          <cell r="B2992">
            <v>9293</v>
          </cell>
          <cell r="C2992" t="str">
            <v>CERO MATRICULA</v>
          </cell>
          <cell r="D2992" t="str">
            <v>ACTIVO</v>
          </cell>
          <cell r="E2992" t="str">
            <v>CTU052</v>
          </cell>
          <cell r="F2992" t="str">
            <v>Guerrero Carranza José abimael</v>
          </cell>
          <cell r="G2992" t="str">
            <v>Guerrero Carranza José abimael</v>
          </cell>
          <cell r="H2992" t="str">
            <v>73237811</v>
          </cell>
          <cell r="I2992" t="str">
            <v>BBVA</v>
          </cell>
          <cell r="J2992" t="str">
            <v>001108140282112138</v>
          </cell>
          <cell r="K2992" t="str">
            <v>DNI</v>
          </cell>
          <cell r="L2992">
            <v>10732378117</v>
          </cell>
          <cell r="M2992" t="str">
            <v>AEROPUERTO</v>
          </cell>
          <cell r="N2992">
            <v>45923</v>
          </cell>
          <cell r="O2992">
            <v>240</v>
          </cell>
          <cell r="P2992" t="str">
            <v>XL</v>
          </cell>
        </row>
        <row r="2993">
          <cell r="A2993">
            <v>3872</v>
          </cell>
          <cell r="B2993">
            <v>3872</v>
          </cell>
          <cell r="C2993" t="str">
            <v>CERO MATRICULA</v>
          </cell>
          <cell r="D2993" t="str">
            <v>ACTIVO</v>
          </cell>
          <cell r="E2993" t="str">
            <v>T7x397</v>
          </cell>
          <cell r="F2993" t="str">
            <v>Gómez Padilla Gilberto José</v>
          </cell>
          <cell r="G2993" t="str">
            <v>Gomez Padilla Gilberto José</v>
          </cell>
          <cell r="H2993" t="str">
            <v>007121694</v>
          </cell>
          <cell r="I2993" t="str">
            <v>BCP</v>
          </cell>
          <cell r="J2993" t="str">
            <v>57006370150049</v>
          </cell>
          <cell r="K2993" t="str">
            <v>CARNET DE EXTRANJERÍA</v>
          </cell>
          <cell r="L2993">
            <v>15613312690</v>
          </cell>
          <cell r="M2993" t="str">
            <v>AEROPUERTO</v>
          </cell>
          <cell r="N2993">
            <v>45923</v>
          </cell>
          <cell r="O2993">
            <v>265</v>
          </cell>
          <cell r="P2993" t="str">
            <v>LITE</v>
          </cell>
        </row>
        <row r="2994">
          <cell r="A2994">
            <v>3875</v>
          </cell>
          <cell r="B2994">
            <v>3875</v>
          </cell>
          <cell r="C2994" t="str">
            <v>CERO MATRICULA</v>
          </cell>
          <cell r="D2994" t="str">
            <v>ACTIVO</v>
          </cell>
          <cell r="E2994" t="str">
            <v>CPP115</v>
          </cell>
          <cell r="F2994" t="str">
            <v>Gómez Sánchez Carolina</v>
          </cell>
          <cell r="G2994" t="str">
            <v>Gomez Sánchez Carolina</v>
          </cell>
          <cell r="H2994" t="str">
            <v>41265062</v>
          </cell>
          <cell r="I2994" t="str">
            <v>BCP</v>
          </cell>
          <cell r="J2994" t="str">
            <v>19170429926037</v>
          </cell>
          <cell r="K2994" t="str">
            <v>DNI</v>
          </cell>
          <cell r="L2994">
            <v>10412650625</v>
          </cell>
          <cell r="M2994" t="str">
            <v>URBANO PARTNER</v>
          </cell>
          <cell r="N2994">
            <v>45930</v>
          </cell>
          <cell r="O2994">
            <v>0</v>
          </cell>
          <cell r="P2994" t="str">
            <v>LITE</v>
          </cell>
        </row>
        <row r="2995">
          <cell r="A2995">
            <v>3889</v>
          </cell>
          <cell r="B2995">
            <v>3889</v>
          </cell>
          <cell r="C2995" t="str">
            <v>CERO MATRICULA</v>
          </cell>
          <cell r="D2995" t="str">
            <v>ACTIVO</v>
          </cell>
          <cell r="E2995" t="str">
            <v>BZX620</v>
          </cell>
          <cell r="F2995" t="str">
            <v>Morales Gonzalez Jose david</v>
          </cell>
          <cell r="G2995" t="str">
            <v>Morales Gonzalez Jose david</v>
          </cell>
          <cell r="H2995" t="str">
            <v>003142374</v>
          </cell>
          <cell r="I2995" t="str">
            <v>BCP</v>
          </cell>
          <cell r="J2995" t="str">
            <v>19295100228035</v>
          </cell>
          <cell r="K2995" t="str">
            <v>CARNET DE EXTRANJERÍA</v>
          </cell>
          <cell r="L2995">
            <v>15605518718</v>
          </cell>
          <cell r="M2995" t="str">
            <v>AEROPUERTO</v>
          </cell>
          <cell r="N2995">
            <v>45925</v>
          </cell>
          <cell r="O2995">
            <v>235</v>
          </cell>
          <cell r="P2995" t="str">
            <v>COMFORT XL</v>
          </cell>
        </row>
        <row r="2996">
          <cell r="A2996">
            <v>3891</v>
          </cell>
          <cell r="B2996">
            <v>3891</v>
          </cell>
          <cell r="C2996" t="str">
            <v>CERO MATRICULA</v>
          </cell>
          <cell r="D2996" t="str">
            <v>ACTIVO</v>
          </cell>
          <cell r="E2996" t="str">
            <v>CSO349</v>
          </cell>
          <cell r="F2996" t="str">
            <v>Carrasquero Olivares Andrés Armando</v>
          </cell>
          <cell r="G2996" t="str">
            <v>Carrasquero Olivares Andrés Armando</v>
          </cell>
          <cell r="H2996" t="str">
            <v>003911398</v>
          </cell>
          <cell r="I2996" t="str">
            <v>BBVA</v>
          </cell>
          <cell r="J2996" t="str">
            <v>001103190200389179</v>
          </cell>
          <cell r="K2996" t="str">
            <v>CARNET DE EXTRANJERÍA</v>
          </cell>
          <cell r="L2996">
            <v>15605881472</v>
          </cell>
          <cell r="M2996" t="str">
            <v>AEROPUERTO</v>
          </cell>
          <cell r="N2996">
            <v>45930</v>
          </cell>
          <cell r="O2996">
            <v>240</v>
          </cell>
          <cell r="P2996" t="str">
            <v>COMFORT</v>
          </cell>
        </row>
        <row r="2997">
          <cell r="A2997">
            <v>3893</v>
          </cell>
          <cell r="B2997">
            <v>3893</v>
          </cell>
          <cell r="C2997" t="str">
            <v>CERO MATRICULA</v>
          </cell>
          <cell r="D2997" t="str">
            <v>ACTIVO</v>
          </cell>
          <cell r="E2997" t="str">
            <v>CPL034</v>
          </cell>
          <cell r="F2997" t="str">
            <v xml:space="preserve">Nina Cayo Maria Cristina </v>
          </cell>
          <cell r="G2997" t="str">
            <v xml:space="preserve">Nina Cayo Maria Cristina </v>
          </cell>
          <cell r="H2997" t="str">
            <v>00415961</v>
          </cell>
          <cell r="I2997" t="str">
            <v>INTERBANK</v>
          </cell>
          <cell r="J2997" t="str">
            <v>2003006144746</v>
          </cell>
          <cell r="K2997" t="str">
            <v>DNI</v>
          </cell>
          <cell r="L2997">
            <v>20612550485</v>
          </cell>
          <cell r="M2997" t="str">
            <v>AEROPUERTO</v>
          </cell>
          <cell r="N2997">
            <v>45930</v>
          </cell>
          <cell r="O2997">
            <v>235</v>
          </cell>
          <cell r="P2997" t="str">
            <v>COMFORT XL</v>
          </cell>
        </row>
        <row r="2998">
          <cell r="A2998">
            <v>3896</v>
          </cell>
          <cell r="B2998">
            <v>3896</v>
          </cell>
          <cell r="C2998" t="str">
            <v>CERO MATRICULA</v>
          </cell>
          <cell r="D2998" t="str">
            <v>ACTIVO</v>
          </cell>
          <cell r="E2998" t="str">
            <v>CUI190</v>
          </cell>
          <cell r="F2998" t="str">
            <v>Ortiz Cruz Aldair Sebastian</v>
          </cell>
          <cell r="G2998" t="str">
            <v>Ortiz Cruz Aldair Sebastian</v>
          </cell>
          <cell r="H2998" t="str">
            <v>72399853</v>
          </cell>
          <cell r="I2998" t="str">
            <v>BCP</v>
          </cell>
          <cell r="J2998" t="str">
            <v>19106070645064</v>
          </cell>
          <cell r="K2998" t="str">
            <v>DNI</v>
          </cell>
          <cell r="L2998">
            <v>10723998536</v>
          </cell>
          <cell r="M2998" t="str">
            <v>AEROPUERTO</v>
          </cell>
          <cell r="N2998">
            <v>45930</v>
          </cell>
          <cell r="O2998">
            <v>265</v>
          </cell>
          <cell r="P2998" t="str">
            <v>LITE</v>
          </cell>
        </row>
        <row r="2999">
          <cell r="A2999">
            <v>3897</v>
          </cell>
          <cell r="B2999">
            <v>3897</v>
          </cell>
          <cell r="C2999" t="str">
            <v>CERO MATRICULA</v>
          </cell>
          <cell r="D2999" t="str">
            <v>ACTIVO</v>
          </cell>
          <cell r="E2999" t="str">
            <v>CNU129</v>
          </cell>
          <cell r="F2999" t="str">
            <v>Peña Aguirre Ernesto segundo</v>
          </cell>
          <cell r="G2999" t="str">
            <v>Peña Aguirre Ernesto segundo</v>
          </cell>
          <cell r="H2999" t="str">
            <v>006710895</v>
          </cell>
          <cell r="I2999" t="str">
            <v>BBVA</v>
          </cell>
          <cell r="J2999" t="str">
            <v>001108310200354786</v>
          </cell>
          <cell r="K2999" t="str">
            <v>CARNET DE EXTRANJERÍA</v>
          </cell>
          <cell r="L2999">
            <v>15614745387</v>
          </cell>
          <cell r="M2999" t="str">
            <v>URBANO PARTNER</v>
          </cell>
          <cell r="N2999">
            <v>45930</v>
          </cell>
          <cell r="O2999">
            <v>0</v>
          </cell>
          <cell r="P2999" t="str">
            <v>LITE</v>
          </cell>
        </row>
        <row r="3000">
          <cell r="A3000">
            <v>3898</v>
          </cell>
          <cell r="B3000">
            <v>3898</v>
          </cell>
          <cell r="C3000" t="str">
            <v>CERO MATRICULA</v>
          </cell>
          <cell r="D3000" t="str">
            <v>ACTIVO</v>
          </cell>
          <cell r="E3000" t="str">
            <v>CTH087</v>
          </cell>
          <cell r="F3000" t="str">
            <v>Espinoza Mayta Mitchell Leonel</v>
          </cell>
          <cell r="G3000" t="str">
            <v>Espinoza Mayta Mitchell Leonel</v>
          </cell>
          <cell r="H3000" t="str">
            <v>43620321</v>
          </cell>
          <cell r="I3000" t="str">
            <v>INTERBANK</v>
          </cell>
          <cell r="J3000" t="str">
            <v>2003310579721</v>
          </cell>
          <cell r="K3000" t="str">
            <v>DNI</v>
          </cell>
          <cell r="L3000">
            <v>10436203212</v>
          </cell>
          <cell r="M3000" t="str">
            <v>URBANO PARTNER</v>
          </cell>
          <cell r="N3000">
            <v>45930</v>
          </cell>
          <cell r="O3000">
            <v>0</v>
          </cell>
          <cell r="P3000" t="str">
            <v>COMFORT</v>
          </cell>
        </row>
        <row r="3001">
          <cell r="A3001">
            <v>3899</v>
          </cell>
          <cell r="B3001">
            <v>3899</v>
          </cell>
          <cell r="C3001" t="str">
            <v>CERO MATRICULA</v>
          </cell>
          <cell r="D3001" t="str">
            <v>ACTIVO</v>
          </cell>
          <cell r="E3001" t="str">
            <v>CTV114</v>
          </cell>
          <cell r="F3001" t="str">
            <v>Zuzunaga Camargo Sergio Carlos</v>
          </cell>
          <cell r="G3001" t="str">
            <v>Zuzunaga Camargo Sergio Carlos</v>
          </cell>
          <cell r="H3001" t="str">
            <v>06668497</v>
          </cell>
          <cell r="I3001" t="str">
            <v>INTERBANK</v>
          </cell>
          <cell r="J3001" t="str">
            <v>4363431791150</v>
          </cell>
          <cell r="K3001" t="str">
            <v>DNI</v>
          </cell>
          <cell r="L3001">
            <v>10066684976</v>
          </cell>
          <cell r="M3001" t="str">
            <v>URBANO PARTNER</v>
          </cell>
          <cell r="N3001">
            <v>45930</v>
          </cell>
          <cell r="O3001">
            <v>0</v>
          </cell>
          <cell r="P3001" t="str">
            <v>COMFORT XL</v>
          </cell>
        </row>
        <row r="3002">
          <cell r="A3002">
            <v>3900</v>
          </cell>
          <cell r="B3002">
            <v>3900</v>
          </cell>
          <cell r="C3002" t="str">
            <v>CERO MATRICULA</v>
          </cell>
          <cell r="D3002" t="str">
            <v>ACTIVO</v>
          </cell>
          <cell r="E3002" t="str">
            <v>CUH527</v>
          </cell>
          <cell r="F3002" t="str">
            <v>Chumacero Pedemonte Jorge Arturo</v>
          </cell>
          <cell r="G3002" t="str">
            <v>Chumacero Pedemonte Jorge Arturo</v>
          </cell>
          <cell r="H3002" t="str">
            <v>40525225</v>
          </cell>
          <cell r="I3002" t="str">
            <v>BBVA</v>
          </cell>
          <cell r="J3002" t="str">
            <v>001101380200410115</v>
          </cell>
          <cell r="K3002" t="str">
            <v>DNI</v>
          </cell>
          <cell r="L3002">
            <v>10405252258</v>
          </cell>
          <cell r="M3002" t="str">
            <v>URBANO PARTNER</v>
          </cell>
          <cell r="N3002">
            <v>45930</v>
          </cell>
          <cell r="O3002">
            <v>0</v>
          </cell>
          <cell r="P3002" t="str">
            <v>COMFORT</v>
          </cell>
        </row>
        <row r="3003">
          <cell r="A3003">
            <v>3901</v>
          </cell>
          <cell r="B3003">
            <v>3901</v>
          </cell>
          <cell r="C3003" t="str">
            <v>CERO MATRICULA</v>
          </cell>
          <cell r="D3003" t="str">
            <v>ACTIVO</v>
          </cell>
          <cell r="E3003" t="str">
            <v>CMS108</v>
          </cell>
          <cell r="F3003" t="str">
            <v>Papa Saldarriaga Felix Enrique</v>
          </cell>
          <cell r="G3003" t="str">
            <v>Papa Saldarriaga Felix Enrique</v>
          </cell>
          <cell r="H3003" t="str">
            <v>42787534</v>
          </cell>
          <cell r="I3003" t="str">
            <v>BCP</v>
          </cell>
          <cell r="J3003" t="str">
            <v>19102831300098</v>
          </cell>
          <cell r="K3003" t="str">
            <v>DNI</v>
          </cell>
          <cell r="L3003">
            <v>10427875348</v>
          </cell>
          <cell r="M3003" t="str">
            <v>URBANO PARTNER</v>
          </cell>
          <cell r="N3003">
            <v>45930</v>
          </cell>
          <cell r="O3003">
            <v>0</v>
          </cell>
          <cell r="P3003" t="str">
            <v>LITE</v>
          </cell>
        </row>
        <row r="3004">
          <cell r="A3004">
            <v>3902</v>
          </cell>
          <cell r="B3004">
            <v>3902</v>
          </cell>
          <cell r="C3004" t="str">
            <v>CERO MATRICULA</v>
          </cell>
          <cell r="D3004" t="str">
            <v>ACTIVO</v>
          </cell>
          <cell r="E3004" t="str">
            <v>CTX073</v>
          </cell>
          <cell r="F3004" t="str">
            <v>Rivas Plata Gálvez Hugo</v>
          </cell>
          <cell r="G3004" t="str">
            <v>Rivas Plata Gálvez Hugo</v>
          </cell>
          <cell r="H3004" t="str">
            <v>08749204</v>
          </cell>
          <cell r="I3004" t="str">
            <v>BCP</v>
          </cell>
          <cell r="J3004" t="str">
            <v>19401571547020</v>
          </cell>
          <cell r="K3004" t="str">
            <v>DNI</v>
          </cell>
          <cell r="L3004">
            <v>10087492040</v>
          </cell>
          <cell r="M3004" t="str">
            <v>URBANO PARTNER</v>
          </cell>
          <cell r="N3004">
            <v>45930</v>
          </cell>
          <cell r="O3004">
            <v>0</v>
          </cell>
          <cell r="P3004" t="str">
            <v>COMFORT</v>
          </cell>
        </row>
        <row r="3005">
          <cell r="A3005">
            <v>3903</v>
          </cell>
          <cell r="B3005">
            <v>3903</v>
          </cell>
          <cell r="C3005" t="str">
            <v>CERO MATRICULA</v>
          </cell>
          <cell r="D3005" t="str">
            <v>ACTIVO</v>
          </cell>
          <cell r="E3005" t="str">
            <v>CUC546</v>
          </cell>
          <cell r="F3005" t="str">
            <v>Quispe Campos Bernabe</v>
          </cell>
          <cell r="G3005" t="str">
            <v>Quispe Campos Bernabe</v>
          </cell>
          <cell r="H3005" t="str">
            <v>46747633</v>
          </cell>
          <cell r="I3005" t="str">
            <v>BCP</v>
          </cell>
          <cell r="J3005" t="str">
            <v>19436303986091</v>
          </cell>
          <cell r="K3005" t="str">
            <v>DNI</v>
          </cell>
          <cell r="L3005">
            <v>10467476331</v>
          </cell>
          <cell r="M3005" t="str">
            <v>URBANO PARTNER</v>
          </cell>
          <cell r="N3005">
            <v>45930</v>
          </cell>
          <cell r="O3005">
            <v>0</v>
          </cell>
          <cell r="P3005" t="str">
            <v>COMFORT XL</v>
          </cell>
        </row>
        <row r="3006">
          <cell r="A3006">
            <v>3904</v>
          </cell>
          <cell r="B3006">
            <v>3904</v>
          </cell>
          <cell r="C3006" t="str">
            <v>CERO MATRICULA</v>
          </cell>
          <cell r="D3006" t="str">
            <v>ACTIVO</v>
          </cell>
          <cell r="E3006" t="str">
            <v>CUM215</v>
          </cell>
          <cell r="F3006" t="str">
            <v>Rivera Torres Yohan Carlos</v>
          </cell>
          <cell r="G3006" t="str">
            <v>Rivera Torres Yohan Carlos</v>
          </cell>
          <cell r="H3006" t="str">
            <v>007302034</v>
          </cell>
          <cell r="I3006" t="str">
            <v>BBVA</v>
          </cell>
          <cell r="J3006" t="str">
            <v>001103350200468084</v>
          </cell>
          <cell r="K3006" t="str">
            <v>CARNET DE EXTRANJERÍA</v>
          </cell>
          <cell r="L3006">
            <v>15611516697</v>
          </cell>
          <cell r="M3006" t="str">
            <v>URBANO PARTNER</v>
          </cell>
          <cell r="N3006">
            <v>45930</v>
          </cell>
          <cell r="O3006">
            <v>0</v>
          </cell>
          <cell r="P3006" t="str">
            <v>XL</v>
          </cell>
        </row>
        <row r="3007">
          <cell r="A3007">
            <v>3905</v>
          </cell>
          <cell r="B3007">
            <v>3905</v>
          </cell>
          <cell r="C3007" t="str">
            <v>CERO MATRICULA</v>
          </cell>
          <cell r="D3007" t="str">
            <v>ACTIVO</v>
          </cell>
          <cell r="E3007" t="str">
            <v>CJM455</v>
          </cell>
          <cell r="F3007" t="str">
            <v>Sánchez Perasso Alberto German</v>
          </cell>
          <cell r="G3007" t="str">
            <v>Sanchez Perasso Alberto German</v>
          </cell>
          <cell r="H3007" t="str">
            <v>43402154</v>
          </cell>
          <cell r="I3007" t="str">
            <v>SCOTIABANK</v>
          </cell>
          <cell r="J3007" t="str">
            <v>0457550036</v>
          </cell>
          <cell r="K3007" t="str">
            <v>DNI</v>
          </cell>
          <cell r="L3007">
            <v>10434021541</v>
          </cell>
          <cell r="M3007" t="str">
            <v>AEROLINEAS</v>
          </cell>
          <cell r="N3007">
            <v>45932</v>
          </cell>
          <cell r="O3007">
            <v>0</v>
          </cell>
          <cell r="P3007" t="str">
            <v>COMFORT XL</v>
          </cell>
        </row>
        <row r="3008">
          <cell r="A3008">
            <v>3906</v>
          </cell>
          <cell r="B3008">
            <v>3906</v>
          </cell>
          <cell r="C3008" t="str">
            <v>CERO MATRICULA</v>
          </cell>
          <cell r="D3008" t="str">
            <v>ACTIVO</v>
          </cell>
          <cell r="E3008" t="str">
            <v>CTD145</v>
          </cell>
          <cell r="F3008" t="str">
            <v>Petit Infante Joniver José</v>
          </cell>
          <cell r="G3008" t="str">
            <v>Petit Infante Joniver José</v>
          </cell>
          <cell r="H3008" t="str">
            <v>004569551</v>
          </cell>
          <cell r="I3008" t="str">
            <v>BCP</v>
          </cell>
          <cell r="J3008" t="str">
            <v>19197831970069</v>
          </cell>
          <cell r="K3008" t="str">
            <v>CARNET DE EXTRANJERÍA</v>
          </cell>
          <cell r="L3008">
            <v>15604970561</v>
          </cell>
          <cell r="M3008" t="str">
            <v>AEROLINEAS</v>
          </cell>
          <cell r="N3008">
            <v>45932</v>
          </cell>
          <cell r="O3008">
            <v>0</v>
          </cell>
          <cell r="P3008" t="str">
            <v>LITE</v>
          </cell>
        </row>
        <row r="3009">
          <cell r="A3009">
            <v>3907</v>
          </cell>
          <cell r="B3009">
            <v>3907</v>
          </cell>
          <cell r="C3009" t="str">
            <v>CERO MATRICULA</v>
          </cell>
          <cell r="D3009" t="str">
            <v>ACTIVO</v>
          </cell>
          <cell r="E3009" t="str">
            <v>CNG005</v>
          </cell>
          <cell r="F3009" t="str">
            <v>Bruno Santos Luis Gianfranco</v>
          </cell>
          <cell r="G3009" t="str">
            <v>Bruno Santos Luis Gianfranco</v>
          </cell>
          <cell r="H3009" t="str">
            <v>44191677</v>
          </cell>
          <cell r="I3009" t="str">
            <v>BCP</v>
          </cell>
          <cell r="J3009" t="str">
            <v>19400965786039</v>
          </cell>
          <cell r="K3009" t="str">
            <v>DNI</v>
          </cell>
          <cell r="L3009">
            <v>10441916774</v>
          </cell>
          <cell r="M3009" t="str">
            <v>URBANO PARTNER</v>
          </cell>
          <cell r="N3009">
            <v>45932</v>
          </cell>
          <cell r="O3009">
            <v>0</v>
          </cell>
          <cell r="P3009" t="str">
            <v>LITE</v>
          </cell>
        </row>
        <row r="3010">
          <cell r="A3010">
            <v>3908</v>
          </cell>
          <cell r="B3010">
            <v>3908</v>
          </cell>
          <cell r="C3010" t="str">
            <v>CERO MATRICULA</v>
          </cell>
          <cell r="D3010" t="str">
            <v>ACTIVO</v>
          </cell>
          <cell r="E3010" t="str">
            <v>CUF191</v>
          </cell>
          <cell r="F3010" t="str">
            <v>Braga Tuesta Erick Jhamir</v>
          </cell>
          <cell r="G3010" t="str">
            <v>Braga Tuesta Erick Jhamir</v>
          </cell>
          <cell r="H3010" t="str">
            <v>74503043</v>
          </cell>
          <cell r="I3010" t="str">
            <v>BCP</v>
          </cell>
          <cell r="J3010" t="str">
            <v>19172098325089</v>
          </cell>
          <cell r="K3010" t="str">
            <v>DNI</v>
          </cell>
          <cell r="L3010">
            <v>10745030438</v>
          </cell>
          <cell r="M3010" t="str">
            <v>AEROLINEAS</v>
          </cell>
          <cell r="N3010">
            <v>45932</v>
          </cell>
          <cell r="O3010">
            <v>0</v>
          </cell>
          <cell r="P3010" t="str">
            <v>XL</v>
          </cell>
        </row>
        <row r="3011">
          <cell r="A3011">
            <v>3910</v>
          </cell>
          <cell r="B3011">
            <v>3910</v>
          </cell>
          <cell r="C3011" t="str">
            <v>CERO MATRICULA</v>
          </cell>
          <cell r="D3011" t="str">
            <v>ACTIVO</v>
          </cell>
          <cell r="E3011" t="str">
            <v>CTU172</v>
          </cell>
          <cell r="F3011" t="str">
            <v>Puente Malparida Hugo Dante</v>
          </cell>
          <cell r="G3011" t="str">
            <v>Puente Malparida Hugo Dante</v>
          </cell>
          <cell r="H3011" t="str">
            <v>04083267</v>
          </cell>
          <cell r="I3011" t="str">
            <v>BBVA</v>
          </cell>
          <cell r="J3011" t="str">
            <v>0011034502001552</v>
          </cell>
          <cell r="K3011" t="str">
            <v>DNI</v>
          </cell>
          <cell r="L3011">
            <v>10040832675</v>
          </cell>
          <cell r="M3011" t="str">
            <v>AEROLINEAS</v>
          </cell>
          <cell r="N3011">
            <v>45932</v>
          </cell>
          <cell r="O3011">
            <v>0</v>
          </cell>
          <cell r="P3011" t="str">
            <v>XL</v>
          </cell>
        </row>
        <row r="3012">
          <cell r="A3012">
            <v>9191</v>
          </cell>
          <cell r="B3012">
            <v>9191</v>
          </cell>
          <cell r="C3012" t="str">
            <v>CERO MATRICULA</v>
          </cell>
          <cell r="D3012" t="str">
            <v>ACTIVO</v>
          </cell>
          <cell r="E3012" t="str">
            <v>CKP509</v>
          </cell>
          <cell r="F3012" t="str">
            <v>Soto Eizaga Diomedes de Jesús</v>
          </cell>
          <cell r="G3012" t="str">
            <v>Soto Eizaga Diomedes de Jesús</v>
          </cell>
          <cell r="H3012" t="str">
            <v>006291393</v>
          </cell>
          <cell r="I3012" t="str">
            <v>BCP</v>
          </cell>
          <cell r="J3012" t="str">
            <v>19104797482039</v>
          </cell>
          <cell r="K3012" t="str">
            <v>CE</v>
          </cell>
          <cell r="L3012">
            <v>15610445141</v>
          </cell>
          <cell r="M3012" t="str">
            <v>URBANO PARTNER</v>
          </cell>
          <cell r="N3012">
            <v>45930</v>
          </cell>
          <cell r="O3012">
            <v>0</v>
          </cell>
          <cell r="P3012" t="str">
            <v>COMFORT XL</v>
          </cell>
        </row>
        <row r="3013">
          <cell r="A3013">
            <v>8095</v>
          </cell>
          <cell r="B3013">
            <v>8095</v>
          </cell>
          <cell r="C3013" t="str">
            <v>CERO MATRICULA</v>
          </cell>
          <cell r="D3013" t="str">
            <v>ACTIVO</v>
          </cell>
          <cell r="E3013" t="str">
            <v>CTC024</v>
          </cell>
          <cell r="F3013" t="str">
            <v>Edson Roberto Moreno</v>
          </cell>
          <cell r="G3013" t="str">
            <v>EDSON ROBERTO MORENO MEDINA</v>
          </cell>
          <cell r="H3013" t="str">
            <v>42405348</v>
          </cell>
          <cell r="I3013" t="str">
            <v>BCP</v>
          </cell>
          <cell r="J3013" t="str">
            <v>19203679888056</v>
          </cell>
          <cell r="K3013" t="str">
            <v>DNI</v>
          </cell>
          <cell r="L3013">
            <v>10424053487</v>
          </cell>
          <cell r="M3013" t="str">
            <v>AEROPUERTO</v>
          </cell>
          <cell r="N3013">
            <v>45950</v>
          </cell>
          <cell r="O3013">
            <v>235</v>
          </cell>
          <cell r="P3013" t="str">
            <v>COMFORT XL</v>
          </cell>
        </row>
        <row r="3014">
          <cell r="A3014">
            <v>3373</v>
          </cell>
          <cell r="B3014">
            <v>3373</v>
          </cell>
          <cell r="C3014" t="str">
            <v>CERO MATRICULA</v>
          </cell>
          <cell r="D3014" t="str">
            <v>ACTIVO</v>
          </cell>
          <cell r="E3014" t="str">
            <v>CPA037</v>
          </cell>
          <cell r="F3014" t="str">
            <v>Gomez Salinas Jorge Mariano</v>
          </cell>
          <cell r="G3014" t="str">
            <v>Gomez Salinas Jorge Mariano</v>
          </cell>
          <cell r="H3014" t="str">
            <v>44170876</v>
          </cell>
          <cell r="I3014" t="str">
            <v>BCP</v>
          </cell>
          <cell r="J3014" t="str">
            <v>19135798450048</v>
          </cell>
          <cell r="K3014" t="str">
            <v>DNI</v>
          </cell>
          <cell r="L3014">
            <v>10441708764</v>
          </cell>
          <cell r="M3014" t="str">
            <v>URBANO PARTNER</v>
          </cell>
          <cell r="N3014">
            <v>45937</v>
          </cell>
          <cell r="O3014">
            <v>0</v>
          </cell>
          <cell r="P3014" t="str">
            <v>COMFORT XL</v>
          </cell>
        </row>
        <row r="3015">
          <cell r="A3015">
            <v>3876</v>
          </cell>
          <cell r="B3015">
            <v>3876</v>
          </cell>
          <cell r="C3015" t="str">
            <v>CERO MATRICULA</v>
          </cell>
          <cell r="D3015" t="str">
            <v>ACTIVO</v>
          </cell>
          <cell r="E3015" t="str">
            <v>CDM348</v>
          </cell>
          <cell r="F3015" t="str">
            <v>Canchari Lorenzo Edwin Miguel</v>
          </cell>
          <cell r="G3015" t="str">
            <v>Canchari Lorenzo Edwin Miguel</v>
          </cell>
          <cell r="H3015" t="str">
            <v>43622743</v>
          </cell>
          <cell r="I3015" t="str">
            <v>BBVA</v>
          </cell>
          <cell r="J3015" t="str">
            <v>001109700200361428</v>
          </cell>
          <cell r="K3015" t="str">
            <v>DNI</v>
          </cell>
          <cell r="L3015">
            <v>10436227430</v>
          </cell>
          <cell r="M3015" t="str">
            <v>URBANO PARTNER</v>
          </cell>
          <cell r="N3015">
            <v>45937</v>
          </cell>
          <cell r="O3015">
            <v>0</v>
          </cell>
          <cell r="P3015" t="str">
            <v>COMFORT XL</v>
          </cell>
        </row>
        <row r="3016">
          <cell r="A3016">
            <v>3894</v>
          </cell>
          <cell r="B3016">
            <v>3894</v>
          </cell>
          <cell r="C3016" t="str">
            <v>CERO MATRICULA</v>
          </cell>
          <cell r="D3016" t="str">
            <v>ACTIVO</v>
          </cell>
          <cell r="E3016" t="str">
            <v>CUD594</v>
          </cell>
          <cell r="F3016" t="str">
            <v>Rodriguez Torrez Carlos Arturo</v>
          </cell>
          <cell r="G3016" t="str">
            <v>Rodriguez Torrez Carlos Arturo</v>
          </cell>
          <cell r="H3016" t="str">
            <v>46759145</v>
          </cell>
          <cell r="I3016" t="str">
            <v>BCP</v>
          </cell>
          <cell r="J3016" t="str">
            <v>19171213134057</v>
          </cell>
          <cell r="K3016" t="str">
            <v>DNI</v>
          </cell>
          <cell r="L3016">
            <v>10467591458</v>
          </cell>
          <cell r="M3016" t="str">
            <v>AEROPUERTO</v>
          </cell>
          <cell r="N3016">
            <v>45930</v>
          </cell>
          <cell r="O3016">
            <v>235</v>
          </cell>
          <cell r="P3016" t="str">
            <v>COMFORT XL</v>
          </cell>
        </row>
        <row r="3017">
          <cell r="A3017">
            <v>3911</v>
          </cell>
          <cell r="B3017">
            <v>3911</v>
          </cell>
          <cell r="C3017" t="str">
            <v>CERO MATRICULA</v>
          </cell>
          <cell r="D3017" t="str">
            <v>ACTIVO</v>
          </cell>
          <cell r="E3017" t="str">
            <v>AZE074</v>
          </cell>
          <cell r="F3017" t="str">
            <v>Yturry Farro Carlos Fabrizio</v>
          </cell>
          <cell r="G3017" t="str">
            <v>Yturry Farro Carlos Fabrizio</v>
          </cell>
          <cell r="H3017" t="str">
            <v>72854190</v>
          </cell>
          <cell r="I3017" t="str">
            <v>BCP</v>
          </cell>
          <cell r="J3017" t="str">
            <v>19300533800091</v>
          </cell>
          <cell r="K3017" t="str">
            <v>DNI</v>
          </cell>
          <cell r="L3017">
            <v>10728541909</v>
          </cell>
          <cell r="M3017" t="str">
            <v>MEMBRESÍA NOCTURNA - APTO</v>
          </cell>
          <cell r="N3017">
            <v>45937</v>
          </cell>
          <cell r="O3017">
            <v>285</v>
          </cell>
          <cell r="P3017" t="str">
            <v>COMFORT XL</v>
          </cell>
        </row>
        <row r="3018">
          <cell r="A3018">
            <v>3912</v>
          </cell>
          <cell r="B3018">
            <v>3912</v>
          </cell>
          <cell r="C3018" t="str">
            <v>CERO MATRICULA</v>
          </cell>
          <cell r="D3018" t="str">
            <v>ACTIVO</v>
          </cell>
          <cell r="E3018" t="str">
            <v>BKV429</v>
          </cell>
          <cell r="F3018" t="str">
            <v xml:space="preserve">Rivera Quispe Brus William </v>
          </cell>
          <cell r="G3018" t="str">
            <v xml:space="preserve">Moya Jackelin Shirlley </v>
          </cell>
          <cell r="H3018">
            <v>45200442</v>
          </cell>
          <cell r="I3018" t="str">
            <v>BCP</v>
          </cell>
          <cell r="J3018" t="str">
            <v>19105250287019</v>
          </cell>
          <cell r="K3018" t="str">
            <v>DNI</v>
          </cell>
          <cell r="L3018">
            <v>10452004424</v>
          </cell>
          <cell r="M3018" t="str">
            <v>MEMBRESÍA NOCTURNA - APTO</v>
          </cell>
          <cell r="N3018">
            <v>45937</v>
          </cell>
          <cell r="O3018">
            <v>315</v>
          </cell>
          <cell r="P3018" t="str">
            <v>LITE</v>
          </cell>
        </row>
        <row r="3019">
          <cell r="A3019">
            <v>3913</v>
          </cell>
          <cell r="B3019">
            <v>3913</v>
          </cell>
          <cell r="C3019" t="str">
            <v>CERO MATRICULA</v>
          </cell>
          <cell r="D3019" t="str">
            <v>ACTIVO</v>
          </cell>
          <cell r="E3019" t="str">
            <v>CSP250</v>
          </cell>
          <cell r="F3019" t="str">
            <v>Vásquez Aquino Sergio Virgilio</v>
          </cell>
          <cell r="G3019" t="str">
            <v>Vasquez Aquino Sergio Virgilio</v>
          </cell>
          <cell r="H3019" t="str">
            <v>08878882</v>
          </cell>
          <cell r="I3019" t="str">
            <v>BCP</v>
          </cell>
          <cell r="J3019" t="str">
            <v>19316978132026</v>
          </cell>
          <cell r="K3019" t="str">
            <v>DNI</v>
          </cell>
          <cell r="L3019">
            <v>10088788821</v>
          </cell>
          <cell r="M3019" t="str">
            <v>MEMBRESÍA NOCTURNA - APTO</v>
          </cell>
          <cell r="N3019">
            <v>45937</v>
          </cell>
          <cell r="O3019">
            <v>315</v>
          </cell>
          <cell r="P3019" t="str">
            <v>LITE</v>
          </cell>
        </row>
        <row r="3020">
          <cell r="A3020">
            <v>3914</v>
          </cell>
          <cell r="B3020">
            <v>3914</v>
          </cell>
          <cell r="C3020" t="str">
            <v>CERO MATRICULA</v>
          </cell>
          <cell r="D3020" t="str">
            <v>ACTIVO</v>
          </cell>
          <cell r="E3020" t="str">
            <v>AXZ566</v>
          </cell>
          <cell r="F3020" t="str">
            <v xml:space="preserve">Suikowsky Torcatt Jonathan jormil </v>
          </cell>
          <cell r="G3020" t="str">
            <v xml:space="preserve">Suikowsky Torcatt Jonathan jormil </v>
          </cell>
          <cell r="H3020" t="str">
            <v>003086916</v>
          </cell>
          <cell r="I3020" t="str">
            <v>BCP</v>
          </cell>
          <cell r="J3020" t="str">
            <v>19107181907051</v>
          </cell>
          <cell r="K3020" t="str">
            <v>CARNET DE EXTRANJERÍA</v>
          </cell>
          <cell r="L3020">
            <v>15604453183</v>
          </cell>
          <cell r="M3020" t="str">
            <v>MEMBRESÍA NOCTURNA - APTO</v>
          </cell>
          <cell r="N3020">
            <v>45937</v>
          </cell>
          <cell r="O3020">
            <v>285</v>
          </cell>
          <cell r="P3020" t="str">
            <v>COMFORT XL</v>
          </cell>
        </row>
        <row r="3021">
          <cell r="A3021">
            <v>3915</v>
          </cell>
          <cell r="B3021">
            <v>3915</v>
          </cell>
          <cell r="C3021" t="str">
            <v>CERO MATRICULA</v>
          </cell>
          <cell r="D3021" t="str">
            <v>ACTIVO</v>
          </cell>
          <cell r="E3021" t="str">
            <v>CUI131</v>
          </cell>
          <cell r="F3021" t="str">
            <v>Rivera Sialer Pedro Omar</v>
          </cell>
          <cell r="G3021" t="str">
            <v>Bisso García Lorena</v>
          </cell>
          <cell r="H3021">
            <v>41872874</v>
          </cell>
          <cell r="I3021" t="str">
            <v>BCP</v>
          </cell>
          <cell r="J3021" t="str">
            <v>19211342472041</v>
          </cell>
          <cell r="K3021" t="str">
            <v>DNI</v>
          </cell>
          <cell r="L3021">
            <v>10418728740</v>
          </cell>
          <cell r="M3021" t="str">
            <v>URBANO PARTNER</v>
          </cell>
          <cell r="N3021">
            <v>45937</v>
          </cell>
          <cell r="O3021">
            <v>0</v>
          </cell>
          <cell r="P3021" t="str">
            <v>COMFORT XL</v>
          </cell>
        </row>
        <row r="3022">
          <cell r="A3022">
            <v>3916</v>
          </cell>
          <cell r="B3022">
            <v>3916</v>
          </cell>
          <cell r="C3022" t="str">
            <v>CERO MATRICULA</v>
          </cell>
          <cell r="D3022" t="str">
            <v>ACTIVO</v>
          </cell>
          <cell r="E3022" t="str">
            <v>CUN488</v>
          </cell>
          <cell r="F3022" t="str">
            <v>Vasquez Diaz Elcer</v>
          </cell>
          <cell r="G3022" t="str">
            <v>Vasquez Diaz Elcer</v>
          </cell>
          <cell r="H3022" t="str">
            <v>27295610</v>
          </cell>
          <cell r="I3022" t="str">
            <v>BCP</v>
          </cell>
          <cell r="J3022" t="str">
            <v>19192885556091</v>
          </cell>
          <cell r="K3022" t="str">
            <v>DNI</v>
          </cell>
          <cell r="L3022">
            <v>10272956109</v>
          </cell>
          <cell r="M3022" t="str">
            <v>URBANO PARTNER</v>
          </cell>
          <cell r="N3022">
            <v>45937</v>
          </cell>
          <cell r="O3022">
            <v>0</v>
          </cell>
          <cell r="P3022" t="str">
            <v>XL</v>
          </cell>
        </row>
        <row r="3023">
          <cell r="A3023">
            <v>3917</v>
          </cell>
          <cell r="B3023">
            <v>3917</v>
          </cell>
          <cell r="C3023" t="str">
            <v>CERO MATRICULA</v>
          </cell>
          <cell r="D3023" t="str">
            <v>ACTIVO</v>
          </cell>
          <cell r="E3023" t="str">
            <v>CLZ051</v>
          </cell>
          <cell r="F3023" t="str">
            <v>Salas Rivas Isaac</v>
          </cell>
          <cell r="G3023" t="str">
            <v>Salas Rivas Isaac</v>
          </cell>
          <cell r="H3023" t="str">
            <v>004072184</v>
          </cell>
          <cell r="I3023" t="str">
            <v>BCP</v>
          </cell>
          <cell r="J3023" t="str">
            <v>19198442406072</v>
          </cell>
          <cell r="K3023" t="str">
            <v>CARNET DE EXTRANJERÍA</v>
          </cell>
          <cell r="L3023">
            <v>15614627872</v>
          </cell>
          <cell r="M3023" t="str">
            <v>URBANO PARTNER</v>
          </cell>
          <cell r="N3023">
            <v>45937</v>
          </cell>
          <cell r="O3023">
            <v>0</v>
          </cell>
          <cell r="P3023" t="str">
            <v>LITE</v>
          </cell>
        </row>
        <row r="3024">
          <cell r="A3024">
            <v>3918</v>
          </cell>
          <cell r="B3024">
            <v>3918</v>
          </cell>
          <cell r="C3024" t="str">
            <v>CERO MATRICULA</v>
          </cell>
          <cell r="D3024" t="str">
            <v>ACTIVO</v>
          </cell>
          <cell r="E3024" t="str">
            <v>CUD611</v>
          </cell>
          <cell r="F3024" t="str">
            <v>Pauccar Alamo Jesus Hugo</v>
          </cell>
          <cell r="G3024" t="str">
            <v>Pauccar Alamo Jesus Hugo</v>
          </cell>
          <cell r="H3024" t="str">
            <v>43849622</v>
          </cell>
          <cell r="I3024" t="str">
            <v>BBVA</v>
          </cell>
          <cell r="J3024" t="str">
            <v>001108140282644024</v>
          </cell>
          <cell r="K3024" t="str">
            <v>DNI</v>
          </cell>
          <cell r="L3024">
            <v>10438496225</v>
          </cell>
          <cell r="M3024" t="str">
            <v>URBANO PARTNER</v>
          </cell>
          <cell r="N3024">
            <v>45937</v>
          </cell>
          <cell r="O3024">
            <v>0</v>
          </cell>
          <cell r="P3024" t="str">
            <v>XL</v>
          </cell>
        </row>
        <row r="3025">
          <cell r="A3025">
            <v>3919</v>
          </cell>
          <cell r="B3025">
            <v>3919</v>
          </cell>
          <cell r="C3025" t="str">
            <v>CERO MATRICULA</v>
          </cell>
          <cell r="D3025" t="str">
            <v>ACTIVO</v>
          </cell>
          <cell r="E3025" t="str">
            <v>CJG514</v>
          </cell>
          <cell r="F3025" t="str">
            <v>Muñoz Muñoz Gean marcos Martin</v>
          </cell>
          <cell r="G3025" t="str">
            <v>Muñoz Muñoz Gean marcos Martin</v>
          </cell>
          <cell r="H3025" t="str">
            <v>43033159</v>
          </cell>
          <cell r="I3025" t="str">
            <v>BCP</v>
          </cell>
          <cell r="J3025" t="str">
            <v>19102402739008</v>
          </cell>
          <cell r="K3025" t="str">
            <v>DNI</v>
          </cell>
          <cell r="L3025">
            <v>10430331596</v>
          </cell>
          <cell r="M3025" t="str">
            <v>URBANO PARTNER</v>
          </cell>
          <cell r="N3025">
            <v>45937</v>
          </cell>
          <cell r="O3025">
            <v>0</v>
          </cell>
          <cell r="P3025" t="str">
            <v>LITE</v>
          </cell>
        </row>
        <row r="3026">
          <cell r="A3026">
            <v>3920</v>
          </cell>
          <cell r="B3026">
            <v>3920</v>
          </cell>
          <cell r="C3026" t="str">
            <v>CERO MATRICULA</v>
          </cell>
          <cell r="D3026" t="str">
            <v>ACTIVO</v>
          </cell>
          <cell r="E3026" t="str">
            <v>AUL074</v>
          </cell>
          <cell r="F3026" t="str">
            <v>Gallo Morales Jeremy Alexis</v>
          </cell>
          <cell r="G3026" t="str">
            <v>Gallo Morales Jeremy Alexis</v>
          </cell>
          <cell r="H3026" t="str">
            <v>70305192</v>
          </cell>
          <cell r="I3026" t="str">
            <v>INTERBANK</v>
          </cell>
          <cell r="J3026" t="str">
            <v>898 317167149</v>
          </cell>
          <cell r="K3026" t="str">
            <v>DNI</v>
          </cell>
          <cell r="L3026">
            <v>10703051923</v>
          </cell>
          <cell r="M3026" t="str">
            <v>AEROLINEAS</v>
          </cell>
          <cell r="N3026">
            <v>45937</v>
          </cell>
          <cell r="O3026">
            <v>0</v>
          </cell>
          <cell r="P3026" t="str">
            <v>COMFORT XL</v>
          </cell>
        </row>
        <row r="3027">
          <cell r="A3027">
            <v>3921</v>
          </cell>
          <cell r="B3027">
            <v>3921</v>
          </cell>
          <cell r="C3027" t="str">
            <v>CERO MATRICULA</v>
          </cell>
          <cell r="D3027" t="str">
            <v>ACTIVO</v>
          </cell>
          <cell r="E3027" t="str">
            <v>BNQ324</v>
          </cell>
          <cell r="F3027" t="str">
            <v>Piñarreta Alemán Fernando Martín</v>
          </cell>
          <cell r="G3027" t="str">
            <v>Piñarrteta Alemán Fernando Martín</v>
          </cell>
          <cell r="H3027" t="str">
            <v>25593949</v>
          </cell>
          <cell r="I3027" t="str">
            <v>BCP</v>
          </cell>
          <cell r="J3027" t="str">
            <v>19196572603082</v>
          </cell>
          <cell r="K3027" t="str">
            <v>DNI</v>
          </cell>
          <cell r="L3027">
            <v>10255939497</v>
          </cell>
          <cell r="M3027" t="str">
            <v>AEROLINEAS</v>
          </cell>
          <cell r="N3027">
            <v>45939</v>
          </cell>
          <cell r="O3027">
            <v>0</v>
          </cell>
          <cell r="P3027" t="str">
            <v>COMFORT XL</v>
          </cell>
        </row>
        <row r="3028">
          <cell r="A3028">
            <v>3922</v>
          </cell>
          <cell r="B3028">
            <v>3922</v>
          </cell>
          <cell r="C3028" t="str">
            <v>CERO MATRICULA</v>
          </cell>
          <cell r="D3028" t="str">
            <v>ACTIVO</v>
          </cell>
          <cell r="E3028" t="str">
            <v>CUP398</v>
          </cell>
          <cell r="F3028" t="str">
            <v>Costa Bazán Román Giovanni</v>
          </cell>
          <cell r="G3028" t="str">
            <v>Costa Bazán Román Giovanni</v>
          </cell>
          <cell r="H3028" t="str">
            <v>10117499</v>
          </cell>
          <cell r="I3028" t="str">
            <v>BCP</v>
          </cell>
          <cell r="J3028" t="str">
            <v>19174707578097</v>
          </cell>
          <cell r="K3028" t="str">
            <v>DNI</v>
          </cell>
          <cell r="L3028">
            <v>10101174994</v>
          </cell>
          <cell r="M3028" t="str">
            <v>AEROLINEAS</v>
          </cell>
          <cell r="N3028">
            <v>45939</v>
          </cell>
          <cell r="O3028">
            <v>0</v>
          </cell>
          <cell r="P3028" t="str">
            <v>LITE</v>
          </cell>
        </row>
        <row r="3029">
          <cell r="A3029">
            <v>3924</v>
          </cell>
          <cell r="B3029">
            <v>3924</v>
          </cell>
          <cell r="C3029" t="str">
            <v>CERO MATRICULA</v>
          </cell>
          <cell r="D3029" t="str">
            <v>ACTIVO</v>
          </cell>
          <cell r="E3029" t="str">
            <v>CUH490</v>
          </cell>
          <cell r="F3029" t="str">
            <v>Mendoza Ortiz Rafael Antonio Mendoza Ortiz</v>
          </cell>
          <cell r="G3029" t="str">
            <v>Delgado Mejia Marisol</v>
          </cell>
          <cell r="H3029" t="str">
            <v>07410873</v>
          </cell>
          <cell r="I3029" t="str">
            <v>SCOTIABANK</v>
          </cell>
          <cell r="J3029" t="str">
            <v xml:space="preserve">1200342937 </v>
          </cell>
          <cell r="K3029" t="str">
            <v>DNI</v>
          </cell>
          <cell r="L3029">
            <v>10074108739</v>
          </cell>
          <cell r="M3029" t="str">
            <v>AEROLINEAS</v>
          </cell>
          <cell r="N3029">
            <v>45939</v>
          </cell>
          <cell r="O3029">
            <v>0</v>
          </cell>
          <cell r="P3029" t="str">
            <v>COMFORT XL</v>
          </cell>
        </row>
        <row r="3030">
          <cell r="A3030">
            <v>3925</v>
          </cell>
          <cell r="B3030">
            <v>3925</v>
          </cell>
          <cell r="C3030" t="str">
            <v>CERO MATRICULA</v>
          </cell>
          <cell r="D3030" t="str">
            <v>ACTIVO</v>
          </cell>
          <cell r="E3030" t="str">
            <v>CHG075</v>
          </cell>
          <cell r="F3030" t="str">
            <v>Perez Torres Yhovany Rene</v>
          </cell>
          <cell r="G3030" t="str">
            <v>Perez Torres Yhovany Rene</v>
          </cell>
          <cell r="H3030" t="str">
            <v>003683226</v>
          </cell>
          <cell r="I3030" t="str">
            <v>BCP</v>
          </cell>
          <cell r="J3030" t="str">
            <v>19493306570058</v>
          </cell>
          <cell r="K3030" t="str">
            <v>CARNET DE EXTRANJERÍA</v>
          </cell>
          <cell r="L3030">
            <v>15614887092</v>
          </cell>
          <cell r="M3030" t="str">
            <v>AEROLINEAS</v>
          </cell>
          <cell r="N3030">
            <v>45939</v>
          </cell>
          <cell r="O3030">
            <v>0</v>
          </cell>
          <cell r="P3030" t="str">
            <v>LITE</v>
          </cell>
        </row>
        <row r="3031">
          <cell r="A3031">
            <v>7604</v>
          </cell>
          <cell r="B3031">
            <v>7604</v>
          </cell>
          <cell r="C3031" t="str">
            <v>CERO MATRICULA</v>
          </cell>
          <cell r="D3031" t="str">
            <v>ACTIVO</v>
          </cell>
          <cell r="E3031" t="str">
            <v>C0Z392</v>
          </cell>
          <cell r="F3031" t="str">
            <v xml:space="preserve">Sandoval Tamay David </v>
          </cell>
          <cell r="G3031" t="str">
            <v xml:space="preserve">Hernandez Peña Deisy Jannet </v>
          </cell>
          <cell r="H3031" t="str">
            <v>48017902</v>
          </cell>
          <cell r="I3031" t="str">
            <v>BCP</v>
          </cell>
          <cell r="J3031" t="str">
            <v>19228110834081</v>
          </cell>
          <cell r="K3031" t="str">
            <v>DNI</v>
          </cell>
          <cell r="L3031">
            <v>10480179027</v>
          </cell>
          <cell r="M3031" t="str">
            <v>AEROLINEAS</v>
          </cell>
          <cell r="N3031">
            <v>45939</v>
          </cell>
          <cell r="O3031">
            <v>0</v>
          </cell>
          <cell r="P3031" t="str">
            <v>VAN</v>
          </cell>
        </row>
        <row r="3032">
          <cell r="A3032">
            <v>2980</v>
          </cell>
          <cell r="B3032">
            <v>2980</v>
          </cell>
          <cell r="C3032" t="str">
            <v>CERO MATRICULA</v>
          </cell>
          <cell r="D3032" t="str">
            <v>ACTIVO</v>
          </cell>
          <cell r="E3032" t="str">
            <v>FLOTA PROPIA</v>
          </cell>
          <cell r="F3032" t="str">
            <v>FLOTA PROPIA</v>
          </cell>
          <cell r="G3032" t="str">
            <v>FLOTA PROPIA</v>
          </cell>
          <cell r="H3032" t="str">
            <v>FLOTA PROPIA</v>
          </cell>
          <cell r="I3032" t="str">
            <v>FLOTA PROPIA</v>
          </cell>
          <cell r="J3032" t="str">
            <v>FLOTA PROPIA</v>
          </cell>
          <cell r="K3032" t="str">
            <v>FLOTA PROPIA</v>
          </cell>
          <cell r="L3032" t="str">
            <v>FLOTA PROPIA</v>
          </cell>
          <cell r="M3032" t="str">
            <v>FLOTA PROPIA</v>
          </cell>
          <cell r="N3032">
            <v>45931</v>
          </cell>
          <cell r="O3032">
            <v>0</v>
          </cell>
          <cell r="P3032" t="str">
            <v>VAN</v>
          </cell>
        </row>
        <row r="3033">
          <cell r="A3033">
            <v>39</v>
          </cell>
          <cell r="B3033">
            <v>39</v>
          </cell>
          <cell r="C3033" t="str">
            <v>CERO MATRICULA</v>
          </cell>
          <cell r="D3033" t="str">
            <v>ACTIVO</v>
          </cell>
          <cell r="E3033" t="str">
            <v>MOVIL CONTINGENCIA</v>
          </cell>
          <cell r="F3033" t="str">
            <v>MOVIL CONTINGENCIA</v>
          </cell>
          <cell r="G3033" t="str">
            <v>MOVIL CONTINGENCIA</v>
          </cell>
          <cell r="H3033" t="str">
            <v>MOVIL CONTINGENCIA</v>
          </cell>
          <cell r="I3033" t="str">
            <v>MOVIL CONTINGENCIA</v>
          </cell>
          <cell r="J3033" t="str">
            <v>MOVIL CONTINGENCIA</v>
          </cell>
          <cell r="K3033" t="str">
            <v>MOVIL CONTINGENCIA</v>
          </cell>
          <cell r="L3033" t="str">
            <v>MOVIL CONTINGENCIA</v>
          </cell>
          <cell r="M3033" t="str">
            <v>MOVIL CONTINGENCIA</v>
          </cell>
          <cell r="N3033">
            <v>45957</v>
          </cell>
          <cell r="O3033">
            <v>0</v>
          </cell>
          <cell r="P3033" t="str">
            <v>LITE</v>
          </cell>
        </row>
        <row r="3034">
          <cell r="A3034">
            <v>3547</v>
          </cell>
          <cell r="B3034">
            <v>3547</v>
          </cell>
          <cell r="C3034" t="str">
            <v>CERO MATRICULA</v>
          </cell>
          <cell r="D3034" t="str">
            <v>ACTIVO</v>
          </cell>
          <cell r="E3034" t="str">
            <v>CNN080</v>
          </cell>
          <cell r="F3034" t="str">
            <v>Paredes Paredes Lenindo</v>
          </cell>
          <cell r="G3034" t="str">
            <v>Paredes Paredes Lenindo</v>
          </cell>
          <cell r="H3034" t="str">
            <v>43477988</v>
          </cell>
          <cell r="I3034" t="str">
            <v>BCP</v>
          </cell>
          <cell r="J3034" t="str">
            <v>19196081327044</v>
          </cell>
          <cell r="K3034" t="str">
            <v>DNI</v>
          </cell>
          <cell r="L3034">
            <v>10434779885</v>
          </cell>
          <cell r="M3034" t="str">
            <v>AEROLINEAS</v>
          </cell>
          <cell r="N3034">
            <v>45957</v>
          </cell>
          <cell r="O3034">
            <v>0</v>
          </cell>
          <cell r="P3034" t="str">
            <v>XL</v>
          </cell>
        </row>
        <row r="3035">
          <cell r="A3035">
            <v>2981</v>
          </cell>
          <cell r="B3035">
            <v>2981</v>
          </cell>
          <cell r="C3035" t="str">
            <v>CERO MATRICULA</v>
          </cell>
          <cell r="D3035" t="str">
            <v>ACTIVO</v>
          </cell>
          <cell r="E3035" t="str">
            <v>FLOTA PROPIA</v>
          </cell>
          <cell r="F3035" t="str">
            <v>FLOTA PROPIA</v>
          </cell>
          <cell r="G3035" t="str">
            <v>FLOTA PROPIA</v>
          </cell>
          <cell r="H3035" t="str">
            <v>FLOTA PROPIA</v>
          </cell>
          <cell r="I3035" t="str">
            <v>FLOTA PROPIA</v>
          </cell>
          <cell r="J3035" t="str">
            <v>FLOTA PROPIA</v>
          </cell>
          <cell r="K3035" t="str">
            <v>FLOTA PROPIA</v>
          </cell>
          <cell r="L3035" t="str">
            <v>FLOTA PROPIA</v>
          </cell>
          <cell r="M3035" t="str">
            <v>FLOTA PROPIA</v>
          </cell>
          <cell r="N3035">
            <v>45931</v>
          </cell>
          <cell r="O3035">
            <v>0</v>
          </cell>
          <cell r="P3035" t="str">
            <v>VAN</v>
          </cell>
        </row>
        <row r="3036">
          <cell r="A3036">
            <v>2304</v>
          </cell>
          <cell r="B3036">
            <v>2304</v>
          </cell>
          <cell r="C3036" t="str">
            <v>CERO MATRICULA</v>
          </cell>
          <cell r="D3036" t="str">
            <v>ACTIVO</v>
          </cell>
          <cell r="E3036" t="str">
            <v>CUG465</v>
          </cell>
          <cell r="F3036" t="str">
            <v>Fernandez Tarazona Saul Walker</v>
          </cell>
          <cell r="G3036" t="str">
            <v>Fernandez Tarazona Saul Walker</v>
          </cell>
          <cell r="H3036" t="str">
            <v>09452457</v>
          </cell>
          <cell r="I3036" t="str">
            <v>BCP</v>
          </cell>
          <cell r="J3036" t="str">
            <v>19192312765015</v>
          </cell>
          <cell r="K3036" t="str">
            <v>DNI</v>
          </cell>
          <cell r="L3036">
            <v>10094524577</v>
          </cell>
          <cell r="M3036" t="str">
            <v>URBANO PARTNER</v>
          </cell>
          <cell r="N3036">
            <v>45944</v>
          </cell>
          <cell r="O3036">
            <v>0</v>
          </cell>
          <cell r="P3036" t="str">
            <v>LITE</v>
          </cell>
        </row>
        <row r="3037">
          <cell r="A3037">
            <v>2777</v>
          </cell>
          <cell r="B3037">
            <v>2777</v>
          </cell>
          <cell r="C3037" t="str">
            <v>CERO MATRICULA</v>
          </cell>
          <cell r="D3037" t="str">
            <v>ACTIVO</v>
          </cell>
          <cell r="E3037" t="str">
            <v>CTS479</v>
          </cell>
          <cell r="F3037" t="str">
            <v>Flores Garcia Juan Carlos</v>
          </cell>
          <cell r="G3037" t="str">
            <v>Flores Garcia Juan Carlos</v>
          </cell>
          <cell r="H3037" t="str">
            <v>72962035</v>
          </cell>
          <cell r="I3037" t="str">
            <v>BCP</v>
          </cell>
          <cell r="J3037" t="str">
            <v>19140170847012</v>
          </cell>
          <cell r="K3037" t="str">
            <v>DNI</v>
          </cell>
          <cell r="L3037">
            <v>10729620357</v>
          </cell>
          <cell r="M3037" t="str">
            <v>AEROLINEAS</v>
          </cell>
          <cell r="N3037">
            <v>45946</v>
          </cell>
          <cell r="O3037">
            <v>0</v>
          </cell>
          <cell r="P3037" t="str">
            <v>XL</v>
          </cell>
        </row>
        <row r="3038">
          <cell r="A3038">
            <v>3909</v>
          </cell>
          <cell r="B3038">
            <v>3909</v>
          </cell>
          <cell r="C3038" t="str">
            <v>CERO MATRICULA</v>
          </cell>
          <cell r="D3038" t="str">
            <v>ACTIVO</v>
          </cell>
          <cell r="E3038" t="str">
            <v>AVJ476</v>
          </cell>
          <cell r="F3038" t="str">
            <v>Pacheco Salas Giancarlos</v>
          </cell>
          <cell r="G3038" t="str">
            <v xml:space="preserve">Maguiña Molina Delicia margot </v>
          </cell>
          <cell r="H3038" t="str">
            <v>75182589</v>
          </cell>
          <cell r="I3038" t="str">
            <v>INTERBANK</v>
          </cell>
          <cell r="J3038" t="str">
            <v>8983483836670</v>
          </cell>
          <cell r="K3038" t="str">
            <v>DNI</v>
          </cell>
          <cell r="L3038">
            <v>10751825892</v>
          </cell>
          <cell r="M3038" t="str">
            <v>URBANO PARTNER</v>
          </cell>
          <cell r="N3038">
            <v>45946</v>
          </cell>
          <cell r="O3038">
            <v>0</v>
          </cell>
          <cell r="P3038" t="str">
            <v>LITE</v>
          </cell>
        </row>
        <row r="3039">
          <cell r="A3039">
            <v>3926</v>
          </cell>
          <cell r="B3039">
            <v>3926</v>
          </cell>
          <cell r="C3039" t="str">
            <v>CERO MATRICULA</v>
          </cell>
          <cell r="D3039" t="str">
            <v>ACTIVO</v>
          </cell>
          <cell r="E3039" t="str">
            <v>CNK463</v>
          </cell>
          <cell r="F3039" t="str">
            <v xml:space="preserve">Pérez Guedez Pablo Arnoldo </v>
          </cell>
          <cell r="G3039" t="str">
            <v xml:space="preserve">Perez Guedez Pablo Arnoldo </v>
          </cell>
          <cell r="H3039" t="str">
            <v>008214214</v>
          </cell>
          <cell r="I3039" t="str">
            <v>BCP</v>
          </cell>
          <cell r="J3039" t="str">
            <v>19301897573038</v>
          </cell>
          <cell r="K3039" t="str">
            <v>CARNET DE EXTRANJERÍA</v>
          </cell>
          <cell r="L3039">
            <v>15612319283</v>
          </cell>
          <cell r="M3039" t="str">
            <v>MEMBRESÍA NOCTURNA - APTO</v>
          </cell>
          <cell r="N3039">
            <v>45937</v>
          </cell>
          <cell r="O3039">
            <v>285</v>
          </cell>
          <cell r="P3039" t="str">
            <v>COMFORT XL</v>
          </cell>
        </row>
        <row r="3040">
          <cell r="A3040">
            <v>3927</v>
          </cell>
          <cell r="B3040">
            <v>3927</v>
          </cell>
          <cell r="C3040" t="str">
            <v>CERO MATRICULA</v>
          </cell>
          <cell r="D3040" t="str">
            <v>ACTIVO</v>
          </cell>
          <cell r="E3040" t="str">
            <v>CET542</v>
          </cell>
          <cell r="F3040" t="str">
            <v>Damián Rojas Julio Chan</v>
          </cell>
          <cell r="G3040" t="str">
            <v>Damian Rojas Julio Chan</v>
          </cell>
          <cell r="H3040" t="str">
            <v>29587555</v>
          </cell>
          <cell r="I3040" t="str">
            <v>BCP</v>
          </cell>
          <cell r="J3040" t="str">
            <v>19196834444067</v>
          </cell>
          <cell r="K3040" t="str">
            <v>DNI</v>
          </cell>
          <cell r="L3040">
            <v>10295875556</v>
          </cell>
          <cell r="M3040" t="str">
            <v>MEMBRESÍA NOCTURNA - APTO</v>
          </cell>
          <cell r="N3040">
            <v>45944</v>
          </cell>
          <cell r="O3040">
            <v>315</v>
          </cell>
          <cell r="P3040" t="str">
            <v>LITE</v>
          </cell>
        </row>
        <row r="3041">
          <cell r="A3041">
            <v>3929</v>
          </cell>
          <cell r="B3041">
            <v>3929</v>
          </cell>
          <cell r="C3041" t="str">
            <v>CERO MATRICULA</v>
          </cell>
          <cell r="D3041" t="str">
            <v>ACTIVO</v>
          </cell>
          <cell r="E3041" t="str">
            <v>CFD370</v>
          </cell>
          <cell r="F3041" t="str">
            <v xml:space="preserve">Paucar Rodríguez Luis Alberto </v>
          </cell>
          <cell r="G3041" t="str">
            <v xml:space="preserve">Paucar Rodríguez Luis Alberto </v>
          </cell>
          <cell r="H3041" t="str">
            <v>43646315</v>
          </cell>
          <cell r="I3041" t="str">
            <v>BBVA</v>
          </cell>
          <cell r="J3041" t="str">
            <v>001108140202954230</v>
          </cell>
          <cell r="K3041" t="str">
            <v>DNI</v>
          </cell>
          <cell r="L3041">
            <v>10436463150</v>
          </cell>
          <cell r="M3041" t="str">
            <v>URBANO PARTNER</v>
          </cell>
          <cell r="N3041">
            <v>45944</v>
          </cell>
          <cell r="O3041">
            <v>0</v>
          </cell>
          <cell r="P3041" t="str">
            <v>LITE</v>
          </cell>
        </row>
        <row r="3042">
          <cell r="A3042">
            <v>3930</v>
          </cell>
          <cell r="B3042">
            <v>3930</v>
          </cell>
          <cell r="C3042" t="str">
            <v>CERO MATRICULA</v>
          </cell>
          <cell r="D3042" t="str">
            <v>ACTIVO</v>
          </cell>
          <cell r="E3042" t="str">
            <v>CRK625</v>
          </cell>
          <cell r="F3042" t="str">
            <v>Angeles Julca Francisco Gustavo</v>
          </cell>
          <cell r="G3042" t="str">
            <v>Angeles Julca Francisco Gustavo</v>
          </cell>
          <cell r="H3042" t="str">
            <v>46870182</v>
          </cell>
          <cell r="I3042" t="str">
            <v>BBVA</v>
          </cell>
          <cell r="J3042" t="str">
            <v>0011-0579-02356822</v>
          </cell>
          <cell r="K3042" t="str">
            <v>DNI</v>
          </cell>
          <cell r="L3042">
            <v>10468701826</v>
          </cell>
          <cell r="M3042" t="str">
            <v>URBANO PARTNER</v>
          </cell>
          <cell r="N3042">
            <v>45944</v>
          </cell>
          <cell r="O3042">
            <v>0</v>
          </cell>
          <cell r="P3042" t="str">
            <v>LITE</v>
          </cell>
        </row>
        <row r="3043">
          <cell r="A3043">
            <v>3932</v>
          </cell>
          <cell r="B3043">
            <v>3932</v>
          </cell>
          <cell r="C3043" t="str">
            <v>CERO MATRICULA</v>
          </cell>
          <cell r="D3043" t="str">
            <v>ACTIVO</v>
          </cell>
          <cell r="E3043" t="str">
            <v>CKB547</v>
          </cell>
          <cell r="F3043" t="str">
            <v>Ardila Gonzalez Marlon Josué</v>
          </cell>
          <cell r="G3043" t="str">
            <v>Ardila Gonzalez Marlon Josué</v>
          </cell>
          <cell r="H3043" t="str">
            <v>004061523</v>
          </cell>
          <cell r="I3043" t="str">
            <v>BCP</v>
          </cell>
          <cell r="J3043" t="str">
            <v>19196200441061</v>
          </cell>
          <cell r="K3043" t="str">
            <v>CARNET DE EXTRANJERÍA</v>
          </cell>
          <cell r="L3043">
            <v>15612754036</v>
          </cell>
          <cell r="M3043" t="str">
            <v>URBANO PARTNER</v>
          </cell>
          <cell r="N3043">
            <v>45944</v>
          </cell>
          <cell r="O3043">
            <v>0</v>
          </cell>
          <cell r="P3043" t="str">
            <v>COMFORT XL</v>
          </cell>
        </row>
        <row r="3044">
          <cell r="A3044">
            <v>3933</v>
          </cell>
          <cell r="B3044">
            <v>3933</v>
          </cell>
          <cell r="C3044" t="str">
            <v>CERO MATRICULA</v>
          </cell>
          <cell r="D3044" t="str">
            <v>ACTIVO</v>
          </cell>
          <cell r="E3044" t="str">
            <v>CTV423</v>
          </cell>
          <cell r="F3044" t="str">
            <v>Tello Cabrera Oscar Enrique</v>
          </cell>
          <cell r="G3044" t="str">
            <v>Tello Cabrera Oscar Enrique</v>
          </cell>
          <cell r="H3044" t="str">
            <v>45090945</v>
          </cell>
          <cell r="I3044" t="str">
            <v>BCP</v>
          </cell>
          <cell r="J3044" t="str">
            <v>19198283349008</v>
          </cell>
          <cell r="K3044" t="str">
            <v>DNI</v>
          </cell>
          <cell r="L3044">
            <v>10450909454</v>
          </cell>
          <cell r="M3044" t="str">
            <v>URBANO PARTNER</v>
          </cell>
          <cell r="N3044">
            <v>45944</v>
          </cell>
          <cell r="O3044">
            <v>0</v>
          </cell>
          <cell r="P3044" t="str">
            <v>COMFORT XL</v>
          </cell>
        </row>
        <row r="3045">
          <cell r="A3045">
            <v>3934</v>
          </cell>
          <cell r="B3045">
            <v>3934</v>
          </cell>
          <cell r="C3045" t="str">
            <v>CERO MATRICULA</v>
          </cell>
          <cell r="D3045" t="str">
            <v>ACTIVO</v>
          </cell>
          <cell r="E3045" t="str">
            <v>CPH054</v>
          </cell>
          <cell r="F3045" t="str">
            <v>Rujel Jiménez Jose Alexander</v>
          </cell>
          <cell r="G3045" t="str">
            <v>Rujel Jiménez Jose Alexander</v>
          </cell>
          <cell r="H3045" t="str">
            <v>46765212</v>
          </cell>
          <cell r="I3045" t="str">
            <v>BCP</v>
          </cell>
          <cell r="J3045" t="str">
            <v>19407183284041</v>
          </cell>
          <cell r="K3045" t="str">
            <v>DNI</v>
          </cell>
          <cell r="L3045">
            <v>10467652121</v>
          </cell>
          <cell r="M3045" t="str">
            <v>AEROLINEAS</v>
          </cell>
          <cell r="N3045">
            <v>45946</v>
          </cell>
          <cell r="O3045">
            <v>0</v>
          </cell>
          <cell r="P3045" t="str">
            <v>COMFORT XL</v>
          </cell>
        </row>
        <row r="3046">
          <cell r="A3046">
            <v>3935</v>
          </cell>
          <cell r="B3046">
            <v>3935</v>
          </cell>
          <cell r="C3046" t="str">
            <v>CERO MATRICULA</v>
          </cell>
          <cell r="D3046" t="str">
            <v>ACTIVO</v>
          </cell>
          <cell r="E3046" t="str">
            <v>CUT668</v>
          </cell>
          <cell r="F3046" t="str">
            <v>Becerra Casimir Oscar Aldair</v>
          </cell>
          <cell r="G3046" t="str">
            <v>Becerra Casimir Oscar Aldair</v>
          </cell>
          <cell r="H3046" t="str">
            <v>71047724</v>
          </cell>
          <cell r="I3046" t="str">
            <v>BCP</v>
          </cell>
          <cell r="J3046" t="str">
            <v>19172083834052</v>
          </cell>
          <cell r="K3046" t="str">
            <v>DNI</v>
          </cell>
          <cell r="L3046">
            <v>10710477243</v>
          </cell>
          <cell r="M3046" t="str">
            <v>AEROLINEAS</v>
          </cell>
          <cell r="N3046">
            <v>45946</v>
          </cell>
          <cell r="O3046">
            <v>0</v>
          </cell>
          <cell r="P3046" t="str">
            <v>COMFORT</v>
          </cell>
        </row>
        <row r="3047">
          <cell r="A3047">
            <v>3936</v>
          </cell>
          <cell r="B3047">
            <v>3936</v>
          </cell>
          <cell r="C3047" t="str">
            <v>CERO MATRICULA</v>
          </cell>
          <cell r="D3047" t="str">
            <v>ACTIVO</v>
          </cell>
          <cell r="E3047" t="str">
            <v>BRP182</v>
          </cell>
          <cell r="F3047" t="str">
            <v>Aguilar Rodriguez Luis Fernando</v>
          </cell>
          <cell r="G3047" t="str">
            <v>Aguilar Rodriguez Luis Fernando</v>
          </cell>
          <cell r="H3047" t="str">
            <v>42264024</v>
          </cell>
          <cell r="I3047" t="str">
            <v>INTERBANK</v>
          </cell>
          <cell r="J3047" t="str">
            <v>2003107144787</v>
          </cell>
          <cell r="K3047" t="str">
            <v>DNI</v>
          </cell>
          <cell r="L3047">
            <v>10422640245</v>
          </cell>
          <cell r="M3047" t="str">
            <v>AEROLINEAS</v>
          </cell>
          <cell r="N3047">
            <v>45946</v>
          </cell>
          <cell r="O3047">
            <v>0</v>
          </cell>
          <cell r="P3047" t="str">
            <v>COMFORT XL</v>
          </cell>
        </row>
        <row r="3048">
          <cell r="A3048">
            <v>3937</v>
          </cell>
          <cell r="B3048">
            <v>3937</v>
          </cell>
          <cell r="C3048" t="str">
            <v>CERO MATRICULA</v>
          </cell>
          <cell r="D3048" t="str">
            <v>ACTIVO</v>
          </cell>
          <cell r="E3048" t="str">
            <v>BXH572</v>
          </cell>
          <cell r="F3048" t="str">
            <v>Condori Pichardo Omar</v>
          </cell>
          <cell r="G3048" t="str">
            <v>Condori Pichardo Omar</v>
          </cell>
          <cell r="H3048" t="str">
            <v>10595833</v>
          </cell>
          <cell r="I3048" t="str">
            <v>INTERBANK</v>
          </cell>
          <cell r="J3048" t="str">
            <v>0453305210791</v>
          </cell>
          <cell r="K3048" t="str">
            <v>DNI</v>
          </cell>
          <cell r="L3048">
            <v>10105958337</v>
          </cell>
          <cell r="M3048" t="str">
            <v>AEROLINEAS</v>
          </cell>
          <cell r="N3048">
            <v>45946</v>
          </cell>
          <cell r="O3048">
            <v>0</v>
          </cell>
          <cell r="P3048" t="str">
            <v>XL</v>
          </cell>
        </row>
        <row r="3049">
          <cell r="A3049">
            <v>3938</v>
          </cell>
          <cell r="B3049">
            <v>3938</v>
          </cell>
          <cell r="C3049" t="str">
            <v>CERO MATRICULA</v>
          </cell>
          <cell r="D3049" t="str">
            <v>ACTIVO</v>
          </cell>
          <cell r="E3049" t="str">
            <v>CUS438</v>
          </cell>
          <cell r="F3049" t="str">
            <v>Huashuayo Bejar Juan David Francisco</v>
          </cell>
          <cell r="G3049" t="str">
            <v>Huashuayo Bejar Juan David Francisco</v>
          </cell>
          <cell r="H3049" t="str">
            <v>77383090</v>
          </cell>
          <cell r="I3049" t="str">
            <v>INTERBANK</v>
          </cell>
          <cell r="J3049" t="str">
            <v>2053104189869</v>
          </cell>
          <cell r="K3049" t="str">
            <v>DNI</v>
          </cell>
          <cell r="L3049">
            <v>10773830903</v>
          </cell>
          <cell r="M3049" t="str">
            <v>AEROLINEAS</v>
          </cell>
          <cell r="N3049">
            <v>45946</v>
          </cell>
          <cell r="O3049">
            <v>0</v>
          </cell>
          <cell r="P3049" t="str">
            <v>XL</v>
          </cell>
        </row>
        <row r="3050">
          <cell r="A3050">
            <v>9103</v>
          </cell>
          <cell r="B3050">
            <v>9103</v>
          </cell>
          <cell r="C3050" t="str">
            <v>CERO MATRICULA</v>
          </cell>
          <cell r="D3050" t="str">
            <v>ACTIVO</v>
          </cell>
          <cell r="E3050" t="str">
            <v>CJW010</v>
          </cell>
          <cell r="F3050" t="str">
            <v>Mozo Salazar Percy William</v>
          </cell>
          <cell r="G3050" t="str">
            <v>Mozo Salazar Percy William</v>
          </cell>
          <cell r="H3050" t="str">
            <v>42740839</v>
          </cell>
          <cell r="I3050" t="str">
            <v>BCP</v>
          </cell>
          <cell r="J3050" t="str">
            <v>19195385098081</v>
          </cell>
          <cell r="K3050" t="str">
            <v>DNI</v>
          </cell>
          <cell r="L3050">
            <v>10427408391</v>
          </cell>
          <cell r="M3050" t="str">
            <v>AEROLINEAS</v>
          </cell>
          <cell r="N3050">
            <v>45946</v>
          </cell>
          <cell r="O3050">
            <v>0</v>
          </cell>
          <cell r="P3050" t="str">
            <v>LITE</v>
          </cell>
        </row>
        <row r="3051">
          <cell r="A3051">
            <v>3923</v>
          </cell>
          <cell r="B3051">
            <v>3923</v>
          </cell>
          <cell r="C3051" t="str">
            <v>CERO MATRICULA</v>
          </cell>
          <cell r="D3051" t="str">
            <v>ACTIVO</v>
          </cell>
          <cell r="E3051" t="str">
            <v>CUF391</v>
          </cell>
          <cell r="F3051" t="str">
            <v>Orozco Martinez Herbis jean carlos</v>
          </cell>
          <cell r="G3051" t="str">
            <v>Orozco Martinez Herbis jean carlos</v>
          </cell>
          <cell r="H3051"/>
          <cell r="I3051" t="str">
            <v>INTERBANK</v>
          </cell>
          <cell r="J3051" t="str">
            <v>3783377990322</v>
          </cell>
          <cell r="K3051"/>
          <cell r="L3051">
            <v>15609099477</v>
          </cell>
          <cell r="M3051" t="str">
            <v>AEROLINEAS</v>
          </cell>
          <cell r="N3051">
            <v>45953</v>
          </cell>
          <cell r="O3051">
            <v>0</v>
          </cell>
          <cell r="P3051" t="str">
            <v>LITE</v>
          </cell>
        </row>
        <row r="3052">
          <cell r="A3052">
            <v>3928</v>
          </cell>
          <cell r="B3052">
            <v>3928</v>
          </cell>
          <cell r="C3052" t="str">
            <v>CERO MATRICULA</v>
          </cell>
          <cell r="D3052" t="str">
            <v>ACTIVO</v>
          </cell>
          <cell r="E3052" t="str">
            <v>AUC113</v>
          </cell>
          <cell r="F3052" t="str">
            <v>Quiroz Cardenas Mijael</v>
          </cell>
          <cell r="G3052" t="str">
            <v>Quiroz Cardenas Mijael</v>
          </cell>
          <cell r="H3052" t="str">
            <v>46973323</v>
          </cell>
          <cell r="I3052" t="str">
            <v>BCP</v>
          </cell>
          <cell r="J3052" t="str">
            <v>19195358609025</v>
          </cell>
          <cell r="K3052" t="str">
            <v>DNI</v>
          </cell>
          <cell r="L3052">
            <v>1046973323</v>
          </cell>
          <cell r="M3052" t="str">
            <v>URBANO PARTNER</v>
          </cell>
          <cell r="N3052">
            <v>45951</v>
          </cell>
          <cell r="O3052">
            <v>0</v>
          </cell>
          <cell r="P3052" t="str">
            <v>COMFORT</v>
          </cell>
        </row>
        <row r="3053">
          <cell r="A3053">
            <v>3940</v>
          </cell>
          <cell r="B3053">
            <v>3940</v>
          </cell>
          <cell r="C3053" t="str">
            <v>CERO MATRICULA</v>
          </cell>
          <cell r="D3053" t="str">
            <v>ACTIVO</v>
          </cell>
          <cell r="E3053" t="str">
            <v>CHM259</v>
          </cell>
          <cell r="F3053" t="str">
            <v>Huamán Escudero Juan Andrés</v>
          </cell>
          <cell r="G3053" t="str">
            <v>Huaman Escudero Juan Andrés</v>
          </cell>
          <cell r="H3053" t="str">
            <v>06103509</v>
          </cell>
          <cell r="I3053" t="str">
            <v>BCP</v>
          </cell>
          <cell r="J3053" t="str">
            <v>19314929072068</v>
          </cell>
          <cell r="K3053" t="str">
            <v>DNI</v>
          </cell>
          <cell r="L3053">
            <v>10061035091</v>
          </cell>
          <cell r="M3053" t="str">
            <v>URBANO PARTNER</v>
          </cell>
          <cell r="N3053">
            <v>45951</v>
          </cell>
          <cell r="O3053">
            <v>0</v>
          </cell>
          <cell r="P3053" t="str">
            <v>COMFORT</v>
          </cell>
        </row>
        <row r="3054">
          <cell r="A3054">
            <v>3941</v>
          </cell>
          <cell r="B3054">
            <v>3941</v>
          </cell>
          <cell r="C3054" t="str">
            <v>CERO MATRICULA</v>
          </cell>
          <cell r="D3054" t="str">
            <v>ACTIVO</v>
          </cell>
          <cell r="E3054" t="str">
            <v>ATI467</v>
          </cell>
          <cell r="F3054" t="str">
            <v>Perez Quispe Alan Scotch</v>
          </cell>
          <cell r="G3054" t="str">
            <v>Perez Quispe Alan Scotch</v>
          </cell>
          <cell r="H3054" t="str">
            <v>43310634</v>
          </cell>
          <cell r="I3054" t="str">
            <v>INTERBANK</v>
          </cell>
          <cell r="J3054" t="str">
            <v>898 34565037</v>
          </cell>
          <cell r="K3054" t="str">
            <v>DNI</v>
          </cell>
          <cell r="L3054">
            <v>10433106348</v>
          </cell>
          <cell r="M3054" t="str">
            <v>URBANO PARTNER</v>
          </cell>
          <cell r="N3054">
            <v>45951</v>
          </cell>
          <cell r="O3054">
            <v>0</v>
          </cell>
          <cell r="P3054" t="str">
            <v>LITE</v>
          </cell>
        </row>
        <row r="3055">
          <cell r="A3055">
            <v>3942</v>
          </cell>
          <cell r="B3055">
            <v>3942</v>
          </cell>
          <cell r="C3055" t="str">
            <v>CERO MATRICULA</v>
          </cell>
          <cell r="D3055" t="str">
            <v>ACTIVO</v>
          </cell>
          <cell r="E3055" t="str">
            <v>CNS431</v>
          </cell>
          <cell r="F3055" t="str">
            <v>Gonzales Rosario Steven Miguel</v>
          </cell>
          <cell r="G3055" t="str">
            <v>Gonzales Rosario Steven Miguel</v>
          </cell>
          <cell r="H3055" t="str">
            <v>42627450</v>
          </cell>
          <cell r="I3055" t="str">
            <v>BCP</v>
          </cell>
          <cell r="J3055" t="str">
            <v>19197315111090</v>
          </cell>
          <cell r="K3055" t="str">
            <v>DNI</v>
          </cell>
          <cell r="L3055">
            <v>10426274502</v>
          </cell>
          <cell r="M3055" t="str">
            <v>URBANO PARTNER</v>
          </cell>
          <cell r="N3055">
            <v>45951</v>
          </cell>
          <cell r="O3055">
            <v>0</v>
          </cell>
          <cell r="P3055" t="str">
            <v>COMFORT XL</v>
          </cell>
        </row>
        <row r="3056">
          <cell r="A3056">
            <v>3943</v>
          </cell>
          <cell r="B3056">
            <v>3943</v>
          </cell>
          <cell r="C3056" t="str">
            <v>CERO MATRICULA</v>
          </cell>
          <cell r="D3056" t="str">
            <v>ACTIVO</v>
          </cell>
          <cell r="E3056" t="str">
            <v>BNH668</v>
          </cell>
          <cell r="F3056" t="str">
            <v>Cerna Trujillo Rovinson</v>
          </cell>
          <cell r="G3056" t="str">
            <v>Cerna Trujillo Rovinson</v>
          </cell>
          <cell r="H3056" t="str">
            <v>75768636</v>
          </cell>
          <cell r="I3056" t="str">
            <v>BCP</v>
          </cell>
          <cell r="J3056" t="str">
            <v>19404977536012</v>
          </cell>
          <cell r="K3056" t="str">
            <v>DNI</v>
          </cell>
          <cell r="L3056">
            <v>10757686363</v>
          </cell>
          <cell r="M3056" t="str">
            <v>URBANO PARTNER</v>
          </cell>
          <cell r="N3056">
            <v>45951</v>
          </cell>
          <cell r="O3056">
            <v>0</v>
          </cell>
          <cell r="P3056" t="str">
            <v>LITE</v>
          </cell>
        </row>
        <row r="3057">
          <cell r="A3057">
            <v>3944</v>
          </cell>
          <cell r="B3057">
            <v>3944</v>
          </cell>
          <cell r="C3057" t="str">
            <v>CERO MATRICULA</v>
          </cell>
          <cell r="D3057" t="str">
            <v>ACTIVO</v>
          </cell>
          <cell r="E3057" t="str">
            <v>CUU435</v>
          </cell>
          <cell r="F3057" t="str">
            <v>Flores Arellano Juan Carlos</v>
          </cell>
          <cell r="G3057" t="str">
            <v>Flores Arellano Juan Carlos</v>
          </cell>
          <cell r="H3057" t="str">
            <v>43627075</v>
          </cell>
          <cell r="I3057" t="str">
            <v>BBVA</v>
          </cell>
          <cell r="J3057" t="str">
            <v>001108140257562285</v>
          </cell>
          <cell r="K3057" t="str">
            <v>DNI</v>
          </cell>
          <cell r="L3057">
            <v>10436270751</v>
          </cell>
          <cell r="M3057" t="str">
            <v>URBANO PARTNER</v>
          </cell>
          <cell r="N3057">
            <v>45951</v>
          </cell>
          <cell r="O3057">
            <v>0</v>
          </cell>
          <cell r="P3057" t="str">
            <v>XL</v>
          </cell>
        </row>
        <row r="3058">
          <cell r="A3058">
            <v>3945</v>
          </cell>
          <cell r="B3058">
            <v>3945</v>
          </cell>
          <cell r="C3058" t="str">
            <v>CERO MATRICULA</v>
          </cell>
          <cell r="D3058" t="str">
            <v>ACTIVO</v>
          </cell>
          <cell r="E3058" t="str">
            <v>CUI583</v>
          </cell>
          <cell r="F3058" t="str">
            <v>Ramos Torres Gyorgye Charlye</v>
          </cell>
          <cell r="G3058" t="str">
            <v>Ramos Torres Gyorgye Charlye</v>
          </cell>
          <cell r="H3058" t="str">
            <v>49063285</v>
          </cell>
          <cell r="I3058" t="str">
            <v>BCP</v>
          </cell>
          <cell r="J3058" t="str">
            <v>19107053169012</v>
          </cell>
          <cell r="K3058" t="str">
            <v>DNI</v>
          </cell>
          <cell r="L3058">
            <v>10490632854</v>
          </cell>
          <cell r="M3058" t="str">
            <v>AEROLINEAS</v>
          </cell>
          <cell r="N3058">
            <v>45953</v>
          </cell>
          <cell r="O3058">
            <v>0</v>
          </cell>
          <cell r="P3058" t="str">
            <v>XL</v>
          </cell>
        </row>
        <row r="3059">
          <cell r="A3059">
            <v>3947</v>
          </cell>
          <cell r="B3059">
            <v>3947</v>
          </cell>
          <cell r="C3059" t="str">
            <v>CERO MATRICULA</v>
          </cell>
          <cell r="D3059" t="str">
            <v>ACTIVO</v>
          </cell>
          <cell r="E3059" t="str">
            <v>BFK695</v>
          </cell>
          <cell r="F3059" t="str">
            <v>Gomez Useche Yorfrig Antony</v>
          </cell>
          <cell r="G3059" t="str">
            <v>Gomez Useche Yorfrig Antony</v>
          </cell>
          <cell r="H3059" t="str">
            <v>006764594</v>
          </cell>
          <cell r="I3059" t="str">
            <v>BCP</v>
          </cell>
          <cell r="J3059" t="str">
            <v>19196531881048</v>
          </cell>
          <cell r="K3059" t="str">
            <v>CARNET DE EXTRANJERÍA</v>
          </cell>
          <cell r="L3059">
            <v>15612599553</v>
          </cell>
          <cell r="M3059" t="str">
            <v>AEROLINEAS</v>
          </cell>
          <cell r="N3059">
            <v>45953</v>
          </cell>
          <cell r="O3059">
            <v>0</v>
          </cell>
          <cell r="P3059" t="str">
            <v>LITE</v>
          </cell>
        </row>
        <row r="3060">
          <cell r="A3060">
            <v>3948</v>
          </cell>
          <cell r="B3060">
            <v>3948</v>
          </cell>
          <cell r="C3060" t="str">
            <v>CERO MATRICULA</v>
          </cell>
          <cell r="D3060" t="str">
            <v>ACTIVO</v>
          </cell>
          <cell r="E3060" t="str">
            <v>CUU094</v>
          </cell>
          <cell r="F3060" t="str">
            <v>Salazar Mimbela Jose Francisco</v>
          </cell>
          <cell r="G3060" t="str">
            <v>Salazar Mimbela  Jose Francisco</v>
          </cell>
          <cell r="H3060" t="str">
            <v>08642917</v>
          </cell>
          <cell r="I3060" t="str">
            <v xml:space="preserve">INTERBANK </v>
          </cell>
          <cell r="J3060" t="str">
            <v>3763494036128</v>
          </cell>
          <cell r="K3060" t="str">
            <v>DNI</v>
          </cell>
          <cell r="L3060">
            <v>10086429174</v>
          </cell>
          <cell r="M3060" t="str">
            <v>AEROLINEAS</v>
          </cell>
          <cell r="N3060">
            <v>45953</v>
          </cell>
          <cell r="O3060">
            <v>0</v>
          </cell>
          <cell r="P3060" t="str">
            <v>LITE</v>
          </cell>
        </row>
        <row r="3061">
          <cell r="A3061">
            <v>3950</v>
          </cell>
          <cell r="B3061">
            <v>3950</v>
          </cell>
          <cell r="C3061" t="str">
            <v>CERO MATRICULA</v>
          </cell>
          <cell r="D3061" t="str">
            <v>ACTIVO</v>
          </cell>
          <cell r="E3061" t="str">
            <v>CMT682</v>
          </cell>
          <cell r="F3061" t="str">
            <v xml:space="preserve">Carrera Moya José gregorio </v>
          </cell>
          <cell r="G3061" t="str">
            <v xml:space="preserve">Carrera Moya José gregorio </v>
          </cell>
          <cell r="H3061" t="str">
            <v>002109503</v>
          </cell>
          <cell r="I3061" t="str">
            <v>SANTANDER</v>
          </cell>
          <cell r="J3061" t="str">
            <v>204170446180</v>
          </cell>
          <cell r="K3061" t="str">
            <v>CARNET DE EXTRANJERÍA</v>
          </cell>
          <cell r="L3061">
            <v>15605033790</v>
          </cell>
          <cell r="M3061" t="str">
            <v>AEROLINEAS</v>
          </cell>
          <cell r="N3061">
            <v>45953</v>
          </cell>
          <cell r="O3061">
            <v>0</v>
          </cell>
          <cell r="P3061" t="str">
            <v>LITE</v>
          </cell>
        </row>
        <row r="3062">
          <cell r="A3062">
            <v>3951</v>
          </cell>
          <cell r="B3062">
            <v>3951</v>
          </cell>
          <cell r="C3062" t="str">
            <v>CERO MATRICULA</v>
          </cell>
          <cell r="D3062" t="str">
            <v>ACTIVO</v>
          </cell>
          <cell r="E3062" t="str">
            <v>BHQ070</v>
          </cell>
          <cell r="F3062" t="str">
            <v>Rioja Aguilar Abel</v>
          </cell>
          <cell r="G3062" t="str">
            <v>Rioja Aguilar Abel</v>
          </cell>
          <cell r="H3062" t="str">
            <v>44705408</v>
          </cell>
          <cell r="I3062" t="str">
            <v>BBVA</v>
          </cell>
          <cell r="J3062" t="str">
            <v>001108140282931805</v>
          </cell>
          <cell r="K3062" t="str">
            <v>DNI</v>
          </cell>
          <cell r="L3062">
            <v>10447054081</v>
          </cell>
          <cell r="M3062" t="str">
            <v>AEROLINEAS</v>
          </cell>
          <cell r="N3062">
            <v>45953</v>
          </cell>
          <cell r="O3062">
            <v>0</v>
          </cell>
          <cell r="P3062" t="str">
            <v>LITE</v>
          </cell>
        </row>
        <row r="3063">
          <cell r="A3063">
            <v>3954</v>
          </cell>
          <cell r="B3063">
            <v>3954</v>
          </cell>
          <cell r="C3063" t="str">
            <v>CERO MATRICULA</v>
          </cell>
          <cell r="D3063" t="str">
            <v>ACTIVO</v>
          </cell>
          <cell r="E3063" t="str">
            <v>CBC673</v>
          </cell>
          <cell r="F3063" t="str">
            <v>Alamo Paredes Carlos Eduardo</v>
          </cell>
          <cell r="G3063" t="str">
            <v>Alamo Paredes Carlos Eduardo</v>
          </cell>
          <cell r="H3063" t="str">
            <v>09853887</v>
          </cell>
          <cell r="I3063" t="str">
            <v>INTERBANK</v>
          </cell>
          <cell r="J3063" t="str">
            <v>1073108102318</v>
          </cell>
          <cell r="K3063" t="str">
            <v>DNI</v>
          </cell>
          <cell r="L3063">
            <v>10098538874</v>
          </cell>
          <cell r="M3063" t="str">
            <v>AEROLINEAS</v>
          </cell>
          <cell r="N3063">
            <v>45953</v>
          </cell>
          <cell r="O3063">
            <v>0</v>
          </cell>
          <cell r="P3063" t="str">
            <v>COMFORT XL</v>
          </cell>
        </row>
        <row r="3064">
          <cell r="A3064">
            <v>3955</v>
          </cell>
          <cell r="B3064">
            <v>3955</v>
          </cell>
          <cell r="C3064" t="str">
            <v>CERO MATRICULA</v>
          </cell>
          <cell r="D3064" t="str">
            <v>ACTIVO</v>
          </cell>
          <cell r="E3064" t="str">
            <v>CTU121</v>
          </cell>
          <cell r="F3064" t="str">
            <v>Mogollon Quiroz Efrain</v>
          </cell>
          <cell r="G3064" t="str">
            <v>Mogollon Quiroz Efrain</v>
          </cell>
          <cell r="H3064" t="str">
            <v>006463712</v>
          </cell>
          <cell r="I3064" t="str">
            <v>INTERBANK</v>
          </cell>
          <cell r="J3064" t="str">
            <v>4153428188825</v>
          </cell>
          <cell r="K3064" t="str">
            <v>CARNET DE EXTRANJERÍA</v>
          </cell>
          <cell r="L3064">
            <v>15611311289</v>
          </cell>
          <cell r="M3064" t="str">
            <v>MEMBRESÍA NOCTURNA - APTO</v>
          </cell>
          <cell r="N3064">
            <v>45953</v>
          </cell>
          <cell r="O3064">
            <v>285</v>
          </cell>
          <cell r="P3064" t="str">
            <v>COMFORT XL</v>
          </cell>
        </row>
        <row r="3065">
          <cell r="A3065">
            <v>15</v>
          </cell>
          <cell r="B3065">
            <v>15</v>
          </cell>
          <cell r="C3065" t="str">
            <v>CERO MATRICULA</v>
          </cell>
          <cell r="D3065" t="str">
            <v>ACTIVO</v>
          </cell>
          <cell r="E3065" t="str">
            <v>MOVIL CONTINGENCIA</v>
          </cell>
          <cell r="F3065" t="str">
            <v>MOVIL CONTINGENCIA</v>
          </cell>
          <cell r="G3065" t="str">
            <v>MOVIL CONTINGENCIA</v>
          </cell>
          <cell r="H3065" t="str">
            <v>MOVIL CONTINGENCIA</v>
          </cell>
          <cell r="I3065" t="str">
            <v>MOVIL CONTINGENCIA</v>
          </cell>
          <cell r="J3065" t="str">
            <v>MOVIL CONTINGENCIA</v>
          </cell>
          <cell r="K3065" t="str">
            <v>MOVIL CONTINGENCIA</v>
          </cell>
          <cell r="L3065" t="str">
            <v>MOVIL CONTINGENCIA</v>
          </cell>
          <cell r="M3065" t="str">
            <v>MOVIL CONTINGENCIA</v>
          </cell>
          <cell r="N3065">
            <v>45908</v>
          </cell>
          <cell r="O3065">
            <v>0</v>
          </cell>
          <cell r="P3065" t="str">
            <v>LITE</v>
          </cell>
        </row>
        <row r="3066">
          <cell r="A3066">
            <v>3939</v>
          </cell>
          <cell r="B3066">
            <v>3939</v>
          </cell>
          <cell r="C3066" t="str">
            <v>CERO MATRICULA</v>
          </cell>
          <cell r="D3066" t="str">
            <v>ACTIVO</v>
          </cell>
          <cell r="E3066" t="str">
            <v>BZT261</v>
          </cell>
          <cell r="F3066" t="str">
            <v>Borja Ramirez Luis Ángel</v>
          </cell>
          <cell r="G3066" t="str">
            <v>Borja Ramirez Luis Ángel</v>
          </cell>
          <cell r="H3066" t="str">
            <v>40158184</v>
          </cell>
          <cell r="I3066" t="str">
            <v>BCP</v>
          </cell>
          <cell r="J3066" t="str">
            <v>19270606073063</v>
          </cell>
          <cell r="K3066" t="str">
            <v>DNI</v>
          </cell>
          <cell r="L3066">
            <v>10401581842</v>
          </cell>
          <cell r="M3066" t="str">
            <v>MEMBRESÍA NOCTURNA - APTO</v>
          </cell>
          <cell r="N3066">
            <v>45951</v>
          </cell>
          <cell r="O3066">
            <v>240</v>
          </cell>
          <cell r="P3066" t="str">
            <v>XL</v>
          </cell>
        </row>
        <row r="3067">
          <cell r="A3067">
            <v>474</v>
          </cell>
          <cell r="B3067">
            <v>474</v>
          </cell>
          <cell r="C3067" t="str">
            <v>CERO MATRICULA</v>
          </cell>
          <cell r="D3067" t="str">
            <v>ACTIVO</v>
          </cell>
          <cell r="E3067" t="str">
            <v>P3W603</v>
          </cell>
          <cell r="F3067" t="str">
            <v>Arias López Javier santos</v>
          </cell>
          <cell r="G3067" t="str">
            <v>Alejandro José Aponte</v>
          </cell>
          <cell r="H3067" t="str">
            <v>004732098</v>
          </cell>
          <cell r="I3067" t="str">
            <v>BBVA</v>
          </cell>
          <cell r="J3067" t="str">
            <v>001102340200581973</v>
          </cell>
          <cell r="K3067" t="str">
            <v>CARNET DE EXTRANJERÍA</v>
          </cell>
          <cell r="L3067">
            <v>15615467569</v>
          </cell>
          <cell r="M3067" t="str">
            <v>URBANO PARTNER</v>
          </cell>
          <cell r="N3067">
            <v>45958</v>
          </cell>
          <cell r="O3067">
            <v>0</v>
          </cell>
          <cell r="P3067" t="str">
            <v>LITE</v>
          </cell>
        </row>
        <row r="3068">
          <cell r="A3068">
            <v>498</v>
          </cell>
          <cell r="B3068">
            <v>498</v>
          </cell>
          <cell r="C3068" t="str">
            <v>CERO MATRICULA</v>
          </cell>
          <cell r="D3068" t="str">
            <v>ACTIVO</v>
          </cell>
          <cell r="E3068" t="str">
            <v>CRB591</v>
          </cell>
          <cell r="F3068" t="str">
            <v>Martinez Mendez Ivan Ramon</v>
          </cell>
          <cell r="G3068" t="str">
            <v>Martinez Mendez Ivan Ramon</v>
          </cell>
          <cell r="H3068" t="str">
            <v>003874564</v>
          </cell>
          <cell r="I3068" t="str">
            <v>INTERBANK</v>
          </cell>
          <cell r="J3068" t="str">
            <v>2883404982265</v>
          </cell>
          <cell r="K3068" t="str">
            <v>CARNET DE EXTRANJERÍA</v>
          </cell>
          <cell r="L3068">
            <v>15605659613</v>
          </cell>
          <cell r="M3068" t="str">
            <v>MEMBRESÍA NOCTURNA - APTO</v>
          </cell>
          <cell r="N3068">
            <v>45953</v>
          </cell>
          <cell r="O3068">
            <v>285</v>
          </cell>
          <cell r="P3068" t="str">
            <v>COMFORT XL</v>
          </cell>
        </row>
        <row r="3069">
          <cell r="A3069">
            <v>2409</v>
          </cell>
          <cell r="B3069">
            <v>2409</v>
          </cell>
          <cell r="C3069" t="str">
            <v>CERO MATRICULA</v>
          </cell>
          <cell r="D3069" t="str">
            <v>ACTIVO</v>
          </cell>
          <cell r="E3069" t="str">
            <v>CBR208</v>
          </cell>
          <cell r="F3069" t="str">
            <v xml:space="preserve">Garcia Blasquez Ludeña Gonzalo </v>
          </cell>
          <cell r="G3069" t="str">
            <v xml:space="preserve">Garcia Blasquez Ludeña Gonzalo </v>
          </cell>
          <cell r="H3069" t="str">
            <v>42351387</v>
          </cell>
          <cell r="I3069" t="str">
            <v>INTERBANK</v>
          </cell>
          <cell r="J3069" t="str">
            <v>2003017087083</v>
          </cell>
          <cell r="K3069" t="str">
            <v>DNI</v>
          </cell>
          <cell r="L3069">
            <v>10423513875</v>
          </cell>
          <cell r="M3069" t="str">
            <v>URBANO PARTNER</v>
          </cell>
          <cell r="N3069">
            <v>45958</v>
          </cell>
          <cell r="O3069">
            <v>0</v>
          </cell>
          <cell r="P3069" t="str">
            <v>LITE</v>
          </cell>
        </row>
        <row r="3070">
          <cell r="A3070">
            <v>3862</v>
          </cell>
          <cell r="B3070">
            <v>3862</v>
          </cell>
          <cell r="C3070" t="str">
            <v>CERO MATRICULA</v>
          </cell>
          <cell r="D3070" t="str">
            <v>ACTIVO</v>
          </cell>
          <cell r="E3070" t="str">
            <v>H2U322</v>
          </cell>
          <cell r="F3070" t="str">
            <v>Marín Figueroa  Eduardo Rafael</v>
          </cell>
          <cell r="G3070" t="str">
            <v xml:space="preserve"> </v>
          </cell>
          <cell r="H3070"/>
          <cell r="I3070"/>
          <cell r="J3070"/>
          <cell r="K3070"/>
          <cell r="L3070"/>
          <cell r="M3070" t="str">
            <v>MEMBRESÍA NOCTURNA - APTO</v>
          </cell>
          <cell r="N3070">
            <v>45923</v>
          </cell>
          <cell r="O3070">
            <v>285</v>
          </cell>
          <cell r="P3070" t="str">
            <v>COMFORT XL</v>
          </cell>
        </row>
        <row r="3071">
          <cell r="A3071">
            <v>3953</v>
          </cell>
          <cell r="B3071">
            <v>3953</v>
          </cell>
          <cell r="C3071" t="str">
            <v>CERO MATRICULA</v>
          </cell>
          <cell r="D3071" t="str">
            <v>ACTIVO</v>
          </cell>
          <cell r="E3071" t="str">
            <v>CFJ058</v>
          </cell>
          <cell r="F3071" t="str">
            <v>Cuba Rosadio Jairo valdir</v>
          </cell>
          <cell r="G3071" t="str">
            <v>Rosadio Jairo valdir</v>
          </cell>
          <cell r="H3071" t="str">
            <v>73470210</v>
          </cell>
          <cell r="I3071" t="str">
            <v>INTERBANK</v>
          </cell>
          <cell r="J3071" t="str">
            <v>2823118058524</v>
          </cell>
          <cell r="K3071" t="str">
            <v>DNI</v>
          </cell>
          <cell r="L3071">
            <v>10734702108</v>
          </cell>
          <cell r="M3071" t="str">
            <v>URBANO PARTNER</v>
          </cell>
          <cell r="N3071">
            <v>45960</v>
          </cell>
          <cell r="O3071">
            <v>0</v>
          </cell>
          <cell r="P3071" t="str">
            <v>VAN</v>
          </cell>
        </row>
        <row r="3072">
          <cell r="A3072">
            <v>3956</v>
          </cell>
          <cell r="B3072">
            <v>3956</v>
          </cell>
          <cell r="C3072" t="str">
            <v>CERO MATRICULA</v>
          </cell>
          <cell r="D3072" t="str">
            <v>ACTIVO</v>
          </cell>
          <cell r="E3072" t="str">
            <v>CUP199</v>
          </cell>
          <cell r="F3072" t="str">
            <v>Sánchez Ramírez Edward Elmer</v>
          </cell>
          <cell r="G3072" t="str">
            <v>Sanchez Ramírez Edward Elmer</v>
          </cell>
          <cell r="H3072" t="str">
            <v>09651243</v>
          </cell>
          <cell r="I3072" t="str">
            <v>BCP</v>
          </cell>
          <cell r="J3072" t="str">
            <v>19121334046040</v>
          </cell>
          <cell r="K3072" t="str">
            <v>DNI</v>
          </cell>
          <cell r="L3072">
            <v>10096512436</v>
          </cell>
          <cell r="M3072" t="str">
            <v>MEMBRESÍA NOCTURNA - APTO</v>
          </cell>
          <cell r="N3072">
            <v>45953</v>
          </cell>
          <cell r="O3072">
            <v>235</v>
          </cell>
          <cell r="P3072" t="str">
            <v>COMFORT XL</v>
          </cell>
        </row>
        <row r="3073">
          <cell r="A3073">
            <v>3958</v>
          </cell>
          <cell r="B3073">
            <v>3958</v>
          </cell>
          <cell r="C3073" t="str">
            <v>CERO MATRICULA</v>
          </cell>
          <cell r="D3073" t="str">
            <v>ACTIVO</v>
          </cell>
          <cell r="E3073" t="str">
            <v>AZM126</v>
          </cell>
          <cell r="F3073" t="str">
            <v>Chang Marzal Carlos Enrique</v>
          </cell>
          <cell r="G3073" t="str">
            <v>Chang Marzal Carlos Enrique</v>
          </cell>
          <cell r="H3073" t="str">
            <v>06991133</v>
          </cell>
          <cell r="I3073" t="str">
            <v>BCP</v>
          </cell>
          <cell r="J3073" t="str">
            <v>19106054579035</v>
          </cell>
          <cell r="K3073" t="str">
            <v>DNI</v>
          </cell>
          <cell r="L3073">
            <v>10069911337</v>
          </cell>
          <cell r="M3073" t="str">
            <v>MEMBRESÍA NOCTURNA - APTO</v>
          </cell>
          <cell r="N3073">
            <v>45958</v>
          </cell>
          <cell r="O3073">
            <v>285</v>
          </cell>
          <cell r="P3073" t="str">
            <v>COMFORT XL</v>
          </cell>
        </row>
        <row r="3074">
          <cell r="A3074">
            <v>3960</v>
          </cell>
          <cell r="B3074">
            <v>3960</v>
          </cell>
          <cell r="C3074" t="str">
            <v>CERO MATRICULA</v>
          </cell>
          <cell r="D3074" t="str">
            <v>ACTIVO</v>
          </cell>
          <cell r="E3074" t="str">
            <v>CTT572</v>
          </cell>
          <cell r="F3074" t="str">
            <v xml:space="preserve">Marquez Cols Felix </v>
          </cell>
          <cell r="G3074" t="str">
            <v xml:space="preserve">Marquez Cols Felix </v>
          </cell>
          <cell r="H3074" t="str">
            <v>005487140</v>
          </cell>
          <cell r="I3074" t="str">
            <v>BCP</v>
          </cell>
          <cell r="J3074" t="str">
            <v>19374212253070</v>
          </cell>
          <cell r="K3074" t="str">
            <v>CARNET DE EXTRANJERÍA</v>
          </cell>
          <cell r="L3074">
            <v>15614616749</v>
          </cell>
          <cell r="M3074" t="str">
            <v>URBANO PARTNER</v>
          </cell>
          <cell r="N3074">
            <v>45958</v>
          </cell>
          <cell r="O3074">
            <v>0</v>
          </cell>
          <cell r="P3074" t="str">
            <v>LITE</v>
          </cell>
        </row>
        <row r="3075">
          <cell r="A3075">
            <v>3961</v>
          </cell>
          <cell r="B3075">
            <v>3961</v>
          </cell>
          <cell r="C3075" t="str">
            <v>CERO MATRICULA</v>
          </cell>
          <cell r="D3075" t="str">
            <v>ACTIVO</v>
          </cell>
          <cell r="E3075" t="str">
            <v>CPU656</v>
          </cell>
          <cell r="F3075" t="str">
            <v>Lugo Fonseca Henrry Moisés</v>
          </cell>
          <cell r="G3075" t="str">
            <v>Lugo Fonseca Henrry Moisés</v>
          </cell>
          <cell r="H3075" t="str">
            <v>25803820</v>
          </cell>
          <cell r="I3075" t="str">
            <v>BCP</v>
          </cell>
          <cell r="J3075" t="str">
            <v>19298512966044</v>
          </cell>
          <cell r="K3075" t="str">
            <v>DNI</v>
          </cell>
          <cell r="L3075">
            <v>10258038202</v>
          </cell>
          <cell r="M3075" t="str">
            <v>URBANO PARTNER</v>
          </cell>
          <cell r="N3075">
            <v>45958</v>
          </cell>
          <cell r="O3075">
            <v>0</v>
          </cell>
          <cell r="P3075" t="str">
            <v>COMFORT</v>
          </cell>
        </row>
        <row r="3076">
          <cell r="A3076">
            <v>3962</v>
          </cell>
          <cell r="B3076">
            <v>3962</v>
          </cell>
          <cell r="C3076" t="str">
            <v>CERO MATRICULA</v>
          </cell>
          <cell r="D3076" t="str">
            <v>ACTIVO</v>
          </cell>
          <cell r="E3076" t="str">
            <v>BTQ407</v>
          </cell>
          <cell r="F3076" t="str">
            <v xml:space="preserve">Moscoso Altamirano Beijing luis </v>
          </cell>
          <cell r="G3076" t="str">
            <v xml:space="preserve">Moscoso Altamirano Beijing luis </v>
          </cell>
          <cell r="H3076" t="str">
            <v>42779820</v>
          </cell>
          <cell r="I3076" t="str">
            <v>BCP</v>
          </cell>
          <cell r="J3076" t="str">
            <v>19436559984074</v>
          </cell>
          <cell r="K3076" t="str">
            <v>DNI</v>
          </cell>
          <cell r="L3076">
            <v>10427798203</v>
          </cell>
          <cell r="M3076" t="str">
            <v>URBANO PARTNER</v>
          </cell>
          <cell r="N3076">
            <v>45958</v>
          </cell>
          <cell r="O3076">
            <v>0</v>
          </cell>
          <cell r="P3076" t="str">
            <v>LITE</v>
          </cell>
        </row>
        <row r="3077">
          <cell r="A3077">
            <v>3963</v>
          </cell>
          <cell r="B3077">
            <v>3963</v>
          </cell>
          <cell r="C3077" t="str">
            <v>CERO MATRICULA</v>
          </cell>
          <cell r="D3077" t="str">
            <v>ACTIVO</v>
          </cell>
          <cell r="E3077" t="str">
            <v>BNH198</v>
          </cell>
          <cell r="F3077" t="str">
            <v>Gonzales Loa Roger</v>
          </cell>
          <cell r="G3077" t="str">
            <v>Gonzales Loa Roger</v>
          </cell>
          <cell r="H3077" t="str">
            <v>77502928</v>
          </cell>
          <cell r="I3077" t="str">
            <v>BBVA</v>
          </cell>
          <cell r="J3077" t="str">
            <v>001108140201523317</v>
          </cell>
          <cell r="K3077" t="str">
            <v>DNI</v>
          </cell>
          <cell r="L3077">
            <v>10775029281</v>
          </cell>
          <cell r="M3077" t="str">
            <v>URBANO PARTNER</v>
          </cell>
          <cell r="N3077">
            <v>45958</v>
          </cell>
          <cell r="O3077">
            <v>0</v>
          </cell>
          <cell r="P3077" t="str">
            <v>COMFORT</v>
          </cell>
        </row>
        <row r="3078">
          <cell r="A3078">
            <v>3964</v>
          </cell>
          <cell r="B3078">
            <v>3964</v>
          </cell>
          <cell r="C3078" t="str">
            <v>CERO MATRICULA</v>
          </cell>
          <cell r="D3078" t="str">
            <v>ACTIVO</v>
          </cell>
          <cell r="E3078" t="str">
            <v>BZO202</v>
          </cell>
          <cell r="F3078" t="str">
            <v>Cordova Ramírez Yolvi Exson</v>
          </cell>
          <cell r="G3078" t="str">
            <v>Cordova Ramírez Yolvi Exson</v>
          </cell>
          <cell r="H3078" t="str">
            <v>45312029</v>
          </cell>
          <cell r="I3078" t="str">
            <v>BBVA</v>
          </cell>
          <cell r="J3078" t="str">
            <v>001108140282717137</v>
          </cell>
          <cell r="K3078" t="str">
            <v>DNI</v>
          </cell>
          <cell r="L3078">
            <v>10453120291</v>
          </cell>
          <cell r="M3078" t="str">
            <v>URBANO PARTNER</v>
          </cell>
          <cell r="N3078">
            <v>45958</v>
          </cell>
          <cell r="O3078">
            <v>0</v>
          </cell>
          <cell r="P3078" t="str">
            <v>XL</v>
          </cell>
        </row>
        <row r="3079">
          <cell r="A3079">
            <v>3965</v>
          </cell>
          <cell r="B3079">
            <v>3965</v>
          </cell>
          <cell r="C3079" t="str">
            <v>CERO MATRICULA</v>
          </cell>
          <cell r="D3079" t="str">
            <v>ACTIVO</v>
          </cell>
          <cell r="E3079" t="str">
            <v>ALZ323</v>
          </cell>
          <cell r="F3079" t="str">
            <v xml:space="preserve">Caceres . Walter Ruben </v>
          </cell>
          <cell r="G3079" t="str">
            <v xml:space="preserve">Caceres Walter Ruben </v>
          </cell>
          <cell r="H3079" t="str">
            <v>003041330</v>
          </cell>
          <cell r="I3079" t="str">
            <v>BCP</v>
          </cell>
          <cell r="J3079" t="str">
            <v>19400896539093</v>
          </cell>
          <cell r="K3079" t="str">
            <v>CARNET DE EXTRANJERÍA</v>
          </cell>
          <cell r="L3079">
            <v>15614974408</v>
          </cell>
          <cell r="M3079" t="str">
            <v>URBANO PARTNER</v>
          </cell>
          <cell r="N3079">
            <v>45958</v>
          </cell>
          <cell r="O3079">
            <v>0</v>
          </cell>
          <cell r="P3079" t="str">
            <v>LITE</v>
          </cell>
        </row>
        <row r="3080">
          <cell r="A3080">
            <v>3966</v>
          </cell>
          <cell r="B3080">
            <v>3966</v>
          </cell>
          <cell r="C3080" t="str">
            <v>CERO MATRICULA</v>
          </cell>
          <cell r="D3080" t="str">
            <v>ACTIVO</v>
          </cell>
          <cell r="E3080" t="str">
            <v>BKZ328</v>
          </cell>
          <cell r="F3080" t="str">
            <v>Cirineo Quiquia Wilian Santiago</v>
          </cell>
          <cell r="G3080" t="str">
            <v>Cirineo Quiquia Wilian Santiago</v>
          </cell>
          <cell r="H3080">
            <v>41233261</v>
          </cell>
          <cell r="I3080" t="str">
            <v>BCP</v>
          </cell>
          <cell r="J3080" t="str">
            <v xml:space="preserve">19195192054088 </v>
          </cell>
          <cell r="K3080" t="str">
            <v>DNI</v>
          </cell>
          <cell r="L3080">
            <v>10412332615</v>
          </cell>
          <cell r="M3080" t="str">
            <v>URBANO PARTNER</v>
          </cell>
          <cell r="N3080">
            <v>45958</v>
          </cell>
          <cell r="O3080">
            <v>0</v>
          </cell>
          <cell r="P3080" t="str">
            <v>LITE</v>
          </cell>
        </row>
        <row r="3081">
          <cell r="A3081">
            <v>3967</v>
          </cell>
          <cell r="B3081">
            <v>3967</v>
          </cell>
          <cell r="C3081" t="str">
            <v>CERO MATRICULA</v>
          </cell>
          <cell r="D3081" t="str">
            <v>ACTIVO</v>
          </cell>
          <cell r="E3081" t="str">
            <v>BTF639</v>
          </cell>
          <cell r="F3081" t="str">
            <v>Flores Quinto Richard Teylor</v>
          </cell>
          <cell r="G3081" t="str">
            <v>Flores Quinto Richard Teylor</v>
          </cell>
          <cell r="H3081" t="str">
            <v>47063471</v>
          </cell>
          <cell r="I3081" t="str">
            <v>BCP</v>
          </cell>
          <cell r="J3081" t="str">
            <v>19196560088040</v>
          </cell>
          <cell r="K3081" t="str">
            <v>DNI</v>
          </cell>
          <cell r="L3081">
            <v>10470634711</v>
          </cell>
          <cell r="M3081" t="str">
            <v>URBANO PARTNER</v>
          </cell>
          <cell r="N3081">
            <v>45958</v>
          </cell>
          <cell r="O3081">
            <v>0</v>
          </cell>
          <cell r="P3081" t="str">
            <v>COMFORT XL</v>
          </cell>
        </row>
        <row r="3082">
          <cell r="A3082">
            <v>3968</v>
          </cell>
          <cell r="B3082">
            <v>3968</v>
          </cell>
          <cell r="C3082" t="str">
            <v>CERO MATRICULA</v>
          </cell>
          <cell r="D3082" t="str">
            <v>ACTIVO</v>
          </cell>
          <cell r="E3082" t="str">
            <v>CPC158</v>
          </cell>
          <cell r="F3082" t="str">
            <v xml:space="preserve">Arcón. Ortiz. Andrés Dario </v>
          </cell>
          <cell r="G3082" t="str">
            <v xml:space="preserve">Arcon Ortiz Andrés Dario </v>
          </cell>
          <cell r="H3082" t="str">
            <v>007402626</v>
          </cell>
          <cell r="I3082" t="str">
            <v>INTERBANK</v>
          </cell>
          <cell r="J3082" t="str">
            <v>1263464280037</v>
          </cell>
          <cell r="K3082" t="str">
            <v>CARNET DE EXTRANJERÍA</v>
          </cell>
          <cell r="L3082">
            <v>15614779770</v>
          </cell>
          <cell r="M3082" t="str">
            <v>URBANO PARTNER</v>
          </cell>
          <cell r="N3082">
            <v>45958</v>
          </cell>
          <cell r="O3082">
            <v>0</v>
          </cell>
          <cell r="P3082" t="str">
            <v>LITE</v>
          </cell>
        </row>
        <row r="3083">
          <cell r="A3083">
            <v>3969</v>
          </cell>
          <cell r="B3083">
            <v>3969</v>
          </cell>
          <cell r="C3083" t="str">
            <v>CERO MATRICULA</v>
          </cell>
          <cell r="D3083" t="str">
            <v>ACTIVO</v>
          </cell>
          <cell r="E3083" t="str">
            <v>CJL457</v>
          </cell>
          <cell r="F3083" t="str">
            <v>Castro Velandres Christian Rolando</v>
          </cell>
          <cell r="G3083" t="str">
            <v>Castro Velandres Christian Rolando</v>
          </cell>
          <cell r="H3083" t="str">
            <v>25330572</v>
          </cell>
          <cell r="I3083" t="str">
            <v>INTERBANK</v>
          </cell>
          <cell r="J3083" t="str">
            <v>8983481612308</v>
          </cell>
          <cell r="K3083" t="str">
            <v>DNI</v>
          </cell>
          <cell r="L3083">
            <v>10253305725</v>
          </cell>
          <cell r="M3083" t="str">
            <v>URBANO PARTNER</v>
          </cell>
          <cell r="N3083">
            <v>45958</v>
          </cell>
          <cell r="O3083">
            <v>0</v>
          </cell>
          <cell r="P3083" t="str">
            <v>LITE</v>
          </cell>
        </row>
        <row r="3084">
          <cell r="A3084">
            <v>3972</v>
          </cell>
          <cell r="B3084">
            <v>3972</v>
          </cell>
          <cell r="C3084" t="str">
            <v>CERO MATRICULA</v>
          </cell>
          <cell r="D3084" t="str">
            <v>ACTIVO</v>
          </cell>
          <cell r="E3084" t="str">
            <v>CUE631</v>
          </cell>
          <cell r="F3084" t="str">
            <v>Villarreal Barrionuevo Carlos Alberto</v>
          </cell>
          <cell r="G3084" t="str">
            <v>Villarreal Barrionuevo Carlos Alberto</v>
          </cell>
          <cell r="H3084" t="str">
            <v>08144854</v>
          </cell>
          <cell r="I3084" t="str">
            <v>BBVA</v>
          </cell>
          <cell r="J3084" t="str">
            <v>001108140284067032</v>
          </cell>
          <cell r="K3084" t="str">
            <v>DNI</v>
          </cell>
          <cell r="L3084">
            <v>10081448545</v>
          </cell>
          <cell r="M3084" t="str">
            <v>AEROLINEAS</v>
          </cell>
          <cell r="N3084">
            <v>45960</v>
          </cell>
          <cell r="O3084">
            <v>0</v>
          </cell>
          <cell r="P3084" t="str">
            <v>LITE</v>
          </cell>
        </row>
        <row r="3085">
          <cell r="A3085">
            <v>3973</v>
          </cell>
          <cell r="B3085">
            <v>3973</v>
          </cell>
          <cell r="C3085" t="str">
            <v>CERO MATRICULA</v>
          </cell>
          <cell r="D3085" t="str">
            <v>ACTIVO</v>
          </cell>
          <cell r="E3085" t="str">
            <v>CNC474</v>
          </cell>
          <cell r="F3085" t="str">
            <v>Paucar Antialon Carlos</v>
          </cell>
          <cell r="G3085" t="str">
            <v xml:space="preserve">Portales Surichaqui Andrea Lucía </v>
          </cell>
          <cell r="H3085" t="str">
            <v>41896575</v>
          </cell>
          <cell r="I3085" t="str">
            <v>BCP</v>
          </cell>
          <cell r="J3085" t="str">
            <v>19307401871036</v>
          </cell>
          <cell r="K3085" t="str">
            <v>DNI</v>
          </cell>
          <cell r="L3085">
            <v>10418965750</v>
          </cell>
          <cell r="M3085" t="str">
            <v>AEROLINEAS</v>
          </cell>
          <cell r="N3085">
            <v>45960</v>
          </cell>
          <cell r="O3085">
            <v>0</v>
          </cell>
          <cell r="P3085" t="str">
            <v>LITE</v>
          </cell>
        </row>
        <row r="3086">
          <cell r="A3086">
            <v>3974</v>
          </cell>
          <cell r="B3086">
            <v>3974</v>
          </cell>
          <cell r="C3086" t="str">
            <v>CERO MATRICULA</v>
          </cell>
          <cell r="D3086" t="str">
            <v>ACTIVO</v>
          </cell>
          <cell r="E3086" t="str">
            <v>CUT292</v>
          </cell>
          <cell r="F3086" t="str">
            <v>Aquino Huaire Wileam</v>
          </cell>
          <cell r="G3086" t="str">
            <v>Aquino Huaire Wileam</v>
          </cell>
          <cell r="H3086" t="str">
            <v>41570851</v>
          </cell>
          <cell r="I3086" t="str">
            <v>INTERBANK</v>
          </cell>
          <cell r="J3086" t="str">
            <v>8983485416988</v>
          </cell>
          <cell r="K3086" t="str">
            <v>DNI</v>
          </cell>
          <cell r="L3086">
            <v>10415708519</v>
          </cell>
          <cell r="M3086" t="str">
            <v>MEMBRESÍA NOCTURNA - APTO</v>
          </cell>
          <cell r="N3086">
            <v>45960</v>
          </cell>
          <cell r="O3086">
            <v>240</v>
          </cell>
          <cell r="P3086" t="str">
            <v>COMFORT</v>
          </cell>
        </row>
        <row r="3087">
          <cell r="A3087">
            <v>1212</v>
          </cell>
          <cell r="B3087">
            <v>1212</v>
          </cell>
          <cell r="C3087" t="str">
            <v>CERO MATRICULA</v>
          </cell>
          <cell r="D3087" t="str">
            <v>ACTIVO</v>
          </cell>
          <cell r="E3087" t="str">
            <v>BXP554</v>
          </cell>
          <cell r="F3087" t="str">
            <v xml:space="preserve">Chacon Arevalo Ronald </v>
          </cell>
          <cell r="G3087" t="str">
            <v xml:space="preserve"> </v>
          </cell>
          <cell r="H3087"/>
          <cell r="I3087"/>
          <cell r="J3087"/>
          <cell r="K3087"/>
          <cell r="L3087"/>
          <cell r="M3087" t="str">
            <v>URBANO PARTNER</v>
          </cell>
          <cell r="N3087">
            <v>45965</v>
          </cell>
          <cell r="O3087">
            <v>0</v>
          </cell>
          <cell r="P3087" t="str">
            <v>LITE</v>
          </cell>
        </row>
        <row r="3088">
          <cell r="A3088">
            <v>2615</v>
          </cell>
          <cell r="B3088">
            <v>2615</v>
          </cell>
          <cell r="C3088" t="str">
            <v>CERO MATRICULA</v>
          </cell>
          <cell r="D3088" t="str">
            <v>ACTIVO</v>
          </cell>
          <cell r="E3088" t="str">
            <v>CRR360</v>
          </cell>
          <cell r="F3088" t="str">
            <v>Vincula Quispe Teofilo</v>
          </cell>
          <cell r="G3088" t="str">
            <v>Vincula Quispe Teofilo</v>
          </cell>
          <cell r="H3088" t="str">
            <v>44318899</v>
          </cell>
          <cell r="I3088" t="str">
            <v>BCP</v>
          </cell>
          <cell r="J3088" t="str">
            <v>19199102679014</v>
          </cell>
          <cell r="K3088" t="str">
            <v>DNI</v>
          </cell>
          <cell r="L3088">
            <v>10443188997</v>
          </cell>
          <cell r="M3088" t="str">
            <v>URBANO PARTNER</v>
          </cell>
          <cell r="N3088">
            <v>45965</v>
          </cell>
          <cell r="O3088">
            <v>0</v>
          </cell>
          <cell r="P3088" t="str">
            <v>XL</v>
          </cell>
        </row>
        <row r="3089">
          <cell r="A3089">
            <v>2695</v>
          </cell>
          <cell r="B3089">
            <v>2695</v>
          </cell>
          <cell r="C3089" t="str">
            <v>CERO MATRICULA</v>
          </cell>
          <cell r="D3089" t="str">
            <v>ACTIVO</v>
          </cell>
          <cell r="E3089" t="str">
            <v>Cux412</v>
          </cell>
          <cell r="F3089" t="str">
            <v>Betancourt Rodríguez Carlos Eduardo</v>
          </cell>
          <cell r="G3089" t="str">
            <v xml:space="preserve">Davila Riera Jesús Rafael </v>
          </cell>
          <cell r="H3089" t="str">
            <v>008625645</v>
          </cell>
          <cell r="I3089" t="str">
            <v>BCP</v>
          </cell>
          <cell r="J3089" t="str">
            <v>19108842618036</v>
          </cell>
          <cell r="K3089" t="str">
            <v>CARNET DE EXTRANJERÍA</v>
          </cell>
          <cell r="L3089">
            <v>15615035448</v>
          </cell>
          <cell r="M3089" t="str">
            <v>URBANO PARTNER</v>
          </cell>
          <cell r="N3089">
            <v>45965</v>
          </cell>
          <cell r="O3089">
            <v>0</v>
          </cell>
          <cell r="P3089" t="str">
            <v>COMFORT XL</v>
          </cell>
        </row>
        <row r="3090">
          <cell r="A3090">
            <v>3952</v>
          </cell>
          <cell r="B3090">
            <v>3952</v>
          </cell>
          <cell r="C3090" t="str">
            <v>CERO MATRICULA</v>
          </cell>
          <cell r="D3090" t="str">
            <v>ACTIVO</v>
          </cell>
          <cell r="E3090" t="str">
            <v>CNI055</v>
          </cell>
          <cell r="F3090" t="str">
            <v>Lemus García Ronny Josué</v>
          </cell>
          <cell r="G3090" t="str">
            <v>Lemus García Ronny Josué</v>
          </cell>
          <cell r="H3090" t="str">
            <v>003180765</v>
          </cell>
          <cell r="I3090" t="str">
            <v>BCP</v>
          </cell>
          <cell r="J3090" t="str">
            <v>19471724876067</v>
          </cell>
          <cell r="K3090" t="str">
            <v>CARNET DE EXTRANJERÍA</v>
          </cell>
          <cell r="L3090">
            <v>15607437073</v>
          </cell>
          <cell r="M3090" t="str">
            <v>AEROLINEAS</v>
          </cell>
          <cell r="N3090">
            <v>45967</v>
          </cell>
          <cell r="O3090">
            <v>0</v>
          </cell>
          <cell r="P3090" t="str">
            <v>LITE</v>
          </cell>
        </row>
        <row r="3091">
          <cell r="A3091">
            <v>3976</v>
          </cell>
          <cell r="B3091">
            <v>3976</v>
          </cell>
          <cell r="C3091" t="str">
            <v>CERO MATRICULA</v>
          </cell>
          <cell r="D3091" t="str">
            <v>ACTIVO</v>
          </cell>
          <cell r="E3091" t="str">
            <v>Cmv618</v>
          </cell>
          <cell r="F3091" t="str">
            <v>Briones Tirado Eduardo Remigio</v>
          </cell>
          <cell r="G3091" t="str">
            <v>Briones Tirado Eduardo Remigio</v>
          </cell>
          <cell r="H3091" t="str">
            <v>44244277</v>
          </cell>
          <cell r="I3091" t="str">
            <v>INTERBANK</v>
          </cell>
          <cell r="J3091" t="str">
            <v>8983259623890</v>
          </cell>
          <cell r="K3091" t="str">
            <v>DNI</v>
          </cell>
          <cell r="L3091">
            <v>20606156813</v>
          </cell>
          <cell r="M3091" t="str">
            <v>URBANO PARTNER</v>
          </cell>
          <cell r="N3091">
            <v>45965</v>
          </cell>
          <cell r="O3091">
            <v>0</v>
          </cell>
          <cell r="P3091" t="str">
            <v>COMFORT XL</v>
          </cell>
        </row>
        <row r="3092">
          <cell r="A3092">
            <v>3977</v>
          </cell>
          <cell r="B3092">
            <v>3977</v>
          </cell>
          <cell r="C3092" t="str">
            <v>CERO MATRICULA</v>
          </cell>
          <cell r="D3092" t="str">
            <v>ACTIVO</v>
          </cell>
          <cell r="E3092" t="str">
            <v>CRA119</v>
          </cell>
          <cell r="F3092" t="str">
            <v>Rosario Alvarado Jose armando</v>
          </cell>
          <cell r="G3092" t="str">
            <v>Rosario Alvarado Jose armando</v>
          </cell>
          <cell r="H3092">
            <v>45157335</v>
          </cell>
          <cell r="I3092" t="str">
            <v>INTERBANK</v>
          </cell>
          <cell r="J3092" t="str">
            <v>8983457658453</v>
          </cell>
          <cell r="K3092" t="str">
            <v>DNI</v>
          </cell>
          <cell r="L3092">
            <v>10451573352</v>
          </cell>
          <cell r="M3092" t="str">
            <v>URBANO PARTNER</v>
          </cell>
          <cell r="N3092">
            <v>45965</v>
          </cell>
          <cell r="O3092">
            <v>0</v>
          </cell>
          <cell r="P3092" t="str">
            <v>COMFORT XL</v>
          </cell>
        </row>
        <row r="3093">
          <cell r="A3093">
            <v>3978</v>
          </cell>
          <cell r="B3093">
            <v>3978</v>
          </cell>
          <cell r="C3093" t="str">
            <v>CERO MATRICULA</v>
          </cell>
          <cell r="D3093" t="str">
            <v>ACTIVO</v>
          </cell>
          <cell r="E3093" t="str">
            <v>CTR577</v>
          </cell>
          <cell r="F3093" t="str">
            <v>Alva Salas Alvaro</v>
          </cell>
          <cell r="G3093" t="str">
            <v>Alva Salas Alvaro</v>
          </cell>
          <cell r="H3093" t="str">
            <v>45514132</v>
          </cell>
          <cell r="I3093" t="str">
            <v>BCP</v>
          </cell>
          <cell r="J3093" t="str">
            <v>19170954411020</v>
          </cell>
          <cell r="K3093" t="str">
            <v>DNI</v>
          </cell>
          <cell r="L3093">
            <v>10455141325</v>
          </cell>
          <cell r="M3093" t="str">
            <v>URBANO PARTNER</v>
          </cell>
          <cell r="N3093">
            <v>45965</v>
          </cell>
          <cell r="O3093">
            <v>0</v>
          </cell>
          <cell r="P3093" t="str">
            <v>COMFORT XL</v>
          </cell>
        </row>
        <row r="3094">
          <cell r="A3094">
            <v>3979</v>
          </cell>
          <cell r="B3094">
            <v>3979</v>
          </cell>
          <cell r="C3094" t="str">
            <v>CERO MATRICULA</v>
          </cell>
          <cell r="D3094" t="str">
            <v>ACTIVO</v>
          </cell>
          <cell r="E3094" t="str">
            <v>Chk498</v>
          </cell>
          <cell r="F3094" t="str">
            <v xml:space="preserve">Palomino Pastrana Kevin Eduardo </v>
          </cell>
          <cell r="G3094" t="str">
            <v xml:space="preserve">Palomino Pastrana   Kevin Eduardo </v>
          </cell>
          <cell r="H3094" t="str">
            <v>004381800</v>
          </cell>
          <cell r="I3094" t="str">
            <v>BCP</v>
          </cell>
          <cell r="J3094" t="str">
            <v>19303028286073</v>
          </cell>
          <cell r="K3094" t="str">
            <v>CARNET DE EXTRANJERÍA</v>
          </cell>
          <cell r="L3094">
            <v>15608856380</v>
          </cell>
          <cell r="M3094" t="str">
            <v>URBANO PARTNER</v>
          </cell>
          <cell r="N3094">
            <v>45965</v>
          </cell>
          <cell r="O3094">
            <v>0</v>
          </cell>
          <cell r="P3094" t="str">
            <v>LITE</v>
          </cell>
        </row>
        <row r="3095">
          <cell r="A3095">
            <v>3980</v>
          </cell>
          <cell r="B3095">
            <v>3980</v>
          </cell>
          <cell r="C3095" t="str">
            <v>CERO MATRICULA</v>
          </cell>
          <cell r="D3095" t="str">
            <v>ACTIVO</v>
          </cell>
          <cell r="E3095" t="str">
            <v>CTZ033</v>
          </cell>
          <cell r="F3095" t="str">
            <v>Córdova Ramos Carlos Jhoel</v>
          </cell>
          <cell r="G3095" t="str">
            <v>Cordova Ramos Carlos Jhoel</v>
          </cell>
          <cell r="H3095" t="str">
            <v>76451806</v>
          </cell>
          <cell r="I3095" t="str">
            <v>BCP</v>
          </cell>
          <cell r="J3095" t="str">
            <v>19105526713037</v>
          </cell>
          <cell r="K3095" t="str">
            <v>DNI</v>
          </cell>
          <cell r="L3095">
            <v>10764518069</v>
          </cell>
          <cell r="M3095" t="str">
            <v>URBANO PARTNER</v>
          </cell>
          <cell r="N3095">
            <v>45965</v>
          </cell>
          <cell r="O3095">
            <v>0</v>
          </cell>
          <cell r="P3095" t="str">
            <v>COMFORT XL</v>
          </cell>
        </row>
        <row r="3096">
          <cell r="A3096">
            <v>3982</v>
          </cell>
          <cell r="B3096">
            <v>3982</v>
          </cell>
          <cell r="C3096" t="str">
            <v>CERO MATRICULA</v>
          </cell>
          <cell r="D3096" t="str">
            <v>ACTIVO</v>
          </cell>
          <cell r="E3096" t="str">
            <v>CUT045</v>
          </cell>
          <cell r="F3096" t="str">
            <v>Oros Barazorda Alexis Boris</v>
          </cell>
          <cell r="G3096" t="str">
            <v>Oros Barazorda Alexis Boris</v>
          </cell>
          <cell r="H3096" t="str">
            <v>76211410</v>
          </cell>
          <cell r="I3096" t="str">
            <v>BCP</v>
          </cell>
          <cell r="J3096" t="str">
            <v>19106063150093</v>
          </cell>
          <cell r="K3096" t="str">
            <v>DNI</v>
          </cell>
          <cell r="L3096">
            <v>10762114106</v>
          </cell>
          <cell r="M3096" t="str">
            <v>AEROLINEAS</v>
          </cell>
          <cell r="N3096">
            <v>45967</v>
          </cell>
          <cell r="O3096">
            <v>0</v>
          </cell>
          <cell r="P3096" t="str">
            <v>XL</v>
          </cell>
        </row>
        <row r="3097">
          <cell r="A3097">
            <v>3984</v>
          </cell>
          <cell r="B3097">
            <v>3984</v>
          </cell>
          <cell r="C3097" t="str">
            <v>CERO MATRICULA</v>
          </cell>
          <cell r="D3097" t="str">
            <v>ACTIVO</v>
          </cell>
          <cell r="E3097" t="str">
            <v>Crw211</v>
          </cell>
          <cell r="F3097" t="str">
            <v>Gutiérrez Figuera Delvis Jesús</v>
          </cell>
          <cell r="G3097" t="str">
            <v>Gutierrez Figuera Delvis Jesús</v>
          </cell>
          <cell r="H3097" t="str">
            <v>008446862</v>
          </cell>
          <cell r="I3097" t="str">
            <v xml:space="preserve">CAJA PIURA </v>
          </cell>
          <cell r="J3097" t="str">
            <v>80117621001181019092</v>
          </cell>
          <cell r="K3097" t="str">
            <v>CARNET DE EXTRANJERÍA</v>
          </cell>
          <cell r="L3097">
            <v>15615006871</v>
          </cell>
          <cell r="M3097" t="str">
            <v>MEMBRESÍA NOCTURNA - APTO</v>
          </cell>
          <cell r="N3097">
            <v>45967</v>
          </cell>
          <cell r="O3097">
            <v>315</v>
          </cell>
          <cell r="P3097" t="str">
            <v>LITE</v>
          </cell>
        </row>
        <row r="3098">
          <cell r="A3098">
            <v>3985</v>
          </cell>
          <cell r="B3098">
            <v>3985</v>
          </cell>
          <cell r="C3098" t="str">
            <v>CERO MATRICULA</v>
          </cell>
          <cell r="D3098" t="str">
            <v>ACTIVO</v>
          </cell>
          <cell r="E3098" t="str">
            <v>BNR113</v>
          </cell>
          <cell r="F3098" t="str">
            <v>Barco Ruiz Oscar Enrique</v>
          </cell>
          <cell r="G3098" t="str">
            <v>Barco Ruiz Oscar Enrique</v>
          </cell>
          <cell r="H3098" t="str">
            <v>09632969</v>
          </cell>
          <cell r="I3098" t="str">
            <v>INTERBANK</v>
          </cell>
          <cell r="J3098" t="str">
            <v>8983399704741</v>
          </cell>
          <cell r="K3098" t="str">
            <v>DNI</v>
          </cell>
          <cell r="L3098">
            <v>10096329691</v>
          </cell>
          <cell r="M3098" t="str">
            <v>MEMBRESÍA NOCTURNA - APTO</v>
          </cell>
          <cell r="N3098">
            <v>45967</v>
          </cell>
          <cell r="O3098">
            <v>290</v>
          </cell>
          <cell r="P3098" t="str">
            <v>COMFORT</v>
          </cell>
        </row>
        <row r="3099">
          <cell r="A3099">
            <v>3986</v>
          </cell>
          <cell r="B3099">
            <v>3986</v>
          </cell>
          <cell r="C3099" t="str">
            <v>CERO MATRICULA</v>
          </cell>
          <cell r="D3099" t="str">
            <v>ACTIVO</v>
          </cell>
          <cell r="E3099" t="str">
            <v>CUP543</v>
          </cell>
          <cell r="F3099" t="str">
            <v>Balvin Sosa Edison Enrico</v>
          </cell>
          <cell r="G3099" t="str">
            <v>Balvin Sosa Edison Enrico</v>
          </cell>
          <cell r="H3099" t="str">
            <v>04070818</v>
          </cell>
          <cell r="I3099" t="str">
            <v>BCP</v>
          </cell>
          <cell r="J3099" t="str">
            <v>19137247533069</v>
          </cell>
          <cell r="K3099" t="str">
            <v>DNI</v>
          </cell>
          <cell r="L3099">
            <v>10040708184</v>
          </cell>
          <cell r="M3099" t="str">
            <v>MEMBRESÍA NOCTURNA - APTO</v>
          </cell>
          <cell r="N3099">
            <v>45967</v>
          </cell>
          <cell r="O3099">
            <v>285</v>
          </cell>
          <cell r="P3099" t="str">
            <v>COMFORT XL</v>
          </cell>
        </row>
        <row r="3100">
          <cell r="A3100">
            <v>3987</v>
          </cell>
          <cell r="B3100">
            <v>3987</v>
          </cell>
          <cell r="C3100" t="str">
            <v>CERO MATRICULA</v>
          </cell>
          <cell r="D3100" t="str">
            <v>ACTIVO</v>
          </cell>
          <cell r="E3100" t="str">
            <v>AZL420</v>
          </cell>
          <cell r="F3100" t="str">
            <v>González Reverol Darwin jose</v>
          </cell>
          <cell r="G3100" t="str">
            <v>Gonzalez Reverol Darwin jose</v>
          </cell>
          <cell r="H3100" t="str">
            <v>007675934</v>
          </cell>
          <cell r="I3100" t="str">
            <v>BCP</v>
          </cell>
          <cell r="J3100" t="str">
            <v>19197783982096</v>
          </cell>
          <cell r="K3100" t="str">
            <v>CARNET DE EXTRANJERÍA</v>
          </cell>
          <cell r="L3100">
            <v>15615019876</v>
          </cell>
          <cell r="M3100" t="str">
            <v>MEMBRESÍA NOCTURNA - APTO</v>
          </cell>
          <cell r="N3100">
            <v>45972</v>
          </cell>
          <cell r="O3100">
            <v>315</v>
          </cell>
          <cell r="P3100" t="str">
            <v>LITE</v>
          </cell>
        </row>
        <row r="3101">
          <cell r="A3101">
            <v>3989</v>
          </cell>
          <cell r="B3101">
            <v>3989</v>
          </cell>
          <cell r="C3101" t="str">
            <v>CERO MATRICULA</v>
          </cell>
          <cell r="D3101" t="str">
            <v>ACTIVO</v>
          </cell>
          <cell r="E3101" t="str">
            <v>CLC186</v>
          </cell>
          <cell r="F3101" t="str">
            <v>Pariona Gutierrez Eddie Jonathan</v>
          </cell>
          <cell r="G3101" t="str">
            <v>Pariona Gutierrez Eddie Jonathan</v>
          </cell>
          <cell r="H3101" t="str">
            <v>70941222</v>
          </cell>
          <cell r="I3101" t="str">
            <v>BBVA</v>
          </cell>
          <cell r="J3101" t="str">
            <v>001104260200311759</v>
          </cell>
          <cell r="K3101" t="str">
            <v>DNI</v>
          </cell>
          <cell r="L3101">
            <v>10709412227</v>
          </cell>
          <cell r="M3101" t="str">
            <v>URBANO PARTNER</v>
          </cell>
          <cell r="N3101">
            <v>45979</v>
          </cell>
          <cell r="O3101">
            <v>0</v>
          </cell>
          <cell r="P3101" t="str">
            <v>COMFORT</v>
          </cell>
        </row>
        <row r="3102">
          <cell r="A3102">
            <v>3990</v>
          </cell>
          <cell r="B3102">
            <v>3990</v>
          </cell>
          <cell r="C3102" t="str">
            <v>CERO MATRICULA</v>
          </cell>
          <cell r="D3102" t="str">
            <v>ACTIVO</v>
          </cell>
          <cell r="E3102" t="str">
            <v>CRY603</v>
          </cell>
          <cell r="F3102" t="str">
            <v>Nuñez Del Prado Reynoso Ricardo Valentin</v>
          </cell>
          <cell r="G3102" t="str">
            <v>Nuñez Del Prado Reynoso Ricardo Valentin</v>
          </cell>
          <cell r="H3102" t="str">
            <v>10641498</v>
          </cell>
          <cell r="I3102" t="str">
            <v>BBVA</v>
          </cell>
          <cell r="J3102" t="str">
            <v>001108140101227168</v>
          </cell>
          <cell r="K3102" t="str">
            <v>DNI</v>
          </cell>
          <cell r="L3102">
            <v>10106414985</v>
          </cell>
          <cell r="M3102" t="str">
            <v>URBANO PARTNER</v>
          </cell>
          <cell r="N3102">
            <v>45972</v>
          </cell>
          <cell r="O3102">
            <v>0</v>
          </cell>
          <cell r="P3102" t="str">
            <v>COMFORT XL</v>
          </cell>
        </row>
        <row r="3103">
          <cell r="A3103">
            <v>3991</v>
          </cell>
          <cell r="B3103">
            <v>3991</v>
          </cell>
          <cell r="C3103" t="str">
            <v>CERO MATRICULA</v>
          </cell>
          <cell r="D3103" t="str">
            <v>ACTIVO</v>
          </cell>
          <cell r="E3103" t="str">
            <v>Cjv140</v>
          </cell>
          <cell r="F3103" t="str">
            <v>Rodriguez Silva Harold</v>
          </cell>
          <cell r="G3103" t="str">
            <v xml:space="preserve">Gamarra Anicama Sheyla Mirella </v>
          </cell>
          <cell r="H3103" t="str">
            <v>74710160</v>
          </cell>
          <cell r="I3103" t="str">
            <v>BCP</v>
          </cell>
          <cell r="J3103" t="str">
            <v>19291362240089</v>
          </cell>
          <cell r="K3103" t="str">
            <v>DNI</v>
          </cell>
          <cell r="L3103">
            <v>10747101600</v>
          </cell>
          <cell r="M3103" t="str">
            <v>URBANO PARTNER</v>
          </cell>
          <cell r="N3103">
            <v>45972</v>
          </cell>
          <cell r="O3103">
            <v>0</v>
          </cell>
          <cell r="P3103" t="str">
            <v>LITE</v>
          </cell>
        </row>
        <row r="3104">
          <cell r="A3104">
            <v>3992</v>
          </cell>
          <cell r="B3104">
            <v>3992</v>
          </cell>
          <cell r="C3104" t="str">
            <v>CERO MATRICULA</v>
          </cell>
          <cell r="D3104" t="str">
            <v>ACTIVO</v>
          </cell>
          <cell r="E3104" t="str">
            <v>CSU161</v>
          </cell>
          <cell r="F3104" t="str">
            <v>Alarcon Avila Cristian</v>
          </cell>
          <cell r="G3104" t="str">
            <v>Alarcon Avila Cristian</v>
          </cell>
          <cell r="H3104" t="str">
            <v>10272690</v>
          </cell>
          <cell r="I3104" t="str">
            <v>BBVA</v>
          </cell>
          <cell r="J3104" t="str">
            <v>001100570293066575</v>
          </cell>
          <cell r="K3104" t="str">
            <v>DNI</v>
          </cell>
          <cell r="L3104">
            <v>10102726907</v>
          </cell>
          <cell r="M3104" t="str">
            <v>URBANO PARTNER</v>
          </cell>
          <cell r="N3104">
            <v>45972</v>
          </cell>
          <cell r="O3104">
            <v>0</v>
          </cell>
          <cell r="P3104" t="str">
            <v>COMFORT XL</v>
          </cell>
        </row>
        <row r="3105">
          <cell r="A3105">
            <v>3993</v>
          </cell>
          <cell r="B3105">
            <v>3993</v>
          </cell>
          <cell r="C3105" t="str">
            <v>CERO MATRICULA</v>
          </cell>
          <cell r="D3105" t="str">
            <v>ACTIVO</v>
          </cell>
          <cell r="E3105" t="str">
            <v>CVC480</v>
          </cell>
          <cell r="F3105" t="str">
            <v>Morles Martinez Francisco José</v>
          </cell>
          <cell r="G3105" t="str">
            <v>Morles Martinez Francisco José</v>
          </cell>
          <cell r="H3105" t="str">
            <v>006038227</v>
          </cell>
          <cell r="I3105" t="str">
            <v>BBVA</v>
          </cell>
          <cell r="J3105" t="str">
            <v>001108310200448578</v>
          </cell>
          <cell r="K3105" t="str">
            <v>CARNET DE EXTRANJERÍA</v>
          </cell>
          <cell r="L3105">
            <v>15608628867</v>
          </cell>
          <cell r="M3105" t="str">
            <v>URBANO PARTNER</v>
          </cell>
          <cell r="N3105">
            <v>45972</v>
          </cell>
          <cell r="O3105">
            <v>0</v>
          </cell>
          <cell r="P3105" t="str">
            <v>COMFORT XL</v>
          </cell>
        </row>
        <row r="3106">
          <cell r="A3106">
            <v>3994</v>
          </cell>
          <cell r="B3106">
            <v>3994</v>
          </cell>
          <cell r="C3106" t="str">
            <v>CERO MATRICULA</v>
          </cell>
          <cell r="D3106" t="str">
            <v>ACTIVO</v>
          </cell>
          <cell r="E3106" t="str">
            <v>BMB031</v>
          </cell>
          <cell r="F3106" t="str">
            <v xml:space="preserve">Bravo Campos Monica Isabel </v>
          </cell>
          <cell r="G3106" t="str">
            <v xml:space="preserve"> </v>
          </cell>
          <cell r="H3106"/>
          <cell r="I3106"/>
          <cell r="J3106"/>
          <cell r="K3106"/>
          <cell r="L3106"/>
          <cell r="M3106" t="str">
            <v>URBANO PARTNER</v>
          </cell>
          <cell r="N3106">
            <v>45972</v>
          </cell>
          <cell r="O3106">
            <v>0</v>
          </cell>
          <cell r="P3106" t="str">
            <v>COMFORT</v>
          </cell>
        </row>
        <row r="3107">
          <cell r="A3107">
            <v>3995</v>
          </cell>
          <cell r="B3107">
            <v>3995</v>
          </cell>
          <cell r="C3107" t="str">
            <v>CERO MATRICULA</v>
          </cell>
          <cell r="D3107" t="str">
            <v>ACTIVO</v>
          </cell>
          <cell r="E3107" t="str">
            <v>CMW447</v>
          </cell>
          <cell r="F3107" t="str">
            <v>Coaricona Coaricona Rogelio fernando</v>
          </cell>
          <cell r="G3107" t="str">
            <v>Coaricona Coaricona Rogelio fernando</v>
          </cell>
          <cell r="H3107" t="str">
            <v>01319090</v>
          </cell>
          <cell r="I3107" t="str">
            <v>BCP</v>
          </cell>
          <cell r="J3107" t="str">
            <v>36505274460084</v>
          </cell>
          <cell r="K3107" t="str">
            <v>DNI</v>
          </cell>
          <cell r="L3107">
            <v>15504846706</v>
          </cell>
          <cell r="M3107" t="str">
            <v>URBANO PARTNER</v>
          </cell>
          <cell r="N3107">
            <v>45972</v>
          </cell>
          <cell r="O3107">
            <v>0</v>
          </cell>
          <cell r="P3107" t="str">
            <v>XL</v>
          </cell>
        </row>
        <row r="3108">
          <cell r="A3108">
            <v>3997</v>
          </cell>
          <cell r="B3108">
            <v>3997</v>
          </cell>
          <cell r="C3108" t="str">
            <v>CERO MATRICULA</v>
          </cell>
          <cell r="D3108" t="str">
            <v>ACTIVO</v>
          </cell>
          <cell r="E3108" t="str">
            <v>CRQ529</v>
          </cell>
          <cell r="F3108" t="str">
            <v>Guizado Albornoz Andrei Nikolas</v>
          </cell>
          <cell r="G3108" t="str">
            <v>ANDREI NIKOLAS GUIZADO ALBORNOZ</v>
          </cell>
          <cell r="H3108">
            <v>70897534</v>
          </cell>
          <cell r="I3108" t="str">
            <v>INTERBANK</v>
          </cell>
          <cell r="J3108">
            <v>8213343821971</v>
          </cell>
          <cell r="K3108" t="str">
            <v>DNI</v>
          </cell>
          <cell r="L3108">
            <v>10708975341</v>
          </cell>
          <cell r="M3108" t="str">
            <v>AEROLINEAS</v>
          </cell>
          <cell r="N3108">
            <v>45974</v>
          </cell>
          <cell r="O3108">
            <v>0</v>
          </cell>
          <cell r="P3108" t="str">
            <v>LITE</v>
          </cell>
        </row>
        <row r="3109">
          <cell r="A3109">
            <v>3998</v>
          </cell>
          <cell r="B3109">
            <v>3998</v>
          </cell>
          <cell r="C3109" t="str">
            <v>CERO MATRICULA</v>
          </cell>
          <cell r="D3109" t="str">
            <v>ACTIVO</v>
          </cell>
          <cell r="E3109" t="str">
            <v>CUS299</v>
          </cell>
          <cell r="F3109" t="str">
            <v>Aguilar Carrión Jhan Willam</v>
          </cell>
          <cell r="G3109" t="str">
            <v>Aguilar Carrión Jhan Willam</v>
          </cell>
          <cell r="H3109" t="str">
            <v>70199454</v>
          </cell>
          <cell r="I3109" t="str">
            <v>INTERBANK</v>
          </cell>
          <cell r="J3109" t="str">
            <v>8983274077400</v>
          </cell>
          <cell r="K3109" t="str">
            <v>DNI</v>
          </cell>
          <cell r="L3109">
            <v>10701994545</v>
          </cell>
          <cell r="M3109" t="str">
            <v>AEROLINEAS</v>
          </cell>
          <cell r="N3109">
            <v>45974</v>
          </cell>
          <cell r="O3109">
            <v>0</v>
          </cell>
          <cell r="P3109" t="str">
            <v>COMFORT XL</v>
          </cell>
        </row>
        <row r="3110">
          <cell r="A3110">
            <v>4025</v>
          </cell>
          <cell r="B3110">
            <v>4025</v>
          </cell>
          <cell r="C3110" t="str">
            <v>CERO MATRICULA</v>
          </cell>
          <cell r="D3110" t="str">
            <v>ACTIVO</v>
          </cell>
          <cell r="E3110" t="str">
            <v>Cuv696</v>
          </cell>
          <cell r="F3110" t="str">
            <v>Crespo Hernandez Deivis david crespo Hernández</v>
          </cell>
          <cell r="G3110" t="str">
            <v xml:space="preserve">Crespo Hernandez Deivis David </v>
          </cell>
          <cell r="H3110" t="str">
            <v>007748640</v>
          </cell>
          <cell r="I3110" t="str">
            <v>BCP</v>
          </cell>
          <cell r="J3110" t="str">
            <v>19198200927054</v>
          </cell>
          <cell r="K3110" t="str">
            <v>CARNET DE EXTRANJERÍA</v>
          </cell>
          <cell r="L3110">
            <v>15615034565</v>
          </cell>
          <cell r="M3110" t="str">
            <v>URBANO PARTNER</v>
          </cell>
          <cell r="N3110">
            <v>45974</v>
          </cell>
          <cell r="O3110">
            <v>0</v>
          </cell>
          <cell r="P3110" t="str">
            <v>LITE</v>
          </cell>
        </row>
        <row r="3111">
          <cell r="A3111">
            <v>4026</v>
          </cell>
          <cell r="B3111">
            <v>4026</v>
          </cell>
          <cell r="C3111" t="str">
            <v>CERO MATRICULA</v>
          </cell>
          <cell r="D3111" t="str">
            <v>ACTIVO</v>
          </cell>
          <cell r="E3111" t="str">
            <v>CUL668</v>
          </cell>
          <cell r="F3111" t="str">
            <v>Velasquez Clavijo Marco Antonio</v>
          </cell>
          <cell r="G3111" t="str">
            <v>Velasquez Clavijo Marco Antonio</v>
          </cell>
          <cell r="H3111" t="str">
            <v>10026689</v>
          </cell>
          <cell r="I3111" t="str">
            <v>INTERBANK</v>
          </cell>
          <cell r="J3111" t="str">
            <v>8983492380476</v>
          </cell>
          <cell r="K3111" t="str">
            <v>DNI</v>
          </cell>
          <cell r="L3111">
            <v>10100266895</v>
          </cell>
          <cell r="M3111" t="str">
            <v>AEROLINEAS</v>
          </cell>
          <cell r="N3111">
            <v>45974</v>
          </cell>
          <cell r="O3111">
            <v>0</v>
          </cell>
          <cell r="P3111" t="str">
            <v>COMFORT XL</v>
          </cell>
        </row>
        <row r="3112">
          <cell r="A3112">
            <v>4027</v>
          </cell>
          <cell r="B3112">
            <v>4027</v>
          </cell>
          <cell r="C3112" t="str">
            <v>CERO MATRICULA</v>
          </cell>
          <cell r="D3112" t="str">
            <v>ACTIVO</v>
          </cell>
          <cell r="E3112" t="str">
            <v>CLS652</v>
          </cell>
          <cell r="F3112" t="str">
            <v>Reyes Silva Carlos Ernesto</v>
          </cell>
          <cell r="G3112" t="str">
            <v>Reyes Silva Carlos Ernesto</v>
          </cell>
          <cell r="H3112" t="str">
            <v>76385712</v>
          </cell>
          <cell r="I3112" t="str">
            <v>BCP</v>
          </cell>
          <cell r="J3112" t="str">
            <v>19334171911081</v>
          </cell>
          <cell r="K3112" t="str">
            <v>DNI</v>
          </cell>
          <cell r="L3112">
            <v>10763857129</v>
          </cell>
          <cell r="M3112" t="str">
            <v>AEROLINEAS</v>
          </cell>
          <cell r="N3112">
            <v>45974</v>
          </cell>
          <cell r="O3112">
            <v>0</v>
          </cell>
          <cell r="P3112" t="str">
            <v>COMFORT XL</v>
          </cell>
        </row>
        <row r="3113">
          <cell r="A3113">
            <v>4030</v>
          </cell>
          <cell r="B3113">
            <v>4030</v>
          </cell>
          <cell r="C3113" t="str">
            <v>CERO MATRICULA</v>
          </cell>
          <cell r="D3113" t="str">
            <v>ACTIVO</v>
          </cell>
          <cell r="E3113" t="str">
            <v>BPX583</v>
          </cell>
          <cell r="F3113" t="str">
            <v>Sanchez Gonzalez Jose manuel</v>
          </cell>
          <cell r="G3113" t="str">
            <v>Sanchez Gonzalez Jose manuel</v>
          </cell>
          <cell r="H3113" t="str">
            <v>006507487</v>
          </cell>
          <cell r="I3113" t="str">
            <v>BCP</v>
          </cell>
          <cell r="J3113" t="str">
            <v>19395237766061</v>
          </cell>
          <cell r="K3113" t="str">
            <v>CARNET DE EXTRANJERÍA</v>
          </cell>
          <cell r="L3113">
            <v>15614471902</v>
          </cell>
          <cell r="M3113" t="str">
            <v>MEMBRESÍA NOCTURNA - APTO</v>
          </cell>
          <cell r="N3113">
            <v>45974</v>
          </cell>
          <cell r="O3113">
            <v>315</v>
          </cell>
          <cell r="P3113" t="str">
            <v>LITE</v>
          </cell>
        </row>
        <row r="3114">
          <cell r="A3114">
            <v>4033</v>
          </cell>
          <cell r="B3114">
            <v>4033</v>
          </cell>
          <cell r="C3114" t="str">
            <v>CERO MATRICULA</v>
          </cell>
          <cell r="D3114" t="str">
            <v>ACTIVO</v>
          </cell>
          <cell r="E3114" t="str">
            <v>CVB479</v>
          </cell>
          <cell r="F3114" t="str">
            <v>PALMA DIAZ ORANGEL JOSE</v>
          </cell>
          <cell r="G3114" t="str">
            <v>Palma Valdez Maximiliano Alberto</v>
          </cell>
          <cell r="H3114" t="str">
            <v>004261973</v>
          </cell>
          <cell r="I3114" t="str">
            <v>BCP</v>
          </cell>
          <cell r="J3114" t="str">
            <v>19194377725033</v>
          </cell>
          <cell r="K3114" t="str">
            <v>CARNET DE EXTRANJERÍA</v>
          </cell>
          <cell r="L3114">
            <v>15605300348</v>
          </cell>
          <cell r="M3114" t="str">
            <v>MEMBRESÍA NOCTURNA - APTO</v>
          </cell>
          <cell r="N3114">
            <v>45981</v>
          </cell>
          <cell r="O3114">
            <v>290</v>
          </cell>
          <cell r="P3114" t="str">
            <v>XL</v>
          </cell>
        </row>
        <row r="3115">
          <cell r="A3115">
            <v>4036</v>
          </cell>
          <cell r="B3115">
            <v>4036</v>
          </cell>
          <cell r="C3115" t="str">
            <v>CERO MATRICULA</v>
          </cell>
          <cell r="D3115" t="str">
            <v>ACTIVO</v>
          </cell>
          <cell r="E3115" t="str">
            <v>CAQ040</v>
          </cell>
          <cell r="F3115" t="str">
            <v>Torres Truevas Victor</v>
          </cell>
          <cell r="G3115" t="str">
            <v>Torres Truevas Victor</v>
          </cell>
          <cell r="H3115" t="str">
            <v>25760239</v>
          </cell>
          <cell r="I3115" t="str">
            <v>INTERBANK</v>
          </cell>
          <cell r="J3115" t="str">
            <v>8983186536985</v>
          </cell>
          <cell r="K3115" t="str">
            <v>DNI</v>
          </cell>
          <cell r="L3115">
            <v>10257602392</v>
          </cell>
          <cell r="M3115" t="str">
            <v>URBANO PARTNER</v>
          </cell>
          <cell r="N3115">
            <v>45979</v>
          </cell>
          <cell r="O3115">
            <v>0</v>
          </cell>
          <cell r="P3115" t="str">
            <v>COMFORT XL</v>
          </cell>
        </row>
        <row r="3116">
          <cell r="A3116">
            <v>4037</v>
          </cell>
          <cell r="B3116">
            <v>4037</v>
          </cell>
          <cell r="C3116" t="str">
            <v>CERO MATRICULA</v>
          </cell>
          <cell r="D3116" t="str">
            <v>ACTIVO</v>
          </cell>
          <cell r="E3116" t="str">
            <v>BVY514</v>
          </cell>
          <cell r="F3116" t="str">
            <v>Pérez Alcarraz Mario Brian</v>
          </cell>
          <cell r="G3116" t="str">
            <v>Perez Alcarraz Mario Brian</v>
          </cell>
          <cell r="H3116" t="str">
            <v>48337603</v>
          </cell>
          <cell r="I3116" t="str">
            <v>BBVA</v>
          </cell>
          <cell r="J3116" t="str">
            <v>0011-0144-0200532590</v>
          </cell>
          <cell r="K3116" t="str">
            <v>DNI</v>
          </cell>
          <cell r="L3116">
            <v>10483376036</v>
          </cell>
          <cell r="M3116" t="str">
            <v>URBANO PARTNER</v>
          </cell>
          <cell r="N3116">
            <v>45979</v>
          </cell>
          <cell r="O3116">
            <v>0</v>
          </cell>
          <cell r="P3116" t="str">
            <v>COMFORT</v>
          </cell>
        </row>
        <row r="3117">
          <cell r="A3117">
            <v>4038</v>
          </cell>
          <cell r="B3117">
            <v>4038</v>
          </cell>
          <cell r="C3117" t="str">
            <v>CERO MATRICULA</v>
          </cell>
          <cell r="D3117" t="str">
            <v>ACTIVO</v>
          </cell>
          <cell r="E3117" t="str">
            <v>CUA187</v>
          </cell>
          <cell r="F3117" t="str">
            <v xml:space="preserve">Pulido Zambrano Henry Guzmán </v>
          </cell>
          <cell r="G3117" t="str">
            <v xml:space="preserve">Pulido Zambrano Henry Guzmán </v>
          </cell>
          <cell r="H3117" t="str">
            <v>006284198</v>
          </cell>
          <cell r="I3117" t="str">
            <v>BCP</v>
          </cell>
          <cell r="J3117" t="str">
            <v>19409745306042</v>
          </cell>
          <cell r="K3117" t="str">
            <v>CARNET DE EXTRANJERÍA</v>
          </cell>
          <cell r="L3117">
            <v>15615029537</v>
          </cell>
          <cell r="M3117" t="str">
            <v>URBANO PARTNER</v>
          </cell>
          <cell r="N3117">
            <v>45979</v>
          </cell>
          <cell r="O3117">
            <v>0</v>
          </cell>
          <cell r="P3117" t="str">
            <v>XL</v>
          </cell>
        </row>
        <row r="3118">
          <cell r="A3118">
            <v>4040</v>
          </cell>
          <cell r="B3118">
            <v>4040</v>
          </cell>
          <cell r="C3118" t="str">
            <v>CERO MATRICULA</v>
          </cell>
          <cell r="D3118" t="str">
            <v>ACTIVO</v>
          </cell>
          <cell r="E3118" t="str">
            <v>CTF541</v>
          </cell>
          <cell r="F3118" t="str">
            <v>Torrejon Roncal Jonathan</v>
          </cell>
          <cell r="G3118" t="str">
            <v>Torrejon Roncal Jonathan</v>
          </cell>
          <cell r="H3118" t="str">
            <v>45479481</v>
          </cell>
          <cell r="I3118" t="str">
            <v>BCP</v>
          </cell>
          <cell r="J3118" t="str">
            <v>19401012833063</v>
          </cell>
          <cell r="K3118" t="str">
            <v>DNI</v>
          </cell>
          <cell r="L3118">
            <v>10454794813</v>
          </cell>
          <cell r="M3118" t="str">
            <v>URBANO PARTNER</v>
          </cell>
          <cell r="N3118">
            <v>45979</v>
          </cell>
          <cell r="O3118">
            <v>0</v>
          </cell>
          <cell r="P3118" t="str">
            <v>COMFORT</v>
          </cell>
        </row>
        <row r="3119">
          <cell r="A3119">
            <v>4041</v>
          </cell>
          <cell r="B3119">
            <v>4041</v>
          </cell>
          <cell r="C3119" t="str">
            <v>CERO MATRICULA</v>
          </cell>
          <cell r="D3119" t="str">
            <v>ACTIVO</v>
          </cell>
          <cell r="E3119" t="str">
            <v>CUZ188</v>
          </cell>
          <cell r="F3119" t="str">
            <v xml:space="preserve">Millan Sanchez Luis cesar </v>
          </cell>
          <cell r="G3119" t="str">
            <v xml:space="preserve">Millan Sanchez Luis cesar </v>
          </cell>
          <cell r="H3119" t="str">
            <v>009364296</v>
          </cell>
          <cell r="I3119" t="str">
            <v>BCP</v>
          </cell>
          <cell r="J3119" t="str">
            <v>19110419094035</v>
          </cell>
          <cell r="K3119" t="str">
            <v>CARNET DE EXTRANJERÍA</v>
          </cell>
          <cell r="L3119">
            <v>15615058189</v>
          </cell>
          <cell r="M3119" t="str">
            <v>AEROLINEAS</v>
          </cell>
          <cell r="N3119">
            <v>45981</v>
          </cell>
          <cell r="O3119">
            <v>0</v>
          </cell>
          <cell r="P3119" t="str">
            <v>LITE</v>
          </cell>
        </row>
        <row r="3120">
          <cell r="A3120">
            <v>4042</v>
          </cell>
          <cell r="B3120">
            <v>4042</v>
          </cell>
          <cell r="C3120" t="str">
            <v>CERO MATRICULA</v>
          </cell>
          <cell r="D3120" t="str">
            <v>ACTIVO</v>
          </cell>
          <cell r="E3120" t="str">
            <v>CVA181</v>
          </cell>
          <cell r="F3120" t="str">
            <v>Choy Chirito Luis Alberto</v>
          </cell>
          <cell r="G3120" t="str">
            <v>Choy Chirito Luis Alberto</v>
          </cell>
          <cell r="H3120" t="str">
            <v>09999435</v>
          </cell>
          <cell r="I3120" t="str">
            <v>BBVA</v>
          </cell>
          <cell r="J3120" t="str">
            <v>001100570228730905</v>
          </cell>
          <cell r="K3120" t="str">
            <v>DNI</v>
          </cell>
          <cell r="L3120">
            <v>10099994351</v>
          </cell>
          <cell r="M3120" t="str">
            <v>MEMBRESÍA NOCTURNA - APTO</v>
          </cell>
          <cell r="N3120">
            <v>45981</v>
          </cell>
          <cell r="O3120">
            <v>265</v>
          </cell>
          <cell r="P3120" t="str">
            <v>LITE</v>
          </cell>
        </row>
        <row r="3121">
          <cell r="A3121">
            <v>4046</v>
          </cell>
          <cell r="B3121">
            <v>4046</v>
          </cell>
          <cell r="C3121" t="str">
            <v>CERO MATRICULA</v>
          </cell>
          <cell r="D3121" t="str">
            <v>ACTIVO</v>
          </cell>
          <cell r="E3121" t="str">
            <v>AUL074</v>
          </cell>
          <cell r="F3121" t="str">
            <v>Gallo Ruiz Alex Javier</v>
          </cell>
          <cell r="G3121" t="str">
            <v>Jeremy Alexis Gallo Morales</v>
          </cell>
          <cell r="H3121" t="str">
            <v>70305192</v>
          </cell>
          <cell r="I3121" t="str">
            <v xml:space="preserve">INTERBANK </v>
          </cell>
          <cell r="J3121" t="str">
            <v>898 3171671495</v>
          </cell>
          <cell r="K3121" t="str">
            <v>DNI</v>
          </cell>
          <cell r="L3121">
            <v>10703051923</v>
          </cell>
          <cell r="M3121" t="str">
            <v>URBANO PARTNER</v>
          </cell>
          <cell r="N3121">
            <v>45986</v>
          </cell>
          <cell r="O3121">
            <v>0</v>
          </cell>
          <cell r="P3121" t="str">
            <v>COMFORT XL</v>
          </cell>
        </row>
        <row r="3122">
          <cell r="A3122">
            <v>4047</v>
          </cell>
          <cell r="B3122">
            <v>4047</v>
          </cell>
          <cell r="C3122" t="str">
            <v>CERO MATRICULA</v>
          </cell>
          <cell r="D3122" t="str">
            <v>ACTIVO</v>
          </cell>
          <cell r="E3122" t="str">
            <v>CPU635</v>
          </cell>
          <cell r="F3122" t="str">
            <v>Del mazo Severino Augusto joao</v>
          </cell>
          <cell r="G3122" t="str">
            <v>Del mazo Severino Augusto joao</v>
          </cell>
          <cell r="H3122" t="str">
            <v>46680106</v>
          </cell>
          <cell r="I3122" t="str">
            <v>BCP</v>
          </cell>
          <cell r="J3122" t="str">
            <v>19496817557009</v>
          </cell>
          <cell r="K3122" t="str">
            <v>DNI</v>
          </cell>
          <cell r="L3122">
            <v>10466801068</v>
          </cell>
          <cell r="M3122" t="str">
            <v>URBANO PARTNER</v>
          </cell>
          <cell r="N3122">
            <v>45986</v>
          </cell>
          <cell r="O3122">
            <v>0</v>
          </cell>
          <cell r="P3122" t="str">
            <v>COMFORT XL</v>
          </cell>
        </row>
        <row r="3123">
          <cell r="A3123">
            <v>4048</v>
          </cell>
          <cell r="B3123">
            <v>4048</v>
          </cell>
          <cell r="C3123" t="str">
            <v>CERO MATRICULA</v>
          </cell>
          <cell r="D3123" t="str">
            <v>ACTIVO</v>
          </cell>
          <cell r="E3123" t="str">
            <v>BAK278</v>
          </cell>
          <cell r="F3123" t="str">
            <v>Amaya Hernández Ronald Enrique</v>
          </cell>
          <cell r="G3123" t="str">
            <v>Amaya Hernández Ronald Enrique</v>
          </cell>
          <cell r="H3123" t="str">
            <v>003653765</v>
          </cell>
          <cell r="I3123" t="str">
            <v>BBVA</v>
          </cell>
          <cell r="J3123" t="str">
            <v>001103700200510464</v>
          </cell>
          <cell r="K3123" t="str">
            <v>CARNET DE EXTRANJERÍA</v>
          </cell>
          <cell r="L3123">
            <v>15607498552</v>
          </cell>
          <cell r="M3123" t="str">
            <v>URBANO PARTNER</v>
          </cell>
          <cell r="N3123">
            <v>45986</v>
          </cell>
          <cell r="O3123">
            <v>0</v>
          </cell>
          <cell r="P3123" t="str">
            <v>COMFORT</v>
          </cell>
        </row>
        <row r="3124">
          <cell r="A3124">
            <v>349</v>
          </cell>
          <cell r="B3124">
            <v>349</v>
          </cell>
          <cell r="C3124" t="str">
            <v>CERO MATRICULA</v>
          </cell>
          <cell r="D3124" t="str">
            <v>ACTIVO</v>
          </cell>
          <cell r="E3124" t="str">
            <v>BDM196</v>
          </cell>
          <cell r="F3124" t="str">
            <v>Hilario Asto Magno Raúl</v>
          </cell>
          <cell r="G3124" t="str">
            <v>Hilario Asto Magno Raúl</v>
          </cell>
          <cell r="H3124" t="str">
            <v>20669260</v>
          </cell>
          <cell r="I3124" t="str">
            <v>BCP</v>
          </cell>
          <cell r="J3124" t="str">
            <v>19397226537021</v>
          </cell>
          <cell r="K3124" t="str">
            <v>DNI</v>
          </cell>
          <cell r="L3124">
            <v>10206692605</v>
          </cell>
          <cell r="M3124" t="str">
            <v>URBANO PARTNER</v>
          </cell>
          <cell r="N3124">
            <v>45986</v>
          </cell>
          <cell r="O3124">
            <v>0</v>
          </cell>
          <cell r="P3124" t="str">
            <v>COMFORT XL</v>
          </cell>
        </row>
        <row r="3125">
          <cell r="A3125">
            <v>4051</v>
          </cell>
          <cell r="B3125">
            <v>4051</v>
          </cell>
          <cell r="C3125" t="str">
            <v>CERO MATRICULA</v>
          </cell>
          <cell r="D3125" t="str">
            <v>ACTIVO</v>
          </cell>
          <cell r="E3125" t="str">
            <v>CJD212</v>
          </cell>
          <cell r="F3125" t="str">
            <v xml:space="preserve">Zamora Alarcon Hilmer Homero </v>
          </cell>
          <cell r="G3125" t="str">
            <v xml:space="preserve">Zamora Alarcon Hilmer Homero </v>
          </cell>
          <cell r="H3125" t="str">
            <v>76752132</v>
          </cell>
          <cell r="I3125" t="str">
            <v>BBVA</v>
          </cell>
          <cell r="J3125" t="str">
            <v>001108470200305529</v>
          </cell>
          <cell r="K3125" t="str">
            <v>DNI</v>
          </cell>
          <cell r="L3125">
            <v>10767521320</v>
          </cell>
          <cell r="M3125" t="str">
            <v>URBANO PARTNER</v>
          </cell>
          <cell r="N3125">
            <v>45986</v>
          </cell>
          <cell r="O3125">
            <v>0</v>
          </cell>
          <cell r="P3125" t="str">
            <v>LITE</v>
          </cell>
        </row>
        <row r="3126">
          <cell r="A3126">
            <v>4052</v>
          </cell>
          <cell r="B3126">
            <v>4052</v>
          </cell>
          <cell r="C3126" t="str">
            <v>CERO MATRICULA</v>
          </cell>
          <cell r="D3126" t="str">
            <v>ACTIVO</v>
          </cell>
          <cell r="E3126" t="str">
            <v>F1L536</v>
          </cell>
          <cell r="F3126" t="str">
            <v xml:space="preserve">Suárez Arevalo Fernando </v>
          </cell>
          <cell r="G3126" t="str">
            <v xml:space="preserve">Suarez Arevalo Fernando </v>
          </cell>
          <cell r="H3126" t="str">
            <v>10485686</v>
          </cell>
          <cell r="I3126" t="str">
            <v>BCP</v>
          </cell>
          <cell r="J3126" t="str">
            <v>19412450712076</v>
          </cell>
          <cell r="K3126" t="str">
            <v>DNI</v>
          </cell>
          <cell r="L3126">
            <v>10104856867</v>
          </cell>
          <cell r="M3126" t="str">
            <v>URBANO PARTNER</v>
          </cell>
          <cell r="N3126">
            <v>45986</v>
          </cell>
          <cell r="O3126">
            <v>0</v>
          </cell>
          <cell r="P3126" t="str">
            <v>COMFORT</v>
          </cell>
        </row>
        <row r="3127">
          <cell r="A3127">
            <v>4053</v>
          </cell>
          <cell r="B3127">
            <v>4053</v>
          </cell>
          <cell r="C3127" t="str">
            <v>CERO MATRICULA</v>
          </cell>
          <cell r="D3127" t="str">
            <v>ACTIVO</v>
          </cell>
          <cell r="E3127" t="str">
            <v>CJP635</v>
          </cell>
          <cell r="F3127" t="str">
            <v>Aponte Alvitez Carlos Elmer</v>
          </cell>
          <cell r="G3127" t="str">
            <v>Aponte Alvitez Carlos Elmer</v>
          </cell>
          <cell r="H3127" t="str">
            <v>45956366</v>
          </cell>
          <cell r="I3127" t="str">
            <v>BCP</v>
          </cell>
          <cell r="J3127" t="str">
            <v>19423039127044</v>
          </cell>
          <cell r="K3127" t="str">
            <v>DNI</v>
          </cell>
          <cell r="L3127">
            <v>10459563666</v>
          </cell>
          <cell r="M3127" t="str">
            <v>URBANO PARTNER</v>
          </cell>
          <cell r="N3127">
            <v>45986</v>
          </cell>
          <cell r="O3127">
            <v>0</v>
          </cell>
          <cell r="P3127" t="str">
            <v>XL</v>
          </cell>
        </row>
        <row r="3128">
          <cell r="A3128">
            <v>4043</v>
          </cell>
          <cell r="B3128">
            <v>4043</v>
          </cell>
          <cell r="C3128" t="str">
            <v>CERO MATRICULA</v>
          </cell>
          <cell r="D3128" t="str">
            <v>ACTIVO</v>
          </cell>
          <cell r="E3128" t="str">
            <v>BKV055</v>
          </cell>
          <cell r="F3128" t="str">
            <v>Diaz Yzquierdo William Daniels</v>
          </cell>
          <cell r="G3128" t="str">
            <v>Diaz Yzquierdo William Daniels</v>
          </cell>
          <cell r="H3128" t="str">
            <v>44610859</v>
          </cell>
          <cell r="I3128" t="str">
            <v>BBVA</v>
          </cell>
          <cell r="J3128" t="str">
            <v>001108140284799750</v>
          </cell>
          <cell r="K3128" t="str">
            <v>DNI</v>
          </cell>
          <cell r="L3128">
            <v>10446108595</v>
          </cell>
          <cell r="M3128" t="str">
            <v>URBANO PARTNER</v>
          </cell>
          <cell r="N3128">
            <v>45986</v>
          </cell>
          <cell r="O3128">
            <v>0</v>
          </cell>
          <cell r="P3128" t="str">
            <v>LITE</v>
          </cell>
        </row>
        <row r="3129">
          <cell r="A3129">
            <v>4044</v>
          </cell>
          <cell r="B3129">
            <v>4044</v>
          </cell>
          <cell r="C3129" t="str">
            <v>CERO MATRICULA</v>
          </cell>
          <cell r="D3129" t="str">
            <v>ACTIVO</v>
          </cell>
          <cell r="E3129" t="str">
            <v>CSQ483</v>
          </cell>
          <cell r="F3129" t="str">
            <v>Calderon Milla Carlos Alberto</v>
          </cell>
          <cell r="G3129" t="str">
            <v xml:space="preserve">Ruiz Montoya Miguel Ángel </v>
          </cell>
          <cell r="H3129" t="str">
            <v>10316992</v>
          </cell>
          <cell r="I3129" t="str">
            <v>BCP</v>
          </cell>
          <cell r="J3129" t="str">
            <v>19407870369066</v>
          </cell>
          <cell r="K3129" t="str">
            <v>DNI</v>
          </cell>
          <cell r="L3129">
            <v>20614378736</v>
          </cell>
          <cell r="M3129" t="str">
            <v>AEROPUERTO VAN</v>
          </cell>
          <cell r="N3129">
            <v>45986</v>
          </cell>
          <cell r="O3129">
            <v>240</v>
          </cell>
          <cell r="P3129" t="str">
            <v>VAN</v>
          </cell>
        </row>
        <row r="3130">
          <cell r="A3130">
            <v>4045</v>
          </cell>
          <cell r="B3130">
            <v>4045</v>
          </cell>
          <cell r="C3130" t="str">
            <v>CERO MATRICULA</v>
          </cell>
          <cell r="D3130" t="str">
            <v>ACTIVO</v>
          </cell>
          <cell r="E3130" t="str">
            <v>CVC583</v>
          </cell>
          <cell r="F3130" t="str">
            <v>Fuentes Arteaga Dugla</v>
          </cell>
          <cell r="G3130" t="str">
            <v>Fuentes Arteaga Dugla</v>
          </cell>
          <cell r="H3130" t="str">
            <v>005708510</v>
          </cell>
          <cell r="I3130" t="str">
            <v>BCP</v>
          </cell>
          <cell r="J3130" t="str">
            <v>19105279251075</v>
          </cell>
          <cell r="K3130" t="str">
            <v>CARNET DE EXTRANJERÍA</v>
          </cell>
          <cell r="L3130">
            <v>15608548014</v>
          </cell>
          <cell r="M3130" t="str">
            <v>MEMBRESÍA NOCTURNA - APTO</v>
          </cell>
          <cell r="N3130">
            <v>45986</v>
          </cell>
          <cell r="O3130">
            <v>285</v>
          </cell>
          <cell r="P3130" t="str">
            <v>COMFORT XL</v>
          </cell>
        </row>
        <row r="3131">
          <cell r="A3131">
            <v>4055</v>
          </cell>
          <cell r="B3131">
            <v>4055</v>
          </cell>
          <cell r="C3131" t="str">
            <v>CERO MATRICULA</v>
          </cell>
          <cell r="D3131" t="str">
            <v>ACTIVO</v>
          </cell>
          <cell r="E3131" t="str">
            <v>CSH448</v>
          </cell>
          <cell r="F3131" t="str">
            <v>Ledesma Paredes Walter</v>
          </cell>
          <cell r="G3131" t="str">
            <v>Mariela Liz Ledesma Espíritu</v>
          </cell>
          <cell r="H3131">
            <v>47333237</v>
          </cell>
          <cell r="I3131" t="str">
            <v>PENDIENTE</v>
          </cell>
          <cell r="J3131" t="str">
            <v>PENDIENTE</v>
          </cell>
          <cell r="K3131" t="str">
            <v>DNI</v>
          </cell>
          <cell r="L3131">
            <v>10230078659</v>
          </cell>
          <cell r="M3131" t="str">
            <v>MEMBRESÍA NOCTURNA - APTO</v>
          </cell>
          <cell r="N3131">
            <v>45988</v>
          </cell>
          <cell r="O3131">
            <v>235</v>
          </cell>
          <cell r="P3131" t="str">
            <v>COMFORT XL</v>
          </cell>
        </row>
        <row r="3132">
          <cell r="A3132">
            <v>4056</v>
          </cell>
          <cell r="B3132">
            <v>4056</v>
          </cell>
          <cell r="C3132" t="str">
            <v>CERO MATRICULA</v>
          </cell>
          <cell r="D3132" t="str">
            <v>ACTIVO</v>
          </cell>
          <cell r="E3132" t="str">
            <v>CEF306</v>
          </cell>
          <cell r="F3132" t="str">
            <v>Vasquez Rivero Wilson xavier</v>
          </cell>
          <cell r="G3132" t="str">
            <v>Vasquez Rivero Wilson xavier</v>
          </cell>
          <cell r="H3132" t="str">
            <v>009431244</v>
          </cell>
          <cell r="I3132" t="str">
            <v>BCP</v>
          </cell>
          <cell r="J3132" t="str">
            <v>19111835507056</v>
          </cell>
          <cell r="K3132" t="str">
            <v>CARNET DE EXTRANJERÍA</v>
          </cell>
          <cell r="L3132">
            <v>15610327050</v>
          </cell>
          <cell r="M3132" t="str">
            <v>MEMBRESÍA NOCTURNA - APTO</v>
          </cell>
          <cell r="N3132">
            <v>45988</v>
          </cell>
          <cell r="O3132">
            <v>315</v>
          </cell>
          <cell r="P3132" t="str">
            <v>LITE</v>
          </cell>
        </row>
        <row r="3133">
          <cell r="A3133">
            <v>4049</v>
          </cell>
          <cell r="B3133">
            <v>4049</v>
          </cell>
          <cell r="C3133" t="str">
            <v>CERO MATRICULA</v>
          </cell>
          <cell r="D3133" t="str">
            <v>ACTIVO</v>
          </cell>
          <cell r="E3133" t="str">
            <v>CTY438</v>
          </cell>
          <cell r="F3133" t="str">
            <v>Olivares  Valdivia Rufino Ernesto</v>
          </cell>
          <cell r="G3133" t="str">
            <v>Olivares Valdivia Rufino Ernesto</v>
          </cell>
          <cell r="H3133" t="str">
            <v>07850089</v>
          </cell>
          <cell r="I3133" t="str">
            <v>BBVA</v>
          </cell>
          <cell r="J3133" t="str">
            <v>001105790232974590</v>
          </cell>
          <cell r="K3133" t="str">
            <v>DNI</v>
          </cell>
          <cell r="L3133">
            <v>10078500897</v>
          </cell>
          <cell r="M3133" t="str">
            <v>AEROLINEAS</v>
          </cell>
          <cell r="N3133">
            <v>45988</v>
          </cell>
          <cell r="O3133">
            <v>0</v>
          </cell>
          <cell r="P3133" t="str">
            <v>LITE</v>
          </cell>
        </row>
        <row r="3134">
          <cell r="A3134">
            <v>4050</v>
          </cell>
          <cell r="B3134">
            <v>4050</v>
          </cell>
          <cell r="C3134" t="str">
            <v>CERO MATRICULA</v>
          </cell>
          <cell r="D3134" t="str">
            <v>ACTIVO</v>
          </cell>
          <cell r="E3134" t="str">
            <v>BLG535</v>
          </cell>
          <cell r="F3134" t="str">
            <v>Niño Brito Miguel Ángel</v>
          </cell>
          <cell r="G3134" t="str">
            <v>Niño Brito Miguel Ángel</v>
          </cell>
          <cell r="H3134" t="str">
            <v>006304835</v>
          </cell>
          <cell r="I3134" t="str">
            <v>BCP</v>
          </cell>
          <cell r="J3134" t="str">
            <v>19408946050012</v>
          </cell>
          <cell r="K3134" t="str">
            <v>CARNET DE EXTRANJERÍA</v>
          </cell>
          <cell r="L3134">
            <v>15609289420</v>
          </cell>
          <cell r="M3134" t="str">
            <v>AEROLINEAS</v>
          </cell>
          <cell r="N3134">
            <v>45988</v>
          </cell>
          <cell r="O3134">
            <v>0</v>
          </cell>
          <cell r="P3134" t="str">
            <v>LITE</v>
          </cell>
        </row>
        <row r="3135">
          <cell r="A3135">
            <v>4028</v>
          </cell>
          <cell r="B3135">
            <v>4028</v>
          </cell>
          <cell r="C3135" t="str">
            <v>CERO MATRICULA</v>
          </cell>
          <cell r="D3135" t="str">
            <v>ACTIVO</v>
          </cell>
          <cell r="E3135" t="str">
            <v>CTB254</v>
          </cell>
          <cell r="F3135" t="str">
            <v>Diaz Panduro Deidamia</v>
          </cell>
          <cell r="G3135" t="str">
            <v>Diaz Panduro Deidamia</v>
          </cell>
          <cell r="H3135" t="str">
            <v>08261266</v>
          </cell>
          <cell r="I3135" t="str">
            <v>BBVA</v>
          </cell>
          <cell r="J3135" t="str">
            <v>0011-0814-0224383253</v>
          </cell>
          <cell r="K3135" t="str">
            <v>DNI</v>
          </cell>
          <cell r="L3135">
            <v>10082612667</v>
          </cell>
          <cell r="M3135" t="str">
            <v>URBANO PARTNER</v>
          </cell>
          <cell r="N3135">
            <v>45981</v>
          </cell>
          <cell r="O3135">
            <v>0</v>
          </cell>
          <cell r="P3135" t="str">
            <v>COMFORT</v>
          </cell>
        </row>
        <row r="3136">
          <cell r="A3136">
            <v>4034</v>
          </cell>
          <cell r="B3136">
            <v>4034</v>
          </cell>
          <cell r="C3136" t="str">
            <v>CERO MATRICULA</v>
          </cell>
          <cell r="D3136" t="str">
            <v>ACTIVO</v>
          </cell>
          <cell r="E3136" t="str">
            <v>CHD182</v>
          </cell>
          <cell r="F3136" t="str">
            <v>Machado Zalazar Hernán Jose</v>
          </cell>
          <cell r="G3136" t="str">
            <v>Machado Zalazar Hernán Jose</v>
          </cell>
          <cell r="H3136" t="str">
            <v>008530357</v>
          </cell>
          <cell r="I3136" t="str">
            <v>INTERBANK</v>
          </cell>
          <cell r="J3136" t="str">
            <v>3783429241420</v>
          </cell>
          <cell r="K3136" t="str">
            <v>CARNET DE EXTRANJERÍA</v>
          </cell>
          <cell r="L3136">
            <v>15613775371</v>
          </cell>
          <cell r="M3136" t="str">
            <v>MEMBRESÍA NOCTURNA - APTO</v>
          </cell>
          <cell r="N3136">
            <v>45979</v>
          </cell>
          <cell r="O3136">
            <v>290</v>
          </cell>
          <cell r="P3136" t="str">
            <v>COMFORT</v>
          </cell>
        </row>
        <row r="3137">
          <cell r="A3137">
            <v>4029</v>
          </cell>
          <cell r="B3137">
            <v>4029</v>
          </cell>
          <cell r="C3137" t="str">
            <v>CERO MATRICULA</v>
          </cell>
          <cell r="D3137" t="str">
            <v>ACTIVO</v>
          </cell>
          <cell r="E3137" t="str">
            <v>BJN316</v>
          </cell>
          <cell r="F3137" t="str">
            <v>Torres NN Santiago José</v>
          </cell>
          <cell r="G3137" t="str">
            <v>NN Santiago José</v>
          </cell>
          <cell r="H3137" t="str">
            <v>004688052</v>
          </cell>
          <cell r="I3137" t="str">
            <v>BCP</v>
          </cell>
          <cell r="J3137" t="str">
            <v>19491860600083</v>
          </cell>
          <cell r="K3137" t="str">
            <v>CARNET DE EXTRANJERÍA</v>
          </cell>
          <cell r="L3137">
            <v>15609762532</v>
          </cell>
          <cell r="M3137" t="str">
            <v>MEMBRESÍA DIURNA</v>
          </cell>
          <cell r="N3137">
            <v>45974</v>
          </cell>
          <cell r="O3137">
            <v>265</v>
          </cell>
          <cell r="P3137" t="str">
            <v>LITE</v>
          </cell>
        </row>
        <row r="3138">
          <cell r="A3138">
            <v>2984</v>
          </cell>
          <cell r="B3138">
            <v>2984</v>
          </cell>
          <cell r="C3138" t="str">
            <v>CERO MATRICULA</v>
          </cell>
          <cell r="D3138" t="str">
            <v>ACTIVO</v>
          </cell>
          <cell r="E3138" t="str">
            <v>FLOTA PROPIA</v>
          </cell>
          <cell r="F3138" t="str">
            <v>FLOTA PROPIA</v>
          </cell>
          <cell r="G3138" t="str">
            <v>FLOTA PROPIA</v>
          </cell>
          <cell r="H3138" t="str">
            <v>FLOTA PROPIA</v>
          </cell>
          <cell r="I3138" t="str">
            <v>FLOTA PROPIA</v>
          </cell>
          <cell r="J3138" t="str">
            <v>FLOTA PROPIA</v>
          </cell>
          <cell r="K3138" t="str">
            <v>FLOTA PROPIA</v>
          </cell>
          <cell r="L3138" t="str">
            <v>FLOTA PROPIA</v>
          </cell>
          <cell r="M3138" t="str">
            <v>FLOTA PROPIA</v>
          </cell>
          <cell r="N3138">
            <v>45988</v>
          </cell>
          <cell r="O3138">
            <v>0</v>
          </cell>
          <cell r="P3138" t="str">
            <v>VAN</v>
          </cell>
        </row>
        <row r="3139">
          <cell r="A3139">
            <v>2982</v>
          </cell>
          <cell r="B3139">
            <v>2982</v>
          </cell>
          <cell r="C3139" t="str">
            <v>CERO MATRICULA</v>
          </cell>
          <cell r="D3139" t="str">
            <v>ACTIVO</v>
          </cell>
          <cell r="E3139" t="str">
            <v>FLOTA PROPIA</v>
          </cell>
          <cell r="F3139" t="str">
            <v>FLOTA PROPIA</v>
          </cell>
          <cell r="G3139" t="str">
            <v>FLOTA PROPIA</v>
          </cell>
          <cell r="H3139" t="str">
            <v>FLOTA PROPIA</v>
          </cell>
          <cell r="I3139" t="str">
            <v>FLOTA PROPIA</v>
          </cell>
          <cell r="J3139" t="str">
            <v>FLOTA PROPIA</v>
          </cell>
          <cell r="K3139" t="str">
            <v>FLOTA PROPIA</v>
          </cell>
          <cell r="L3139" t="str">
            <v>FLOTA PROPIA</v>
          </cell>
          <cell r="M3139" t="str">
            <v>FLOTA PROPIA</v>
          </cell>
          <cell r="N3139">
            <v>45931</v>
          </cell>
          <cell r="O3139">
            <v>0</v>
          </cell>
          <cell r="P3139" t="str">
            <v>VAN</v>
          </cell>
        </row>
        <row r="3140">
          <cell r="A3140">
            <v>2983</v>
          </cell>
          <cell r="B3140">
            <v>2983</v>
          </cell>
          <cell r="C3140" t="str">
            <v>CERO MATRICULA</v>
          </cell>
          <cell r="D3140" t="str">
            <v>ACTIVO</v>
          </cell>
          <cell r="E3140" t="str">
            <v>FLOTA PROPIA</v>
          </cell>
          <cell r="F3140" t="str">
            <v>FLOTA PROPIA</v>
          </cell>
          <cell r="G3140" t="str">
            <v>FLOTA PROPIA</v>
          </cell>
          <cell r="H3140" t="str">
            <v>FLOTA PROPIA</v>
          </cell>
          <cell r="I3140" t="str">
            <v>FLOTA PROPIA</v>
          </cell>
          <cell r="J3140" t="str">
            <v>FLOTA PROPIA</v>
          </cell>
          <cell r="K3140" t="str">
            <v>FLOTA PROPIA</v>
          </cell>
          <cell r="L3140" t="str">
            <v>FLOTA PROPIA</v>
          </cell>
          <cell r="M3140" t="str">
            <v>FLOTA PROPIA</v>
          </cell>
          <cell r="N3140">
            <v>45931</v>
          </cell>
          <cell r="O3140">
            <v>0</v>
          </cell>
          <cell r="P3140" t="str">
            <v>VAN</v>
          </cell>
        </row>
        <row r="3141">
          <cell r="A3141">
            <v>4061</v>
          </cell>
          <cell r="B3141">
            <v>4061</v>
          </cell>
          <cell r="C3141" t="str">
            <v>CERO MATRICULA</v>
          </cell>
          <cell r="D3141" t="str">
            <v>ACTIVO</v>
          </cell>
          <cell r="E3141" t="str">
            <v>CLF463</v>
          </cell>
          <cell r="F3141" t="str">
            <v>Calvo Barriga Jose Enrique</v>
          </cell>
          <cell r="G3141" t="str">
            <v>Calvo Barriga Jose Enrique</v>
          </cell>
          <cell r="H3141" t="str">
            <v>08757003</v>
          </cell>
          <cell r="I3141" t="str">
            <v>BCP</v>
          </cell>
          <cell r="J3141" t="str">
            <v>19105341786042</v>
          </cell>
          <cell r="K3141" t="str">
            <v>DNI</v>
          </cell>
          <cell r="L3141">
            <v>10087570032</v>
          </cell>
          <cell r="M3141" t="str">
            <v>URBANO PARTNER</v>
          </cell>
          <cell r="N3141">
            <v>45993</v>
          </cell>
          <cell r="O3141">
            <v>0</v>
          </cell>
          <cell r="P3141" t="str">
            <v>LITE</v>
          </cell>
        </row>
        <row r="3142">
          <cell r="A3142">
            <v>4062</v>
          </cell>
          <cell r="B3142">
            <v>4062</v>
          </cell>
          <cell r="C3142" t="str">
            <v>CERO MATRICULA</v>
          </cell>
          <cell r="D3142" t="str">
            <v>ACTIVO</v>
          </cell>
          <cell r="E3142" t="str">
            <v>BWR041</v>
          </cell>
          <cell r="F3142" t="str">
            <v>Regies Cruz Pierre Alexander</v>
          </cell>
          <cell r="G3142" t="str">
            <v>Regies Cruz Pierre Alexander</v>
          </cell>
          <cell r="H3142" t="str">
            <v>46636138</v>
          </cell>
          <cell r="I3142" t="str">
            <v>INTERBANK</v>
          </cell>
          <cell r="J3142" t="str">
            <v>8983463000281</v>
          </cell>
          <cell r="K3142" t="str">
            <v>DNI</v>
          </cell>
          <cell r="L3142">
            <v>10466361386</v>
          </cell>
          <cell r="M3142" t="str">
            <v>URBANO PARTNER</v>
          </cell>
          <cell r="N3142">
            <v>45993</v>
          </cell>
          <cell r="O3142">
            <v>0</v>
          </cell>
          <cell r="P3142" t="str">
            <v>COMFORT</v>
          </cell>
        </row>
        <row r="3143">
          <cell r="A3143">
            <v>4063</v>
          </cell>
          <cell r="B3143">
            <v>4063</v>
          </cell>
          <cell r="C3143" t="str">
            <v>CERO MATRICULA</v>
          </cell>
          <cell r="D3143" t="str">
            <v>ACTIVO</v>
          </cell>
          <cell r="E3143" t="str">
            <v>CMN048</v>
          </cell>
          <cell r="F3143" t="str">
            <v>Alvarado Alza Jose Alberto</v>
          </cell>
          <cell r="G3143" t="str">
            <v>Alvarado Alza Jose Alberto</v>
          </cell>
          <cell r="H3143" t="str">
            <v>09704712</v>
          </cell>
          <cell r="I3143" t="str">
            <v>BCP</v>
          </cell>
          <cell r="J3143" t="str">
            <v>19490925335070</v>
          </cell>
          <cell r="K3143" t="str">
            <v>DNI</v>
          </cell>
          <cell r="L3143">
            <v>10097047125</v>
          </cell>
          <cell r="M3143" t="str">
            <v>URBANO PARTNER</v>
          </cell>
          <cell r="N3143">
            <v>45993</v>
          </cell>
          <cell r="O3143">
            <v>0</v>
          </cell>
          <cell r="P3143" t="str">
            <v>COMFORT</v>
          </cell>
        </row>
        <row r="3144">
          <cell r="A3144">
            <v>4064</v>
          </cell>
          <cell r="B3144">
            <v>4064</v>
          </cell>
          <cell r="C3144" t="str">
            <v>CERO MATRICULA</v>
          </cell>
          <cell r="D3144" t="str">
            <v>ACTIVO</v>
          </cell>
          <cell r="E3144" t="str">
            <v>CRK153</v>
          </cell>
          <cell r="F3144" t="str">
            <v>Paredes Moreno Branco</v>
          </cell>
          <cell r="G3144" t="str">
            <v>Paredes Moreno Branco</v>
          </cell>
          <cell r="H3144" t="str">
            <v>47028336</v>
          </cell>
          <cell r="I3144" t="str">
            <v>BBVA</v>
          </cell>
          <cell r="J3144" t="str">
            <v>001107910200323302</v>
          </cell>
          <cell r="K3144" t="str">
            <v>DNI</v>
          </cell>
          <cell r="L3144">
            <v>10470283365</v>
          </cell>
          <cell r="M3144" t="str">
            <v>AEROLINEAS</v>
          </cell>
          <cell r="N3144">
            <v>45993</v>
          </cell>
          <cell r="O3144">
            <v>0</v>
          </cell>
          <cell r="P3144" t="str">
            <v>COMFORT</v>
          </cell>
        </row>
        <row r="3145">
          <cell r="A3145">
            <v>4054</v>
          </cell>
          <cell r="B3145">
            <v>4054</v>
          </cell>
          <cell r="C3145" t="str">
            <v>CERO MATRICULA</v>
          </cell>
          <cell r="D3145" t="str">
            <v>ACTIVO</v>
          </cell>
          <cell r="E3145" t="str">
            <v>AZR073</v>
          </cell>
          <cell r="F3145" t="str">
            <v>Huaman Espinoza Daniel Hugo</v>
          </cell>
          <cell r="G3145" t="str">
            <v>Huaman Espinoza Daniel Hugo</v>
          </cell>
          <cell r="H3145" t="str">
            <v>43694867</v>
          </cell>
          <cell r="I3145" t="str">
            <v>BCP</v>
          </cell>
          <cell r="J3145" t="str">
            <v>19475930439011</v>
          </cell>
          <cell r="K3145" t="str">
            <v>DNI</v>
          </cell>
          <cell r="L3145">
            <v>10436948676</v>
          </cell>
          <cell r="M3145" t="str">
            <v>URBANO PARTNER</v>
          </cell>
          <cell r="N3145">
            <v>45993</v>
          </cell>
          <cell r="O3145">
            <v>0</v>
          </cell>
          <cell r="P3145" t="str">
            <v>LITE</v>
          </cell>
        </row>
        <row r="3146">
          <cell r="A3146">
            <v>4057</v>
          </cell>
          <cell r="B3146">
            <v>4057</v>
          </cell>
          <cell r="C3146" t="str">
            <v>CERO MATRICULA</v>
          </cell>
          <cell r="D3146" t="str">
            <v>ACTIVO</v>
          </cell>
          <cell r="E3146" t="str">
            <v>CVD020</v>
          </cell>
          <cell r="F3146" t="str">
            <v xml:space="preserve">Chambi Villanueva Edgar Eduardo </v>
          </cell>
          <cell r="G3146" t="str">
            <v xml:space="preserve">Chambi Villanueva Edgar Eduardo </v>
          </cell>
          <cell r="H3146" t="str">
            <v>75477123</v>
          </cell>
          <cell r="I3146" t="str">
            <v>BCP</v>
          </cell>
          <cell r="J3146" t="str">
            <v>19497066272037</v>
          </cell>
          <cell r="K3146" t="str">
            <v>DNI</v>
          </cell>
          <cell r="L3146">
            <v>10754771238</v>
          </cell>
          <cell r="M3146" t="str">
            <v>MEMBRESÍA NOCTURNA - APTO</v>
          </cell>
          <cell r="N3146">
            <v>45993</v>
          </cell>
          <cell r="O3146">
            <v>285</v>
          </cell>
          <cell r="P3146" t="str">
            <v>COMFORT XL</v>
          </cell>
        </row>
        <row r="3147">
          <cell r="A3147">
            <v>4068</v>
          </cell>
          <cell r="B3147">
            <v>4068</v>
          </cell>
          <cell r="C3147" t="str">
            <v>CERO MATRICULA</v>
          </cell>
          <cell r="D3147" t="str">
            <v>ACTIVO</v>
          </cell>
          <cell r="E3147" t="str">
            <v>BCQ655</v>
          </cell>
          <cell r="F3147" t="str">
            <v>Simeón Ramos Leono Mauricio</v>
          </cell>
          <cell r="G3147" t="str">
            <v>Simeon Ramos Leono Mauricio</v>
          </cell>
          <cell r="H3147" t="str">
            <v>45442121</v>
          </cell>
          <cell r="I3147" t="str">
            <v>BCP</v>
          </cell>
          <cell r="J3147" t="str">
            <v>19197652435021</v>
          </cell>
          <cell r="K3147" t="str">
            <v>DNI</v>
          </cell>
          <cell r="L3147">
            <v>10454421219</v>
          </cell>
          <cell r="M3147" t="str">
            <v>MEMBRESÍA NOCTURNA - APTO</v>
          </cell>
          <cell r="N3147">
            <v>45995</v>
          </cell>
          <cell r="O3147">
            <v>290</v>
          </cell>
          <cell r="P3147" t="str">
            <v>COMFORT</v>
          </cell>
        </row>
        <row r="3148">
          <cell r="A3148">
            <v>4070</v>
          </cell>
          <cell r="B3148">
            <v>4070</v>
          </cell>
          <cell r="C3148" t="str">
            <v>CERO MATRICULA</v>
          </cell>
          <cell r="D3148" t="str">
            <v>ACTIVO</v>
          </cell>
          <cell r="E3148" t="str">
            <v>CVL389</v>
          </cell>
          <cell r="F3148" t="str">
            <v xml:space="preserve">Ortiz Copertino Sandro Jimmy </v>
          </cell>
          <cell r="G3148" t="str">
            <v xml:space="preserve">Ortiz Copertino Sandro Jimmy </v>
          </cell>
          <cell r="H3148" t="str">
            <v>48277028</v>
          </cell>
          <cell r="I3148" t="str">
            <v>BBVA</v>
          </cell>
          <cell r="J3148" t="str">
            <v>001108140261931856</v>
          </cell>
          <cell r="K3148" t="str">
            <v>DNI</v>
          </cell>
          <cell r="L3148">
            <v>10482770288</v>
          </cell>
          <cell r="M3148" t="str">
            <v>MEMBRESÍA DIURNA</v>
          </cell>
          <cell r="N3148">
            <v>45995</v>
          </cell>
          <cell r="O3148">
            <v>235</v>
          </cell>
          <cell r="P3148" t="str">
            <v>COMFORT XL</v>
          </cell>
        </row>
        <row r="3149">
          <cell r="A3149">
            <v>4032</v>
          </cell>
          <cell r="B3149">
            <v>4032</v>
          </cell>
          <cell r="C3149" t="str">
            <v>CERO MATRICULA</v>
          </cell>
          <cell r="D3149" t="str">
            <v>ACTIVO</v>
          </cell>
          <cell r="E3149" t="str">
            <v>CMW218</v>
          </cell>
          <cell r="F3149" t="str">
            <v>Fonseca Guzmán Armando José</v>
          </cell>
          <cell r="G3149" t="str">
            <v>Fonseca Guzmán Armando José</v>
          </cell>
          <cell r="H3149" t="str">
            <v>06669768</v>
          </cell>
          <cell r="I3149" t="str">
            <v>BCP</v>
          </cell>
          <cell r="J3149" t="str">
            <v>19390769089045</v>
          </cell>
          <cell r="K3149" t="str">
            <v>DNI</v>
          </cell>
          <cell r="L3149">
            <v>10066697687</v>
          </cell>
          <cell r="M3149" t="str">
            <v>MEMBRESÍA NOCTURNA - APTO</v>
          </cell>
          <cell r="N3149">
            <v>45979</v>
          </cell>
          <cell r="O3149">
            <v>315</v>
          </cell>
          <cell r="P3149" t="str">
            <v>LITE</v>
          </cell>
        </row>
        <row r="3150">
          <cell r="A3150">
            <v>2986</v>
          </cell>
          <cell r="B3150">
            <v>2986</v>
          </cell>
          <cell r="C3150" t="str">
            <v>CERO MATRICULA</v>
          </cell>
          <cell r="D3150" t="str">
            <v>ACTIVO</v>
          </cell>
          <cell r="E3150" t="str">
            <v>FLOTA PROPIA</v>
          </cell>
          <cell r="F3150" t="str">
            <v>FLOTA PROPIA</v>
          </cell>
          <cell r="G3150" t="str">
            <v>FLOTA PROPIA</v>
          </cell>
          <cell r="H3150" t="str">
            <v>FLOTA PROPIA</v>
          </cell>
          <cell r="I3150" t="str">
            <v>FLOTA PROPIA</v>
          </cell>
          <cell r="J3150" t="str">
            <v>FLOTA PROPIA</v>
          </cell>
          <cell r="K3150" t="str">
            <v>FLOTA PROPIA</v>
          </cell>
          <cell r="L3150" t="str">
            <v>FLOTA PROPIA</v>
          </cell>
          <cell r="M3150" t="str">
            <v>FLOTA PROPIA</v>
          </cell>
          <cell r="N3150">
            <v>45992</v>
          </cell>
          <cell r="O3150">
            <v>0</v>
          </cell>
          <cell r="P3150" t="str">
            <v>VAN</v>
          </cell>
        </row>
        <row r="3151">
          <cell r="A3151">
            <v>12</v>
          </cell>
          <cell r="B3151">
            <v>12</v>
          </cell>
          <cell r="C3151" t="str">
            <v>CERO MATRICULA</v>
          </cell>
          <cell r="D3151" t="str">
            <v>ACTIVO</v>
          </cell>
          <cell r="E3151" t="str">
            <v>MOVIL CONTINGENCIA</v>
          </cell>
          <cell r="F3151" t="str">
            <v>MOVIL CONTINGENCIA</v>
          </cell>
          <cell r="G3151" t="str">
            <v>MOVIL CONTINGENCIA</v>
          </cell>
          <cell r="H3151" t="str">
            <v>MOVIL CONTINGENCIA</v>
          </cell>
          <cell r="I3151" t="str">
            <v>MOVIL CONTINGENCIA</v>
          </cell>
          <cell r="J3151" t="str">
            <v>MOVIL CONTINGENCIA</v>
          </cell>
          <cell r="K3151" t="str">
            <v>MOVIL CONTINGENCIA</v>
          </cell>
          <cell r="L3151" t="str">
            <v>MOVIL CONTINGENCIA</v>
          </cell>
          <cell r="M3151" t="str">
            <v>MOVIL CONTINGENCIA</v>
          </cell>
          <cell r="N3151">
            <v>45992</v>
          </cell>
          <cell r="O3151">
            <v>0</v>
          </cell>
          <cell r="P3151" t="str">
            <v>LITE</v>
          </cell>
        </row>
        <row r="3152">
          <cell r="A3152">
            <v>19</v>
          </cell>
          <cell r="B3152">
            <v>19</v>
          </cell>
          <cell r="C3152" t="str">
            <v>CERO MATRICULA</v>
          </cell>
          <cell r="D3152" t="str">
            <v>ACTIVO</v>
          </cell>
          <cell r="E3152" t="str">
            <v>MOVIL CONTINGENCIA</v>
          </cell>
          <cell r="F3152" t="str">
            <v>MOVIL CONTINGENCIA</v>
          </cell>
          <cell r="G3152" t="str">
            <v>MOVIL CONTINGENCIA</v>
          </cell>
          <cell r="H3152" t="str">
            <v>MOVIL CONTINGENCIA</v>
          </cell>
          <cell r="I3152" t="str">
            <v>MOVIL CONTINGENCIA</v>
          </cell>
          <cell r="J3152" t="str">
            <v>MOVIL CONTINGENCIA</v>
          </cell>
          <cell r="K3152" t="str">
            <v>MOVIL CONTINGENCIA</v>
          </cell>
          <cell r="L3152" t="str">
            <v>MOVIL CONTINGENCIA</v>
          </cell>
          <cell r="M3152" t="str">
            <v>MOVIL CONTINGENCIA</v>
          </cell>
          <cell r="N3152">
            <v>45992</v>
          </cell>
          <cell r="O3152">
            <v>0</v>
          </cell>
          <cell r="P3152" t="str">
            <v>LITE</v>
          </cell>
        </row>
        <row r="3153">
          <cell r="A3153">
            <v>4031</v>
          </cell>
          <cell r="B3153">
            <v>4031</v>
          </cell>
          <cell r="C3153" t="str">
            <v>CERO MATRICULA</v>
          </cell>
          <cell r="D3153" t="str">
            <v>ACTIVO</v>
          </cell>
          <cell r="E3153" t="str">
            <v>AVU389</v>
          </cell>
          <cell r="F3153" t="str">
            <v>Henry Josué horna Rodríguez</v>
          </cell>
          <cell r="G3153" t="str">
            <v>Yois Adriana León Fow</v>
          </cell>
          <cell r="H3153">
            <v>77062366</v>
          </cell>
          <cell r="I3153" t="str">
            <v>BCP</v>
          </cell>
          <cell r="J3153" t="str">
            <v>19195960997097</v>
          </cell>
          <cell r="K3153" t="str">
            <v>DNI</v>
          </cell>
          <cell r="L3153">
            <v>10770623664</v>
          </cell>
          <cell r="M3153" t="str">
            <v>URBANO PARTNER</v>
          </cell>
          <cell r="N3153">
            <v>45992</v>
          </cell>
          <cell r="O3153">
            <v>0</v>
          </cell>
          <cell r="P3153" t="str">
            <v>COMFORT</v>
          </cell>
        </row>
        <row r="3154">
          <cell r="A3154">
            <v>2987</v>
          </cell>
          <cell r="B3154">
            <v>2987</v>
          </cell>
          <cell r="C3154" t="str">
            <v>CERO MATRICULA</v>
          </cell>
          <cell r="D3154" t="str">
            <v>ACTIVO</v>
          </cell>
          <cell r="E3154" t="str">
            <v>FLOTA PROPIA</v>
          </cell>
          <cell r="F3154" t="str">
            <v>FLOTA PROPIA</v>
          </cell>
          <cell r="G3154" t="str">
            <v>FLOTA PROPIA</v>
          </cell>
          <cell r="H3154" t="str">
            <v>FLOTA PROPIA</v>
          </cell>
          <cell r="I3154" t="str">
            <v>FLOTA PROPIA</v>
          </cell>
          <cell r="J3154" t="str">
            <v>FLOTA PROPIA</v>
          </cell>
          <cell r="K3154" t="str">
            <v>FLOTA PROPIA</v>
          </cell>
          <cell r="L3154" t="str">
            <v>FLOTA PROPIA</v>
          </cell>
          <cell r="M3154" t="str">
            <v>FLOTA PROPIA</v>
          </cell>
          <cell r="N3154">
            <v>45999</v>
          </cell>
          <cell r="O3154">
            <v>0</v>
          </cell>
          <cell r="P3154" t="str">
            <v>VAN</v>
          </cell>
        </row>
        <row r="3155">
          <cell r="A3155">
            <v>2988</v>
          </cell>
          <cell r="B3155">
            <v>2988</v>
          </cell>
          <cell r="C3155" t="str">
            <v>CERO MATRICULA</v>
          </cell>
          <cell r="D3155" t="str">
            <v>ACTIVO</v>
          </cell>
          <cell r="E3155" t="str">
            <v>FLOTA PROPIA</v>
          </cell>
          <cell r="F3155" t="str">
            <v>FLOTA PROPIA</v>
          </cell>
          <cell r="G3155" t="str">
            <v>FLOTA PROPIA</v>
          </cell>
          <cell r="H3155" t="str">
            <v>FLOTA PROPIA</v>
          </cell>
          <cell r="I3155" t="str">
            <v>FLOTA PROPIA</v>
          </cell>
          <cell r="J3155" t="str">
            <v>FLOTA PROPIA</v>
          </cell>
          <cell r="K3155" t="str">
            <v>FLOTA PROPIA</v>
          </cell>
          <cell r="L3155" t="str">
            <v>FLOTA PROPIA</v>
          </cell>
          <cell r="M3155" t="str">
            <v>FLOTA PROPIA</v>
          </cell>
          <cell r="N3155">
            <v>45999</v>
          </cell>
          <cell r="O3155">
            <v>0</v>
          </cell>
          <cell r="P3155" t="str">
            <v>VAN</v>
          </cell>
        </row>
        <row r="3156">
          <cell r="A3156">
            <v>4072</v>
          </cell>
          <cell r="B3156">
            <v>4072</v>
          </cell>
          <cell r="C3156" t="str">
            <v>CERO MATRICULA</v>
          </cell>
          <cell r="D3156" t="str">
            <v>ACTIVO</v>
          </cell>
          <cell r="E3156" t="str">
            <v>CUX675</v>
          </cell>
          <cell r="F3156" t="str">
            <v>Rodriguez Guatarama José Ramón</v>
          </cell>
          <cell r="G3156" t="str">
            <v>Rodriguez Guatarama José Ramón</v>
          </cell>
          <cell r="H3156" t="str">
            <v>002657962</v>
          </cell>
          <cell r="I3156" t="str">
            <v>BCP</v>
          </cell>
          <cell r="J3156" t="str">
            <v>19105312018074</v>
          </cell>
          <cell r="K3156" t="str">
            <v>CARNET DE EXTRANJERÍA</v>
          </cell>
          <cell r="L3156">
            <v>15603780636</v>
          </cell>
          <cell r="M3156" t="str">
            <v>AEROLINEAS</v>
          </cell>
          <cell r="N3156">
            <v>46002</v>
          </cell>
          <cell r="O3156">
            <v>0</v>
          </cell>
          <cell r="P3156" t="str">
            <v>LITE</v>
          </cell>
        </row>
        <row r="3157">
          <cell r="A3157">
            <v>8520</v>
          </cell>
          <cell r="B3157">
            <v>8520</v>
          </cell>
          <cell r="C3157" t="str">
            <v>CERO MATRICULA</v>
          </cell>
          <cell r="D3157" t="str">
            <v>ACTIVO</v>
          </cell>
          <cell r="E3157" t="str">
            <v>BFO389</v>
          </cell>
          <cell r="F3157" t="str">
            <v>Valderrama Nuñez kevin fausto</v>
          </cell>
          <cell r="G3157" t="str">
            <v>Valderrama Nuñez kevin fausto</v>
          </cell>
          <cell r="H3157" t="str">
            <v>70495246</v>
          </cell>
          <cell r="I3157" t="str">
            <v>BCP</v>
          </cell>
          <cell r="J3157" t="str">
            <v>19106400196043</v>
          </cell>
          <cell r="K3157" t="str">
            <v>DNI</v>
          </cell>
          <cell r="L3157">
            <v>10704952461</v>
          </cell>
          <cell r="M3157" t="str">
            <v>MEMBRESÍA NOCTURNA - APTO</v>
          </cell>
          <cell r="N3157">
            <v>46002</v>
          </cell>
          <cell r="O3157">
            <v>290</v>
          </cell>
          <cell r="P3157" t="str">
            <v>COMFORT</v>
          </cell>
        </row>
        <row r="3158">
          <cell r="A3158">
            <v>4073</v>
          </cell>
          <cell r="B3158">
            <v>4073</v>
          </cell>
          <cell r="C3158" t="str">
            <v>CERO MATRICULA</v>
          </cell>
          <cell r="D3158" t="str">
            <v>ACTIVO</v>
          </cell>
          <cell r="E3158" t="str">
            <v>CFP164</v>
          </cell>
          <cell r="F3158" t="str">
            <v>Gonzalez Marquez Angel Jovanny</v>
          </cell>
          <cell r="G3158" t="str">
            <v>Gonzalez Marquez Angel Jovanny</v>
          </cell>
          <cell r="H3158" t="str">
            <v>003826775</v>
          </cell>
          <cell r="I3158" t="str">
            <v>BCP</v>
          </cell>
          <cell r="J3158" t="str">
            <v>19107678647007</v>
          </cell>
          <cell r="K3158" t="str">
            <v>CARNET DE EXTRANJERÍA</v>
          </cell>
          <cell r="L3158">
            <v>15605373931</v>
          </cell>
          <cell r="M3158" t="str">
            <v>AEROLINEAS</v>
          </cell>
          <cell r="N3158">
            <v>46002</v>
          </cell>
          <cell r="O3158">
            <v>0</v>
          </cell>
          <cell r="P3158" t="str">
            <v>LITE</v>
          </cell>
        </row>
        <row r="3159">
          <cell r="A3159">
            <v>4076</v>
          </cell>
          <cell r="B3159">
            <v>4076</v>
          </cell>
          <cell r="C3159" t="str">
            <v>CERO MATRICULA</v>
          </cell>
          <cell r="D3159" t="str">
            <v>ACTIVO</v>
          </cell>
          <cell r="E3159" t="str">
            <v>BDW317</v>
          </cell>
          <cell r="F3159" t="str">
            <v>Maza Sanchez Gerson Joel</v>
          </cell>
          <cell r="G3159" t="str">
            <v>Maza Sanchez Gerson Joel</v>
          </cell>
          <cell r="H3159" t="str">
            <v>70114181</v>
          </cell>
          <cell r="I3159" t="str">
            <v>BCP</v>
          </cell>
          <cell r="J3159" t="str">
            <v>19190538224049</v>
          </cell>
          <cell r="K3159" t="str">
            <v>DNI</v>
          </cell>
          <cell r="L3159">
            <v>10701141810</v>
          </cell>
          <cell r="M3159" t="str">
            <v>URBANO PARTNER</v>
          </cell>
          <cell r="N3159">
            <v>46003</v>
          </cell>
          <cell r="O3159">
            <v>0</v>
          </cell>
          <cell r="P3159" t="str">
            <v>COMFORT</v>
          </cell>
        </row>
        <row r="3160">
          <cell r="A3160">
            <v>4077</v>
          </cell>
          <cell r="B3160">
            <v>4077</v>
          </cell>
          <cell r="C3160" t="str">
            <v>CERO MATRICULA</v>
          </cell>
          <cell r="D3160" t="str">
            <v>ACTIVO</v>
          </cell>
          <cell r="E3160" t="str">
            <v>CVE097</v>
          </cell>
          <cell r="F3160" t="str">
            <v>Montero Calderón John</v>
          </cell>
          <cell r="G3160" t="str">
            <v>Montero Calderón John</v>
          </cell>
          <cell r="H3160" t="str">
            <v>002560193</v>
          </cell>
          <cell r="I3160" t="str">
            <v>BCP</v>
          </cell>
          <cell r="J3160" t="str">
            <v>19412295876075</v>
          </cell>
          <cell r="K3160" t="str">
            <v>CARNET DE EXTRANJERÍA</v>
          </cell>
          <cell r="L3160">
            <v>15603606377</v>
          </cell>
          <cell r="M3160" t="str">
            <v>URBANO PARTNER</v>
          </cell>
          <cell r="N3160">
            <v>46003</v>
          </cell>
          <cell r="O3160">
            <v>0</v>
          </cell>
          <cell r="P3160" t="str">
            <v>COMFORT XL</v>
          </cell>
        </row>
        <row r="3161">
          <cell r="A3161">
            <v>4078</v>
          </cell>
          <cell r="B3161">
            <v>4078</v>
          </cell>
          <cell r="C3161" t="str">
            <v>CERO MATRICULA</v>
          </cell>
          <cell r="D3161" t="str">
            <v>ACTIVO</v>
          </cell>
          <cell r="E3161" t="str">
            <v>CRF406</v>
          </cell>
          <cell r="F3161" t="str">
            <v xml:space="preserve">Mercedes  Julca Pedro Rafael </v>
          </cell>
          <cell r="G3161" t="str">
            <v xml:space="preserve">Mercedes Julca Pedro Rafael </v>
          </cell>
          <cell r="H3161" t="str">
            <v>47920730</v>
          </cell>
          <cell r="I3161" t="str">
            <v>BBVA</v>
          </cell>
          <cell r="J3161" t="str">
            <v>001108730200068480</v>
          </cell>
          <cell r="K3161" t="str">
            <v>DNI</v>
          </cell>
          <cell r="L3161">
            <v>10479207301</v>
          </cell>
          <cell r="M3161" t="str">
            <v>URBANO PARTNER</v>
          </cell>
          <cell r="N3161">
            <v>46003</v>
          </cell>
          <cell r="O3161">
            <v>0</v>
          </cell>
          <cell r="P3161" t="str">
            <v>COMFORT XL</v>
          </cell>
        </row>
        <row r="3162">
          <cell r="A3162">
            <v>4079</v>
          </cell>
          <cell r="B3162">
            <v>4079</v>
          </cell>
          <cell r="C3162" t="str">
            <v>CERO MATRICULA</v>
          </cell>
          <cell r="D3162" t="str">
            <v>ACTIVO</v>
          </cell>
          <cell r="E3162" t="str">
            <v>BDP371</v>
          </cell>
          <cell r="F3162" t="str">
            <v>Quiquia Machacuay Luís Antonio</v>
          </cell>
          <cell r="G3162" t="str">
            <v>Quiquia Machacuay Luís Antonio</v>
          </cell>
          <cell r="H3162" t="str">
            <v>72754314</v>
          </cell>
          <cell r="I3162" t="str">
            <v>BCP</v>
          </cell>
          <cell r="J3162" t="str">
            <v>19198713202003</v>
          </cell>
          <cell r="K3162" t="str">
            <v>DNI</v>
          </cell>
          <cell r="L3162">
            <v>10727543142</v>
          </cell>
          <cell r="M3162" t="str">
            <v>URBANO PARTNER</v>
          </cell>
          <cell r="N3162">
            <v>46003</v>
          </cell>
          <cell r="O3162">
            <v>0</v>
          </cell>
          <cell r="P3162" t="str">
            <v>COMFORT</v>
          </cell>
        </row>
        <row r="3163">
          <cell r="A3163">
            <v>4080</v>
          </cell>
          <cell r="B3163">
            <v>4080</v>
          </cell>
          <cell r="C3163" t="str">
            <v>CERO MATRICULA</v>
          </cell>
          <cell r="D3163" t="str">
            <v>ACTIVO</v>
          </cell>
          <cell r="E3163" t="str">
            <v>CUL575</v>
          </cell>
          <cell r="F3163" t="str">
            <v>Olivera Rodriguez Alejandro Dennis</v>
          </cell>
          <cell r="G3163" t="str">
            <v>Olivera Rodriguez Alejandro Dennis</v>
          </cell>
          <cell r="H3163" t="str">
            <v>41288394</v>
          </cell>
          <cell r="I3163" t="str">
            <v>BCP</v>
          </cell>
          <cell r="J3163" t="str">
            <v>19100725449075</v>
          </cell>
          <cell r="K3163" t="str">
            <v>DNI</v>
          </cell>
          <cell r="L3163">
            <v>10412883948</v>
          </cell>
          <cell r="M3163" t="str">
            <v>URBANO PARTNER</v>
          </cell>
          <cell r="N3163">
            <v>46003</v>
          </cell>
          <cell r="O3163">
            <v>0</v>
          </cell>
          <cell r="P3163" t="str">
            <v>LITE</v>
          </cell>
        </row>
        <row r="3164">
          <cell r="A3164">
            <v>4081</v>
          </cell>
          <cell r="B3164">
            <v>4081</v>
          </cell>
          <cell r="C3164" t="str">
            <v>CERO MATRICULA</v>
          </cell>
          <cell r="D3164" t="str">
            <v>ACTIVO</v>
          </cell>
          <cell r="E3164" t="str">
            <v>BLK000</v>
          </cell>
          <cell r="F3164" t="str">
            <v>Nuñez Alarcon Emerita</v>
          </cell>
          <cell r="G3164" t="str">
            <v>Nuñez Alarcon Emerita</v>
          </cell>
          <cell r="H3164" t="str">
            <v>44642648</v>
          </cell>
          <cell r="I3164" t="str">
            <v>BBVA</v>
          </cell>
          <cell r="J3164" t="str">
            <v>001101220200733359</v>
          </cell>
          <cell r="K3164" t="str">
            <v>DNI</v>
          </cell>
          <cell r="L3164">
            <v>10446426481</v>
          </cell>
          <cell r="M3164" t="str">
            <v>URBANO PARTNER</v>
          </cell>
          <cell r="N3164">
            <v>46003</v>
          </cell>
          <cell r="O3164">
            <v>0</v>
          </cell>
          <cell r="P3164" t="str">
            <v>COMFORT</v>
          </cell>
        </row>
        <row r="3165">
          <cell r="A3165">
            <v>4082</v>
          </cell>
          <cell r="B3165">
            <v>4082</v>
          </cell>
          <cell r="C3165" t="str">
            <v>CERO MATRICULA</v>
          </cell>
          <cell r="D3165" t="str">
            <v>ACTIVO</v>
          </cell>
          <cell r="E3165" t="str">
            <v>CSP105</v>
          </cell>
          <cell r="F3165" t="str">
            <v xml:space="preserve">Sanchez Zamora Juan Diego </v>
          </cell>
          <cell r="G3165" t="str">
            <v xml:space="preserve">Sanchez Zamora Juan Diego </v>
          </cell>
          <cell r="H3165" t="str">
            <v>47138582</v>
          </cell>
          <cell r="I3165" t="str">
            <v>BCP</v>
          </cell>
          <cell r="J3165" t="str">
            <v>5153621003007</v>
          </cell>
          <cell r="K3165" t="str">
            <v>DNI</v>
          </cell>
          <cell r="L3165">
            <v>10471385820</v>
          </cell>
          <cell r="M3165" t="str">
            <v>URBANO PARTNER</v>
          </cell>
          <cell r="N3165">
            <v>46003</v>
          </cell>
          <cell r="O3165">
            <v>0</v>
          </cell>
          <cell r="P3165" t="str">
            <v>LITE</v>
          </cell>
        </row>
        <row r="3166">
          <cell r="A3166">
            <v>4067</v>
          </cell>
          <cell r="B3166">
            <v>4067</v>
          </cell>
          <cell r="C3166" t="str">
            <v>CERO MATRICULA</v>
          </cell>
          <cell r="D3166" t="str">
            <v>ACTIVO</v>
          </cell>
          <cell r="E3166" t="str">
            <v>CST559</v>
          </cell>
          <cell r="F3166" t="str">
            <v>Avendaño Albites Jhon Agustin</v>
          </cell>
          <cell r="G3166" t="str">
            <v>JHON AGUSTIN AVENDAÑO ALBITES</v>
          </cell>
          <cell r="H3166" t="str">
            <v>44923120</v>
          </cell>
          <cell r="I3166" t="str">
            <v>INTERBANK</v>
          </cell>
          <cell r="J3166" t="str">
            <v>0563128766387</v>
          </cell>
          <cell r="K3166" t="str">
            <v>DNI</v>
          </cell>
          <cell r="L3166">
            <v>10449231207</v>
          </cell>
          <cell r="M3166" t="str">
            <v>MEMBRESÍA NOCTURNA - APTO</v>
          </cell>
          <cell r="N3166">
            <v>45995</v>
          </cell>
          <cell r="O3166">
            <v>315</v>
          </cell>
          <cell r="P3166" t="str">
            <v>LITE</v>
          </cell>
        </row>
        <row r="3167">
          <cell r="A3167">
            <v>4085</v>
          </cell>
          <cell r="B3167">
            <v>4085</v>
          </cell>
          <cell r="C3167" t="str">
            <v>CERO MATRICULA</v>
          </cell>
          <cell r="D3167" t="str">
            <v>ACTIVO</v>
          </cell>
          <cell r="E3167" t="str">
            <v>CRS243</v>
          </cell>
          <cell r="F3167" t="str">
            <v>Medrano  Vargas  Juan Carlos Luis</v>
          </cell>
          <cell r="G3167" t="str">
            <v>Medrano Vargas  Juan Carlos Luis</v>
          </cell>
          <cell r="H3167" t="str">
            <v>48449652</v>
          </cell>
          <cell r="I3167" t="str">
            <v>BCP</v>
          </cell>
          <cell r="J3167" t="str">
            <v>19100899460043</v>
          </cell>
          <cell r="K3167" t="str">
            <v>DNI</v>
          </cell>
          <cell r="L3167">
            <v>10484496523</v>
          </cell>
          <cell r="M3167" t="str">
            <v>URBANO PARTNER</v>
          </cell>
          <cell r="N3167">
            <v>46007</v>
          </cell>
          <cell r="O3167">
            <v>0</v>
          </cell>
          <cell r="P3167" t="str">
            <v>XL</v>
          </cell>
        </row>
        <row r="3168">
          <cell r="A3168">
            <v>4086</v>
          </cell>
          <cell r="B3168">
            <v>4086</v>
          </cell>
          <cell r="C3168" t="str">
            <v>CERO MATRICULA</v>
          </cell>
          <cell r="D3168" t="str">
            <v>ACTIVO</v>
          </cell>
          <cell r="E3168" t="str">
            <v>CJW364</v>
          </cell>
          <cell r="F3168" t="str">
            <v>Castillo Cordova Wuilman Alfonso</v>
          </cell>
          <cell r="G3168" t="str">
            <v>Castillo Cordova Wuilman Alfonso</v>
          </cell>
          <cell r="H3168" t="str">
            <v>10074570</v>
          </cell>
          <cell r="I3168" t="str">
            <v>BCP</v>
          </cell>
          <cell r="J3168" t="str">
            <v>19498624702009</v>
          </cell>
          <cell r="K3168" t="str">
            <v>DNI</v>
          </cell>
          <cell r="L3168">
            <v>10100745700</v>
          </cell>
          <cell r="M3168" t="str">
            <v>AEROLINEAS</v>
          </cell>
          <cell r="N3168">
            <v>46007</v>
          </cell>
          <cell r="O3168">
            <v>0</v>
          </cell>
          <cell r="P3168" t="str">
            <v>COMFORT XL</v>
          </cell>
        </row>
        <row r="3169">
          <cell r="A3169">
            <v>9528</v>
          </cell>
          <cell r="B3169">
            <v>9528</v>
          </cell>
          <cell r="C3169" t="str">
            <v>CERO MATRICULA</v>
          </cell>
          <cell r="D3169" t="str">
            <v>ACTIVO</v>
          </cell>
          <cell r="E3169" t="str">
            <v>CJQ207</v>
          </cell>
          <cell r="F3169" t="str">
            <v>Marchan Cruz Julio César</v>
          </cell>
          <cell r="G3169" t="str">
            <v xml:space="preserve"> </v>
          </cell>
          <cell r="H3169"/>
          <cell r="I3169"/>
          <cell r="J3169"/>
          <cell r="K3169"/>
          <cell r="L3169"/>
          <cell r="M3169" t="str">
            <v>URBANO PARTNER</v>
          </cell>
          <cell r="N3169">
            <v>46007</v>
          </cell>
          <cell r="O3169">
            <v>0</v>
          </cell>
          <cell r="P3169" t="str">
            <v>COMFORT XL</v>
          </cell>
        </row>
        <row r="3170">
          <cell r="A3170">
            <v>4090</v>
          </cell>
          <cell r="B3170">
            <v>4090</v>
          </cell>
          <cell r="C3170" t="str">
            <v>CERO MATRICULA</v>
          </cell>
          <cell r="D3170" t="str">
            <v>ACTIVO</v>
          </cell>
          <cell r="E3170" t="str">
            <v>BRV661</v>
          </cell>
          <cell r="F3170" t="str">
            <v>Naveda Granje Jovani Humberto</v>
          </cell>
          <cell r="G3170" t="str">
            <v>Naveda Granje Jovani Humberto</v>
          </cell>
          <cell r="H3170" t="str">
            <v>004602030</v>
          </cell>
          <cell r="I3170" t="str">
            <v>BCP</v>
          </cell>
          <cell r="J3170" t="str">
            <v>19492403923094</v>
          </cell>
          <cell r="K3170" t="str">
            <v>CE</v>
          </cell>
          <cell r="L3170">
            <v>15615163225</v>
          </cell>
          <cell r="M3170" t="str">
            <v>URBANO PARTNER</v>
          </cell>
          <cell r="N3170">
            <v>46007</v>
          </cell>
          <cell r="O3170">
            <v>0</v>
          </cell>
          <cell r="P3170" t="str">
            <v>LITE</v>
          </cell>
        </row>
        <row r="3171">
          <cell r="A3171">
            <v>4091</v>
          </cell>
          <cell r="B3171">
            <v>4091</v>
          </cell>
          <cell r="C3171" t="str">
            <v>CERO MATRICULA</v>
          </cell>
          <cell r="D3171" t="str">
            <v>ACTIVO</v>
          </cell>
          <cell r="E3171" t="str">
            <v>CUK670</v>
          </cell>
          <cell r="F3171" t="str">
            <v>Figueroa Castro Carlos Alberto</v>
          </cell>
          <cell r="G3171" t="str">
            <v>Figueroa Castro Carlos Alberto</v>
          </cell>
          <cell r="H3171" t="str">
            <v>07511123</v>
          </cell>
          <cell r="I3171" t="str">
            <v>BCP</v>
          </cell>
          <cell r="J3171" t="str">
            <v>19178909047005</v>
          </cell>
          <cell r="K3171" t="str">
            <v>DNI</v>
          </cell>
          <cell r="L3171">
            <v>10075111237</v>
          </cell>
          <cell r="M3171" t="str">
            <v>URBANO PARTNER</v>
          </cell>
          <cell r="N3171">
            <v>46007</v>
          </cell>
          <cell r="O3171">
            <v>0</v>
          </cell>
          <cell r="P3171" t="str">
            <v>XL</v>
          </cell>
        </row>
        <row r="3172">
          <cell r="A3172">
            <v>4093</v>
          </cell>
          <cell r="B3172">
            <v>4093</v>
          </cell>
          <cell r="C3172" t="str">
            <v>CERO MATRICULA</v>
          </cell>
          <cell r="D3172" t="str">
            <v>ACTIVO</v>
          </cell>
          <cell r="E3172" t="str">
            <v>CFN241</v>
          </cell>
          <cell r="F3172" t="str">
            <v>Yegres Ordoñez Alayn Alfredo</v>
          </cell>
          <cell r="G3172" t="str">
            <v>Yegres Ordoñez Alayn Alfredo</v>
          </cell>
          <cell r="H3172" t="str">
            <v>006661808</v>
          </cell>
          <cell r="I3172" t="str">
            <v>BCP</v>
          </cell>
          <cell r="J3172" t="str">
            <v>19195387759069</v>
          </cell>
          <cell r="K3172" t="str">
            <v>CE</v>
          </cell>
          <cell r="L3172">
            <v>15615076802</v>
          </cell>
          <cell r="M3172" t="str">
            <v>URBANO PARTNER</v>
          </cell>
          <cell r="N3172">
            <v>46007</v>
          </cell>
          <cell r="O3172">
            <v>0</v>
          </cell>
          <cell r="P3172" t="str">
            <v>LITE</v>
          </cell>
        </row>
        <row r="3173">
          <cell r="A3173">
            <v>4094</v>
          </cell>
          <cell r="B3173">
            <v>4094</v>
          </cell>
          <cell r="C3173" t="str">
            <v>CERO MATRICULA</v>
          </cell>
          <cell r="D3173" t="str">
            <v>ACTIVO</v>
          </cell>
          <cell r="E3173" t="str">
            <v>BXR240</v>
          </cell>
          <cell r="F3173" t="str">
            <v>Luyo Conopuma Brener Juan</v>
          </cell>
          <cell r="G3173" t="str">
            <v>Luyo Conopuma Brener Juan</v>
          </cell>
          <cell r="H3173" t="str">
            <v>46177435</v>
          </cell>
          <cell r="I3173" t="str">
            <v>BCP</v>
          </cell>
          <cell r="J3173" t="str">
            <v>19312961851077</v>
          </cell>
          <cell r="K3173" t="str">
            <v>DNI</v>
          </cell>
          <cell r="L3173">
            <v>20614880903</v>
          </cell>
          <cell r="M3173" t="str">
            <v>AEROPUERTO VAN</v>
          </cell>
          <cell r="N3173">
            <v>46009</v>
          </cell>
          <cell r="O3173">
            <v>240</v>
          </cell>
          <cell r="P3173" t="str">
            <v>VAN</v>
          </cell>
        </row>
        <row r="3174">
          <cell r="A3174">
            <v>4095</v>
          </cell>
          <cell r="B3174">
            <v>4095</v>
          </cell>
          <cell r="C3174" t="str">
            <v>CERO MATRICULA</v>
          </cell>
          <cell r="D3174" t="str">
            <v>ACTIVO</v>
          </cell>
          <cell r="E3174" t="str">
            <v>CJL360</v>
          </cell>
          <cell r="F3174" t="str">
            <v xml:space="preserve"> Parra Calderin Bladimir José</v>
          </cell>
          <cell r="G3174" t="str">
            <v>Parra Calderin Bladimir José</v>
          </cell>
          <cell r="H3174" t="str">
            <v>002461274</v>
          </cell>
          <cell r="I3174" t="str">
            <v>BCP</v>
          </cell>
          <cell r="J3174" t="str">
            <v>19296568946087</v>
          </cell>
          <cell r="K3174" t="str">
            <v>CE</v>
          </cell>
          <cell r="L3174">
            <v>15603430317</v>
          </cell>
          <cell r="M3174" t="str">
            <v>MEMBRESÍA NOCTURNA - APTO</v>
          </cell>
          <cell r="N3174">
            <v>46009</v>
          </cell>
          <cell r="O3174">
            <v>315</v>
          </cell>
          <cell r="P3174" t="str">
            <v>LITE</v>
          </cell>
        </row>
        <row r="3175">
          <cell r="A3175">
            <v>4096</v>
          </cell>
          <cell r="B3175">
            <v>4096</v>
          </cell>
          <cell r="C3175" t="str">
            <v>CERO MATRICULA</v>
          </cell>
          <cell r="D3175" t="str">
            <v>ACTIVO</v>
          </cell>
          <cell r="E3175" t="str">
            <v>CVP020</v>
          </cell>
          <cell r="F3175" t="str">
            <v>Urbano Urbano Rodolfo José</v>
          </cell>
          <cell r="G3175" t="str">
            <v>Quiñones Mora Massiel shinar</v>
          </cell>
          <cell r="H3175" t="str">
            <v>49042179</v>
          </cell>
          <cell r="I3175" t="str">
            <v>BCP</v>
          </cell>
          <cell r="J3175" t="str">
            <v>19107478599038</v>
          </cell>
          <cell r="K3175" t="str">
            <v>DNI</v>
          </cell>
          <cell r="L3175">
            <v>10490421799</v>
          </cell>
          <cell r="M3175" t="str">
            <v>MEMBRESÍA NOCTURNA - APTO</v>
          </cell>
          <cell r="N3175">
            <v>46009</v>
          </cell>
          <cell r="O3175">
            <v>285</v>
          </cell>
          <cell r="P3175" t="str">
            <v>COMFORT XL</v>
          </cell>
        </row>
        <row r="3176">
          <cell r="A3176">
            <v>4089</v>
          </cell>
          <cell r="B3176">
            <v>4089</v>
          </cell>
          <cell r="C3176" t="str">
            <v>CERO MATRICULA</v>
          </cell>
          <cell r="D3176" t="str">
            <v>ACTIVO</v>
          </cell>
          <cell r="E3176" t="str">
            <v>CTF437</v>
          </cell>
          <cell r="F3176" t="str">
            <v>Rojas Bastidas Franklin Alfonso</v>
          </cell>
          <cell r="G3176" t="str">
            <v>Rojas Bastidas Franklin Alfonso</v>
          </cell>
          <cell r="H3176" t="str">
            <v>003782607</v>
          </cell>
          <cell r="I3176" t="str">
            <v>BBVA</v>
          </cell>
          <cell r="J3176" t="str">
            <v>001106590200167973</v>
          </cell>
          <cell r="K3176" t="str">
            <v>CE</v>
          </cell>
          <cell r="L3176">
            <v>15605022445</v>
          </cell>
          <cell r="M3176" t="str">
            <v>MEMBRESÍA NOCTURNA - APTO</v>
          </cell>
          <cell r="N3176">
            <v>46009</v>
          </cell>
          <cell r="O3176">
            <v>315</v>
          </cell>
          <cell r="P3176" t="str">
            <v>LITE</v>
          </cell>
        </row>
        <row r="3177">
          <cell r="A3177">
            <v>9805</v>
          </cell>
          <cell r="B3177">
            <v>9805</v>
          </cell>
          <cell r="C3177" t="str">
            <v>CERO MATRICULA</v>
          </cell>
          <cell r="D3177" t="str">
            <v>ACTIVO</v>
          </cell>
          <cell r="E3177" t="str">
            <v>CLZ065</v>
          </cell>
          <cell r="F3177" t="str">
            <v>Rincones Landaeta Jhonatan José</v>
          </cell>
          <cell r="G3177" t="str">
            <v>Rincones Landaeta Jhonatan José</v>
          </cell>
          <cell r="H3177" t="str">
            <v>003915700</v>
          </cell>
          <cell r="I3177" t="str">
            <v>BBVA</v>
          </cell>
          <cell r="J3177" t="str">
            <v>0011-0467-0200255879</v>
          </cell>
          <cell r="K3177" t="str">
            <v>CARNET DE EXTRANJERÍA</v>
          </cell>
          <cell r="L3177">
            <v>15604444109</v>
          </cell>
          <cell r="M3177" t="str">
            <v>AEROLINEAS</v>
          </cell>
          <cell r="N3177">
            <v>46014</v>
          </cell>
          <cell r="O3177">
            <v>0</v>
          </cell>
          <cell r="P3177" t="str">
            <v>LITE</v>
          </cell>
        </row>
        <row r="3178">
          <cell r="A3178">
            <v>4105</v>
          </cell>
          <cell r="B3178">
            <v>4105</v>
          </cell>
          <cell r="C3178" t="str">
            <v>CERO MATRICULA</v>
          </cell>
          <cell r="D3178" t="str">
            <v>ACTIVO</v>
          </cell>
          <cell r="E3178" t="str">
            <v>CVT129</v>
          </cell>
          <cell r="F3178" t="str">
            <v>Estupiñan Garcia Irene Ruth</v>
          </cell>
          <cell r="G3178" t="str">
            <v>Estupiñan Garcia Irene ruth</v>
          </cell>
          <cell r="H3178" t="str">
            <v>09537347</v>
          </cell>
          <cell r="I3178" t="str">
            <v>BCP</v>
          </cell>
          <cell r="J3178" t="str">
            <v>19419509872039</v>
          </cell>
          <cell r="K3178" t="str">
            <v>DNI</v>
          </cell>
          <cell r="L3178">
            <v>10095373475</v>
          </cell>
          <cell r="M3178" t="str">
            <v>URBANO PARTNER</v>
          </cell>
          <cell r="N3178">
            <v>46014</v>
          </cell>
          <cell r="O3178">
            <v>0</v>
          </cell>
          <cell r="P3178" t="str">
            <v>COMFORT XL</v>
          </cell>
        </row>
        <row r="3179">
          <cell r="A3179">
            <v>4106</v>
          </cell>
          <cell r="B3179">
            <v>4106</v>
          </cell>
          <cell r="C3179" t="str">
            <v>CERO MATRICULA</v>
          </cell>
          <cell r="D3179" t="str">
            <v>ACTIVO</v>
          </cell>
          <cell r="E3179" t="str">
            <v>BBK614</v>
          </cell>
          <cell r="F3179" t="str">
            <v>Suarez Huamani Ruth Monic</v>
          </cell>
          <cell r="G3179" t="str">
            <v>Suarez Huamani Ruth Monic</v>
          </cell>
          <cell r="H3179" t="str">
            <v>44023037</v>
          </cell>
          <cell r="I3179" t="str">
            <v>INTERBANK</v>
          </cell>
          <cell r="J3179" t="str">
            <v>8983476185973</v>
          </cell>
          <cell r="K3179" t="str">
            <v>DNI</v>
          </cell>
          <cell r="L3179">
            <v>10440230372</v>
          </cell>
          <cell r="M3179" t="str">
            <v>AEROLINEAS</v>
          </cell>
          <cell r="N3179">
            <v>46014</v>
          </cell>
          <cell r="O3179">
            <v>0</v>
          </cell>
          <cell r="P3179" t="str">
            <v>COMFORT</v>
          </cell>
        </row>
        <row r="3180">
          <cell r="A3180">
            <v>4112</v>
          </cell>
          <cell r="B3180">
            <v>4112</v>
          </cell>
          <cell r="C3180" t="str">
            <v>CERO MATRICULA</v>
          </cell>
          <cell r="D3180" t="str">
            <v>ACTIVO</v>
          </cell>
          <cell r="E3180" t="str">
            <v>CSH531</v>
          </cell>
          <cell r="F3180" t="str">
            <v>Mora Mora Joaquín Alexis</v>
          </cell>
          <cell r="G3180" t="str">
            <v>Mora Mora Joaquín Alexis</v>
          </cell>
          <cell r="H3180" t="str">
            <v>002829771</v>
          </cell>
          <cell r="I3180" t="str">
            <v>INTERBANK</v>
          </cell>
          <cell r="J3180" t="str">
            <v>3303136199550</v>
          </cell>
          <cell r="K3180" t="str">
            <v>CARNET DE EXTRANJERÍA</v>
          </cell>
          <cell r="L3180">
            <v>15605783624</v>
          </cell>
          <cell r="M3180" t="str">
            <v>MEMBRESÍA NOCTURNA - APTO</v>
          </cell>
          <cell r="N3180">
            <v>46014</v>
          </cell>
          <cell r="O3180">
            <v>285</v>
          </cell>
          <cell r="P3180" t="str">
            <v>COMFORT XL</v>
          </cell>
        </row>
        <row r="3181">
          <cell r="A3181">
            <v>4099</v>
          </cell>
          <cell r="B3181">
            <v>4099</v>
          </cell>
          <cell r="C3181" t="str">
            <v>CERO MATRICULA</v>
          </cell>
          <cell r="D3181" t="str">
            <v>ACTIVO</v>
          </cell>
          <cell r="E3181" t="str">
            <v>CPJ035</v>
          </cell>
          <cell r="F3181" t="str">
            <v>De la Cruz López Pool Junior</v>
          </cell>
          <cell r="G3181" t="str">
            <v>De la Cruz López Pool Junior</v>
          </cell>
          <cell r="H3181" t="str">
            <v>46840717</v>
          </cell>
          <cell r="I3181" t="str">
            <v>BCP</v>
          </cell>
          <cell r="J3181" t="str">
            <v>19375646845052</v>
          </cell>
          <cell r="K3181" t="str">
            <v>DNI</v>
          </cell>
          <cell r="L3181">
            <v>10468407171</v>
          </cell>
          <cell r="M3181" t="str">
            <v>MEMBRESÍA NOCTURNA - APTO</v>
          </cell>
          <cell r="N3181">
            <v>46009</v>
          </cell>
          <cell r="O3181">
            <v>265</v>
          </cell>
          <cell r="P3181" t="str">
            <v>LITE</v>
          </cell>
        </row>
        <row r="3182">
          <cell r="A3182">
            <v>4100</v>
          </cell>
          <cell r="B3182">
            <v>4100</v>
          </cell>
          <cell r="C3182" t="str">
            <v>CERO MATRICULA</v>
          </cell>
          <cell r="D3182" t="str">
            <v>ACTIVO</v>
          </cell>
          <cell r="E3182" t="str">
            <v>BSC096</v>
          </cell>
          <cell r="F3182" t="str">
            <v>Rodríguez Escorihuela Darwin</v>
          </cell>
          <cell r="G3182" t="str">
            <v>Rodriguez Escorihuela Darwin</v>
          </cell>
          <cell r="H3182" t="str">
            <v>003611735</v>
          </cell>
          <cell r="I3182" t="str">
            <v>BCP</v>
          </cell>
          <cell r="J3182" t="str">
            <v>19470393502046</v>
          </cell>
          <cell r="K3182" t="str">
            <v>CE</v>
          </cell>
          <cell r="L3182">
            <v>15606744533</v>
          </cell>
          <cell r="M3182" t="str">
            <v>MEMBRESÍA DIURNA</v>
          </cell>
          <cell r="N3182">
            <v>46009</v>
          </cell>
          <cell r="O3182">
            <v>315</v>
          </cell>
          <cell r="P3182" t="str">
            <v>LITE</v>
          </cell>
        </row>
        <row r="3183">
          <cell r="A3183">
            <v>4102</v>
          </cell>
          <cell r="B3183">
            <v>4102</v>
          </cell>
          <cell r="C3183" t="str">
            <v>CERO MATRICULA</v>
          </cell>
          <cell r="D3183" t="str">
            <v>ACTIVO</v>
          </cell>
          <cell r="E3183" t="str">
            <v>CVQ040</v>
          </cell>
          <cell r="F3183" t="str">
            <v xml:space="preserve">Vargas Vicuña Miguel Efrain </v>
          </cell>
          <cell r="G3183" t="str">
            <v xml:space="preserve">Vargas Vicuña Miguel Efrain </v>
          </cell>
          <cell r="H3183" t="str">
            <v>70450947</v>
          </cell>
          <cell r="I3183" t="str">
            <v>INTERBANK</v>
          </cell>
          <cell r="J3183" t="str">
            <v>3763123083980</v>
          </cell>
          <cell r="K3183" t="str">
            <v>DNI</v>
          </cell>
          <cell r="L3183">
            <v>10704509478</v>
          </cell>
          <cell r="M3183" t="str">
            <v>URBANO PARTNER</v>
          </cell>
          <cell r="N3183">
            <v>46009</v>
          </cell>
          <cell r="O3183">
            <v>0</v>
          </cell>
          <cell r="P3183" t="str">
            <v>LITE</v>
          </cell>
        </row>
        <row r="3184">
          <cell r="A3184">
            <v>42</v>
          </cell>
          <cell r="B3184">
            <v>42</v>
          </cell>
          <cell r="C3184" t="str">
            <v>CERO MATRICULA</v>
          </cell>
          <cell r="D3184" t="str">
            <v>ACTIVO</v>
          </cell>
          <cell r="E3184" t="str">
            <v>MOVIL CONTINGENCIA</v>
          </cell>
          <cell r="F3184" t="str">
            <v>MOVIL CONTINGENCIA</v>
          </cell>
          <cell r="G3184" t="str">
            <v>MOVIL CONTINGENCIA</v>
          </cell>
          <cell r="H3184" t="str">
            <v>MOVIL CONTINGENCIA</v>
          </cell>
          <cell r="I3184" t="str">
            <v>MOVIL CONTINGENCIA</v>
          </cell>
          <cell r="J3184" t="str">
            <v>MOVIL CONTINGENCIA</v>
          </cell>
          <cell r="K3184" t="str">
            <v>MOVIL CONTINGENCIA</v>
          </cell>
          <cell r="L3184" t="str">
            <v>MOVIL CONTINGENCIA</v>
          </cell>
          <cell r="M3184" t="str">
            <v>MOVIL CONTINGENCIA</v>
          </cell>
          <cell r="N3184">
            <v>46020</v>
          </cell>
          <cell r="O3184">
            <v>0</v>
          </cell>
          <cell r="P3184" t="str">
            <v>LITE</v>
          </cell>
        </row>
        <row r="3185">
          <cell r="A3185">
            <v>22</v>
          </cell>
          <cell r="B3185">
            <v>22</v>
          </cell>
          <cell r="C3185" t="str">
            <v>CERO MATRICULA</v>
          </cell>
          <cell r="D3185" t="str">
            <v>ACTIVO</v>
          </cell>
          <cell r="E3185" t="str">
            <v>MOVIL CONTINGENCIA</v>
          </cell>
          <cell r="F3185" t="str">
            <v>MOVIL CONTINGENCIA</v>
          </cell>
          <cell r="G3185" t="str">
            <v>MOVIL CONTINGENCIA</v>
          </cell>
          <cell r="H3185" t="str">
            <v>MOVIL CONTINGENCIA</v>
          </cell>
          <cell r="I3185" t="str">
            <v>MOVIL CONTINGENCIA</v>
          </cell>
          <cell r="J3185" t="str">
            <v>MOVIL CONTINGENCIA</v>
          </cell>
          <cell r="K3185" t="str">
            <v>MOVIL CONTINGENCIA</v>
          </cell>
          <cell r="L3185" t="str">
            <v>MOVIL CONTINGENCIA</v>
          </cell>
          <cell r="M3185" t="str">
            <v>MOVIL CONTINGENCIA</v>
          </cell>
          <cell r="N3185">
            <v>46020</v>
          </cell>
          <cell r="O3185">
            <v>0</v>
          </cell>
          <cell r="P3185" t="str">
            <v>LITE</v>
          </cell>
        </row>
        <row r="3186">
          <cell r="A3186">
            <v>4113</v>
          </cell>
          <cell r="B3186">
            <v>4113</v>
          </cell>
          <cell r="C3186" t="str">
            <v>CERO MATRICULA</v>
          </cell>
          <cell r="D3186" t="str">
            <v>ACTIVO</v>
          </cell>
          <cell r="E3186" t="str">
            <v>CVN091</v>
          </cell>
          <cell r="F3186" t="str">
            <v>López Sánchez Wilmer</v>
          </cell>
          <cell r="G3186" t="str">
            <v>Lopez Sánchez Wilmer</v>
          </cell>
          <cell r="H3186" t="str">
            <v>40338981</v>
          </cell>
          <cell r="I3186" t="str">
            <v>BCP</v>
          </cell>
          <cell r="J3186" t="str">
            <v>19297216947034</v>
          </cell>
          <cell r="K3186" t="str">
            <v>DNI</v>
          </cell>
          <cell r="L3186">
            <v>10403389817</v>
          </cell>
          <cell r="M3186" t="str">
            <v>AEROLINEAS</v>
          </cell>
          <cell r="N3186">
            <v>46028</v>
          </cell>
          <cell r="O3186">
            <v>0</v>
          </cell>
          <cell r="P3186" t="str">
            <v>XL</v>
          </cell>
        </row>
        <row r="3187">
          <cell r="A3187">
            <v>4109</v>
          </cell>
          <cell r="B3187">
            <v>4109</v>
          </cell>
          <cell r="C3187" t="str">
            <v>CERO MATRICULA</v>
          </cell>
          <cell r="D3187" t="str">
            <v>ACTIVO</v>
          </cell>
          <cell r="E3187" t="str">
            <v>BXN034</v>
          </cell>
          <cell r="F3187" t="str">
            <v>Paipay Quintanilla Dilan Samir</v>
          </cell>
          <cell r="G3187" t="str">
            <v>Paipay Quintanilla Dilan Samir</v>
          </cell>
          <cell r="H3187" t="str">
            <v>71093887</v>
          </cell>
          <cell r="I3187" t="str">
            <v>INTERBANK</v>
          </cell>
          <cell r="J3187" t="str">
            <v>8213332720731</v>
          </cell>
          <cell r="K3187" t="str">
            <v>DNI</v>
          </cell>
          <cell r="L3187">
            <v>20605304835</v>
          </cell>
          <cell r="M3187" t="str">
            <v>AEROLINEAS</v>
          </cell>
          <cell r="N3187">
            <v>46028</v>
          </cell>
          <cell r="O3187">
            <v>0</v>
          </cell>
          <cell r="P3187" t="str">
            <v>LITE</v>
          </cell>
        </row>
        <row r="3188">
          <cell r="A3188">
            <v>4115</v>
          </cell>
          <cell r="B3188">
            <v>4115</v>
          </cell>
          <cell r="C3188" t="str">
            <v>CERO MATRICULA</v>
          </cell>
          <cell r="D3188" t="str">
            <v>ACTIVO</v>
          </cell>
          <cell r="E3188" t="str">
            <v>CVK-162</v>
          </cell>
          <cell r="F3188" t="str">
            <v>Pajares Bardales Julio Enrique</v>
          </cell>
          <cell r="G3188" t="str">
            <v>Pajares Bardales Julio Enrique</v>
          </cell>
          <cell r="H3188">
            <v>45354971</v>
          </cell>
          <cell r="I3188" t="str">
            <v>BCP</v>
          </cell>
          <cell r="J3188" t="str">
            <v>19196664617025</v>
          </cell>
          <cell r="K3188" t="str">
            <v>DNI</v>
          </cell>
          <cell r="L3188">
            <v>10453549718</v>
          </cell>
          <cell r="M3188" t="str">
            <v>URBANO PARTNER</v>
          </cell>
          <cell r="N3188">
            <v>46028</v>
          </cell>
          <cell r="O3188">
            <v>0</v>
          </cell>
          <cell r="P3188" t="str">
            <v>COMFORT XL</v>
          </cell>
        </row>
        <row r="3189">
          <cell r="A3189">
            <v>4092</v>
          </cell>
          <cell r="B3189">
            <v>4092</v>
          </cell>
          <cell r="C3189" t="str">
            <v>CERO MATRICULA</v>
          </cell>
          <cell r="D3189" t="str">
            <v>ACTIVO</v>
          </cell>
          <cell r="E3189" t="str">
            <v>CNW084</v>
          </cell>
          <cell r="F3189" t="str">
            <v>Olivera Leon Mario Alexander</v>
          </cell>
          <cell r="G3189" t="str">
            <v>Olivera Leon Mario Alexander</v>
          </cell>
          <cell r="H3189" t="str">
            <v>72193098</v>
          </cell>
          <cell r="I3189" t="str">
            <v>BCP</v>
          </cell>
          <cell r="J3189" t="str">
            <v>19111012248082</v>
          </cell>
          <cell r="K3189" t="str">
            <v>DNI</v>
          </cell>
          <cell r="L3189">
            <v>10721930985</v>
          </cell>
          <cell r="M3189" t="str">
            <v>URBANO PARTNER</v>
          </cell>
          <cell r="N3189">
            <v>46028</v>
          </cell>
          <cell r="O3189">
            <v>0</v>
          </cell>
          <cell r="P3189" t="str">
            <v>COMFORT</v>
          </cell>
        </row>
        <row r="3190">
          <cell r="A3190">
            <v>4116</v>
          </cell>
          <cell r="B3190">
            <v>4116</v>
          </cell>
          <cell r="C3190" t="str">
            <v>CERO MATRICULA</v>
          </cell>
          <cell r="D3190" t="str">
            <v>ACTIVO</v>
          </cell>
          <cell r="E3190" t="str">
            <v>Cvm324</v>
          </cell>
          <cell r="F3190" t="str">
            <v>Vasquez Carhuacusma Eduardo</v>
          </cell>
          <cell r="G3190" t="str">
            <v>Vasquez Carhuacusma Eduardo</v>
          </cell>
          <cell r="H3190" t="str">
            <v>77975845</v>
          </cell>
          <cell r="I3190" t="str">
            <v>BCP</v>
          </cell>
          <cell r="J3190" t="str">
            <v>19495593805097</v>
          </cell>
          <cell r="K3190" t="str">
            <v>DNI</v>
          </cell>
          <cell r="L3190">
            <v>10779758457</v>
          </cell>
          <cell r="M3190" t="str">
            <v>URBANO PARTNER</v>
          </cell>
          <cell r="N3190">
            <v>46028</v>
          </cell>
          <cell r="O3190">
            <v>0</v>
          </cell>
          <cell r="P3190" t="str">
            <v>XL</v>
          </cell>
        </row>
        <row r="3191">
          <cell r="A3191">
            <v>4119</v>
          </cell>
          <cell r="B3191">
            <v>4119</v>
          </cell>
          <cell r="C3191" t="str">
            <v>CERO MATRICULA</v>
          </cell>
          <cell r="D3191" t="str">
            <v>ACTIVO</v>
          </cell>
          <cell r="E3191" t="str">
            <v>CVN422</v>
          </cell>
          <cell r="F3191" t="str">
            <v>Castellanos Carrillo Jaime Estiven</v>
          </cell>
          <cell r="G3191" t="str">
            <v>Castellanos Carrillo Jaime Estiven</v>
          </cell>
          <cell r="H3191" t="str">
            <v>000789707</v>
          </cell>
          <cell r="I3191" t="str">
            <v>BCP</v>
          </cell>
          <cell r="J3191" t="str">
            <v>19435065563059</v>
          </cell>
          <cell r="K3191" t="str">
            <v>CARNET DE EXTRANJERÍA</v>
          </cell>
          <cell r="L3191">
            <v>15600454363</v>
          </cell>
          <cell r="M3191" t="str">
            <v>URBANO PARTNER</v>
          </cell>
          <cell r="N3191">
            <v>46028</v>
          </cell>
          <cell r="O3191">
            <v>0</v>
          </cell>
          <cell r="P3191" t="str">
            <v>COMFORT</v>
          </cell>
        </row>
        <row r="3192">
          <cell r="A3192">
            <v>4108</v>
          </cell>
          <cell r="B3192">
            <v>4108</v>
          </cell>
          <cell r="C3192" t="str">
            <v>CERO MATRICULA</v>
          </cell>
          <cell r="D3192" t="str">
            <v>ACTIVO</v>
          </cell>
          <cell r="E3192" t="str">
            <v>BWV-656</v>
          </cell>
          <cell r="F3192" t="str">
            <v>Sanchez Velasque Arturo</v>
          </cell>
          <cell r="G3192" t="str">
            <v>Sanchez Velasque Arturo</v>
          </cell>
          <cell r="H3192" t="str">
            <v>74555647</v>
          </cell>
          <cell r="I3192" t="str">
            <v>INTERBANK</v>
          </cell>
          <cell r="J3192" t="str">
            <v>8983394453686</v>
          </cell>
          <cell r="K3192" t="str">
            <v>DNI</v>
          </cell>
          <cell r="L3192">
            <v>10745556472</v>
          </cell>
          <cell r="M3192" t="str">
            <v>URBANO PARTNER</v>
          </cell>
          <cell r="N3192">
            <v>46028</v>
          </cell>
          <cell r="O3192">
            <v>0</v>
          </cell>
          <cell r="P3192" t="str">
            <v>COMFORT XL</v>
          </cell>
        </row>
        <row r="3193">
          <cell r="A3193">
            <v>4120</v>
          </cell>
          <cell r="B3193">
            <v>4120</v>
          </cell>
          <cell r="C3193" t="str">
            <v>CERO MATRICULA</v>
          </cell>
          <cell r="D3193" t="str">
            <v>ACTIVO</v>
          </cell>
          <cell r="E3193" t="str">
            <v>CVU640</v>
          </cell>
          <cell r="F3193" t="str">
            <v>Cáceres Mendez Chaveli Zulma</v>
          </cell>
          <cell r="G3193" t="str">
            <v>Caceres Mendez Chaveli Zulma</v>
          </cell>
          <cell r="H3193" t="str">
            <v>47006078</v>
          </cell>
          <cell r="I3193" t="str">
            <v>BCP</v>
          </cell>
          <cell r="J3193" t="str">
            <v>19435065563059</v>
          </cell>
          <cell r="K3193" t="str">
            <v>DNI</v>
          </cell>
          <cell r="L3193">
            <v>10470060781</v>
          </cell>
          <cell r="M3193" t="str">
            <v>URBANO PARTNER</v>
          </cell>
          <cell r="N3193">
            <v>46028</v>
          </cell>
          <cell r="O3193">
            <v>0</v>
          </cell>
          <cell r="P3193" t="str">
            <v>XL</v>
          </cell>
        </row>
        <row r="3194">
          <cell r="A3194">
            <v>4121</v>
          </cell>
          <cell r="B3194">
            <v>4121</v>
          </cell>
          <cell r="C3194" t="str">
            <v>CERO MATRICULA</v>
          </cell>
          <cell r="D3194" t="str">
            <v>ACTIVO</v>
          </cell>
          <cell r="E3194" t="str">
            <v>CVS-204</v>
          </cell>
          <cell r="F3194" t="str">
            <v>Ortega Vilchez Neptali Noe</v>
          </cell>
          <cell r="G3194" t="str">
            <v xml:space="preserve">Ortega Vilchez Neptali Noe </v>
          </cell>
          <cell r="H3194" t="str">
            <v>76075980</v>
          </cell>
          <cell r="I3194" t="str">
            <v>BCP</v>
          </cell>
          <cell r="J3194" t="str">
            <v>19113005047010</v>
          </cell>
          <cell r="K3194" t="str">
            <v>DNI</v>
          </cell>
          <cell r="L3194">
            <v>10760759801</v>
          </cell>
          <cell r="M3194" t="str">
            <v>URBANO PARTNER</v>
          </cell>
          <cell r="N3194">
            <v>46028</v>
          </cell>
          <cell r="O3194">
            <v>0</v>
          </cell>
          <cell r="P3194" t="str">
            <v>COMFORT XL</v>
          </cell>
        </row>
        <row r="3195">
          <cell r="A3195">
            <v>4122</v>
          </cell>
          <cell r="B3195">
            <v>4122</v>
          </cell>
          <cell r="C3195" t="str">
            <v>CERO MATRICULA</v>
          </cell>
          <cell r="D3195" t="str">
            <v>ACTIVO</v>
          </cell>
          <cell r="E3195" t="str">
            <v>CVT682</v>
          </cell>
          <cell r="F3195" t="str">
            <v>Soto Paredes Nilson Ademir</v>
          </cell>
          <cell r="G3195" t="str">
            <v>Soto Paredes Nilson Ademir</v>
          </cell>
          <cell r="H3195" t="str">
            <v>74650240</v>
          </cell>
          <cell r="I3195" t="str">
            <v>BCP</v>
          </cell>
          <cell r="J3195" t="str">
            <v>19194523783066</v>
          </cell>
          <cell r="K3195" t="str">
            <v>DNI</v>
          </cell>
          <cell r="L3195">
            <v>10746502406</v>
          </cell>
          <cell r="M3195" t="str">
            <v>URBANO PARTNER</v>
          </cell>
          <cell r="N3195">
            <v>46028</v>
          </cell>
          <cell r="O3195">
            <v>0</v>
          </cell>
          <cell r="P3195" t="str">
            <v>COMFORT XL</v>
          </cell>
        </row>
        <row r="3196">
          <cell r="A3196">
            <v>4111</v>
          </cell>
          <cell r="B3196">
            <v>4111</v>
          </cell>
          <cell r="C3196" t="str">
            <v>CERO MATRICULA</v>
          </cell>
          <cell r="D3196" t="str">
            <v>ACTIVO</v>
          </cell>
          <cell r="E3196" t="str">
            <v>CCA011</v>
          </cell>
          <cell r="F3196" t="str">
            <v>Cariel Arcila Jerson</v>
          </cell>
          <cell r="G3196" t="str">
            <v>Cariel Arcila Jerson</v>
          </cell>
          <cell r="H3196" t="str">
            <v>002705864</v>
          </cell>
          <cell r="I3196" t="str">
            <v>BCP</v>
          </cell>
          <cell r="J3196" t="str">
            <v>19490645326033</v>
          </cell>
          <cell r="K3196" t="str">
            <v>CARNET DE EXTRANJERÍA</v>
          </cell>
          <cell r="L3196">
            <v>15604212780</v>
          </cell>
          <cell r="M3196" t="str">
            <v>MEMBRESÍA NOCTURNA - APTO</v>
          </cell>
          <cell r="N3196">
            <v>46030</v>
          </cell>
          <cell r="O3196">
            <v>315</v>
          </cell>
          <cell r="P3196" t="str">
            <v>LITE</v>
          </cell>
        </row>
        <row r="3197">
          <cell r="A3197">
            <v>4132</v>
          </cell>
          <cell r="B3197">
            <v>4132</v>
          </cell>
          <cell r="C3197" t="str">
            <v>CERO MATRICULA</v>
          </cell>
          <cell r="D3197" t="str">
            <v>ACTIVO</v>
          </cell>
          <cell r="E3197" t="str">
            <v>Cuw 365</v>
          </cell>
          <cell r="F3197" t="str">
            <v>Franco Carrasquero Jesús angel</v>
          </cell>
          <cell r="G3197" t="str">
            <v xml:space="preserve">Margreis Lourdes Parra Jimenez </v>
          </cell>
          <cell r="H3197" t="str">
            <v>009100663</v>
          </cell>
          <cell r="I3197" t="str">
            <v>BCP</v>
          </cell>
          <cell r="J3197" t="str">
            <v>19107472654034</v>
          </cell>
          <cell r="K3197" t="str">
            <v>CARNET DE EXTRANJERÍA</v>
          </cell>
          <cell r="L3197">
            <v>15614771523</v>
          </cell>
          <cell r="M3197" t="str">
            <v>MEMBRESÍA NOCTURNA - APTO</v>
          </cell>
          <cell r="N3197">
            <v>46030</v>
          </cell>
          <cell r="O3197">
            <v>285</v>
          </cell>
          <cell r="P3197" t="str">
            <v>COMFORT XL</v>
          </cell>
        </row>
        <row r="3198">
          <cell r="A3198">
            <v>4097</v>
          </cell>
          <cell r="B3198">
            <v>4097</v>
          </cell>
          <cell r="C3198" t="str">
            <v>CERO MATRICULA</v>
          </cell>
          <cell r="D3198" t="str">
            <v>ACTIVO</v>
          </cell>
          <cell r="E3198" t="str">
            <v>CPP204</v>
          </cell>
          <cell r="F3198" t="str">
            <v>CABALLERO ZAMORA RAUL ENRIQUE</v>
          </cell>
          <cell r="G3198" t="str">
            <v>CABALLERO ZAMORA RAUL ENRIQUE</v>
          </cell>
          <cell r="H3198" t="str">
            <v>08694026</v>
          </cell>
          <cell r="I3198" t="str">
            <v>BCP</v>
          </cell>
          <cell r="J3198" t="str">
            <v>19196573280065</v>
          </cell>
          <cell r="K3198" t="str">
            <v>DNI</v>
          </cell>
          <cell r="L3198">
            <v>10086940260</v>
          </cell>
          <cell r="M3198" t="str">
            <v>MEMBRESÍA NOCTURNA - APTO</v>
          </cell>
          <cell r="N3198">
            <v>46027</v>
          </cell>
          <cell r="O3198">
            <v>315</v>
          </cell>
          <cell r="P3198" t="str">
            <v>LITE</v>
          </cell>
        </row>
        <row r="3199">
          <cell r="A3199">
            <v>4133</v>
          </cell>
          <cell r="B3199">
            <v>4133</v>
          </cell>
          <cell r="C3199" t="str">
            <v>CERO MATRICULA</v>
          </cell>
          <cell r="D3199" t="str">
            <v>ACTIVO</v>
          </cell>
          <cell r="E3199" t="str">
            <v>CUU084</v>
          </cell>
          <cell r="F3199" t="str">
            <v>Alvaro Navarro Teodosia joaquina</v>
          </cell>
          <cell r="G3199" t="str">
            <v>Alvaro Navarro Teodosia joaquina</v>
          </cell>
          <cell r="H3199" t="str">
            <v>09904981</v>
          </cell>
          <cell r="I3199" t="str">
            <v>BCP</v>
          </cell>
          <cell r="J3199" t="str">
            <v>19196198925029</v>
          </cell>
          <cell r="K3199" t="str">
            <v>DNI</v>
          </cell>
          <cell r="L3199">
            <v>10099049818</v>
          </cell>
          <cell r="M3199" t="str">
            <v>URBANO PARTNER</v>
          </cell>
          <cell r="N3199">
            <v>46035</v>
          </cell>
          <cell r="O3199">
            <v>0</v>
          </cell>
          <cell r="P3199" t="str">
            <v>COMFORT XL</v>
          </cell>
        </row>
        <row r="3200">
          <cell r="A3200">
            <v>4134</v>
          </cell>
          <cell r="B3200">
            <v>4134</v>
          </cell>
          <cell r="C3200" t="str">
            <v>CERO MATRICULA</v>
          </cell>
          <cell r="D3200" t="str">
            <v>ACTIVO</v>
          </cell>
          <cell r="E3200" t="str">
            <v>CVX498</v>
          </cell>
          <cell r="F3200" t="str">
            <v>Salcedo Balarezo Juan Omar</v>
          </cell>
          <cell r="G3200" t="str">
            <v>Salcedo Balarezo Juan Omar</v>
          </cell>
          <cell r="H3200" t="str">
            <v>41225582</v>
          </cell>
          <cell r="I3200" t="str">
            <v>BCP</v>
          </cell>
          <cell r="J3200" t="str">
            <v>19197366510008</v>
          </cell>
          <cell r="K3200" t="str">
            <v>DNI</v>
          </cell>
          <cell r="L3200">
            <v>10412255823</v>
          </cell>
          <cell r="M3200" t="str">
            <v>AEROLINEAS</v>
          </cell>
          <cell r="N3200">
            <v>46035</v>
          </cell>
          <cell r="O3200">
            <v>0</v>
          </cell>
          <cell r="P3200" t="str">
            <v>XL</v>
          </cell>
        </row>
        <row r="3201">
          <cell r="A3201">
            <v>3127</v>
          </cell>
          <cell r="B3201">
            <v>3127</v>
          </cell>
          <cell r="C3201" t="str">
            <v>CERO MATRICULA</v>
          </cell>
          <cell r="D3201" t="str">
            <v>ACTIVO</v>
          </cell>
          <cell r="E3201" t="str">
            <v>CJV471</v>
          </cell>
          <cell r="F3201" t="str">
            <v xml:space="preserve">Tello Gonzalez Cueva Juan Adolfo </v>
          </cell>
          <cell r="G3201" t="str">
            <v xml:space="preserve">Tello Gonzalez Cueva Juan Adolfo </v>
          </cell>
          <cell r="H3201" t="str">
            <v>07542757</v>
          </cell>
          <cell r="I3201" t="str">
            <v>BCP</v>
          </cell>
          <cell r="J3201" t="str">
            <v>193-9713-281-9057</v>
          </cell>
          <cell r="K3201" t="str">
            <v>DNI</v>
          </cell>
          <cell r="L3201">
            <v>10075427579</v>
          </cell>
          <cell r="M3201" t="str">
            <v>AEROLINEAS</v>
          </cell>
          <cell r="N3201">
            <v>46035</v>
          </cell>
          <cell r="O3201">
            <v>0</v>
          </cell>
          <cell r="P3201" t="str">
            <v>XL</v>
          </cell>
        </row>
        <row r="3202">
          <cell r="A3202">
            <v>1695</v>
          </cell>
          <cell r="B3202">
            <v>1695</v>
          </cell>
          <cell r="C3202" t="str">
            <v>CERO MATRICULA</v>
          </cell>
          <cell r="D3202" t="str">
            <v>ACTIVO</v>
          </cell>
          <cell r="E3202" t="str">
            <v>CNB231</v>
          </cell>
          <cell r="F3202" t="str">
            <v>Retamozo Caceda Julio Ignacio</v>
          </cell>
          <cell r="G3202" t="str">
            <v>Retamozo Caceda Julio Ignacio</v>
          </cell>
          <cell r="H3202" t="str">
            <v>09697512</v>
          </cell>
          <cell r="I3202" t="str">
            <v>BCP</v>
          </cell>
          <cell r="J3202" t="str">
            <v>19433169130070</v>
          </cell>
          <cell r="K3202" t="str">
            <v>DNI</v>
          </cell>
          <cell r="L3202">
            <v>10096975126</v>
          </cell>
          <cell r="M3202" t="str">
            <v>AEROLINEAS</v>
          </cell>
          <cell r="N3202">
            <v>46035</v>
          </cell>
          <cell r="O3202">
            <v>0</v>
          </cell>
          <cell r="P3202" t="str">
            <v>COMFORT XL</v>
          </cell>
        </row>
        <row r="3203">
          <cell r="A3203">
            <v>4135</v>
          </cell>
          <cell r="B3203">
            <v>4135</v>
          </cell>
          <cell r="C3203" t="str">
            <v>CERO MATRICULA</v>
          </cell>
          <cell r="D3203" t="str">
            <v>ACTIVO</v>
          </cell>
          <cell r="E3203" t="str">
            <v>CRQ588</v>
          </cell>
          <cell r="F3203" t="str">
            <v>Sonan Taira Alfonso</v>
          </cell>
          <cell r="G3203" t="str">
            <v>Sonan Kague Christian Alfonso</v>
          </cell>
          <cell r="H3203" t="str">
            <v>44281735</v>
          </cell>
          <cell r="I3203" t="str">
            <v>BCP</v>
          </cell>
          <cell r="J3203" t="str">
            <v>19391384928006</v>
          </cell>
          <cell r="K3203" t="str">
            <v>DNI</v>
          </cell>
          <cell r="L3203">
            <v>10442817354</v>
          </cell>
          <cell r="M3203" t="str">
            <v>AEROLINEAS</v>
          </cell>
          <cell r="N3203">
            <v>46035</v>
          </cell>
          <cell r="O3203">
            <v>0</v>
          </cell>
          <cell r="P3203" t="str">
            <v>COMFORT</v>
          </cell>
        </row>
        <row r="3204">
          <cell r="A3204">
            <v>4146</v>
          </cell>
          <cell r="B3204">
            <v>4146</v>
          </cell>
          <cell r="C3204" t="str">
            <v>CERO MATRICULA</v>
          </cell>
          <cell r="D3204" t="str">
            <v>ACTIVO</v>
          </cell>
          <cell r="E3204" t="str">
            <v>CUW661</v>
          </cell>
          <cell r="F3204" t="str">
            <v>Zuñiga Espinoza Cesar Martin</v>
          </cell>
          <cell r="G3204" t="str">
            <v xml:space="preserve"> PAOLA GABRIELA REVOREDO PEREZ</v>
          </cell>
          <cell r="H3204" t="str">
            <v>45282184</v>
          </cell>
          <cell r="I3204" t="str">
            <v>BCP</v>
          </cell>
          <cell r="J3204" t="str">
            <v>19204803442060</v>
          </cell>
          <cell r="K3204" t="str">
            <v>DNI</v>
          </cell>
          <cell r="L3204">
            <v>10452821848</v>
          </cell>
          <cell r="M3204" t="str">
            <v>AEROLINEAS</v>
          </cell>
          <cell r="N3204">
            <v>46037</v>
          </cell>
          <cell r="O3204">
            <v>0</v>
          </cell>
          <cell r="P3204" t="str">
            <v>COMFORT XL</v>
          </cell>
        </row>
        <row r="3205">
          <cell r="A3205">
            <v>4148</v>
          </cell>
          <cell r="B3205">
            <v>4148</v>
          </cell>
          <cell r="C3205" t="str">
            <v>CERO MATRICULA</v>
          </cell>
          <cell r="D3205" t="str">
            <v>ACTIVO</v>
          </cell>
          <cell r="E3205" t="str">
            <v>CLQ278</v>
          </cell>
          <cell r="F3205" t="str">
            <v>Peralta Soto Luis Gerardo</v>
          </cell>
          <cell r="G3205" t="str">
            <v>Peralta Soto Luis Gerardo</v>
          </cell>
          <cell r="H3205" t="str">
            <v>72499983</v>
          </cell>
          <cell r="I3205" t="str">
            <v>BBVA</v>
          </cell>
          <cell r="J3205" t="str">
            <v>001108140288254767</v>
          </cell>
          <cell r="K3205" t="str">
            <v>DNI</v>
          </cell>
          <cell r="L3205">
            <v>10724999838</v>
          </cell>
          <cell r="M3205" t="str">
            <v>AEROLINEAS</v>
          </cell>
          <cell r="N3205">
            <v>46037</v>
          </cell>
          <cell r="O3205">
            <v>0</v>
          </cell>
          <cell r="P3205" t="str">
            <v>COMFORT XL</v>
          </cell>
        </row>
        <row r="3206">
          <cell r="A3206">
            <v>4136</v>
          </cell>
          <cell r="B3206">
            <v>4136</v>
          </cell>
          <cell r="C3206" t="str">
            <v>CERO MATRICULA</v>
          </cell>
          <cell r="D3206" t="str">
            <v>ACTIVO</v>
          </cell>
          <cell r="E3206" t="str">
            <v>CVT682</v>
          </cell>
          <cell r="F3206" t="str">
            <v>Soto Paredes Gerson Aldair</v>
          </cell>
          <cell r="G3206" t="str">
            <v>Soto Paredes Gerson Aldair</v>
          </cell>
          <cell r="H3206" t="str">
            <v>74650241</v>
          </cell>
          <cell r="I3206" t="str">
            <v>BCP</v>
          </cell>
          <cell r="J3206" t="str">
            <v>19105303034099</v>
          </cell>
          <cell r="K3206" t="str">
            <v>DNI</v>
          </cell>
          <cell r="L3206">
            <v>10746502414</v>
          </cell>
          <cell r="M3206" t="str">
            <v>URBANO PARTNER</v>
          </cell>
          <cell r="N3206">
            <v>46035</v>
          </cell>
          <cell r="O3206">
            <v>0</v>
          </cell>
          <cell r="P3206" t="str">
            <v>COMFORT XL</v>
          </cell>
        </row>
        <row r="3207">
          <cell r="A3207">
            <v>4138</v>
          </cell>
          <cell r="B3207">
            <v>4138</v>
          </cell>
          <cell r="C3207" t="str">
            <v>CERO MATRICULA</v>
          </cell>
          <cell r="D3207" t="str">
            <v>ACTIVO</v>
          </cell>
          <cell r="E3207" t="str">
            <v>CWA458</v>
          </cell>
          <cell r="F3207" t="str">
            <v>Hurtado Sánchez Pedro</v>
          </cell>
          <cell r="G3207" t="str">
            <v>Hurtado Sánchez Pedro</v>
          </cell>
          <cell r="H3207" t="str">
            <v>10380551</v>
          </cell>
          <cell r="I3207" t="str">
            <v>BCP</v>
          </cell>
          <cell r="J3207" t="str">
            <v>19372373569013</v>
          </cell>
          <cell r="K3207" t="str">
            <v>DNI</v>
          </cell>
          <cell r="L3207">
            <v>10103805517</v>
          </cell>
          <cell r="M3207" t="str">
            <v>AEROLINEAS</v>
          </cell>
          <cell r="N3207">
            <v>46035</v>
          </cell>
          <cell r="O3207">
            <v>0</v>
          </cell>
          <cell r="P3207" t="str">
            <v>XL</v>
          </cell>
        </row>
        <row r="3208">
          <cell r="A3208">
            <v>4139</v>
          </cell>
          <cell r="B3208">
            <v>4139</v>
          </cell>
          <cell r="C3208" t="str">
            <v>CERO MATRICULA</v>
          </cell>
          <cell r="D3208" t="str">
            <v>ACTIVO</v>
          </cell>
          <cell r="E3208" t="str">
            <v>CSS330</v>
          </cell>
          <cell r="F3208" t="str">
            <v>Hernández Chacón Mario José</v>
          </cell>
          <cell r="G3208" t="str">
            <v>Hernandez Chacón Mario José</v>
          </cell>
          <cell r="H3208" t="str">
            <v>005770204</v>
          </cell>
          <cell r="I3208" t="str">
            <v>BCP</v>
          </cell>
          <cell r="J3208" t="str">
            <v>19140147570099</v>
          </cell>
          <cell r="K3208" t="str">
            <v>CE</v>
          </cell>
          <cell r="L3208">
            <v>15603832024</v>
          </cell>
          <cell r="M3208" t="str">
            <v>URBANO PARTNER</v>
          </cell>
          <cell r="N3208">
            <v>46035</v>
          </cell>
          <cell r="O3208">
            <v>0</v>
          </cell>
          <cell r="P3208" t="str">
            <v>COMFORT XL</v>
          </cell>
        </row>
        <row r="3209">
          <cell r="A3209">
            <v>4140</v>
          </cell>
          <cell r="B3209">
            <v>4140</v>
          </cell>
          <cell r="C3209" t="str">
            <v>CERO MATRICULA</v>
          </cell>
          <cell r="D3209" t="str">
            <v>ACTIVO</v>
          </cell>
          <cell r="E3209" t="str">
            <v>CUQ393</v>
          </cell>
          <cell r="F3209" t="str">
            <v>Quinde Cueva Christopher</v>
          </cell>
          <cell r="G3209" t="str">
            <v xml:space="preserve">SIN INFORMACION </v>
          </cell>
          <cell r="H3209"/>
          <cell r="I3209" t="str">
            <v>INTERBANK</v>
          </cell>
          <cell r="J3209" t="str">
            <v>047 3162023666</v>
          </cell>
          <cell r="K3209"/>
          <cell r="L3209"/>
          <cell r="M3209" t="str">
            <v>URBANO PARTNER</v>
          </cell>
          <cell r="N3209">
            <v>46035</v>
          </cell>
          <cell r="O3209">
            <v>0</v>
          </cell>
          <cell r="P3209" t="str">
            <v>COMFORT XL</v>
          </cell>
        </row>
        <row r="3210">
          <cell r="A3210">
            <v>4141</v>
          </cell>
          <cell r="B3210">
            <v>4141</v>
          </cell>
          <cell r="C3210" t="str">
            <v>CERO MATRICULA</v>
          </cell>
          <cell r="D3210" t="str">
            <v>ACTIVO</v>
          </cell>
          <cell r="E3210" t="str">
            <v>Z6P493</v>
          </cell>
          <cell r="F3210" t="str">
            <v>Panduro Arias Max Alberto</v>
          </cell>
          <cell r="G3210" t="str">
            <v>Panduro Arias Max Alberto</v>
          </cell>
          <cell r="H3210" t="str">
            <v>76159614</v>
          </cell>
          <cell r="I3210" t="str">
            <v>BCP</v>
          </cell>
          <cell r="J3210" t="str">
            <v>19193487545061</v>
          </cell>
          <cell r="K3210" t="str">
            <v>DNI</v>
          </cell>
          <cell r="L3210">
            <v>10761596140</v>
          </cell>
          <cell r="M3210" t="str">
            <v>URBANO PARTNER</v>
          </cell>
          <cell r="N3210">
            <v>46035</v>
          </cell>
          <cell r="O3210">
            <v>0</v>
          </cell>
          <cell r="P3210" t="str">
            <v>XL</v>
          </cell>
        </row>
        <row r="3211">
          <cell r="A3211">
            <v>4142</v>
          </cell>
          <cell r="B3211">
            <v>4142</v>
          </cell>
          <cell r="C3211" t="str">
            <v>CERO MATRICULA</v>
          </cell>
          <cell r="D3211" t="str">
            <v>ACTIVO</v>
          </cell>
          <cell r="E3211" t="str">
            <v>CVO266</v>
          </cell>
          <cell r="F3211" t="str">
            <v>Villanueva Tapia Oscar Andres</v>
          </cell>
          <cell r="G3211" t="str">
            <v>VillanuevaTapia Oscar Andres</v>
          </cell>
          <cell r="H3211" t="str">
            <v>70477493</v>
          </cell>
          <cell r="I3211" t="str">
            <v>BCP</v>
          </cell>
          <cell r="J3211" t="str">
            <v>19192618994036</v>
          </cell>
          <cell r="K3211" t="str">
            <v>DNI</v>
          </cell>
          <cell r="L3211">
            <v>10704774937</v>
          </cell>
          <cell r="M3211" t="str">
            <v>MEMBRESÍA NOCTURNA - APTO</v>
          </cell>
          <cell r="N3211">
            <v>46037</v>
          </cell>
          <cell r="O3211">
            <v>285</v>
          </cell>
          <cell r="P3211" t="str">
            <v>COMFORT XL</v>
          </cell>
        </row>
        <row r="3212">
          <cell r="A3212">
            <v>4144</v>
          </cell>
          <cell r="B3212">
            <v>4144</v>
          </cell>
          <cell r="C3212" t="str">
            <v>CERO MATRICULA</v>
          </cell>
          <cell r="D3212" t="str">
            <v>ACTIVO</v>
          </cell>
          <cell r="E3212" t="str">
            <v>Bct424</v>
          </cell>
          <cell r="F3212" t="str">
            <v>Raga Briceño Anthony Enrique</v>
          </cell>
          <cell r="G3212" t="str">
            <v>Raga Briceño Anthony Enrique</v>
          </cell>
          <cell r="H3212" t="str">
            <v>008000185</v>
          </cell>
          <cell r="I3212" t="str">
            <v>BCP</v>
          </cell>
          <cell r="J3212" t="str">
            <v>19104065210072</v>
          </cell>
          <cell r="K3212" t="str">
            <v>CE</v>
          </cell>
          <cell r="L3212">
            <v>15614893084</v>
          </cell>
          <cell r="M3212" t="str">
            <v>MEMBRESÍA NOCTURNA - APTO</v>
          </cell>
          <cell r="N3212">
            <v>46037</v>
          </cell>
          <cell r="O3212">
            <v>315</v>
          </cell>
          <cell r="P3212" t="str">
            <v>LITE</v>
          </cell>
        </row>
        <row r="3213">
          <cell r="A3213">
            <v>4145</v>
          </cell>
          <cell r="B3213">
            <v>4145</v>
          </cell>
          <cell r="C3213" t="str">
            <v>CERO MATRICULA</v>
          </cell>
          <cell r="D3213" t="str">
            <v>ACTIVO</v>
          </cell>
          <cell r="E3213" t="str">
            <v>Csh416</v>
          </cell>
          <cell r="F3213" t="str">
            <v>Zuñiga Escate Carlos ever</v>
          </cell>
          <cell r="G3213" t="str">
            <v>Zuñiga Escate Carlos Ever</v>
          </cell>
          <cell r="H3213" t="str">
            <v>76145420</v>
          </cell>
          <cell r="I3213" t="str">
            <v>INTERBANK</v>
          </cell>
          <cell r="J3213" t="str">
            <v>8983465952654</v>
          </cell>
          <cell r="K3213" t="str">
            <v>DNI</v>
          </cell>
          <cell r="L3213">
            <v>10761454205</v>
          </cell>
          <cell r="M3213" t="str">
            <v>MEMBRESÍA DIURNA</v>
          </cell>
          <cell r="N3213">
            <v>46037</v>
          </cell>
          <cell r="O3213">
            <v>285</v>
          </cell>
          <cell r="P3213" t="str">
            <v>COMFORT XL</v>
          </cell>
        </row>
        <row r="3214">
          <cell r="A3214">
            <v>4128</v>
          </cell>
          <cell r="B3214">
            <v>4128</v>
          </cell>
          <cell r="C3214" t="str">
            <v>CERO MATRICULA</v>
          </cell>
          <cell r="D3214" t="str">
            <v>ACTIVO</v>
          </cell>
          <cell r="E3214" t="str">
            <v>CNB566</v>
          </cell>
          <cell r="F3214" t="str">
            <v>More Atoche Enrique</v>
          </cell>
          <cell r="G3214" t="str">
            <v>More Atoche Enrique</v>
          </cell>
          <cell r="H3214" t="str">
            <v>02892693</v>
          </cell>
          <cell r="I3214" t="str">
            <v>BCP</v>
          </cell>
          <cell r="J3214" t="str">
            <v>19197840180062</v>
          </cell>
          <cell r="K3214" t="str">
            <v>DNI</v>
          </cell>
          <cell r="L3214">
            <v>10028926931</v>
          </cell>
          <cell r="M3214" t="str">
            <v>URBANO PARTNER</v>
          </cell>
          <cell r="N3214">
            <v>46030</v>
          </cell>
          <cell r="O3214">
            <v>0</v>
          </cell>
          <cell r="P3214" t="str">
            <v>COMFORT XL</v>
          </cell>
        </row>
        <row r="3215">
          <cell r="A3215">
            <v>3797</v>
          </cell>
          <cell r="B3215">
            <v>3797</v>
          </cell>
          <cell r="C3215" t="str">
            <v>CERO MATRICULA</v>
          </cell>
          <cell r="D3215" t="str">
            <v>ACTIVO</v>
          </cell>
          <cell r="E3215" t="str">
            <v>CJQ369</v>
          </cell>
          <cell r="F3215" t="str">
            <v>Santamaria Martínez Oscar Alexander Santamaria Martínez</v>
          </cell>
          <cell r="G3215" t="str">
            <v xml:space="preserve">Santamaria Martínez Oscar Alexander </v>
          </cell>
          <cell r="H3215" t="str">
            <v>001661183</v>
          </cell>
          <cell r="I3215" t="str">
            <v>BCP</v>
          </cell>
          <cell r="J3215" t="str">
            <v>19273340473084</v>
          </cell>
          <cell r="K3215" t="str">
            <v>CARNET DE EXTRANJERÍA</v>
          </cell>
          <cell r="L3215">
            <v>15602672007</v>
          </cell>
          <cell r="M3215" t="str">
            <v>AEROPUERTO</v>
          </cell>
          <cell r="N3215">
            <v>45895.375</v>
          </cell>
          <cell r="O3215">
            <v>235</v>
          </cell>
          <cell r="P3215" t="str">
            <v>COMFORT XL</v>
          </cell>
        </row>
        <row r="3216">
          <cell r="A3216">
            <v>4131</v>
          </cell>
          <cell r="B3216">
            <v>4131</v>
          </cell>
          <cell r="C3216" t="str">
            <v>CERO MATRICULA</v>
          </cell>
          <cell r="D3216" t="str">
            <v>ACTIVO</v>
          </cell>
          <cell r="E3216" t="str">
            <v>Cvr242</v>
          </cell>
          <cell r="F3216" t="str">
            <v>BAUTISTA ARAJU CARLOS RAUL</v>
          </cell>
          <cell r="G3216" t="str">
            <v>BAUTISTA ARAJU CARLOS RAUL</v>
          </cell>
          <cell r="H3216">
            <v>45605050</v>
          </cell>
          <cell r="I3216" t="str">
            <v>BCP</v>
          </cell>
          <cell r="J3216" t="str">
            <v>1912703750005</v>
          </cell>
          <cell r="K3216" t="str">
            <v>DNI</v>
          </cell>
          <cell r="L3216">
            <v>10456050501</v>
          </cell>
          <cell r="M3216" t="str">
            <v>MEMBRESÍA DIURNA</v>
          </cell>
          <cell r="N3216">
            <v>46030</v>
          </cell>
          <cell r="O3216">
            <v>285</v>
          </cell>
          <cell r="P3216" t="str">
            <v>COMFORT XL</v>
          </cell>
        </row>
        <row r="3217">
          <cell r="A3217">
            <v>16</v>
          </cell>
          <cell r="B3217">
            <v>16</v>
          </cell>
          <cell r="C3217" t="str">
            <v>CERO MATRICULA</v>
          </cell>
          <cell r="D3217" t="str">
            <v>ACTIVO</v>
          </cell>
          <cell r="E3217" t="str">
            <v>MOVIL CONTINGENCIA</v>
          </cell>
          <cell r="F3217" t="str">
            <v>MOVIL CONTINGENCIA</v>
          </cell>
          <cell r="G3217" t="str">
            <v>MOVIL CONTINGENCIA</v>
          </cell>
          <cell r="H3217" t="str">
            <v>MOVIL CONTINGENCIA</v>
          </cell>
          <cell r="I3217" t="str">
            <v>MOVIL CONTINGENCIA</v>
          </cell>
          <cell r="J3217" t="str">
            <v>MOVIL CONTINGENCIA</v>
          </cell>
          <cell r="K3217" t="str">
            <v>MOVIL CONTINGENCIA</v>
          </cell>
          <cell r="L3217" t="str">
            <v>MOVIL CONTINGENCIA</v>
          </cell>
          <cell r="M3217" t="str">
            <v>MOVIL CONTINGENCIA</v>
          </cell>
          <cell r="N3217">
            <v>46034</v>
          </cell>
          <cell r="O3217">
            <v>0</v>
          </cell>
          <cell r="P3217" t="str">
            <v>LITE</v>
          </cell>
        </row>
        <row r="3218">
          <cell r="A3218">
            <v>4151</v>
          </cell>
          <cell r="B3218">
            <v>4151</v>
          </cell>
          <cell r="C3218" t="str">
            <v>CERO MATRICULA</v>
          </cell>
          <cell r="D3218" t="str">
            <v>ACTIVO</v>
          </cell>
          <cell r="E3218" t="str">
            <v>CTT566</v>
          </cell>
          <cell r="F3218" t="str">
            <v>Requejo Pastor Segundo adder</v>
          </cell>
          <cell r="G3218" t="str">
            <v>Requejo Pastor Segundo adder</v>
          </cell>
          <cell r="H3218" t="str">
            <v>45353643</v>
          </cell>
          <cell r="I3218" t="str">
            <v>INTERBANK</v>
          </cell>
          <cell r="J3218" t="str">
            <v>4153007796098</v>
          </cell>
          <cell r="K3218" t="str">
            <v>DNI</v>
          </cell>
          <cell r="L3218">
            <v>10453536438</v>
          </cell>
          <cell r="M3218" t="str">
            <v>URBANO PARTNER</v>
          </cell>
          <cell r="N3218">
            <v>46042</v>
          </cell>
          <cell r="O3218">
            <v>0</v>
          </cell>
          <cell r="P3218" t="str">
            <v>COMFORT XL</v>
          </cell>
        </row>
        <row r="3219">
          <cell r="A3219">
            <v>4152</v>
          </cell>
          <cell r="B3219">
            <v>4152</v>
          </cell>
          <cell r="C3219" t="str">
            <v>CERO MATRICULA</v>
          </cell>
          <cell r="D3219" t="str">
            <v>ACTIVO</v>
          </cell>
          <cell r="E3219" t="str">
            <v>CVG499</v>
          </cell>
          <cell r="F3219" t="str">
            <v>Rodríguez Gonzalez Jhoalber Alberto</v>
          </cell>
          <cell r="G3219" t="str">
            <v>Rodriguez Gonzalez Jhoalber Alberto</v>
          </cell>
          <cell r="H3219" t="str">
            <v>003942962</v>
          </cell>
          <cell r="I3219" t="str">
            <v>BCP</v>
          </cell>
          <cell r="J3219" t="str">
            <v>19192434776058</v>
          </cell>
          <cell r="K3219" t="str">
            <v>CARNET DE EXTRANJERÍA</v>
          </cell>
          <cell r="L3219">
            <v>15615349132</v>
          </cell>
          <cell r="M3219" t="str">
            <v>URBANO PARTNER</v>
          </cell>
          <cell r="N3219">
            <v>46042</v>
          </cell>
          <cell r="O3219">
            <v>0</v>
          </cell>
          <cell r="P3219" t="str">
            <v>LITE</v>
          </cell>
        </row>
        <row r="3220">
          <cell r="A3220">
            <v>4153</v>
          </cell>
          <cell r="B3220">
            <v>4153</v>
          </cell>
          <cell r="C3220" t="str">
            <v>CERO MATRICULA</v>
          </cell>
          <cell r="D3220" t="str">
            <v>ACTIVO</v>
          </cell>
          <cell r="E3220" t="str">
            <v>CVU409</v>
          </cell>
          <cell r="F3220" t="str">
            <v>Saavedra Arana Segundo Victor</v>
          </cell>
          <cell r="G3220" t="str">
            <v>Saavedra Arana Segundo Victor</v>
          </cell>
          <cell r="H3220" t="str">
            <v>10083383</v>
          </cell>
          <cell r="I3220" t="str">
            <v>BCP</v>
          </cell>
          <cell r="J3220" t="str">
            <v>19493555971078</v>
          </cell>
          <cell r="K3220" t="str">
            <v>DNI</v>
          </cell>
          <cell r="L3220">
            <v>10100833838</v>
          </cell>
          <cell r="M3220" t="str">
            <v>URBANO PARTNER</v>
          </cell>
          <cell r="N3220">
            <v>46042</v>
          </cell>
          <cell r="O3220">
            <v>0</v>
          </cell>
          <cell r="P3220" t="str">
            <v>LITE</v>
          </cell>
        </row>
        <row r="3221">
          <cell r="A3221">
            <v>4154</v>
          </cell>
          <cell r="B3221">
            <v>4154</v>
          </cell>
          <cell r="C3221" t="str">
            <v>CERO MATRICULA</v>
          </cell>
          <cell r="D3221" t="str">
            <v>ACTIVO</v>
          </cell>
          <cell r="E3221" t="str">
            <v>CWI518</v>
          </cell>
          <cell r="F3221" t="str">
            <v>García González Robin José</v>
          </cell>
          <cell r="G3221" t="str">
            <v>Garcia González Robin José</v>
          </cell>
          <cell r="H3221" t="str">
            <v>003993012</v>
          </cell>
          <cell r="I3221" t="str">
            <v>INTERBANK</v>
          </cell>
          <cell r="J3221" t="str">
            <v>1513196963319</v>
          </cell>
          <cell r="K3221" t="str">
            <v>CARNET DE EXTRANJERÍA</v>
          </cell>
          <cell r="L3221">
            <v>15611285229</v>
          </cell>
          <cell r="M3221" t="str">
            <v>URBANO PARTNER</v>
          </cell>
          <cell r="N3221">
            <v>46042</v>
          </cell>
          <cell r="O3221">
            <v>0</v>
          </cell>
          <cell r="P3221" t="str">
            <v>XL</v>
          </cell>
        </row>
        <row r="3222">
          <cell r="A3222">
            <v>4155</v>
          </cell>
          <cell r="B3222">
            <v>4155</v>
          </cell>
          <cell r="C3222" t="str">
            <v>CERO MATRICULA</v>
          </cell>
          <cell r="D3222" t="str">
            <v>ACTIVO</v>
          </cell>
          <cell r="E3222" t="str">
            <v>CVG141</v>
          </cell>
          <cell r="F3222" t="str">
            <v>Lescano Julca Carlos Alberto</v>
          </cell>
          <cell r="G3222" t="str">
            <v>Lescano Julca Carlos Alberto</v>
          </cell>
          <cell r="H3222" t="str">
            <v>42711588</v>
          </cell>
          <cell r="I3222" t="str">
            <v>BCP</v>
          </cell>
          <cell r="J3222" t="str">
            <v>19313280642089</v>
          </cell>
          <cell r="K3222" t="str">
            <v>DNI</v>
          </cell>
          <cell r="L3222">
            <v>10427115882</v>
          </cell>
          <cell r="M3222" t="str">
            <v>URBANO PARTNER</v>
          </cell>
          <cell r="N3222">
            <v>46042</v>
          </cell>
          <cell r="O3222">
            <v>0</v>
          </cell>
          <cell r="P3222" t="str">
            <v>COMFORT XL</v>
          </cell>
        </row>
        <row r="3223">
          <cell r="A3223">
            <v>4143</v>
          </cell>
          <cell r="B3223">
            <v>4143</v>
          </cell>
          <cell r="C3223" t="str">
            <v>CERO MATRICULA</v>
          </cell>
          <cell r="D3223" t="str">
            <v>ACTIVO</v>
          </cell>
          <cell r="E3223" t="str">
            <v>Z8G347</v>
          </cell>
          <cell r="F3223" t="str">
            <v>Mendoza Ramirez Monica Esther</v>
          </cell>
          <cell r="G3223" t="str">
            <v>Mendoza Ramirez Monica Esther</v>
          </cell>
          <cell r="H3223" t="str">
            <v>10532491</v>
          </cell>
          <cell r="I3223" t="str">
            <v>BCP</v>
          </cell>
          <cell r="J3223" t="str">
            <v>19338965917010</v>
          </cell>
          <cell r="K3223" t="str">
            <v>DNI</v>
          </cell>
          <cell r="L3223">
            <v>10105324915</v>
          </cell>
          <cell r="M3223" t="str">
            <v>URBANO PARTNER</v>
          </cell>
          <cell r="N3223">
            <v>46042</v>
          </cell>
          <cell r="O3223">
            <v>0</v>
          </cell>
          <cell r="P3223" t="str">
            <v>LITE</v>
          </cell>
        </row>
        <row r="3224">
          <cell r="A3224">
            <v>4156</v>
          </cell>
          <cell r="B3224">
            <v>4156</v>
          </cell>
          <cell r="C3224" t="str">
            <v>CERO MATRICULA</v>
          </cell>
          <cell r="D3224" t="str">
            <v>ACTIVO</v>
          </cell>
          <cell r="E3224" t="str">
            <v>CBZ314</v>
          </cell>
          <cell r="F3224" t="str">
            <v>Mejia Condor Holver Yonatan</v>
          </cell>
          <cell r="G3224" t="str">
            <v>Mejia Condor Holver Yonatan</v>
          </cell>
          <cell r="H3224" t="str">
            <v>45521754</v>
          </cell>
          <cell r="I3224" t="str">
            <v>BCP</v>
          </cell>
          <cell r="J3224" t="str">
            <v>19137492299007</v>
          </cell>
          <cell r="K3224" t="str">
            <v>DNI</v>
          </cell>
          <cell r="L3224">
            <v>10455217542</v>
          </cell>
          <cell r="M3224" t="str">
            <v>AEROLINEAS</v>
          </cell>
          <cell r="N3224">
            <v>46044</v>
          </cell>
          <cell r="O3224">
            <v>0</v>
          </cell>
          <cell r="P3224" t="str">
            <v>LITE</v>
          </cell>
        </row>
        <row r="3225">
          <cell r="A3225">
            <v>4157</v>
          </cell>
          <cell r="B3225">
            <v>4157</v>
          </cell>
          <cell r="C3225" t="str">
            <v>CERO MATRICULA</v>
          </cell>
          <cell r="D3225" t="str">
            <v>ACTIVO</v>
          </cell>
          <cell r="E3225" t="str">
            <v>BLU457</v>
          </cell>
          <cell r="F3225" t="str">
            <v>Diaz Gallardo Eleazar Josue</v>
          </cell>
          <cell r="G3225" t="str">
            <v>Diaz Gallardo Eleazar Josue</v>
          </cell>
          <cell r="H3225" t="str">
            <v>007559715</v>
          </cell>
          <cell r="I3225" t="str">
            <v>BCP</v>
          </cell>
          <cell r="J3225" t="str">
            <v>19495880398084</v>
          </cell>
          <cell r="K3225" t="str">
            <v>CE</v>
          </cell>
          <cell r="L3225">
            <v>15610102112</v>
          </cell>
          <cell r="M3225" t="str">
            <v>AEROLINEAS</v>
          </cell>
          <cell r="N3225">
            <v>46044</v>
          </cell>
          <cell r="O3225">
            <v>0</v>
          </cell>
          <cell r="P3225" t="str">
            <v>LITE</v>
          </cell>
        </row>
        <row r="3226">
          <cell r="A3226">
            <v>4147</v>
          </cell>
          <cell r="B3226">
            <v>4147</v>
          </cell>
          <cell r="C3226" t="str">
            <v>CERO MATRICULA</v>
          </cell>
          <cell r="D3226" t="str">
            <v>ACTIVO</v>
          </cell>
          <cell r="E3226" t="str">
            <v>BDJ451</v>
          </cell>
          <cell r="F3226" t="str">
            <v>Soria Muñiz Ronald estiven</v>
          </cell>
          <cell r="G3226" t="str">
            <v>Soria Muñiz Ronald estiven</v>
          </cell>
          <cell r="H3226" t="str">
            <v>45632183</v>
          </cell>
          <cell r="I3226" t="str">
            <v>BCP</v>
          </cell>
          <cell r="J3226" t="str">
            <v>19439256588017</v>
          </cell>
          <cell r="K3226" t="str">
            <v>DNI</v>
          </cell>
          <cell r="L3226">
            <v>10456321831</v>
          </cell>
          <cell r="M3226" t="str">
            <v>AEROLINEAS</v>
          </cell>
          <cell r="N3226">
            <v>46044</v>
          </cell>
          <cell r="O3226">
            <v>0</v>
          </cell>
          <cell r="P3226" t="str">
            <v>VAN</v>
          </cell>
        </row>
        <row r="3227">
          <cell r="A3227">
            <v>2985</v>
          </cell>
          <cell r="B3227">
            <v>2985</v>
          </cell>
          <cell r="C3227" t="str">
            <v>CERO MATRICULA</v>
          </cell>
          <cell r="D3227" t="str">
            <v>ACTIVO</v>
          </cell>
          <cell r="E3227" t="str">
            <v>APX171</v>
          </cell>
          <cell r="F3227" t="str">
            <v xml:space="preserve">Rojas Ortiz James Helmuth </v>
          </cell>
          <cell r="G3227" t="str">
            <v xml:space="preserve">Rojas Ortiz James Helmuth </v>
          </cell>
          <cell r="H3227" t="str">
            <v>005755545</v>
          </cell>
          <cell r="I3227" t="str">
            <v>BCP</v>
          </cell>
          <cell r="J3227" t="str">
            <v>19177597737050</v>
          </cell>
          <cell r="K3227" t="str">
            <v>CE</v>
          </cell>
          <cell r="L3227">
            <v>15612620013</v>
          </cell>
          <cell r="M3227" t="str">
            <v>AEROLINEAS</v>
          </cell>
          <cell r="N3227">
            <v>46044</v>
          </cell>
          <cell r="O3227">
            <v>0</v>
          </cell>
          <cell r="P3227" t="str">
            <v>COMFORT</v>
          </cell>
        </row>
        <row r="3228">
          <cell r="A3228">
            <v>9878</v>
          </cell>
          <cell r="B3228">
            <v>9878</v>
          </cell>
          <cell r="C3228" t="str">
            <v>CERO MATRICULA</v>
          </cell>
          <cell r="D3228" t="str">
            <v>ACTIVO</v>
          </cell>
          <cell r="E3228" t="str">
            <v>CNN398</v>
          </cell>
          <cell r="F3228" t="str">
            <v>Diaz Blass Edgardo Martin</v>
          </cell>
          <cell r="G3228" t="str">
            <v>Diaz Blass Edgardo Martin</v>
          </cell>
          <cell r="H3228" t="str">
            <v>40702758</v>
          </cell>
          <cell r="I3228" t="str">
            <v>BCP</v>
          </cell>
          <cell r="J3228" t="str">
            <v>19172412183017</v>
          </cell>
          <cell r="K3228" t="str">
            <v>DNI</v>
          </cell>
          <cell r="L3228">
            <v>10407027588</v>
          </cell>
          <cell r="M3228" t="str">
            <v>AEROLINEAS</v>
          </cell>
          <cell r="N3228">
            <v>46044</v>
          </cell>
          <cell r="O3228">
            <v>0</v>
          </cell>
          <cell r="P3228" t="str">
            <v>COMFORT XL</v>
          </cell>
        </row>
        <row r="3229">
          <cell r="A3229">
            <v>2990</v>
          </cell>
          <cell r="B3229">
            <v>2990</v>
          </cell>
          <cell r="C3229" t="str">
            <v>CERO MATRICULA</v>
          </cell>
          <cell r="D3229" t="str">
            <v>ACTIVO</v>
          </cell>
          <cell r="E3229" t="str">
            <v>FLOTA PROPIA</v>
          </cell>
          <cell r="F3229" t="str">
            <v>FLOTA PROPIA</v>
          </cell>
          <cell r="G3229" t="str">
            <v>FLOTA PROPIA</v>
          </cell>
          <cell r="H3229" t="str">
            <v>FLOTA PROPIA</v>
          </cell>
          <cell r="I3229" t="str">
            <v>FLOTA PROPIA</v>
          </cell>
          <cell r="J3229" t="str">
            <v>FLOTA PROPIA</v>
          </cell>
          <cell r="K3229" t="str">
            <v>FLOTA PROPIA</v>
          </cell>
          <cell r="L3229" t="str">
            <v>FLOTA PROPIA</v>
          </cell>
          <cell r="M3229" t="str">
            <v>FLOTA PROPIA</v>
          </cell>
          <cell r="N3229">
            <v>46042</v>
          </cell>
          <cell r="O3229">
            <v>0</v>
          </cell>
          <cell r="P3229" t="str">
            <v>VAN</v>
          </cell>
        </row>
        <row r="3230">
          <cell r="A3230">
            <v>43</v>
          </cell>
          <cell r="B3230">
            <v>43</v>
          </cell>
          <cell r="C3230" t="str">
            <v>CERO MATRICULA</v>
          </cell>
          <cell r="D3230" t="str">
            <v>ACTIVO</v>
          </cell>
          <cell r="E3230" t="str">
            <v>MOVIL CONTINGENCIA</v>
          </cell>
          <cell r="F3230" t="str">
            <v>MOVIL CONTINGENCIA</v>
          </cell>
          <cell r="G3230" t="str">
            <v>MOVIL CONTINGENCIA</v>
          </cell>
          <cell r="H3230" t="str">
            <v>MOVIL CONTINGENCIA</v>
          </cell>
          <cell r="I3230" t="str">
            <v>MOVIL CONTINGENCIA</v>
          </cell>
          <cell r="J3230" t="str">
            <v>MOVIL CONTINGENCIA</v>
          </cell>
          <cell r="K3230" t="str">
            <v>MOVIL CONTINGENCIA</v>
          </cell>
          <cell r="L3230" t="str">
            <v>MOVIL CONTINGENCIA</v>
          </cell>
          <cell r="M3230" t="str">
            <v>MOVIL CONTINGENCIA</v>
          </cell>
          <cell r="N3230">
            <v>46034</v>
          </cell>
          <cell r="O3230">
            <v>0</v>
          </cell>
          <cell r="P3230" t="str">
            <v>LITE</v>
          </cell>
        </row>
        <row r="3231">
          <cell r="A3231">
            <v>2991</v>
          </cell>
          <cell r="B3231">
            <v>2991</v>
          </cell>
          <cell r="C3231" t="str">
            <v>CERO MATRICULA</v>
          </cell>
          <cell r="D3231" t="str">
            <v>ACTIVO</v>
          </cell>
          <cell r="E3231" t="str">
            <v>FLOTA PROPIA</v>
          </cell>
          <cell r="F3231" t="str">
            <v>FLOTA PROPIA</v>
          </cell>
          <cell r="G3231" t="str">
            <v>FLOTA PROPIA</v>
          </cell>
          <cell r="H3231" t="str">
            <v>FLOTA PROPIA</v>
          </cell>
          <cell r="I3231" t="str">
            <v>FLOTA PROPIA</v>
          </cell>
          <cell r="J3231" t="str">
            <v>FLOTA PROPIA</v>
          </cell>
          <cell r="K3231" t="str">
            <v>FLOTA PROPIA</v>
          </cell>
          <cell r="L3231" t="str">
            <v>FLOTA PROPIA</v>
          </cell>
          <cell r="M3231" t="str">
            <v>FLOTA PROPIA</v>
          </cell>
          <cell r="N3231">
            <v>46045</v>
          </cell>
          <cell r="O3231">
            <v>0</v>
          </cell>
          <cell r="P3231" t="str">
            <v>VAN</v>
          </cell>
        </row>
        <row r="3232">
          <cell r="A3232">
            <v>2992</v>
          </cell>
          <cell r="B3232">
            <v>2992</v>
          </cell>
          <cell r="C3232" t="str">
            <v>CERO MATRICULA</v>
          </cell>
          <cell r="D3232" t="str">
            <v>ACTIVO</v>
          </cell>
          <cell r="E3232" t="str">
            <v>FLOTA PROPIA</v>
          </cell>
          <cell r="F3232" t="str">
            <v>FLOTA PROPIA</v>
          </cell>
          <cell r="G3232" t="str">
            <v>FLOTA PROPIA</v>
          </cell>
          <cell r="H3232" t="str">
            <v>FLOTA PROPIA</v>
          </cell>
          <cell r="I3232" t="str">
            <v>FLOTA PROPIA</v>
          </cell>
          <cell r="J3232" t="str">
            <v>FLOTA PROPIA</v>
          </cell>
          <cell r="K3232" t="str">
            <v>FLOTA PROPIA</v>
          </cell>
          <cell r="L3232" t="str">
            <v>FLOTA PROPIA</v>
          </cell>
          <cell r="M3232" t="str">
            <v>FLOTA PROPIA</v>
          </cell>
          <cell r="N3232">
            <v>46045</v>
          </cell>
          <cell r="O3232">
            <v>0</v>
          </cell>
          <cell r="P3232" t="str">
            <v>VAN</v>
          </cell>
        </row>
        <row r="3233">
          <cell r="A3233">
            <v>2993</v>
          </cell>
          <cell r="B3233">
            <v>2993</v>
          </cell>
          <cell r="C3233" t="str">
            <v>CERO MATRICULA</v>
          </cell>
          <cell r="D3233" t="str">
            <v>ACTIVO</v>
          </cell>
          <cell r="E3233" t="str">
            <v>FLOTA PROPIA</v>
          </cell>
          <cell r="F3233" t="str">
            <v>FLOTA PROPIA</v>
          </cell>
          <cell r="G3233" t="str">
            <v>FLOTA PROPIA</v>
          </cell>
          <cell r="H3233" t="str">
            <v>FLOTA PROPIA</v>
          </cell>
          <cell r="I3233" t="str">
            <v>FLOTA PROPIA</v>
          </cell>
          <cell r="J3233" t="str">
            <v>FLOTA PROPIA</v>
          </cell>
          <cell r="K3233" t="str">
            <v>FLOTA PROPIA</v>
          </cell>
          <cell r="L3233" t="str">
            <v>FLOTA PROPIA</v>
          </cell>
          <cell r="M3233" t="str">
            <v>FLOTA PROPIA</v>
          </cell>
          <cell r="N3233">
            <v>46045</v>
          </cell>
          <cell r="O3233">
            <v>0</v>
          </cell>
          <cell r="P3233" t="str">
            <v>VAN</v>
          </cell>
        </row>
        <row r="3234">
          <cell r="A3234">
            <v>4162</v>
          </cell>
          <cell r="B3234">
            <v>4162</v>
          </cell>
          <cell r="C3234" t="str">
            <v>CERO MATRICULA</v>
          </cell>
          <cell r="D3234" t="str">
            <v>ACTIVO</v>
          </cell>
          <cell r="E3234" t="str">
            <v>CSE404</v>
          </cell>
          <cell r="F3234" t="str">
            <v>Rodríguez Mesias Erick</v>
          </cell>
          <cell r="G3234" t="str">
            <v>Rodriguez Mesias Erick</v>
          </cell>
          <cell r="H3234" t="str">
            <v>45324758</v>
          </cell>
          <cell r="I3234" t="str">
            <v>BCP</v>
          </cell>
          <cell r="J3234" t="str">
            <v>19106966167030</v>
          </cell>
          <cell r="K3234" t="str">
            <v>DNI</v>
          </cell>
          <cell r="L3234">
            <v>10453247584</v>
          </cell>
          <cell r="M3234" t="str">
            <v>AEROLINEAS</v>
          </cell>
          <cell r="N3234">
            <v>46049</v>
          </cell>
          <cell r="O3234">
            <v>0</v>
          </cell>
          <cell r="P3234" t="str">
            <v>COMFORT</v>
          </cell>
        </row>
        <row r="3235">
          <cell r="A3235">
            <v>4163</v>
          </cell>
          <cell r="B3235">
            <v>4163</v>
          </cell>
          <cell r="C3235" t="str">
            <v>CERO MATRICULA</v>
          </cell>
          <cell r="D3235" t="str">
            <v>ACTIVO</v>
          </cell>
          <cell r="E3235" t="str">
            <v>CTC071</v>
          </cell>
          <cell r="F3235" t="str">
            <v xml:space="preserve">Farías Rambla José Martín </v>
          </cell>
          <cell r="G3235" t="str">
            <v xml:space="preserve">Farias Rambla José Martín </v>
          </cell>
          <cell r="H3235" t="str">
            <v>43959793</v>
          </cell>
          <cell r="I3235" t="str">
            <v>BCP</v>
          </cell>
          <cell r="J3235" t="str">
            <v>19106915959015</v>
          </cell>
          <cell r="K3235" t="str">
            <v>DNI</v>
          </cell>
          <cell r="L3235">
            <v>10439597939</v>
          </cell>
          <cell r="M3235" t="str">
            <v>AEROLINEAS</v>
          </cell>
          <cell r="N3235">
            <v>46049</v>
          </cell>
          <cell r="O3235">
            <v>0</v>
          </cell>
          <cell r="P3235" t="str">
            <v>XL</v>
          </cell>
        </row>
        <row r="3236">
          <cell r="A3236">
            <v>4168</v>
          </cell>
          <cell r="B3236">
            <v>4168</v>
          </cell>
          <cell r="C3236" t="str">
            <v>CERO MATRICULA</v>
          </cell>
          <cell r="D3236" t="str">
            <v>ACTIVO</v>
          </cell>
          <cell r="E3236" t="str">
            <v>CPV632</v>
          </cell>
          <cell r="F3236" t="str">
            <v>González Rondon Jesus Armando</v>
          </cell>
          <cell r="G3236" t="str">
            <v>Gonzalez Rondon Jesus Armando</v>
          </cell>
          <cell r="H3236" t="str">
            <v>007455758</v>
          </cell>
          <cell r="I3236" t="str">
            <v>BCP</v>
          </cell>
          <cell r="J3236" t="str">
            <v>19195306599089</v>
          </cell>
          <cell r="K3236" t="str">
            <v>CE</v>
          </cell>
          <cell r="L3236">
            <v>15612721456</v>
          </cell>
          <cell r="M3236" t="str">
            <v>AEROLINEAS</v>
          </cell>
          <cell r="N3236">
            <v>46051</v>
          </cell>
          <cell r="O3236">
            <v>0</v>
          </cell>
          <cell r="P3236" t="str">
            <v>COMFORT</v>
          </cell>
        </row>
        <row r="3237">
          <cell r="A3237">
            <v>4169</v>
          </cell>
          <cell r="B3237">
            <v>4169</v>
          </cell>
          <cell r="C3237" t="str">
            <v>CERO MATRICULA</v>
          </cell>
          <cell r="D3237" t="str">
            <v>ACTIVO</v>
          </cell>
          <cell r="E3237" t="str">
            <v>CWA644</v>
          </cell>
          <cell r="F3237" t="str">
            <v>Gómez Veliz Ismael José</v>
          </cell>
          <cell r="G3237" t="str">
            <v>Gomez Veliz Ismael José</v>
          </cell>
          <cell r="H3237" t="str">
            <v>002442870</v>
          </cell>
          <cell r="I3237" t="str">
            <v>BBVA</v>
          </cell>
          <cell r="J3237" t="str">
            <v>001101860200731592</v>
          </cell>
          <cell r="K3237" t="str">
            <v>CE</v>
          </cell>
          <cell r="L3237">
            <v>15608282197</v>
          </cell>
          <cell r="M3237" t="str">
            <v>AEROLINEAS</v>
          </cell>
          <cell r="N3237">
            <v>46051</v>
          </cell>
          <cell r="O3237">
            <v>0</v>
          </cell>
          <cell r="P3237" t="str">
            <v>LITE</v>
          </cell>
        </row>
        <row r="3238">
          <cell r="A3238">
            <v>9792</v>
          </cell>
          <cell r="B3238">
            <v>9792</v>
          </cell>
          <cell r="C3238" t="str">
            <v>CERO MATRICULA</v>
          </cell>
          <cell r="D3238" t="str">
            <v>ACTIVO</v>
          </cell>
          <cell r="E3238" t="str">
            <v>CFQ 496</v>
          </cell>
          <cell r="F3238" t="str">
            <v>Vidarte Sánchez Heguin Percy</v>
          </cell>
          <cell r="G3238" t="str">
            <v>Vidarte Sánchez Heguin Percy</v>
          </cell>
          <cell r="H3238" t="str">
            <v>40653972</v>
          </cell>
          <cell r="I3238" t="str">
            <v>BBVA</v>
          </cell>
          <cell r="J3238" t="str">
            <v>001108140221677108</v>
          </cell>
          <cell r="K3238" t="str">
            <v>DNI</v>
          </cell>
          <cell r="L3238">
            <v>10406539721</v>
          </cell>
          <cell r="M3238" t="str">
            <v>URBANO PARTNER</v>
          </cell>
          <cell r="N3238">
            <v>46049</v>
          </cell>
          <cell r="O3238">
            <v>0</v>
          </cell>
          <cell r="P3238" t="str">
            <v>XL</v>
          </cell>
        </row>
        <row r="3239">
          <cell r="A3239">
            <v>4165</v>
          </cell>
          <cell r="B3239">
            <v>4165</v>
          </cell>
          <cell r="C3239" t="str">
            <v>CERO MATRICULA</v>
          </cell>
          <cell r="D3239" t="str">
            <v>ACTIVO</v>
          </cell>
          <cell r="E3239" t="str">
            <v>BZQ510</v>
          </cell>
          <cell r="F3239" t="str">
            <v>Jiménez Cornelio John Vladimir</v>
          </cell>
          <cell r="G3239" t="str">
            <v>Jimenez Cornelio John Vladimir</v>
          </cell>
          <cell r="H3239" t="str">
            <v>77136080</v>
          </cell>
          <cell r="I3239" t="str">
            <v>BCP</v>
          </cell>
          <cell r="J3239" t="str">
            <v>19411399209051</v>
          </cell>
          <cell r="K3239" t="str">
            <v>DNI</v>
          </cell>
          <cell r="L3239">
            <v>10771360802</v>
          </cell>
          <cell r="M3239" t="str">
            <v>URBANO PARTNER</v>
          </cell>
          <cell r="N3239">
            <v>46049</v>
          </cell>
          <cell r="O3239">
            <v>0</v>
          </cell>
          <cell r="P3239" t="str">
            <v>COMFORT</v>
          </cell>
        </row>
        <row r="3240">
          <cell r="A3240">
            <v>4171</v>
          </cell>
          <cell r="B3240">
            <v>4171</v>
          </cell>
          <cell r="C3240" t="str">
            <v>CERO MATRICULA</v>
          </cell>
          <cell r="D3240" t="str">
            <v>ACTIVO</v>
          </cell>
          <cell r="E3240" t="str">
            <v>BUQ162</v>
          </cell>
          <cell r="F3240" t="str">
            <v>Rabanal Loayza Miguel Angel</v>
          </cell>
          <cell r="G3240" t="str">
            <v>Rabanal Loayza Miguel Angel</v>
          </cell>
          <cell r="H3240" t="str">
            <v>07260625</v>
          </cell>
          <cell r="I3240" t="str">
            <v>BCP</v>
          </cell>
          <cell r="J3240" t="str">
            <v>19299718667023</v>
          </cell>
          <cell r="K3240" t="str">
            <v>DNI</v>
          </cell>
          <cell r="L3240">
            <v>10072606251</v>
          </cell>
          <cell r="M3240" t="str">
            <v>URBANO PARTNER</v>
          </cell>
          <cell r="N3240">
            <v>46051</v>
          </cell>
          <cell r="O3240">
            <v>0</v>
          </cell>
          <cell r="P3240" t="str">
            <v>COMFORT XL</v>
          </cell>
        </row>
        <row r="3241">
          <cell r="A3241">
            <v>4159</v>
          </cell>
          <cell r="B3241">
            <v>4159</v>
          </cell>
          <cell r="C3241" t="str">
            <v>CERO MATRICULA</v>
          </cell>
          <cell r="D3241" t="str">
            <v>ACTIVO</v>
          </cell>
          <cell r="E3241" t="str">
            <v>CVZ 258</v>
          </cell>
          <cell r="F3241" t="str">
            <v>Roque Nolasco Beiker Jhonny</v>
          </cell>
          <cell r="G3241" t="str">
            <v>Roque Nolasco Beiker Jhonny</v>
          </cell>
          <cell r="H3241" t="str">
            <v>09900332</v>
          </cell>
          <cell r="I3241" t="str">
            <v>INTERBANK</v>
          </cell>
          <cell r="J3241" t="str">
            <v>898 3498254286</v>
          </cell>
          <cell r="K3241" t="str">
            <v>DNI</v>
          </cell>
          <cell r="L3241">
            <v>10099003320</v>
          </cell>
          <cell r="M3241" t="str">
            <v>MEMBRESÍA NOCTURNA - APTO</v>
          </cell>
          <cell r="N3241">
            <v>46044</v>
          </cell>
          <cell r="O3241">
            <v>285</v>
          </cell>
          <cell r="P3241" t="str">
            <v>COMFORT XL</v>
          </cell>
        </row>
        <row r="3242">
          <cell r="A3242">
            <v>2989</v>
          </cell>
          <cell r="B3242">
            <v>2989</v>
          </cell>
          <cell r="C3242" t="str">
            <v>CERO MATRICULA</v>
          </cell>
          <cell r="D3242" t="str">
            <v>ACTIVO</v>
          </cell>
          <cell r="E3242" t="str">
            <v>FLOTA PROPIA</v>
          </cell>
          <cell r="F3242" t="str">
            <v>FLOTA PROPIA</v>
          </cell>
          <cell r="G3242" t="str">
            <v>FLOTA PROPIA</v>
          </cell>
          <cell r="H3242" t="str">
            <v>FLOTA PROPIA</v>
          </cell>
          <cell r="I3242" t="str">
            <v>FLOTA PROPIA</v>
          </cell>
          <cell r="J3242" t="str">
            <v>FLOTA PROPIA</v>
          </cell>
          <cell r="K3242" t="str">
            <v>FLOTA PROPIA</v>
          </cell>
          <cell r="L3242" t="str">
            <v>FLOTA PROPIA</v>
          </cell>
          <cell r="M3242" t="str">
            <v>FLOTA PROPIA</v>
          </cell>
          <cell r="N3242">
            <v>46042</v>
          </cell>
          <cell r="O3242">
            <v>0</v>
          </cell>
          <cell r="P3242" t="str">
            <v>VAN</v>
          </cell>
        </row>
        <row r="3243">
          <cell r="A3243">
            <v>2</v>
          </cell>
          <cell r="B3243">
            <v>2</v>
          </cell>
          <cell r="C3243" t="str">
            <v>CERO MATRICULA</v>
          </cell>
          <cell r="D3243" t="str">
            <v>ACTIVO</v>
          </cell>
          <cell r="E3243" t="str">
            <v>MOVIL CONTINGENCIA</v>
          </cell>
          <cell r="F3243" t="str">
            <v>MOVIL CONTINGENCIA</v>
          </cell>
          <cell r="G3243" t="str">
            <v>MOVIL CONTINGENCIA</v>
          </cell>
          <cell r="H3243" t="str">
            <v>MOVIL CONTINGENCIA</v>
          </cell>
          <cell r="I3243" t="str">
            <v>MOVIL CONTINGENCIA</v>
          </cell>
          <cell r="J3243" t="str">
            <v>MOVIL CONTINGENCIA</v>
          </cell>
          <cell r="K3243" t="str">
            <v>MOVIL CONTINGENCIA</v>
          </cell>
          <cell r="L3243" t="str">
            <v>MOVIL CONTINGENCIA</v>
          </cell>
          <cell r="M3243" t="str">
            <v>MOVIL CONTINGENCIA</v>
          </cell>
          <cell r="N3243">
            <v>46048</v>
          </cell>
          <cell r="O3243">
            <v>0</v>
          </cell>
          <cell r="P3243" t="str">
            <v>LITE</v>
          </cell>
        </row>
        <row r="3244">
          <cell r="A3244">
            <v>4173</v>
          </cell>
          <cell r="B3244">
            <v>4173</v>
          </cell>
          <cell r="C3244" t="str">
            <v>CERO MATRICULA</v>
          </cell>
          <cell r="D3244" t="str">
            <v>ACTIVO</v>
          </cell>
          <cell r="E3244">
            <v>0</v>
          </cell>
          <cell r="F3244" t="str">
            <v xml:space="preserve">Liz Adela Cubillas Raymondi </v>
          </cell>
          <cell r="G3244" t="str">
            <v xml:space="preserve">Nadia Arteaga Moran </v>
          </cell>
          <cell r="H3244">
            <v>75194270</v>
          </cell>
          <cell r="I3244" t="str">
            <v>BCP</v>
          </cell>
          <cell r="J3244" t="str">
            <v>19210978545037</v>
          </cell>
          <cell r="K3244" t="str">
            <v>DNI</v>
          </cell>
          <cell r="L3244">
            <v>10751942708</v>
          </cell>
          <cell r="M3244" t="str">
            <v>MEMBRESÍA NOCTURNA - APTO</v>
          </cell>
          <cell r="N3244">
            <v>46058</v>
          </cell>
          <cell r="O3244">
            <v>315</v>
          </cell>
          <cell r="P3244" t="str">
            <v>LITE</v>
          </cell>
        </row>
        <row r="3245">
          <cell r="A3245">
            <v>4174</v>
          </cell>
          <cell r="B3245">
            <v>4174</v>
          </cell>
          <cell r="C3245" t="str">
            <v>CERO MATRICULA</v>
          </cell>
          <cell r="D3245" t="str">
            <v>ACTIVO</v>
          </cell>
          <cell r="E3245" t="str">
            <v>FLOTA PROPIA</v>
          </cell>
          <cell r="F3245" t="str">
            <v>FLOTA PROPIA</v>
          </cell>
          <cell r="G3245" t="str">
            <v>FLOTA PROPIA</v>
          </cell>
          <cell r="H3245" t="str">
            <v>FLOTA PROPIA</v>
          </cell>
          <cell r="I3245" t="str">
            <v>FLOTA PROPIA</v>
          </cell>
          <cell r="J3245" t="str">
            <v>FLOTA PROPIA</v>
          </cell>
          <cell r="K3245" t="str">
            <v>FLOTA PROPIA</v>
          </cell>
          <cell r="L3245" t="str">
            <v>FLOTA PROPIA</v>
          </cell>
          <cell r="M3245" t="str">
            <v>FLOTA PROPIA</v>
          </cell>
          <cell r="N3245">
            <v>46058</v>
          </cell>
          <cell r="O3245">
            <v>0</v>
          </cell>
          <cell r="P3245" t="str">
            <v>VAN</v>
          </cell>
        </row>
        <row r="3246">
          <cell r="A3246">
            <v>661</v>
          </cell>
          <cell r="B3246">
            <v>661</v>
          </cell>
          <cell r="C3246" t="str">
            <v>CERO MATRICULA</v>
          </cell>
          <cell r="D3246" t="str">
            <v>ACTIVO</v>
          </cell>
          <cell r="E3246" t="str">
            <v>CNX564</v>
          </cell>
          <cell r="F3246" t="str">
            <v>Flores Torres David Jonathan</v>
          </cell>
          <cell r="G3246" t="str">
            <v>Flores Torres David Jonathan</v>
          </cell>
          <cell r="H3246" t="str">
            <v>47264079</v>
          </cell>
          <cell r="I3246" t="str">
            <v>INTERBANK</v>
          </cell>
          <cell r="J3246" t="str">
            <v>8983478842220</v>
          </cell>
          <cell r="K3246" t="str">
            <v>DNI</v>
          </cell>
          <cell r="L3246">
            <v>10472640793</v>
          </cell>
          <cell r="M3246" t="str">
            <v>URBANO PARTNER</v>
          </cell>
          <cell r="N3246">
            <v>46056</v>
          </cell>
          <cell r="O3246">
            <v>0</v>
          </cell>
          <cell r="P3246" t="str">
            <v>COMFORT XL</v>
          </cell>
        </row>
        <row r="3247">
          <cell r="A3247">
            <v>2600</v>
          </cell>
          <cell r="B3247">
            <v>2600</v>
          </cell>
          <cell r="C3247" t="str">
            <v>CERO MATRICULA</v>
          </cell>
          <cell r="D3247" t="str">
            <v>ACTIVO</v>
          </cell>
          <cell r="E3247" t="str">
            <v>CUE-122</v>
          </cell>
          <cell r="F3247" t="str">
            <v>Martinez Quevedo Roberto Miguel</v>
          </cell>
          <cell r="G3247" t="str">
            <v>Martinez Quevedo Roberto Miguel</v>
          </cell>
          <cell r="H3247" t="str">
            <v>42353785</v>
          </cell>
          <cell r="I3247" t="str">
            <v>INTERBANK</v>
          </cell>
          <cell r="J3247" t="str">
            <v>8983334635343</v>
          </cell>
          <cell r="K3247" t="str">
            <v>DNI</v>
          </cell>
          <cell r="L3247">
            <v>10423537855</v>
          </cell>
          <cell r="M3247" t="str">
            <v>URBANO PARTNER</v>
          </cell>
          <cell r="N3247">
            <v>46056</v>
          </cell>
          <cell r="O3247">
            <v>0</v>
          </cell>
          <cell r="P3247" t="str">
            <v>COMFORT XL</v>
          </cell>
        </row>
        <row r="3248">
          <cell r="A3248">
            <v>4185</v>
          </cell>
          <cell r="B3248">
            <v>4185</v>
          </cell>
          <cell r="C3248" t="str">
            <v>CERO MATRICULA</v>
          </cell>
          <cell r="D3248" t="str">
            <v>ACTIVO</v>
          </cell>
          <cell r="E3248" t="str">
            <v>CPE451</v>
          </cell>
          <cell r="F3248" t="str">
            <v xml:space="preserve">Albarrán Fernández Edilberto waldir </v>
          </cell>
          <cell r="G3248" t="str">
            <v xml:space="preserve">Albarran Fernández Edilberto waldir </v>
          </cell>
          <cell r="H3248" t="str">
            <v>45760426</v>
          </cell>
          <cell r="I3248" t="str">
            <v>BCP</v>
          </cell>
          <cell r="J3248" t="str">
            <v>19179549320046</v>
          </cell>
          <cell r="K3248" t="str">
            <v>DNI</v>
          </cell>
          <cell r="L3248">
            <v>10457604268</v>
          </cell>
          <cell r="M3248" t="str">
            <v>URBANO PARTNER</v>
          </cell>
          <cell r="N3248">
            <v>46056</v>
          </cell>
          <cell r="O3248">
            <v>0</v>
          </cell>
          <cell r="P3248" t="str">
            <v>XL</v>
          </cell>
        </row>
        <row r="3249">
          <cell r="A3249">
            <v>4186</v>
          </cell>
          <cell r="B3249">
            <v>4186</v>
          </cell>
          <cell r="C3249" t="str">
            <v>CERO MATRICULA</v>
          </cell>
          <cell r="D3249" t="str">
            <v>ACTIVO</v>
          </cell>
          <cell r="E3249" t="str">
            <v>BDX196</v>
          </cell>
          <cell r="F3249" t="str">
            <v>Mendoza Díaz Yunior alinber</v>
          </cell>
          <cell r="G3249" t="str">
            <v>Mendoza Díaz Yunior alinber</v>
          </cell>
          <cell r="H3249" t="str">
            <v>61748974</v>
          </cell>
          <cell r="I3249" t="str">
            <v>BCP</v>
          </cell>
          <cell r="J3249" t="str">
            <v>19103243388048</v>
          </cell>
          <cell r="K3249" t="str">
            <v>DNI</v>
          </cell>
          <cell r="L3249">
            <v>10617489746</v>
          </cell>
          <cell r="M3249" t="str">
            <v>URBANO PARTNER</v>
          </cell>
          <cell r="N3249">
            <v>46056</v>
          </cell>
          <cell r="O3249">
            <v>0</v>
          </cell>
          <cell r="P3249" t="str">
            <v>LITE</v>
          </cell>
        </row>
        <row r="3250">
          <cell r="A3250">
            <v>4187</v>
          </cell>
          <cell r="B3250">
            <v>4187</v>
          </cell>
          <cell r="C3250" t="str">
            <v>CERO MATRICULA</v>
          </cell>
          <cell r="D3250" t="str">
            <v>ACTIVO</v>
          </cell>
          <cell r="E3250" t="str">
            <v>CRT075</v>
          </cell>
          <cell r="F3250" t="str">
            <v>Fuertes Lopez Manuel Humberto Junior</v>
          </cell>
          <cell r="G3250" t="str">
            <v>Fuertes Lopez Manuel Humberto Junior</v>
          </cell>
          <cell r="H3250" t="str">
            <v>72973690</v>
          </cell>
          <cell r="I3250" t="str">
            <v>BCP</v>
          </cell>
          <cell r="J3250" t="str">
            <v>19492261201031</v>
          </cell>
          <cell r="K3250" t="str">
            <v>DNI</v>
          </cell>
          <cell r="L3250">
            <v>10729736908</v>
          </cell>
          <cell r="M3250" t="str">
            <v>URBANO PARTNER</v>
          </cell>
          <cell r="N3250">
            <v>46056</v>
          </cell>
          <cell r="O3250">
            <v>0</v>
          </cell>
          <cell r="P3250" t="str">
            <v>COMFORT</v>
          </cell>
        </row>
        <row r="3251">
          <cell r="A3251">
            <v>2645</v>
          </cell>
          <cell r="B3251">
            <v>2645</v>
          </cell>
          <cell r="C3251" t="str">
            <v>CERO MATRICULA</v>
          </cell>
          <cell r="D3251" t="str">
            <v>ACTIVO</v>
          </cell>
          <cell r="E3251" t="str">
            <v>CHD406</v>
          </cell>
          <cell r="F3251" t="str">
            <v>Fernández Gago Alberto</v>
          </cell>
          <cell r="G3251" t="str">
            <v>Fernandez Gago Alberto</v>
          </cell>
          <cell r="H3251" t="str">
            <v>44403571</v>
          </cell>
          <cell r="I3251" t="str">
            <v>BCP</v>
          </cell>
          <cell r="J3251" t="str">
            <v>19173818300037</v>
          </cell>
          <cell r="K3251" t="str">
            <v>DNI</v>
          </cell>
          <cell r="L3251">
            <v>10444035710</v>
          </cell>
          <cell r="M3251" t="str">
            <v>URBANO PARTNER</v>
          </cell>
          <cell r="N3251">
            <v>46056</v>
          </cell>
          <cell r="O3251">
            <v>0</v>
          </cell>
          <cell r="P3251" t="str">
            <v>COMFORT</v>
          </cell>
        </row>
        <row r="3252">
          <cell r="A3252">
            <v>4188</v>
          </cell>
          <cell r="B3252">
            <v>4188</v>
          </cell>
          <cell r="C3252" t="str">
            <v>CERO MATRICULA</v>
          </cell>
          <cell r="D3252" t="str">
            <v>ACTIVO</v>
          </cell>
          <cell r="E3252" t="str">
            <v>CUP479</v>
          </cell>
          <cell r="F3252" t="str">
            <v>Dum Roman Hector Daniel</v>
          </cell>
          <cell r="G3252" t="str">
            <v>Dum Roman Hector Daniel</v>
          </cell>
          <cell r="H3252" t="str">
            <v>002263445</v>
          </cell>
          <cell r="I3252" t="str">
            <v>BCP</v>
          </cell>
          <cell r="J3252" t="str">
            <v>19105036820096</v>
          </cell>
          <cell r="K3252" t="str">
            <v>CE</v>
          </cell>
          <cell r="L3252">
            <v>15603602142</v>
          </cell>
          <cell r="M3252" t="str">
            <v>AEROLINEAS</v>
          </cell>
          <cell r="N3252">
            <v>46056</v>
          </cell>
          <cell r="O3252">
            <v>0</v>
          </cell>
          <cell r="P3252" t="str">
            <v>LITE</v>
          </cell>
        </row>
        <row r="3253">
          <cell r="A3253">
            <v>4164</v>
          </cell>
          <cell r="B3253">
            <v>4164</v>
          </cell>
          <cell r="C3253" t="str">
            <v>CERO MATRICULA</v>
          </cell>
          <cell r="D3253" t="str">
            <v>ACTIVO</v>
          </cell>
          <cell r="E3253" t="str">
            <v>CUN503</v>
          </cell>
          <cell r="F3253" t="str">
            <v>Alva Silvera Oscar Alfredo</v>
          </cell>
          <cell r="G3253" t="str">
            <v>Alva Silvera Oscar Alfredo</v>
          </cell>
          <cell r="H3253" t="str">
            <v>75803176</v>
          </cell>
          <cell r="I3253" t="str">
            <v>INTERBANK</v>
          </cell>
          <cell r="J3253" t="str">
            <v>400315029308</v>
          </cell>
          <cell r="K3253" t="str">
            <v>DNI</v>
          </cell>
          <cell r="L3253">
            <v>10758031760</v>
          </cell>
          <cell r="M3253" t="str">
            <v>AEROLINEAS</v>
          </cell>
          <cell r="N3253">
            <v>46058</v>
          </cell>
          <cell r="O3253">
            <v>0</v>
          </cell>
          <cell r="P3253" t="str">
            <v>COMFORT XL</v>
          </cell>
        </row>
        <row r="3254">
          <cell r="A3254">
            <v>4189</v>
          </cell>
          <cell r="B3254">
            <v>4189</v>
          </cell>
          <cell r="C3254" t="str">
            <v>CERO MATRICULA</v>
          </cell>
          <cell r="D3254" t="str">
            <v>ACTIVO</v>
          </cell>
          <cell r="E3254" t="str">
            <v>BZM294</v>
          </cell>
          <cell r="F3254" t="str">
            <v>Apolinario Dela Cruz Jeferson Armando</v>
          </cell>
          <cell r="G3254" t="str">
            <v>Apolinario De la Cruz Jeferson Armando</v>
          </cell>
          <cell r="H3254" t="str">
            <v>72674393</v>
          </cell>
          <cell r="I3254" t="str">
            <v>BCP</v>
          </cell>
          <cell r="J3254" t="str">
            <v>19107352024086</v>
          </cell>
          <cell r="K3254" t="str">
            <v>DNI</v>
          </cell>
          <cell r="L3254">
            <v>10726743938</v>
          </cell>
          <cell r="M3254" t="str">
            <v>AEROLINEAS</v>
          </cell>
          <cell r="N3254">
            <v>46058</v>
          </cell>
          <cell r="O3254">
            <v>0</v>
          </cell>
          <cell r="P3254" t="str">
            <v>XL</v>
          </cell>
        </row>
        <row r="3255">
          <cell r="A3255">
            <v>4167</v>
          </cell>
          <cell r="B3255">
            <v>4167</v>
          </cell>
          <cell r="C3255" t="str">
            <v>CERO MATRICULA</v>
          </cell>
          <cell r="D3255" t="str">
            <v>ACTIVO</v>
          </cell>
          <cell r="E3255" t="str">
            <v>CTU325</v>
          </cell>
          <cell r="F3255" t="str">
            <v>Lizarraga Uribe Walter Alberto</v>
          </cell>
          <cell r="G3255" t="str">
            <v>Lizarraga Uribe Walter Alberto</v>
          </cell>
          <cell r="H3255" t="str">
            <v>42917468</v>
          </cell>
          <cell r="I3255" t="str">
            <v>BBVA</v>
          </cell>
          <cell r="J3255" t="str">
            <v>001108140244143690</v>
          </cell>
          <cell r="K3255" t="str">
            <v>DNI</v>
          </cell>
          <cell r="L3255">
            <v>10429174681</v>
          </cell>
          <cell r="M3255" t="str">
            <v>AEROLINEAS</v>
          </cell>
          <cell r="N3255">
            <v>46058</v>
          </cell>
          <cell r="O3255">
            <v>0</v>
          </cell>
          <cell r="P3255" t="str">
            <v>COMFORT XL</v>
          </cell>
        </row>
        <row r="3256">
          <cell r="A3256">
            <v>4190</v>
          </cell>
          <cell r="B3256">
            <v>4190</v>
          </cell>
          <cell r="C3256" t="str">
            <v>CERO MATRICULA</v>
          </cell>
          <cell r="D3256" t="str">
            <v>ACTIVO</v>
          </cell>
          <cell r="E3256" t="str">
            <v>Z6F587</v>
          </cell>
          <cell r="F3256" t="str">
            <v xml:space="preserve">Barriga Rossell Miguel Angel </v>
          </cell>
          <cell r="G3256" t="str">
            <v xml:space="preserve">Barriga Rossell Miguel Angel </v>
          </cell>
          <cell r="H3256" t="str">
            <v>09673941</v>
          </cell>
          <cell r="I3256" t="str">
            <v>INTERBANK</v>
          </cell>
          <cell r="J3256" t="str">
            <v xml:space="preserve"> 0233471382068</v>
          </cell>
          <cell r="K3256" t="str">
            <v>DNI</v>
          </cell>
          <cell r="L3256">
            <v>10096739414</v>
          </cell>
          <cell r="M3256" t="str">
            <v>AEROLINEAS</v>
          </cell>
          <cell r="N3256">
            <v>46058</v>
          </cell>
          <cell r="O3256">
            <v>0</v>
          </cell>
          <cell r="P3256" t="str">
            <v>COMFORT</v>
          </cell>
        </row>
        <row r="3257">
          <cell r="A3257">
            <v>4170</v>
          </cell>
          <cell r="B3257">
            <v>4170</v>
          </cell>
          <cell r="C3257" t="str">
            <v>CERO MATRICULA</v>
          </cell>
          <cell r="D3257" t="str">
            <v>ACTIVO</v>
          </cell>
          <cell r="E3257" t="str">
            <v>CWD589</v>
          </cell>
          <cell r="F3257" t="str">
            <v>Cueva Giraldo Miguel Angel</v>
          </cell>
          <cell r="G3257" t="str">
            <v>Cueva Giraldo Miguel Angel</v>
          </cell>
          <cell r="H3257" t="str">
            <v>41343354</v>
          </cell>
          <cell r="I3257" t="str">
            <v>BCP</v>
          </cell>
          <cell r="J3257" t="str">
            <v>19130737495072</v>
          </cell>
          <cell r="K3257" t="str">
            <v>DNI</v>
          </cell>
          <cell r="L3257">
            <v>10413433547</v>
          </cell>
          <cell r="M3257" t="str">
            <v>AEROLINEAS</v>
          </cell>
          <cell r="N3257">
            <v>46058</v>
          </cell>
          <cell r="O3257">
            <v>0</v>
          </cell>
          <cell r="P3257" t="str">
            <v>VAN</v>
          </cell>
        </row>
        <row r="3258">
          <cell r="A3258">
            <v>4191</v>
          </cell>
          <cell r="B3258">
            <v>4191</v>
          </cell>
          <cell r="C3258" t="str">
            <v>CERO MATRICULA</v>
          </cell>
          <cell r="D3258" t="str">
            <v>ACTIVO</v>
          </cell>
          <cell r="E3258" t="str">
            <v>CLQ278</v>
          </cell>
          <cell r="F3258" t="str">
            <v>Peralta Gonzales Jesús</v>
          </cell>
          <cell r="G3258" t="str">
            <v>Peralta Gonzales Jesús</v>
          </cell>
          <cell r="H3258" t="str">
            <v>09030321</v>
          </cell>
          <cell r="I3258" t="str">
            <v>BCP</v>
          </cell>
          <cell r="J3258" t="str">
            <v>19198076236003</v>
          </cell>
          <cell r="K3258" t="str">
            <v>DNI</v>
          </cell>
          <cell r="L3258">
            <v>10090303215</v>
          </cell>
          <cell r="M3258" t="str">
            <v>AEROLINEAS</v>
          </cell>
          <cell r="N3258">
            <v>46058</v>
          </cell>
          <cell r="O3258">
            <v>0</v>
          </cell>
          <cell r="P3258" t="str">
            <v>COMFORT XL</v>
          </cell>
        </row>
        <row r="3259">
          <cell r="A3259">
            <v>4192</v>
          </cell>
          <cell r="B3259">
            <v>4192</v>
          </cell>
          <cell r="C3259" t="str">
            <v>CERO MATRICULA</v>
          </cell>
          <cell r="D3259" t="str">
            <v>ACTIVO</v>
          </cell>
          <cell r="E3259" t="str">
            <v>CSH498</v>
          </cell>
          <cell r="F3259" t="str">
            <v>Zapata Nadal Julio Cesar</v>
          </cell>
          <cell r="G3259" t="str">
            <v>Zapata Nadal Julio Cesar</v>
          </cell>
          <cell r="H3259" t="str">
            <v>002006717</v>
          </cell>
          <cell r="I3259" t="str">
            <v>BCP</v>
          </cell>
          <cell r="J3259" t="str">
            <v>19392952602015</v>
          </cell>
          <cell r="K3259" t="str">
            <v>CE</v>
          </cell>
          <cell r="L3259">
            <v>15604467516</v>
          </cell>
          <cell r="M3259" t="str">
            <v>AEROLINEAS</v>
          </cell>
          <cell r="N3259">
            <v>46058</v>
          </cell>
          <cell r="O3259">
            <v>0</v>
          </cell>
          <cell r="P3259" t="str">
            <v>COMFORT XL</v>
          </cell>
        </row>
        <row r="3260">
          <cell r="A3260">
            <v>4193</v>
          </cell>
          <cell r="B3260">
            <v>4193</v>
          </cell>
          <cell r="C3260" t="str">
            <v>CERO MATRICULA</v>
          </cell>
          <cell r="D3260" t="str">
            <v>ACTIVO</v>
          </cell>
          <cell r="E3260" t="str">
            <v>BMV190</v>
          </cell>
          <cell r="F3260" t="str">
            <v xml:space="preserve">Nomberto Chanduvi Jhon Raul </v>
          </cell>
          <cell r="G3260" t="str">
            <v xml:space="preserve">Nomberto Chanduvi Jhon Raul </v>
          </cell>
          <cell r="H3260" t="str">
            <v>44053856</v>
          </cell>
          <cell r="I3260" t="str">
            <v>BBVA</v>
          </cell>
          <cell r="J3260" t="str">
            <v>001108140200280887</v>
          </cell>
          <cell r="K3260" t="str">
            <v>DNI</v>
          </cell>
          <cell r="L3260">
            <v>10440538563</v>
          </cell>
          <cell r="M3260" t="str">
            <v>AEROLINEAS</v>
          </cell>
          <cell r="N3260">
            <v>46058</v>
          </cell>
          <cell r="O3260">
            <v>0</v>
          </cell>
          <cell r="P3260" t="str">
            <v>COMFORT XL</v>
          </cell>
        </row>
        <row r="3261">
          <cell r="A3261">
            <v>4195</v>
          </cell>
          <cell r="B3261">
            <v>4195</v>
          </cell>
          <cell r="C3261" t="str">
            <v>CERO MATRICULA</v>
          </cell>
          <cell r="D3261" t="str">
            <v>ACTIVO</v>
          </cell>
          <cell r="E3261" t="str">
            <v>CSJ124</v>
          </cell>
          <cell r="F3261" t="str">
            <v>Inga Panaifo Miguel Angel</v>
          </cell>
          <cell r="G3261" t="str">
            <v>Inga Panaifo Miguel Angel</v>
          </cell>
          <cell r="H3261" t="str">
            <v>40484731</v>
          </cell>
          <cell r="I3261" t="str">
            <v>INTERBANK</v>
          </cell>
          <cell r="J3261" t="str">
            <v>8983468825335</v>
          </cell>
          <cell r="K3261" t="str">
            <v>DNI</v>
          </cell>
          <cell r="L3261">
            <v>10404847312</v>
          </cell>
          <cell r="M3261" t="str">
            <v>AEROLINEAS</v>
          </cell>
          <cell r="N3261">
            <v>46058</v>
          </cell>
          <cell r="O3261">
            <v>0</v>
          </cell>
          <cell r="P3261" t="str">
            <v>XL</v>
          </cell>
        </row>
        <row r="3262">
          <cell r="A3262">
            <v>4196</v>
          </cell>
          <cell r="B3262">
            <v>4196</v>
          </cell>
          <cell r="C3262" t="str">
            <v>CERO MATRICULA</v>
          </cell>
          <cell r="D3262" t="str">
            <v>ACTIVO</v>
          </cell>
          <cell r="E3262" t="str">
            <v>CSH376</v>
          </cell>
          <cell r="F3262" t="str">
            <v>Pineda Astopilco Olga Rosa</v>
          </cell>
          <cell r="G3262" t="str">
            <v>Pineda Astopilco Olga Rosa</v>
          </cell>
          <cell r="H3262" t="str">
            <v>09563841</v>
          </cell>
          <cell r="I3262" t="str">
            <v>INTERBANK</v>
          </cell>
          <cell r="J3262" t="str">
            <v>8983462496828</v>
          </cell>
          <cell r="K3262" t="str">
            <v>DNI</v>
          </cell>
          <cell r="L3262">
            <v>10095638410</v>
          </cell>
          <cell r="M3262" t="str">
            <v>AEROLINEAS</v>
          </cell>
          <cell r="N3262">
            <v>46058</v>
          </cell>
          <cell r="O3262">
            <v>0</v>
          </cell>
          <cell r="P3262" t="str">
            <v>COMFORT</v>
          </cell>
        </row>
        <row r="3263">
          <cell r="A3263">
            <v>4199</v>
          </cell>
          <cell r="B3263">
            <v>4199</v>
          </cell>
          <cell r="C3263" t="str">
            <v>CERO MATRICULA</v>
          </cell>
          <cell r="D3263" t="str">
            <v>ACTIVO</v>
          </cell>
          <cell r="E3263" t="str">
            <v>CVM238</v>
          </cell>
          <cell r="F3263" t="str">
            <v xml:space="preserve">BELTRAN PERALTA PERCY JONATHAN </v>
          </cell>
          <cell r="G3263" t="str">
            <v>MABA BUSINESS AND TOURS E.I.R.L. MABA BUSINESS AND TOURS E.I.R.L.</v>
          </cell>
          <cell r="H3263">
            <v>20615330257</v>
          </cell>
          <cell r="I3263" t="str">
            <v>INTERBANK</v>
          </cell>
          <cell r="J3263" t="str">
            <v>2003008003830</v>
          </cell>
          <cell r="K3263" t="str">
            <v>RUC</v>
          </cell>
          <cell r="L3263">
            <v>20615330257</v>
          </cell>
          <cell r="M3263" t="str">
            <v>AEROPUERTO VAN</v>
          </cell>
          <cell r="N3263">
            <v>46058</v>
          </cell>
          <cell r="O3263">
            <v>240</v>
          </cell>
          <cell r="P3263" t="str">
            <v>VAN</v>
          </cell>
        </row>
        <row r="3264">
          <cell r="A3264">
            <v>4180</v>
          </cell>
          <cell r="B3264">
            <v>4180</v>
          </cell>
          <cell r="C3264" t="str">
            <v>CERO MATRICULA</v>
          </cell>
          <cell r="D3264" t="str">
            <v>ACTIVO</v>
          </cell>
          <cell r="E3264" t="str">
            <v>CPU 459</v>
          </cell>
          <cell r="F3264" t="str">
            <v>Galarza Guevara Héctor Luis</v>
          </cell>
          <cell r="G3264" t="str">
            <v>Rodriguez Ramos Yennyfer beatriz</v>
          </cell>
          <cell r="H3264" t="str">
            <v>45393858</v>
          </cell>
          <cell r="I3264" t="str">
            <v>INTERBANK</v>
          </cell>
          <cell r="J3264" t="str">
            <v>4363363431689</v>
          </cell>
          <cell r="K3264" t="str">
            <v>DNI</v>
          </cell>
          <cell r="L3264">
            <v>10453938587</v>
          </cell>
          <cell r="M3264" t="str">
            <v>MEMBRESÍA NOCTURNA - APTO</v>
          </cell>
          <cell r="N3264">
            <v>46052</v>
          </cell>
          <cell r="O3264">
            <v>315</v>
          </cell>
          <cell r="P3264" t="str">
            <v>LITE</v>
          </cell>
        </row>
        <row r="3265">
          <cell r="A3265">
            <v>4181</v>
          </cell>
          <cell r="B3265">
            <v>4181</v>
          </cell>
          <cell r="C3265" t="str">
            <v>CERO MATRICULA</v>
          </cell>
          <cell r="D3265" t="str">
            <v>ACTIVO</v>
          </cell>
          <cell r="E3265" t="str">
            <v>CVU180</v>
          </cell>
          <cell r="F3265" t="str">
            <v>Rovedas Ojeda Larry andres</v>
          </cell>
          <cell r="G3265" t="str">
            <v>Rovedas Ojeda Larry andres</v>
          </cell>
          <cell r="H3265" t="str">
            <v>003810667</v>
          </cell>
          <cell r="I3265" t="str">
            <v>BCP</v>
          </cell>
          <cell r="J3265" t="str">
            <v>19195255832010</v>
          </cell>
          <cell r="K3265" t="str">
            <v>CE</v>
          </cell>
          <cell r="L3265">
            <v>15605080011</v>
          </cell>
          <cell r="M3265" t="str">
            <v>MEMBRESÍA NOCTURNA - APTO</v>
          </cell>
          <cell r="N3265">
            <v>46052</v>
          </cell>
          <cell r="O3265">
            <v>285</v>
          </cell>
          <cell r="P3265" t="str">
            <v>COMFORT XL</v>
          </cell>
        </row>
        <row r="3266">
          <cell r="A3266">
            <v>4183</v>
          </cell>
          <cell r="B3266">
            <v>4183</v>
          </cell>
          <cell r="C3266" t="str">
            <v>CERO MATRICULA</v>
          </cell>
          <cell r="D3266" t="str">
            <v>ACTIVO</v>
          </cell>
          <cell r="E3266" t="str">
            <v>CWF053</v>
          </cell>
          <cell r="F3266" t="str">
            <v xml:space="preserve">Ugaz Luna Bernardo Andrés </v>
          </cell>
          <cell r="G3266" t="str">
            <v xml:space="preserve">Ugaz Luna Bernardo Andrés </v>
          </cell>
          <cell r="H3266" t="str">
            <v>45838150</v>
          </cell>
          <cell r="I3266" t="str">
            <v>BBVA</v>
          </cell>
          <cell r="J3266" t="str">
            <v>001108140289676142</v>
          </cell>
          <cell r="K3266" t="str">
            <v>DNI</v>
          </cell>
          <cell r="L3266">
            <v>10458381505</v>
          </cell>
          <cell r="M3266" t="str">
            <v>URBANO PARTNER</v>
          </cell>
          <cell r="N3266">
            <v>46052</v>
          </cell>
          <cell r="O3266">
            <v>0</v>
          </cell>
          <cell r="P3266" t="str">
            <v>COMFORT XL</v>
          </cell>
        </row>
        <row r="3267">
          <cell r="A3267">
            <v>4172</v>
          </cell>
          <cell r="B3267">
            <v>4172</v>
          </cell>
          <cell r="C3267" t="str">
            <v>CERO MATRICULA</v>
          </cell>
          <cell r="D3267" t="str">
            <v>ACTIVO</v>
          </cell>
          <cell r="E3267" t="str">
            <v>PENDIENTE</v>
          </cell>
          <cell r="F3267" t="str">
            <v>PENDIENTE</v>
          </cell>
          <cell r="G3267" t="str">
            <v>PENDIENTE</v>
          </cell>
          <cell r="H3267" t="str">
            <v>PENDIENTE</v>
          </cell>
          <cell r="I3267" t="str">
            <v>PENDIENTE</v>
          </cell>
          <cell r="J3267" t="str">
            <v>PENDIENTE</v>
          </cell>
          <cell r="K3267" t="str">
            <v>PENDIENTE</v>
          </cell>
          <cell r="L3267" t="str">
            <v>PENDIENTE</v>
          </cell>
          <cell r="M3267" t="str">
            <v>FLOTA PROPIA</v>
          </cell>
          <cell r="N3267">
            <v>46056</v>
          </cell>
          <cell r="O3267">
            <v>0</v>
          </cell>
          <cell r="P3267" t="str">
            <v>VAN</v>
          </cell>
        </row>
        <row r="3268">
          <cell r="A3268">
            <v>3988</v>
          </cell>
          <cell r="B3268">
            <v>3988</v>
          </cell>
          <cell r="C3268" t="str">
            <v>CERO MATRICULA</v>
          </cell>
          <cell r="D3268" t="str">
            <v>ACTIVO</v>
          </cell>
          <cell r="E3268" t="str">
            <v>CUX302</v>
          </cell>
          <cell r="F3268" t="str">
            <v>BALBUENA ALEJOS JUAN ANGEL</v>
          </cell>
          <cell r="G3268" t="str">
            <v>BALBUENA ALEJOS JUAN ANGEL</v>
          </cell>
          <cell r="H3268" t="str">
            <v>09606151</v>
          </cell>
          <cell r="I3268" t="str">
            <v>INTERBANK</v>
          </cell>
          <cell r="J3268" t="str">
            <v>3763498608592</v>
          </cell>
          <cell r="K3268" t="str">
            <v>DNI</v>
          </cell>
          <cell r="L3268">
            <v>10096061515</v>
          </cell>
          <cell r="M3268" t="str">
            <v>MEMBRESÍA NOCTURNA - APTO</v>
          </cell>
          <cell r="N3268">
            <v>46337</v>
          </cell>
          <cell r="O3268">
            <v>285</v>
          </cell>
          <cell r="P3268" t="str">
            <v>COMFORT XL</v>
          </cell>
        </row>
        <row r="3269">
          <cell r="A3269">
            <v>41</v>
          </cell>
          <cell r="B3269">
            <v>41</v>
          </cell>
          <cell r="C3269" t="str">
            <v>CERO MATRICULA</v>
          </cell>
          <cell r="D3269" t="str">
            <v>ACTIVO</v>
          </cell>
          <cell r="E3269" t="str">
            <v>MOVIL CONTINGENCIA</v>
          </cell>
          <cell r="F3269" t="str">
            <v>MOVIL CONTINGENCIA</v>
          </cell>
          <cell r="G3269" t="str">
            <v>MOVIL CONTINGENCIA</v>
          </cell>
          <cell r="H3269" t="str">
            <v>MOVIL CONTINGENCIA</v>
          </cell>
          <cell r="I3269" t="str">
            <v>MOVIL CONTINGENCIA</v>
          </cell>
          <cell r="J3269" t="str">
            <v>MOVIL CONTINGENCIA</v>
          </cell>
          <cell r="K3269" t="str">
            <v>MOVIL CONTINGENCIA</v>
          </cell>
          <cell r="L3269" t="str">
            <v>MOVIL CONTINGENCIA</v>
          </cell>
          <cell r="M3269" t="str">
            <v>MOVIL CONTINGENCIA</v>
          </cell>
          <cell r="N3269">
            <v>46048</v>
          </cell>
          <cell r="O3269">
            <v>0</v>
          </cell>
          <cell r="P3269" t="str">
            <v>LITE</v>
          </cell>
        </row>
        <row r="3270">
          <cell r="A3270">
            <v>2994</v>
          </cell>
          <cell r="B3270">
            <v>2994</v>
          </cell>
          <cell r="C3270" t="str">
            <v>CERO MATRICULA</v>
          </cell>
          <cell r="D3270" t="str">
            <v>ACTIVO</v>
          </cell>
          <cell r="E3270" t="str">
            <v>FLOTA PROPIA</v>
          </cell>
          <cell r="F3270" t="str">
            <v>FLOTA PROPIA</v>
          </cell>
          <cell r="G3270" t="str">
            <v>FLOTA PROPIA</v>
          </cell>
          <cell r="H3270" t="str">
            <v>FLOTA PROPIA</v>
          </cell>
          <cell r="I3270" t="str">
            <v>FLOTA PROPIA</v>
          </cell>
          <cell r="J3270" t="str">
            <v>FLOTA PROPIA</v>
          </cell>
          <cell r="K3270" t="str">
            <v>FLOTA PROPIA</v>
          </cell>
          <cell r="L3270" t="str">
            <v>FLOTA PROPIA</v>
          </cell>
          <cell r="M3270" t="str">
            <v>FLOTA PROPIA</v>
          </cell>
          <cell r="N3270">
            <v>46056</v>
          </cell>
          <cell r="O3270">
            <v>0</v>
          </cell>
          <cell r="P3270" t="str">
            <v>VAN</v>
          </cell>
        </row>
        <row r="3271">
          <cell r="A3271">
            <v>2996</v>
          </cell>
          <cell r="B3271">
            <v>2996</v>
          </cell>
          <cell r="C3271" t="str">
            <v>CERO MATRICULA</v>
          </cell>
          <cell r="D3271" t="str">
            <v>ACTIVO</v>
          </cell>
          <cell r="E3271" t="str">
            <v>FLOTA PROPIA</v>
          </cell>
          <cell r="F3271" t="str">
            <v>FLOTA PROPIA</v>
          </cell>
          <cell r="G3271" t="str">
            <v>FLOTA PROPIA</v>
          </cell>
          <cell r="H3271" t="str">
            <v>FLOTA PROPIA</v>
          </cell>
          <cell r="I3271" t="str">
            <v>FLOTA PROPIA</v>
          </cell>
          <cell r="J3271" t="str">
            <v>FLOTA PROPIA</v>
          </cell>
          <cell r="K3271" t="str">
            <v>FLOTA PROPIA</v>
          </cell>
          <cell r="L3271" t="str">
            <v>FLOTA PROPIA</v>
          </cell>
          <cell r="M3271" t="str">
            <v>FLOTA PROPIA</v>
          </cell>
          <cell r="N3271">
            <v>46056</v>
          </cell>
          <cell r="O3271">
            <v>0</v>
          </cell>
          <cell r="P3271" t="str">
            <v>VAN</v>
          </cell>
        </row>
        <row r="3272">
          <cell r="A3272">
            <v>2998</v>
          </cell>
          <cell r="B3272">
            <v>2998</v>
          </cell>
          <cell r="C3272" t="str">
            <v>CERO MATRICULA</v>
          </cell>
          <cell r="D3272" t="str">
            <v>ACTIVO</v>
          </cell>
          <cell r="E3272" t="str">
            <v>FLOTA PROPIA</v>
          </cell>
          <cell r="F3272" t="str">
            <v>FLOTA PROPIA</v>
          </cell>
          <cell r="G3272" t="str">
            <v>FLOTA PROPIA</v>
          </cell>
          <cell r="H3272" t="str">
            <v>FLOTA PROPIA</v>
          </cell>
          <cell r="I3272" t="str">
            <v>FLOTA PROPIA</v>
          </cell>
          <cell r="J3272" t="str">
            <v>FLOTA PROPIA</v>
          </cell>
          <cell r="K3272" t="str">
            <v>FLOTA PROPIA</v>
          </cell>
          <cell r="L3272" t="str">
            <v>FLOTA PROPIA</v>
          </cell>
          <cell r="M3272" t="str">
            <v>FLOTA PROPIA</v>
          </cell>
          <cell r="N3272">
            <v>46056</v>
          </cell>
          <cell r="O3272">
            <v>0</v>
          </cell>
          <cell r="P3272" t="str">
            <v>VAN</v>
          </cell>
        </row>
        <row r="3273">
          <cell r="A3273">
            <v>2997</v>
          </cell>
          <cell r="B3273">
            <v>2997</v>
          </cell>
          <cell r="C3273" t="str">
            <v>CERO MATRICULA</v>
          </cell>
          <cell r="D3273" t="str">
            <v>ACTIVO</v>
          </cell>
          <cell r="E3273" t="str">
            <v>FLOTA PROPIA</v>
          </cell>
          <cell r="F3273" t="str">
            <v>FLOTA PROPIA</v>
          </cell>
          <cell r="G3273" t="str">
            <v>FLOTA PROPIA</v>
          </cell>
          <cell r="H3273" t="str">
            <v>FLOTA PROPIA</v>
          </cell>
          <cell r="I3273" t="str">
            <v>FLOTA PROPIA</v>
          </cell>
          <cell r="J3273" t="str">
            <v>FLOTA PROPIA</v>
          </cell>
          <cell r="K3273" t="str">
            <v>FLOTA PROPIA</v>
          </cell>
          <cell r="L3273" t="str">
            <v>FLOTA PROPIA</v>
          </cell>
          <cell r="M3273" t="str">
            <v>FLOTA PROPIA</v>
          </cell>
          <cell r="N3273">
            <v>46056</v>
          </cell>
          <cell r="O3273">
            <v>0</v>
          </cell>
          <cell r="P3273" t="str">
            <v>VAN</v>
          </cell>
        </row>
        <row r="3274">
          <cell r="A3274">
            <v>2995</v>
          </cell>
          <cell r="B3274">
            <v>2995</v>
          </cell>
          <cell r="C3274" t="str">
            <v>CERO MATRICULA</v>
          </cell>
          <cell r="D3274" t="str">
            <v>ACTIVO</v>
          </cell>
          <cell r="E3274" t="str">
            <v>FLOTA PROPIA</v>
          </cell>
          <cell r="F3274" t="str">
            <v>FLOTA PROPIA</v>
          </cell>
          <cell r="G3274" t="str">
            <v>FLOTA PROPIA</v>
          </cell>
          <cell r="H3274" t="str">
            <v>FLOTA PROPIA</v>
          </cell>
          <cell r="I3274" t="str">
            <v>FLOTA PROPIA</v>
          </cell>
          <cell r="J3274" t="str">
            <v>FLOTA PROPIA</v>
          </cell>
          <cell r="K3274" t="str">
            <v>FLOTA PROPIA</v>
          </cell>
          <cell r="L3274" t="str">
            <v>FLOTA PROPIA</v>
          </cell>
          <cell r="M3274" t="str">
            <v>FLOTA PROPIA</v>
          </cell>
          <cell r="N3274">
            <v>46056</v>
          </cell>
          <cell r="O3274">
            <v>0</v>
          </cell>
          <cell r="P3274" t="str">
            <v>VAN</v>
          </cell>
        </row>
        <row r="3275">
          <cell r="A3275">
            <v>9534</v>
          </cell>
          <cell r="B3275">
            <v>9534</v>
          </cell>
          <cell r="C3275" t="str">
            <v>CERO MATRICULA</v>
          </cell>
          <cell r="D3275" t="str">
            <v>ACTIVO</v>
          </cell>
          <cell r="E3275" t="str">
            <v>CWR477</v>
          </cell>
          <cell r="F3275" t="str">
            <v>Huanca Naupay Gualberto</v>
          </cell>
          <cell r="G3275" t="str">
            <v>Huanca Naupay Gualberto</v>
          </cell>
          <cell r="H3275" t="str">
            <v>44891390</v>
          </cell>
          <cell r="I3275" t="str">
            <v>BCP</v>
          </cell>
          <cell r="J3275" t="str">
            <v>19303015775036</v>
          </cell>
          <cell r="K3275" t="str">
            <v>DNI</v>
          </cell>
          <cell r="L3275">
            <v>10448913908</v>
          </cell>
          <cell r="M3275" t="str">
            <v>AEROLINEAS</v>
          </cell>
          <cell r="N3275">
            <v>46063</v>
          </cell>
          <cell r="O3275">
            <v>0</v>
          </cell>
          <cell r="P3275" t="str">
            <v>COMFORT</v>
          </cell>
        </row>
        <row r="3276">
          <cell r="A3276">
            <v>4251</v>
          </cell>
          <cell r="B3276">
            <v>4251</v>
          </cell>
          <cell r="C3276" t="str">
            <v>CERO MATRICULA</v>
          </cell>
          <cell r="D3276" t="str">
            <v>ACTIVO</v>
          </cell>
          <cell r="E3276" t="str">
            <v>CVT080</v>
          </cell>
          <cell r="F3276" t="str">
            <v>Hidalgo Amesty Jesús Alberto</v>
          </cell>
          <cell r="G3276" t="str">
            <v>Hidalgo Amesty Jesús Alberto</v>
          </cell>
          <cell r="H3276" t="str">
            <v>004590098</v>
          </cell>
          <cell r="I3276" t="str">
            <v>BCP</v>
          </cell>
          <cell r="J3276" t="str">
            <v>19197035653009</v>
          </cell>
          <cell r="K3276" t="str">
            <v>CE</v>
          </cell>
          <cell r="L3276">
            <v>15615288028</v>
          </cell>
          <cell r="M3276" t="str">
            <v>URBANO PARTNER</v>
          </cell>
          <cell r="N3276">
            <v>46063</v>
          </cell>
          <cell r="O3276">
            <v>0</v>
          </cell>
          <cell r="P3276" t="str">
            <v>LITE</v>
          </cell>
        </row>
        <row r="3277">
          <cell r="A3277">
            <v>4252</v>
          </cell>
          <cell r="B3277">
            <v>4252</v>
          </cell>
          <cell r="C3277" t="str">
            <v>CERO MATRICULA</v>
          </cell>
          <cell r="D3277" t="str">
            <v>ACTIVO</v>
          </cell>
          <cell r="E3277" t="str">
            <v>CWA666</v>
          </cell>
          <cell r="F3277" t="str">
            <v>Rios Fun Luis Alberto</v>
          </cell>
          <cell r="G3277" t="str">
            <v>Rios Fun Carmen Rosa</v>
          </cell>
          <cell r="H3277" t="str">
            <v>22497937</v>
          </cell>
          <cell r="I3277" t="str">
            <v>BCP</v>
          </cell>
          <cell r="J3277" t="str">
            <v>19192150422033</v>
          </cell>
          <cell r="K3277" t="str">
            <v>DNI</v>
          </cell>
          <cell r="L3277">
            <v>10224979377</v>
          </cell>
          <cell r="M3277" t="str">
            <v>AEROLINEAS</v>
          </cell>
          <cell r="N3277">
            <v>46063</v>
          </cell>
          <cell r="O3277">
            <v>0</v>
          </cell>
          <cell r="P3277" t="str">
            <v>XL</v>
          </cell>
        </row>
        <row r="3278">
          <cell r="A3278">
            <v>4253</v>
          </cell>
          <cell r="B3278">
            <v>4253</v>
          </cell>
          <cell r="C3278" t="str">
            <v>CERO MATRICULA</v>
          </cell>
          <cell r="D3278" t="str">
            <v>ACTIVO</v>
          </cell>
          <cell r="E3278" t="str">
            <v>BPL278</v>
          </cell>
          <cell r="F3278" t="str">
            <v>Andrade Cruz Yohel German</v>
          </cell>
          <cell r="G3278" t="str">
            <v>Andrade Cruz Yohel German</v>
          </cell>
          <cell r="H3278" t="str">
            <v>40578955</v>
          </cell>
          <cell r="I3278" t="str">
            <v>BCP</v>
          </cell>
          <cell r="J3278" t="str">
            <v>19106866526083</v>
          </cell>
          <cell r="K3278" t="str">
            <v>DNI</v>
          </cell>
          <cell r="L3278">
            <v>10405789553</v>
          </cell>
          <cell r="M3278" t="str">
            <v>AEROLINEAS</v>
          </cell>
          <cell r="N3278">
            <v>46063</v>
          </cell>
          <cell r="O3278">
            <v>0</v>
          </cell>
          <cell r="P3278" t="str">
            <v>COMFORT XL</v>
          </cell>
        </row>
        <row r="3279">
          <cell r="A3279">
            <v>4258</v>
          </cell>
          <cell r="B3279">
            <v>4258</v>
          </cell>
          <cell r="C3279" t="str">
            <v>CERO MATRICULA</v>
          </cell>
          <cell r="D3279" t="str">
            <v>ACTIVO</v>
          </cell>
          <cell r="E3279" t="str">
            <v>CVC083</v>
          </cell>
          <cell r="F3279" t="str">
            <v>Benites Toledo Hector Gabriel</v>
          </cell>
          <cell r="G3279" t="str">
            <v>Benites Toledo Hector Gabriel</v>
          </cell>
          <cell r="H3279" t="str">
            <v>72854807</v>
          </cell>
          <cell r="I3279" t="str">
            <v>BCP</v>
          </cell>
          <cell r="J3279" t="str">
            <v>19109282740004</v>
          </cell>
          <cell r="K3279" t="str">
            <v>DNI</v>
          </cell>
          <cell r="L3279">
            <v>10728548075</v>
          </cell>
          <cell r="M3279" t="str">
            <v>AEROLINEAS</v>
          </cell>
          <cell r="N3279">
            <v>46065</v>
          </cell>
          <cell r="O3279">
            <v>0</v>
          </cell>
          <cell r="P3279" t="str">
            <v>COMFORT XL</v>
          </cell>
        </row>
        <row r="3280">
          <cell r="A3280">
            <v>4255</v>
          </cell>
          <cell r="B3280">
            <v>4255</v>
          </cell>
          <cell r="C3280" t="str">
            <v>CERO MATRICULA</v>
          </cell>
          <cell r="D3280" t="str">
            <v>ACTIVO</v>
          </cell>
          <cell r="E3280" t="str">
            <v>CWQ523</v>
          </cell>
          <cell r="F3280" t="str">
            <v>Figueira Zavarce Carlos Javier</v>
          </cell>
          <cell r="G3280" t="str">
            <v>Figueira Zavarce Carlos Javier</v>
          </cell>
          <cell r="H3280" t="str">
            <v>005330066</v>
          </cell>
          <cell r="I3280" t="str">
            <v>BCP</v>
          </cell>
          <cell r="J3280" t="str">
            <v>19406146285067</v>
          </cell>
          <cell r="K3280" t="str">
            <v>CE</v>
          </cell>
          <cell r="L3280">
            <v>15608936278</v>
          </cell>
          <cell r="M3280" t="str">
            <v>URBANO PARTNER</v>
          </cell>
          <cell r="N3280">
            <v>46063</v>
          </cell>
          <cell r="O3280">
            <v>0</v>
          </cell>
          <cell r="P3280" t="str">
            <v>LITE</v>
          </cell>
        </row>
        <row r="3281">
          <cell r="A3281">
            <v>4256</v>
          </cell>
          <cell r="B3281">
            <v>4256</v>
          </cell>
          <cell r="C3281" t="str">
            <v>CERO MATRICULA</v>
          </cell>
          <cell r="D3281" t="str">
            <v>ACTIVO</v>
          </cell>
          <cell r="E3281" t="str">
            <v>BSE542</v>
          </cell>
          <cell r="F3281" t="str">
            <v>Andrade Cruz Andre Jehova Yohel</v>
          </cell>
          <cell r="G3281" t="str">
            <v>Andrade Cruz Andre Jehova Yohel</v>
          </cell>
          <cell r="H3281" t="str">
            <v>45256523</v>
          </cell>
          <cell r="I3281" t="str">
            <v>BCP</v>
          </cell>
          <cell r="J3281" t="str">
            <v>19106361796055</v>
          </cell>
          <cell r="K3281" t="str">
            <v>DNI</v>
          </cell>
          <cell r="L3281">
            <v>10452565230</v>
          </cell>
          <cell r="M3281" t="str">
            <v>URBANO PARTNER</v>
          </cell>
          <cell r="N3281">
            <v>46063</v>
          </cell>
          <cell r="O3281">
            <v>0</v>
          </cell>
          <cell r="P3281" t="str">
            <v>XL</v>
          </cell>
        </row>
        <row r="3282">
          <cell r="A3282">
            <v>4197</v>
          </cell>
          <cell r="B3282">
            <v>4197</v>
          </cell>
          <cell r="C3282" t="str">
            <v>CERO MATRICULA</v>
          </cell>
          <cell r="D3282" t="str">
            <v>ACTIVO</v>
          </cell>
          <cell r="E3282" t="str">
            <v>BSH003</v>
          </cell>
          <cell r="F3282" t="str">
            <v>Cumarin Hernández Carlos Alberto</v>
          </cell>
          <cell r="G3282" t="str">
            <v>Cumarin Hernández Carlos Alberto</v>
          </cell>
          <cell r="H3282" t="str">
            <v>008047281</v>
          </cell>
          <cell r="I3282" t="str">
            <v>BCP</v>
          </cell>
          <cell r="J3282" t="str">
            <v>19106837961029</v>
          </cell>
          <cell r="K3282" t="str">
            <v>CE</v>
          </cell>
          <cell r="L3282">
            <v>15613718815</v>
          </cell>
          <cell r="M3282" t="str">
            <v>MEMBRESÍA NOCTURNA - APTO</v>
          </cell>
          <cell r="N3282">
            <v>46058</v>
          </cell>
          <cell r="O3282">
            <v>315</v>
          </cell>
          <cell r="P3282" t="str">
            <v>LITE</v>
          </cell>
        </row>
        <row r="3283">
          <cell r="A3283">
            <v>1291</v>
          </cell>
          <cell r="B3283">
            <v>1291</v>
          </cell>
          <cell r="C3283" t="str">
            <v>CERO MATRICULA</v>
          </cell>
          <cell r="D3283" t="str">
            <v>ACTIVO</v>
          </cell>
          <cell r="E3283" t="str">
            <v>CWB647</v>
          </cell>
          <cell r="F3283" t="str">
            <v>Toralva Bacilio Richard</v>
          </cell>
          <cell r="G3283" t="str">
            <v>Toralva Bacilio Richard</v>
          </cell>
          <cell r="H3283" t="str">
            <v>43733374</v>
          </cell>
          <cell r="I3283" t="str">
            <v>BCP</v>
          </cell>
          <cell r="J3283" t="str">
            <v>19417204875060</v>
          </cell>
          <cell r="K3283" t="str">
            <v>DNI</v>
          </cell>
          <cell r="L3283">
            <v>10437333748</v>
          </cell>
          <cell r="M3283" t="str">
            <v>MEMBRESÍA NOCTURNA - APTO</v>
          </cell>
          <cell r="N3283">
            <v>46058</v>
          </cell>
          <cell r="O3283">
            <v>285</v>
          </cell>
          <cell r="P3283" t="str">
            <v>COMFORT XL</v>
          </cell>
        </row>
        <row r="3284">
          <cell r="A3284">
            <v>9296</v>
          </cell>
          <cell r="B3284">
            <v>9296</v>
          </cell>
          <cell r="C3284" t="str">
            <v>CERO MATRICULA</v>
          </cell>
          <cell r="D3284" t="str">
            <v>ACTIVO</v>
          </cell>
          <cell r="E3284"/>
          <cell r="F3284" t="str">
            <v>Trujillo Pinto Jimmy anderson</v>
          </cell>
          <cell r="G3284" t="str">
            <v>TRUJILLO PINTO JIMMY ANDERSON</v>
          </cell>
          <cell r="H3284" t="str">
            <v>46763991</v>
          </cell>
          <cell r="I3284" t="str">
            <v>BCP</v>
          </cell>
          <cell r="J3284" t="str">
            <v>19203483857046</v>
          </cell>
          <cell r="K3284" t="str">
            <v>DNI</v>
          </cell>
          <cell r="L3284">
            <v>10467639914</v>
          </cell>
          <cell r="M3284" t="str">
            <v>AEROLINEAS</v>
          </cell>
          <cell r="N3284">
            <v>45461</v>
          </cell>
          <cell r="O3284">
            <v>0</v>
          </cell>
          <cell r="P3284" t="str">
            <v>COMFORT XL</v>
          </cell>
        </row>
        <row r="3285">
          <cell r="A3285">
            <v>4194</v>
          </cell>
          <cell r="B3285">
            <v>4194</v>
          </cell>
          <cell r="C3285" t="str">
            <v>CERO MATRICULA</v>
          </cell>
          <cell r="D3285" t="str">
            <v>ACTIVO</v>
          </cell>
          <cell r="E3285" t="str">
            <v>BMA653</v>
          </cell>
          <cell r="F3285" t="str">
            <v>La Rosa Espinoza Arsenio Raul</v>
          </cell>
          <cell r="G3285" t="str">
            <v>La Rosa Espinoza Arsenio Raul</v>
          </cell>
          <cell r="H3285" t="str">
            <v>73054608</v>
          </cell>
          <cell r="I3285" t="str">
            <v>BCP</v>
          </cell>
          <cell r="J3285" t="str">
            <v>00219110671277207659</v>
          </cell>
          <cell r="K3285" t="str">
            <v>DNI</v>
          </cell>
          <cell r="L3285">
            <v>10730546080</v>
          </cell>
          <cell r="M3285" t="str">
            <v>AEROLINEAS</v>
          </cell>
          <cell r="N3285">
            <v>46072</v>
          </cell>
          <cell r="O3285">
            <v>0</v>
          </cell>
          <cell r="P3285">
            <v>0</v>
          </cell>
        </row>
        <row r="3286">
          <cell r="A3286">
            <v>4254</v>
          </cell>
          <cell r="B3286">
            <v>4254</v>
          </cell>
          <cell r="C3286" t="str">
            <v>CERO MATRICULA</v>
          </cell>
          <cell r="D3286" t="str">
            <v>ACTIVO</v>
          </cell>
          <cell r="E3286" t="str">
            <v>CVN500</v>
          </cell>
          <cell r="F3286" t="str">
            <v>Miranda Zavala Mariano Moises</v>
          </cell>
          <cell r="G3286" t="str">
            <v>Miranda Zavala Mariano Moises</v>
          </cell>
          <cell r="H3286" t="str">
            <v>45619702</v>
          </cell>
          <cell r="I3286" t="str">
            <v>INTERBANK</v>
          </cell>
          <cell r="J3286" t="str">
            <v>8983465248604</v>
          </cell>
          <cell r="K3286" t="str">
            <v>DNI</v>
          </cell>
          <cell r="L3286">
            <v>10456197022</v>
          </cell>
          <cell r="M3286" t="str">
            <v>URBANO PARTNER</v>
          </cell>
          <cell r="N3286">
            <v>46070</v>
          </cell>
          <cell r="O3286">
            <v>0</v>
          </cell>
          <cell r="P3286">
            <v>0</v>
          </cell>
        </row>
        <row r="3287">
          <cell r="A3287">
            <v>4257</v>
          </cell>
          <cell r="B3287">
            <v>4257</v>
          </cell>
          <cell r="C3287" t="str">
            <v>CERO MATRICULA</v>
          </cell>
          <cell r="D3287" t="str">
            <v>ACTIVO</v>
          </cell>
          <cell r="E3287" t="str">
            <v>CUC634</v>
          </cell>
          <cell r="F3287" t="str">
            <v>Mendoza Rivera Dario</v>
          </cell>
          <cell r="G3287" t="str">
            <v>Mendoza Rivera Dario</v>
          </cell>
          <cell r="H3287" t="str">
            <v>76472891</v>
          </cell>
          <cell r="I3287" t="str">
            <v>BCP</v>
          </cell>
          <cell r="J3287" t="str">
            <v>19404893721051</v>
          </cell>
          <cell r="K3287" t="str">
            <v>DNI</v>
          </cell>
          <cell r="L3287">
            <v>10764728918</v>
          </cell>
          <cell r="M3287" t="str">
            <v>AEROLINEAS</v>
          </cell>
          <cell r="N3287">
            <v>46072</v>
          </cell>
          <cell r="O3287">
            <v>0</v>
          </cell>
          <cell r="P3287">
            <v>0</v>
          </cell>
        </row>
        <row r="3288">
          <cell r="A3288">
            <v>4259</v>
          </cell>
          <cell r="B3288">
            <v>4259</v>
          </cell>
          <cell r="C3288" t="str">
            <v>CERO MATRICULA</v>
          </cell>
          <cell r="D3288" t="str">
            <v>ACTIVO</v>
          </cell>
          <cell r="E3288" t="str">
            <v>CVO614</v>
          </cell>
          <cell r="F3288" t="str">
            <v>Acosta Perez Luis Enrique</v>
          </cell>
          <cell r="G3288" t="str">
            <v>Acosta Perez Luis Enrique</v>
          </cell>
          <cell r="H3288" t="str">
            <v>09854176</v>
          </cell>
          <cell r="I3288" t="str">
            <v>BCP</v>
          </cell>
          <cell r="J3288" t="str">
            <v>19491007530096</v>
          </cell>
          <cell r="K3288" t="str">
            <v>DNI</v>
          </cell>
          <cell r="L3288">
            <v>10098541760</v>
          </cell>
          <cell r="M3288" t="str">
            <v>MEMBRESÍA NOCTURNA - APTO</v>
          </cell>
          <cell r="N3288">
            <v>46070</v>
          </cell>
          <cell r="O3288">
            <v>285</v>
          </cell>
          <cell r="P3288" t="str">
            <v>COMFORT XL</v>
          </cell>
        </row>
        <row r="3289">
          <cell r="A3289">
            <v>4260</v>
          </cell>
          <cell r="B3289">
            <v>4260</v>
          </cell>
          <cell r="C3289" t="str">
            <v>CERO MATRICULA</v>
          </cell>
          <cell r="D3289" t="str">
            <v>ACTIVO</v>
          </cell>
          <cell r="E3289" t="str">
            <v>BPR188</v>
          </cell>
          <cell r="F3289" t="str">
            <v>Martinez Jimenez Jesús</v>
          </cell>
          <cell r="G3289" t="str">
            <v>Martinez Jimenez Jesús</v>
          </cell>
          <cell r="H3289" t="str">
            <v>08046459</v>
          </cell>
          <cell r="I3289" t="str">
            <v>INTERBANK</v>
          </cell>
          <cell r="J3289" t="str">
            <v>8983271666880</v>
          </cell>
          <cell r="K3289" t="str">
            <v>DNI</v>
          </cell>
          <cell r="L3289">
            <v>10080464598</v>
          </cell>
          <cell r="M3289" t="str">
            <v>MEMBRESÍA NOCTURNA - APTO</v>
          </cell>
          <cell r="N3289">
            <v>46065</v>
          </cell>
          <cell r="O3289">
            <v>285</v>
          </cell>
          <cell r="P3289" t="str">
            <v>COMFORT XL</v>
          </cell>
        </row>
        <row r="3290">
          <cell r="A3290">
            <v>4262</v>
          </cell>
          <cell r="B3290">
            <v>4262</v>
          </cell>
          <cell r="C3290" t="str">
            <v>CERO MATRICULA</v>
          </cell>
          <cell r="D3290" t="str">
            <v>ACTIVO</v>
          </cell>
          <cell r="E3290" t="str">
            <v>CWL 519</v>
          </cell>
          <cell r="F3290" t="str">
            <v>Suyo Perez Eduardo Daniel</v>
          </cell>
          <cell r="G3290" t="str">
            <v>Suyo Perez Eduardo Daniel</v>
          </cell>
          <cell r="H3290" t="str">
            <v>41295265</v>
          </cell>
          <cell r="I3290" t="str">
            <v>BCP</v>
          </cell>
          <cell r="J3290" t="str">
            <v>19337713116055</v>
          </cell>
          <cell r="K3290" t="str">
            <v>DNI</v>
          </cell>
          <cell r="L3290">
            <v>10412952656</v>
          </cell>
          <cell r="M3290" t="str">
            <v>MEMBRESÍA NOCTURNA - APTO</v>
          </cell>
          <cell r="N3290">
            <v>46070</v>
          </cell>
          <cell r="O3290">
            <v>290</v>
          </cell>
          <cell r="P3290" t="str">
            <v>COMFORT</v>
          </cell>
        </row>
        <row r="3291">
          <cell r="A3291">
            <v>4264</v>
          </cell>
          <cell r="B3291">
            <v>4264</v>
          </cell>
          <cell r="C3291" t="str">
            <v>CERO MATRICULA</v>
          </cell>
          <cell r="D3291" t="str">
            <v>ACTIVO</v>
          </cell>
          <cell r="E3291" t="str">
            <v>CNW625</v>
          </cell>
          <cell r="F3291" t="str">
            <v>Acevedo Velasquez Miguel Alberto</v>
          </cell>
          <cell r="G3291" t="str">
            <v>Acevedo Velasquez Miguel Alberto</v>
          </cell>
          <cell r="H3291" t="str">
            <v>002105322</v>
          </cell>
          <cell r="I3291" t="str">
            <v>BCP</v>
          </cell>
          <cell r="J3291" t="str">
            <v>19191142149075</v>
          </cell>
          <cell r="K3291" t="str">
            <v>CE</v>
          </cell>
          <cell r="L3291">
            <v>15602830940</v>
          </cell>
          <cell r="M3291" t="str">
            <v>URBANO PARTNER</v>
          </cell>
          <cell r="N3291">
            <v>46070</v>
          </cell>
          <cell r="O3291">
            <v>0</v>
          </cell>
          <cell r="P3291" t="str">
            <v>XL</v>
          </cell>
        </row>
        <row r="3292">
          <cell r="A3292">
            <v>4265</v>
          </cell>
          <cell r="B3292">
            <v>4265</v>
          </cell>
          <cell r="C3292" t="str">
            <v>CERO MATRICULA</v>
          </cell>
          <cell r="D3292" t="str">
            <v>ACTIVO</v>
          </cell>
          <cell r="E3292" t="str">
            <v>CWI579</v>
          </cell>
          <cell r="F3292" t="str">
            <v>González Rosendo Alexis Rafael</v>
          </cell>
          <cell r="G3292" t="str">
            <v>Gonzalez Rosendo Alexis Rafael</v>
          </cell>
          <cell r="H3292" t="str">
            <v>005328305</v>
          </cell>
          <cell r="I3292" t="str">
            <v>BCP</v>
          </cell>
          <cell r="J3292" t="str">
            <v>19176488708019</v>
          </cell>
          <cell r="K3292" t="str">
            <v>CE</v>
          </cell>
          <cell r="L3292">
            <v>15610507121</v>
          </cell>
          <cell r="M3292" t="str">
            <v>MEMBRESÍA NOCTURNA - APTO</v>
          </cell>
          <cell r="N3292">
            <v>46070</v>
          </cell>
          <cell r="O3292">
            <v>315</v>
          </cell>
          <cell r="P3292" t="str">
            <v>LITE</v>
          </cell>
        </row>
        <row r="3293">
          <cell r="A3293">
            <v>4266</v>
          </cell>
          <cell r="B3293">
            <v>4266</v>
          </cell>
          <cell r="C3293" t="str">
            <v>CERO MATRICULA</v>
          </cell>
          <cell r="D3293" t="str">
            <v>ACTIVO</v>
          </cell>
          <cell r="E3293" t="str">
            <v>CVK629</v>
          </cell>
          <cell r="F3293" t="str">
            <v>Tucno Pacotaype Teodoro</v>
          </cell>
          <cell r="G3293" t="str">
            <v>Tucno Pacotaype Teodoro</v>
          </cell>
          <cell r="H3293" t="str">
            <v>07112591</v>
          </cell>
          <cell r="I3293" t="str">
            <v>INTERBANK</v>
          </cell>
          <cell r="J3293" t="str">
            <v>1443150985272</v>
          </cell>
          <cell r="K3293" t="str">
            <v>DNI</v>
          </cell>
          <cell r="L3293">
            <v>10071125918</v>
          </cell>
          <cell r="M3293" t="str">
            <v>MEMBRESÍA DIURNA</v>
          </cell>
          <cell r="N3293">
            <v>46070</v>
          </cell>
          <cell r="O3293">
            <v>240</v>
          </cell>
          <cell r="P3293" t="str">
            <v>XL</v>
          </cell>
        </row>
        <row r="3294">
          <cell r="A3294">
            <v>4267</v>
          </cell>
          <cell r="B3294">
            <v>4267</v>
          </cell>
          <cell r="C3294" t="str">
            <v>CERO MATRICULA</v>
          </cell>
          <cell r="D3294" t="str">
            <v>ACTIVO</v>
          </cell>
          <cell r="E3294" t="str">
            <v>CRS316</v>
          </cell>
          <cell r="F3294" t="str">
            <v>Marquina Saavedra Mirtha Roxana</v>
          </cell>
          <cell r="G3294" t="str">
            <v xml:space="preserve"> Marquina Saavedra Julio Cesar</v>
          </cell>
          <cell r="H3294" t="str">
            <v>09933594</v>
          </cell>
          <cell r="I3294" t="str">
            <v>BCP</v>
          </cell>
          <cell r="J3294" t="str">
            <v>19114633554066</v>
          </cell>
          <cell r="K3294" t="str">
            <v>DNI</v>
          </cell>
          <cell r="L3294">
            <v>10099335942</v>
          </cell>
          <cell r="M3294" t="str">
            <v>URBANO PARTNER</v>
          </cell>
          <cell r="N3294">
            <v>46070</v>
          </cell>
          <cell r="O3294">
            <v>0</v>
          </cell>
          <cell r="P3294">
            <v>0</v>
          </cell>
        </row>
        <row r="3295">
          <cell r="A3295">
            <v>4268</v>
          </cell>
          <cell r="B3295">
            <v>4268</v>
          </cell>
          <cell r="C3295" t="str">
            <v>CERO MATRICULA</v>
          </cell>
          <cell r="D3295" t="str">
            <v>ACTIVO</v>
          </cell>
          <cell r="E3295" t="str">
            <v>VDH083</v>
          </cell>
          <cell r="F3295" t="str">
            <v>Barreto Garcia Luis Ramon</v>
          </cell>
          <cell r="G3295" t="str">
            <v>Barreto Garcia Luis Ramon</v>
          </cell>
          <cell r="H3295" t="str">
            <v>003177638</v>
          </cell>
          <cell r="I3295" t="str">
            <v>BCP</v>
          </cell>
          <cell r="J3295" t="str">
            <v>54594944689053</v>
          </cell>
          <cell r="K3295" t="str">
            <v>CE</v>
          </cell>
          <cell r="L3295">
            <v>15605951870</v>
          </cell>
          <cell r="M3295" t="str">
            <v>URBANO PARTNER</v>
          </cell>
          <cell r="N3295">
            <v>46070</v>
          </cell>
          <cell r="O3295">
            <v>0</v>
          </cell>
          <cell r="P3295">
            <v>0</v>
          </cell>
        </row>
        <row r="3296">
          <cell r="A3296">
            <v>4269</v>
          </cell>
          <cell r="B3296">
            <v>4269</v>
          </cell>
          <cell r="C3296" t="str">
            <v>CERO MATRICULA</v>
          </cell>
          <cell r="D3296" t="str">
            <v>ACTIVO</v>
          </cell>
          <cell r="E3296" t="str">
            <v>BVS495</v>
          </cell>
          <cell r="F3296" t="str">
            <v>Ramos Choton Jackson Michael</v>
          </cell>
          <cell r="G3296" t="str">
            <v>Ramos Choton Jackson Michael</v>
          </cell>
          <cell r="H3296" t="str">
            <v>42055879</v>
          </cell>
          <cell r="I3296" t="str">
            <v>BCP</v>
          </cell>
          <cell r="J3296" t="str">
            <v>19195317152049</v>
          </cell>
          <cell r="K3296" t="str">
            <v>DNI</v>
          </cell>
          <cell r="L3296">
            <v>10420558797</v>
          </cell>
          <cell r="M3296" t="str">
            <v>URBANO PARTNER</v>
          </cell>
          <cell r="N3296">
            <v>46070</v>
          </cell>
          <cell r="O3296">
            <v>0</v>
          </cell>
          <cell r="P3296">
            <v>0</v>
          </cell>
        </row>
        <row r="3297">
          <cell r="A3297">
            <v>4270</v>
          </cell>
          <cell r="B3297">
            <v>4270</v>
          </cell>
          <cell r="C3297" t="str">
            <v>CERO MATRICULA</v>
          </cell>
          <cell r="D3297" t="str">
            <v>ACTIVO</v>
          </cell>
          <cell r="E3297" t="str">
            <v>CTR156</v>
          </cell>
          <cell r="F3297" t="str">
            <v>Alvarado Rubina Jorge Enrique</v>
          </cell>
          <cell r="G3297" t="str">
            <v>Alvarado Rubina Jorge Enrique</v>
          </cell>
          <cell r="H3297" t="str">
            <v>72276529</v>
          </cell>
          <cell r="I3297" t="str">
            <v>BCP</v>
          </cell>
          <cell r="J3297" t="str">
            <v>19171358772065</v>
          </cell>
          <cell r="K3297" t="str">
            <v>DNI</v>
          </cell>
          <cell r="L3297">
            <v>10722765295</v>
          </cell>
          <cell r="M3297" t="str">
            <v>URBANO PARTNER</v>
          </cell>
          <cell r="N3297">
            <v>46070</v>
          </cell>
          <cell r="O3297">
            <v>0</v>
          </cell>
          <cell r="P3297">
            <v>0</v>
          </cell>
        </row>
        <row r="3298">
          <cell r="A3298">
            <v>4271</v>
          </cell>
          <cell r="B3298">
            <v>4271</v>
          </cell>
          <cell r="C3298" t="str">
            <v>CERO MATRICULA</v>
          </cell>
          <cell r="D3298" t="str">
            <v>ACTIVO</v>
          </cell>
          <cell r="E3298" t="str">
            <v>CVO635</v>
          </cell>
          <cell r="F3298" t="str">
            <v>Marrero Calderón Andrés Alejandro</v>
          </cell>
          <cell r="G3298" t="str">
            <v>Marrero Calderón Andrés Alejandro</v>
          </cell>
          <cell r="H3298" t="str">
            <v>004930888</v>
          </cell>
          <cell r="I3298" t="str">
            <v>BCP</v>
          </cell>
          <cell r="J3298" t="str">
            <v>19404561764041</v>
          </cell>
          <cell r="K3298" t="str">
            <v>CE</v>
          </cell>
          <cell r="L3298">
            <v>15606228080</v>
          </cell>
          <cell r="M3298" t="str">
            <v>URBANO PARTNER</v>
          </cell>
          <cell r="N3298">
            <v>46070</v>
          </cell>
          <cell r="O3298">
            <v>0</v>
          </cell>
          <cell r="P3298">
            <v>0</v>
          </cell>
        </row>
        <row r="3299">
          <cell r="A3299">
            <v>4272</v>
          </cell>
          <cell r="B3299">
            <v>4272</v>
          </cell>
          <cell r="C3299" t="str">
            <v>CERO MATRICULA</v>
          </cell>
          <cell r="D3299" t="str">
            <v>ACTIVO</v>
          </cell>
          <cell r="E3299" t="str">
            <v>CFV265</v>
          </cell>
          <cell r="F3299" t="str">
            <v>Pérez Tapia Edson Omar</v>
          </cell>
          <cell r="G3299" t="str">
            <v>Perez Tapia Edson Omar</v>
          </cell>
          <cell r="H3299" t="str">
            <v>77135197</v>
          </cell>
          <cell r="I3299" t="str">
            <v>BCP</v>
          </cell>
          <cell r="J3299" t="str">
            <v>19192983768095</v>
          </cell>
          <cell r="K3299" t="str">
            <v>DNI</v>
          </cell>
          <cell r="L3299">
            <v>10771351978</v>
          </cell>
          <cell r="M3299" t="str">
            <v>URBANO PARTNER</v>
          </cell>
          <cell r="N3299">
            <v>46070</v>
          </cell>
          <cell r="O3299">
            <v>0</v>
          </cell>
          <cell r="P3299">
            <v>0</v>
          </cell>
        </row>
        <row r="3300">
          <cell r="A3300">
            <v>4278</v>
          </cell>
          <cell r="B3300">
            <v>4278</v>
          </cell>
          <cell r="C3300" t="str">
            <v>CERO MATRICULA</v>
          </cell>
          <cell r="D3300" t="str">
            <v>ACTIVO</v>
          </cell>
          <cell r="E3300" t="str">
            <v>CWH512</v>
          </cell>
          <cell r="F3300" t="str">
            <v>Pérez Castillo José Armando</v>
          </cell>
          <cell r="G3300" t="str">
            <v>Perez Castillo José Armando</v>
          </cell>
          <cell r="H3300" t="str">
            <v>25863313</v>
          </cell>
          <cell r="I3300" t="str">
            <v>BCP</v>
          </cell>
          <cell r="J3300" t="str">
            <v>55095234063056</v>
          </cell>
          <cell r="K3300" t="str">
            <v>DNI</v>
          </cell>
          <cell r="L3300">
            <v>10258633135</v>
          </cell>
          <cell r="M3300" t="str">
            <v>AEROLINEAS</v>
          </cell>
          <cell r="N3300">
            <v>46073</v>
          </cell>
          <cell r="O3300">
            <v>0</v>
          </cell>
          <cell r="P3300" t="str">
            <v>XL</v>
          </cell>
        </row>
        <row r="3301">
          <cell r="A3301">
            <v>9487</v>
          </cell>
          <cell r="B3301">
            <v>9487</v>
          </cell>
          <cell r="C3301" t="str">
            <v>CERO MATRICULA</v>
          </cell>
          <cell r="D3301" t="str">
            <v>ACTIVO</v>
          </cell>
          <cell r="E3301" t="str">
            <v>AYW719</v>
          </cell>
          <cell r="F3301" t="str">
            <v xml:space="preserve">Castillo Barrios Juan christian </v>
          </cell>
          <cell r="G3301" t="str">
            <v xml:space="preserve">Castillo Barrios Juan christian </v>
          </cell>
          <cell r="H3301" t="str">
            <v>25838688</v>
          </cell>
          <cell r="I3301" t="str">
            <v>INTERBANK</v>
          </cell>
          <cell r="J3301" t="str">
            <v>2413049667797</v>
          </cell>
          <cell r="K3301" t="str">
            <v>DNI</v>
          </cell>
          <cell r="L3301">
            <v>10258386880</v>
          </cell>
          <cell r="M3301" t="str">
            <v>AEROLINEAS</v>
          </cell>
          <cell r="N3301">
            <v>46072</v>
          </cell>
          <cell r="O3301">
            <v>0</v>
          </cell>
          <cell r="P3301">
            <v>0</v>
          </cell>
        </row>
        <row r="3302">
          <cell r="A3302">
            <v>4175</v>
          </cell>
          <cell r="B3302">
            <v>4175</v>
          </cell>
          <cell r="C3302" t="str">
            <v>CERO MATRICULA</v>
          </cell>
          <cell r="D3302" t="str">
            <v>ACTIVO</v>
          </cell>
          <cell r="E3302" t="str">
            <v>FLOTA PROPIA</v>
          </cell>
          <cell r="F3302" t="str">
            <v>FLOTA PROPIA</v>
          </cell>
          <cell r="G3302" t="str">
            <v>FLOTA PROPIA</v>
          </cell>
          <cell r="H3302" t="str">
            <v>FLOTA PROPIA</v>
          </cell>
          <cell r="I3302" t="str">
            <v>FLOTA PROPIA</v>
          </cell>
          <cell r="J3302" t="str">
            <v>FLOTA PROPIA</v>
          </cell>
          <cell r="K3302" t="str">
            <v>FLOTA PROPIA</v>
          </cell>
          <cell r="L3302" t="str">
            <v>FLOTA PROPIA</v>
          </cell>
          <cell r="M3302" t="str">
            <v>FLOTA PROPIA</v>
          </cell>
          <cell r="N3302">
            <v>46077</v>
          </cell>
          <cell r="O3302">
            <v>0</v>
          </cell>
          <cell r="P3302" t="str">
            <v>VAN</v>
          </cell>
        </row>
        <row r="3303">
          <cell r="A3303">
            <v>9</v>
          </cell>
          <cell r="B3303">
            <v>9</v>
          </cell>
          <cell r="C3303" t="str">
            <v>CERO MATRICULA</v>
          </cell>
          <cell r="D3303" t="str">
            <v>ACTIVO</v>
          </cell>
          <cell r="E3303" t="str">
            <v>MOVIL CONTINGENCIA</v>
          </cell>
          <cell r="F3303" t="str">
            <v>MOVIL CONTINGENCIA</v>
          </cell>
          <cell r="G3303" t="str">
            <v>MOVIL CONTINGENCIA</v>
          </cell>
          <cell r="H3303" t="str">
            <v>MOVIL CONTINGENCIA</v>
          </cell>
          <cell r="I3303" t="str">
            <v>MOVIL CONTINGENCIA</v>
          </cell>
          <cell r="J3303" t="str">
            <v>MOVIL CONTINGENCIA</v>
          </cell>
          <cell r="K3303" t="str">
            <v>MOVIL CONTINGENCIA</v>
          </cell>
          <cell r="L3303" t="str">
            <v>MOVIL CONTINGENCIA</v>
          </cell>
          <cell r="M3303" t="str">
            <v>MOVIL CONTINGENCIA</v>
          </cell>
          <cell r="N3303">
            <v>46069</v>
          </cell>
          <cell r="O3303">
            <v>0</v>
          </cell>
          <cell r="P3303" t="str">
            <v>LITE</v>
          </cell>
        </row>
        <row r="3304">
          <cell r="A3304">
            <v>50</v>
          </cell>
          <cell r="B3304">
            <v>50</v>
          </cell>
          <cell r="C3304" t="str">
            <v>CERO MATRICULA</v>
          </cell>
          <cell r="D3304" t="str">
            <v>ACTIVO</v>
          </cell>
          <cell r="E3304" t="str">
            <v>MOVIL CONTINGENCIA</v>
          </cell>
          <cell r="F3304" t="str">
            <v>MOVIL CONTINGENCIA</v>
          </cell>
          <cell r="G3304" t="str">
            <v>MOVIL CONTINGENCIA</v>
          </cell>
          <cell r="H3304" t="str">
            <v>MOVIL CONTINGENCIA</v>
          </cell>
          <cell r="I3304" t="str">
            <v>MOVIL CONTINGENCIA</v>
          </cell>
          <cell r="J3304" t="str">
            <v>MOVIL CONTINGENCIA</v>
          </cell>
          <cell r="K3304" t="str">
            <v>MOVIL CONTINGENCIA</v>
          </cell>
          <cell r="L3304" t="str">
            <v>MOVIL CONTINGENCIA</v>
          </cell>
          <cell r="M3304" t="str">
            <v>MOVIL CONTINGENCIA</v>
          </cell>
          <cell r="N3304">
            <v>46069</v>
          </cell>
          <cell r="O3304">
            <v>0</v>
          </cell>
          <cell r="P3304" t="str">
            <v>LITE</v>
          </cell>
        </row>
        <row r="3305">
          <cell r="A3305">
            <v>808</v>
          </cell>
          <cell r="B3305">
            <v>808</v>
          </cell>
          <cell r="C3305" t="str">
            <v>CERO MATRICULA</v>
          </cell>
          <cell r="D3305" t="str">
            <v>ACTIVO</v>
          </cell>
          <cell r="E3305" t="str">
            <v>BLB420</v>
          </cell>
          <cell r="F3305" t="str">
            <v>Aguayo Eberhardt Jose Martin</v>
          </cell>
          <cell r="G3305" t="str">
            <v>Aguayo Eberhardt Jose Martin</v>
          </cell>
          <cell r="H3305" t="str">
            <v>07263113</v>
          </cell>
          <cell r="I3305" t="str">
            <v>BCP</v>
          </cell>
          <cell r="J3305" t="str">
            <v>19390309412026</v>
          </cell>
          <cell r="K3305" t="str">
            <v>DNI</v>
          </cell>
          <cell r="L3305">
            <v>10072631132</v>
          </cell>
          <cell r="M3305" t="str">
            <v>URBANO PARTNER</v>
          </cell>
          <cell r="N3305">
            <v>46077</v>
          </cell>
          <cell r="O3305">
            <v>0</v>
          </cell>
          <cell r="P3305">
            <v>0</v>
          </cell>
        </row>
        <row r="3306">
          <cell r="A3306">
            <v>4277</v>
          </cell>
          <cell r="B3306">
            <v>4277</v>
          </cell>
          <cell r="C3306" t="str">
            <v>CERO MATRICULA</v>
          </cell>
          <cell r="D3306" t="str">
            <v>ACTIVO</v>
          </cell>
          <cell r="E3306" t="str">
            <v>CWS679</v>
          </cell>
          <cell r="F3306" t="str">
            <v>Serrano Arone Frank Jarok</v>
          </cell>
          <cell r="G3306" t="str">
            <v>Serrano Arone Frank Jarok</v>
          </cell>
          <cell r="H3306" t="str">
            <v>71265176</v>
          </cell>
          <cell r="I3306" t="str">
            <v>BCP</v>
          </cell>
          <cell r="J3306" t="str">
            <v>19170272328048</v>
          </cell>
          <cell r="K3306" t="str">
            <v>DNI</v>
          </cell>
          <cell r="L3306">
            <v>10712651763</v>
          </cell>
          <cell r="M3306" t="str">
            <v>MEMBRESÍA DIURNA</v>
          </cell>
          <cell r="N3306">
            <v>46073</v>
          </cell>
          <cell r="O3306">
            <v>290</v>
          </cell>
          <cell r="P3306" t="str">
            <v>XL</v>
          </cell>
        </row>
        <row r="3307">
          <cell r="A3307">
            <v>4279</v>
          </cell>
          <cell r="B3307">
            <v>4279</v>
          </cell>
          <cell r="C3307" t="str">
            <v>CERO MATRICULA</v>
          </cell>
          <cell r="D3307" t="str">
            <v>ACTIVO</v>
          </cell>
          <cell r="E3307" t="str">
            <v>CWR016</v>
          </cell>
          <cell r="F3307" t="str">
            <v>Moreno Alarcón Juan Carlos</v>
          </cell>
          <cell r="G3307" t="str">
            <v xml:space="preserve">Moreno Rojas Yaki </v>
          </cell>
          <cell r="H3307" t="str">
            <v>41644062</v>
          </cell>
          <cell r="I3307" t="str">
            <v>BCP</v>
          </cell>
          <cell r="J3307" t="str">
            <v>19408596681014</v>
          </cell>
          <cell r="K3307" t="str">
            <v>DNI</v>
          </cell>
          <cell r="L3307">
            <v>10416440625</v>
          </cell>
          <cell r="M3307" t="str">
            <v>URBANO PARTNER</v>
          </cell>
          <cell r="N3307">
            <v>46073</v>
          </cell>
          <cell r="O3307">
            <v>0</v>
          </cell>
          <cell r="P3307" t="str">
            <v>COMFORT XL</v>
          </cell>
        </row>
        <row r="3308">
          <cell r="A3308">
            <v>4281</v>
          </cell>
          <cell r="B3308">
            <v>4281</v>
          </cell>
          <cell r="C3308" t="str">
            <v>CERO MATRICULA</v>
          </cell>
          <cell r="D3308" t="str">
            <v>ACTIVO</v>
          </cell>
          <cell r="E3308" t="str">
            <v>CRZ441</v>
          </cell>
          <cell r="F3308" t="str">
            <v>Saldarriaga Cordova Diego Enrique</v>
          </cell>
          <cell r="G3308" t="str">
            <v xml:space="preserve"> </v>
          </cell>
          <cell r="H3308"/>
          <cell r="I3308"/>
          <cell r="J3308"/>
          <cell r="K3308"/>
          <cell r="L3308"/>
          <cell r="M3308" t="str">
            <v>URBANO PARTNER</v>
          </cell>
          <cell r="N3308">
            <v>46077</v>
          </cell>
          <cell r="O3308">
            <v>0</v>
          </cell>
          <cell r="P3308">
            <v>0</v>
          </cell>
        </row>
        <row r="3309">
          <cell r="A3309">
            <v>4284</v>
          </cell>
          <cell r="B3309">
            <v>4284</v>
          </cell>
          <cell r="C3309" t="str">
            <v>CERO MATRICULA</v>
          </cell>
          <cell r="D3309" t="str">
            <v>ACTIVO</v>
          </cell>
          <cell r="E3309" t="str">
            <v>BNP255</v>
          </cell>
          <cell r="F3309" t="str">
            <v>Saldarriaga Llerena Miguel Angel</v>
          </cell>
          <cell r="G3309" t="str">
            <v>Saldarriaga Llerena Miguel Angel</v>
          </cell>
          <cell r="H3309" t="str">
            <v>41434617</v>
          </cell>
          <cell r="I3309" t="str">
            <v>INTERBANK</v>
          </cell>
          <cell r="J3309" t="str">
            <v>8983172760629</v>
          </cell>
          <cell r="K3309" t="str">
            <v>DNI</v>
          </cell>
          <cell r="L3309">
            <v>10414346176</v>
          </cell>
          <cell r="M3309" t="str">
            <v>AEROLINEAS</v>
          </cell>
          <cell r="N3309">
            <v>46079</v>
          </cell>
          <cell r="O3309">
            <v>0</v>
          </cell>
          <cell r="P3309">
            <v>0</v>
          </cell>
        </row>
        <row r="3310">
          <cell r="A3310">
            <v>4285</v>
          </cell>
          <cell r="B3310">
            <v>4285</v>
          </cell>
          <cell r="C3310" t="str">
            <v>CERO MATRICULA</v>
          </cell>
          <cell r="D3310" t="str">
            <v>ACTIVO</v>
          </cell>
          <cell r="E3310" t="str">
            <v>CWF587</v>
          </cell>
          <cell r="F3310" t="str">
            <v>Mallqui Bottoni Juan Manuel</v>
          </cell>
          <cell r="G3310" t="str">
            <v>Mallqui Bottoni Juan Manuel</v>
          </cell>
          <cell r="H3310" t="str">
            <v>09944061</v>
          </cell>
          <cell r="I3310" t="str">
            <v>BCP</v>
          </cell>
          <cell r="J3310" t="str">
            <v>19111343672053</v>
          </cell>
          <cell r="K3310" t="str">
            <v>DNI</v>
          </cell>
          <cell r="L3310">
            <v>10099440614</v>
          </cell>
          <cell r="M3310" t="str">
            <v>AEROLINEAS</v>
          </cell>
          <cell r="N3310">
            <v>46079</v>
          </cell>
          <cell r="O3310">
            <v>0</v>
          </cell>
          <cell r="P3310">
            <v>0</v>
          </cell>
        </row>
        <row r="3311">
          <cell r="A3311">
            <v>4287</v>
          </cell>
          <cell r="B3311">
            <v>4287</v>
          </cell>
          <cell r="C3311" t="str">
            <v>CERO MATRICULA</v>
          </cell>
          <cell r="D3311" t="str">
            <v>ACTIVO</v>
          </cell>
          <cell r="E3311" t="str">
            <v>CDD339</v>
          </cell>
          <cell r="F3311" t="str">
            <v>Rodríguez Del Castillo Carlos Enrique</v>
          </cell>
          <cell r="G3311" t="str">
            <v>Rodriguez Del Castillo Carlos Enrique</v>
          </cell>
          <cell r="H3311" t="str">
            <v>20121232</v>
          </cell>
          <cell r="I3311" t="str">
            <v>INTERBANK</v>
          </cell>
          <cell r="J3311" t="str">
            <v>3763334774149</v>
          </cell>
          <cell r="K3311" t="str">
            <v>DNI</v>
          </cell>
          <cell r="L3311">
            <v>10201212320</v>
          </cell>
          <cell r="M3311" t="str">
            <v>MEMBRESÍA NOCTURNA - APTO</v>
          </cell>
          <cell r="N3311">
            <v>46079</v>
          </cell>
          <cell r="O3311">
            <v>265</v>
          </cell>
          <cell r="P3311" t="str">
            <v>LITE</v>
          </cell>
        </row>
        <row r="3312">
          <cell r="A3312">
            <v>4289</v>
          </cell>
          <cell r="B3312">
            <v>4289</v>
          </cell>
          <cell r="C3312" t="str">
            <v>CERO MATRICULA</v>
          </cell>
          <cell r="D3312" t="str">
            <v>ACTIVO</v>
          </cell>
          <cell r="E3312" t="str">
            <v>CKZ082</v>
          </cell>
          <cell r="F3312" t="str">
            <v>Lacunza Balarezo Daniel Alonso</v>
          </cell>
          <cell r="G3312" t="str">
            <v>Lacunza Balarezo Daniel Alonso</v>
          </cell>
          <cell r="H3312" t="str">
            <v>46507955</v>
          </cell>
          <cell r="I3312" t="str">
            <v>BCP</v>
          </cell>
          <cell r="J3312" t="str">
            <v>19178854465072</v>
          </cell>
          <cell r="K3312" t="str">
            <v>DNI</v>
          </cell>
          <cell r="L3312">
            <v>10465079555</v>
          </cell>
          <cell r="M3312" t="str">
            <v>URBANO PARTNER</v>
          </cell>
          <cell r="N3312">
            <v>46079</v>
          </cell>
          <cell r="O3312">
            <v>0</v>
          </cell>
          <cell r="P3312" t="str">
            <v>COMFORT XL</v>
          </cell>
        </row>
        <row r="3313">
          <cell r="A3313">
            <v>5114</v>
          </cell>
          <cell r="B3313">
            <v>5114</v>
          </cell>
          <cell r="C3313" t="str">
            <v>CERO MATRICULA</v>
          </cell>
          <cell r="D3313" t="str">
            <v>ACTIVO</v>
          </cell>
          <cell r="E3313" t="str">
            <v>BRI080</v>
          </cell>
          <cell r="F3313" t="str">
            <v>Chavarria Mori Jorge miyagamho</v>
          </cell>
          <cell r="G3313" t="str">
            <v>Chavarria  Mori Neil Edwin</v>
          </cell>
          <cell r="H3313">
            <v>41233981</v>
          </cell>
          <cell r="I3313" t="str">
            <v>BBVA</v>
          </cell>
          <cell r="J3313" t="str">
            <v>001103960200537216</v>
          </cell>
          <cell r="K3313" t="str">
            <v>DNI</v>
          </cell>
          <cell r="L3313">
            <v>10412339814</v>
          </cell>
          <cell r="M3313" t="str">
            <v>URBANO PARTNER</v>
          </cell>
          <cell r="N3313">
            <v>46077</v>
          </cell>
          <cell r="O3313">
            <v>0</v>
          </cell>
          <cell r="P3313">
            <v>0</v>
          </cell>
        </row>
        <row r="3314">
          <cell r="A3314">
            <v>3</v>
          </cell>
          <cell r="B3314">
            <v>3</v>
          </cell>
          <cell r="C3314" t="str">
            <v>CERO MATRICULA</v>
          </cell>
          <cell r="D3314" t="str">
            <v>ACTIVO</v>
          </cell>
          <cell r="E3314" t="str">
            <v>MOVIL CONTINGENCIA</v>
          </cell>
          <cell r="F3314" t="str">
            <v>MOVIL CONTINGENCIA</v>
          </cell>
          <cell r="G3314" t="str">
            <v>MOVIL CONTINGENCIA</v>
          </cell>
          <cell r="H3314" t="str">
            <v>MOVIL CONTINGENCIA</v>
          </cell>
          <cell r="I3314" t="str">
            <v>MOVIL CONTINGENCIA</v>
          </cell>
          <cell r="J3314" t="str">
            <v>MOVIL CONTINGENCIA</v>
          </cell>
          <cell r="K3314" t="str">
            <v>MOVIL CONTINGENCIA</v>
          </cell>
          <cell r="L3314" t="str">
            <v>MOVIL CONTINGENCIA</v>
          </cell>
          <cell r="M3314" t="str">
            <v>MOVIL CONTINGENCIA</v>
          </cell>
          <cell r="N3314">
            <v>46076</v>
          </cell>
          <cell r="O3314">
            <v>0</v>
          </cell>
          <cell r="P3314" t="str">
            <v>LITE</v>
          </cell>
        </row>
        <row r="3315">
          <cell r="A3315">
            <v>8</v>
          </cell>
          <cell r="B3315">
            <v>8</v>
          </cell>
          <cell r="C3315" t="str">
            <v>CERO MATRICULA</v>
          </cell>
          <cell r="D3315" t="str">
            <v>ACTIVO</v>
          </cell>
          <cell r="E3315" t="str">
            <v>MOVIL CONTINGENCIA</v>
          </cell>
          <cell r="F3315" t="str">
            <v>MOVIL CONTINGENCIA</v>
          </cell>
          <cell r="G3315" t="str">
            <v>MOVIL CONTINGENCIA</v>
          </cell>
          <cell r="H3315" t="str">
            <v>MOVIL CONTINGENCIA</v>
          </cell>
          <cell r="I3315" t="str">
            <v>MOVIL CONTINGENCIA</v>
          </cell>
          <cell r="J3315" t="str">
            <v>MOVIL CONTINGENCIA</v>
          </cell>
          <cell r="K3315" t="str">
            <v>MOVIL CONTINGENCIA</v>
          </cell>
          <cell r="L3315" t="str">
            <v>MOVIL CONTINGENCIA</v>
          </cell>
          <cell r="M3315" t="str">
            <v>MOVIL CONTINGENCIA</v>
          </cell>
          <cell r="N3315">
            <v>46076</v>
          </cell>
          <cell r="O3315">
            <v>0</v>
          </cell>
          <cell r="P3315" t="str">
            <v>LITE</v>
          </cell>
        </row>
        <row r="3316">
          <cell r="A3316">
            <v>8108</v>
          </cell>
          <cell r="B3316">
            <v>8108</v>
          </cell>
          <cell r="C3316" t="str">
            <v>CERO MATRICULA</v>
          </cell>
          <cell r="D3316" t="str">
            <v>ACTIVO</v>
          </cell>
          <cell r="E3316" t="str">
            <v>4592ZC</v>
          </cell>
          <cell r="F3316" t="str">
            <v>WIGNER ANGULO SANCHEZ</v>
          </cell>
          <cell r="G3316" t="str">
            <v>WIGNER ANGULO SANCHEZ</v>
          </cell>
          <cell r="H3316">
            <v>40859000</v>
          </cell>
          <cell r="I3316" t="str">
            <v>INTERBANK</v>
          </cell>
          <cell r="J3316" t="str">
            <v>8983445323200</v>
          </cell>
          <cell r="K3316" t="str">
            <v>DNI</v>
          </cell>
          <cell r="L3316">
            <v>10408590006</v>
          </cell>
          <cell r="M3316" t="str">
            <v>MOTO</v>
          </cell>
          <cell r="N3316">
            <v>46087</v>
          </cell>
          <cell r="O3316">
            <v>0</v>
          </cell>
          <cell r="P3316" t="str">
            <v>MOTO</v>
          </cell>
        </row>
        <row r="3317">
          <cell r="A3317">
            <v>4177</v>
          </cell>
          <cell r="B3317">
            <v>4177</v>
          </cell>
          <cell r="C3317" t="str">
            <v>CERO MATRICULA</v>
          </cell>
          <cell r="D3317" t="str">
            <v>ACTIVO</v>
          </cell>
          <cell r="E3317" t="str">
            <v>FLOTA PROPIA</v>
          </cell>
          <cell r="F3317" t="str">
            <v>FLOTA PROPIA</v>
          </cell>
          <cell r="G3317" t="str">
            <v>FLOTA PROPIA</v>
          </cell>
          <cell r="H3317" t="str">
            <v>FLOTA PROPIA</v>
          </cell>
          <cell r="I3317" t="str">
            <v>FLOTA PROPIA</v>
          </cell>
          <cell r="J3317" t="str">
            <v>FLOTA PROPIA</v>
          </cell>
          <cell r="K3317" t="str">
            <v>FLOTA PROPIA</v>
          </cell>
          <cell r="L3317" t="str">
            <v>FLOTA PROPIA</v>
          </cell>
          <cell r="M3317" t="str">
            <v>FLOTA PROPIA</v>
          </cell>
          <cell r="N3317">
            <v>46135</v>
          </cell>
          <cell r="O3317">
            <v>0</v>
          </cell>
          <cell r="P3317">
            <v>0</v>
          </cell>
        </row>
        <row r="3318">
          <cell r="A3318">
            <v>4178</v>
          </cell>
          <cell r="B3318">
            <v>4178</v>
          </cell>
          <cell r="C3318" t="str">
            <v>CERO MATRICULA</v>
          </cell>
          <cell r="D3318" t="str">
            <v>ACTIVO</v>
          </cell>
          <cell r="E3318" t="str">
            <v>FLOTA PROPIA</v>
          </cell>
          <cell r="F3318" t="str">
            <v>FLOTA PROPIA</v>
          </cell>
          <cell r="G3318" t="str">
            <v>FLOTA PROPIA</v>
          </cell>
          <cell r="H3318" t="str">
            <v>FLOTA PROPIA</v>
          </cell>
          <cell r="I3318" t="str">
            <v>FLOTA PROPIA</v>
          </cell>
          <cell r="J3318" t="str">
            <v>FLOTA PROPIA</v>
          </cell>
          <cell r="K3318" t="str">
            <v>FLOTA PROPIA</v>
          </cell>
          <cell r="L3318" t="str">
            <v>FLOTA PROPIA</v>
          </cell>
          <cell r="M3318" t="str">
            <v>FLOTA PROPIA</v>
          </cell>
          <cell r="N3318">
            <v>46087</v>
          </cell>
          <cell r="O3318">
            <v>0</v>
          </cell>
          <cell r="P3318" t="str">
            <v>VAN</v>
          </cell>
        </row>
        <row r="3319">
          <cell r="A3319">
            <v>4293</v>
          </cell>
          <cell r="B3319">
            <v>4293</v>
          </cell>
          <cell r="C3319" t="str">
            <v>CERO MATRICULA</v>
          </cell>
          <cell r="D3319" t="str">
            <v>ACTIVO</v>
          </cell>
          <cell r="E3319" t="str">
            <v>CNT535</v>
          </cell>
          <cell r="F3319" t="str">
            <v>Zapata Ramirez Angel Joseph</v>
          </cell>
          <cell r="G3319" t="str">
            <v>Zapata Ramirez Angel Joseph</v>
          </cell>
          <cell r="H3319">
            <v>75890221</v>
          </cell>
          <cell r="I3319" t="str">
            <v>INTERBANK</v>
          </cell>
          <cell r="J3319" t="str">
            <v>8213251432707</v>
          </cell>
          <cell r="K3319" t="str">
            <v>DNI</v>
          </cell>
          <cell r="L3319">
            <v>10758902213</v>
          </cell>
          <cell r="M3319" t="str">
            <v>URBANO PARTNER</v>
          </cell>
          <cell r="N3319">
            <v>46084</v>
          </cell>
          <cell r="O3319">
            <v>0</v>
          </cell>
          <cell r="P3319">
            <v>0</v>
          </cell>
        </row>
        <row r="3320">
          <cell r="A3320">
            <v>4299</v>
          </cell>
          <cell r="B3320">
            <v>4299</v>
          </cell>
          <cell r="C3320" t="str">
            <v>CERO MATRICULA</v>
          </cell>
          <cell r="D3320" t="str">
            <v>ACTIVO</v>
          </cell>
          <cell r="E3320" t="str">
            <v>APB116</v>
          </cell>
          <cell r="F3320" t="str">
            <v>Altamirano Guevara Freddy Martin</v>
          </cell>
          <cell r="G3320" t="str">
            <v>Altamirano Guevara Freddy Martin</v>
          </cell>
          <cell r="H3320">
            <v>41141091</v>
          </cell>
          <cell r="I3320" t="str">
            <v>BCP</v>
          </cell>
          <cell r="J3320" t="str">
            <v>19307526541065</v>
          </cell>
          <cell r="K3320" t="str">
            <v>DNI</v>
          </cell>
          <cell r="L3320">
            <v>10411410914</v>
          </cell>
          <cell r="M3320" t="str">
            <v>AEROLINEAS</v>
          </cell>
          <cell r="N3320">
            <v>46086</v>
          </cell>
          <cell r="O3320">
            <v>0</v>
          </cell>
          <cell r="P3320">
            <v>0</v>
          </cell>
        </row>
        <row r="3321">
          <cell r="A3321">
            <v>4294</v>
          </cell>
          <cell r="B3321">
            <v>4294</v>
          </cell>
          <cell r="C3321" t="str">
            <v>CERO MATRICULA</v>
          </cell>
          <cell r="D3321" t="str">
            <v>ACTIVO</v>
          </cell>
          <cell r="E3321" t="str">
            <v>BSZ306</v>
          </cell>
          <cell r="F3321" t="str">
            <v>Silva Peña. Christian Carlo.</v>
          </cell>
          <cell r="G3321" t="str">
            <v>Silva Peña. Christian Carlo.</v>
          </cell>
          <cell r="H3321">
            <v>10213185</v>
          </cell>
          <cell r="I3321" t="str">
            <v>BCP</v>
          </cell>
          <cell r="J3321" t="str">
            <v>19102816938090</v>
          </cell>
          <cell r="K3321" t="str">
            <v>DNI</v>
          </cell>
          <cell r="L3321">
            <v>10102131857</v>
          </cell>
          <cell r="M3321" t="str">
            <v>AEROLINEAS</v>
          </cell>
          <cell r="N3321">
            <v>46086</v>
          </cell>
          <cell r="O3321">
            <v>0</v>
          </cell>
          <cell r="P3321">
            <v>0</v>
          </cell>
        </row>
        <row r="3322">
          <cell r="A3322">
            <v>4295</v>
          </cell>
          <cell r="B3322">
            <v>4295</v>
          </cell>
          <cell r="C3322" t="str">
            <v>CERO MATRICULA</v>
          </cell>
          <cell r="D3322" t="str">
            <v>ACTIVO</v>
          </cell>
          <cell r="E3322" t="str">
            <v>AHO333</v>
          </cell>
          <cell r="F3322" t="str">
            <v>Tomanguilla Cruz Juan Carlos</v>
          </cell>
          <cell r="G3322" t="str">
            <v>Tomanguilla Cruz Juan Carlos</v>
          </cell>
          <cell r="H3322">
            <v>7153073</v>
          </cell>
          <cell r="I3322" t="str">
            <v>BCP</v>
          </cell>
          <cell r="J3322" t="str">
            <v>19294421272020</v>
          </cell>
          <cell r="K3322" t="str">
            <v>DNI</v>
          </cell>
          <cell r="L3322">
            <v>10071530731</v>
          </cell>
          <cell r="M3322" t="str">
            <v>AEROLINEAS</v>
          </cell>
          <cell r="N3322">
            <v>46086</v>
          </cell>
          <cell r="O3322">
            <v>0</v>
          </cell>
          <cell r="P3322">
            <v>0</v>
          </cell>
        </row>
        <row r="3323">
          <cell r="A3323">
            <v>4296</v>
          </cell>
          <cell r="B3323">
            <v>4296</v>
          </cell>
          <cell r="C3323" t="str">
            <v>CERO MATRICULA</v>
          </cell>
          <cell r="D3323" t="str">
            <v>ACTIVO</v>
          </cell>
          <cell r="E3323" t="str">
            <v>CUV555</v>
          </cell>
          <cell r="F3323" t="str">
            <v>Arévalo Clavijo Carlos</v>
          </cell>
          <cell r="G3323" t="str">
            <v>Arévalo Clavijo Carlos</v>
          </cell>
          <cell r="H3323">
            <v>25801690</v>
          </cell>
          <cell r="I3323" t="str">
            <v>BCP</v>
          </cell>
          <cell r="J3323" t="str">
            <v>19294562715092</v>
          </cell>
          <cell r="K3323" t="str">
            <v>DNI</v>
          </cell>
          <cell r="L3323">
            <v>10258016900</v>
          </cell>
          <cell r="M3323" t="str">
            <v>AEROLINEAS</v>
          </cell>
          <cell r="N3323">
            <v>46086</v>
          </cell>
          <cell r="O3323">
            <v>0</v>
          </cell>
          <cell r="P3323">
            <v>0</v>
          </cell>
        </row>
        <row r="3324">
          <cell r="A3324">
            <v>4297</v>
          </cell>
          <cell r="B3324">
            <v>4297</v>
          </cell>
          <cell r="C3324" t="str">
            <v>CERO MATRICULA</v>
          </cell>
          <cell r="D3324" t="str">
            <v>ACTIVO</v>
          </cell>
          <cell r="E3324" t="str">
            <v>CVQ002</v>
          </cell>
          <cell r="F3324" t="str">
            <v>Romero Villar Leonardo Fernando</v>
          </cell>
          <cell r="G3324" t="str">
            <v>Romero Villar Leonardo Fernando</v>
          </cell>
          <cell r="H3324">
            <v>8134058</v>
          </cell>
          <cell r="I3324" t="str">
            <v>SCOTIABANK</v>
          </cell>
          <cell r="J3324">
            <v>57655490</v>
          </cell>
          <cell r="K3324" t="str">
            <v>DNI</v>
          </cell>
          <cell r="L3324">
            <v>10081340582</v>
          </cell>
          <cell r="M3324" t="str">
            <v>AEROLINEAS</v>
          </cell>
          <cell r="N3324">
            <v>46086</v>
          </cell>
          <cell r="O3324">
            <v>0</v>
          </cell>
          <cell r="P3324">
            <v>0</v>
          </cell>
        </row>
        <row r="3325">
          <cell r="A3325">
            <v>4291</v>
          </cell>
          <cell r="B3325">
            <v>4291</v>
          </cell>
          <cell r="C3325" t="str">
            <v>CERO MATRICULA</v>
          </cell>
          <cell r="D3325" t="str">
            <v>ACTIVO</v>
          </cell>
          <cell r="E3325" t="str">
            <v>Z7A395</v>
          </cell>
          <cell r="F3325" t="str">
            <v>Carranza Llanos Walter</v>
          </cell>
          <cell r="G3325" t="str">
            <v>Carranza Llanos Walter</v>
          </cell>
          <cell r="H3325" t="str">
            <v>75411385</v>
          </cell>
          <cell r="I3325" t="str">
            <v>INTERBANK</v>
          </cell>
          <cell r="J3325" t="str">
            <v>8983215434712</v>
          </cell>
          <cell r="K3325" t="str">
            <v>DNI</v>
          </cell>
          <cell r="L3325">
            <v>10754113851</v>
          </cell>
          <cell r="M3325" t="str">
            <v>MEMBRESÍA NOCTURNA - APTO</v>
          </cell>
          <cell r="N3325">
            <v>46079</v>
          </cell>
          <cell r="O3325">
            <v>265</v>
          </cell>
          <cell r="P3325" t="str">
            <v>LITE</v>
          </cell>
        </row>
        <row r="3326">
          <cell r="A3326">
            <v>17</v>
          </cell>
          <cell r="B3326">
            <v>17</v>
          </cell>
          <cell r="C3326" t="str">
            <v>CERO MATRICULA</v>
          </cell>
          <cell r="D3326" t="str">
            <v>ACTIVO</v>
          </cell>
          <cell r="E3326" t="str">
            <v>MOVIL CONTINGENCIA</v>
          </cell>
          <cell r="F3326" t="str">
            <v>MOVIL CONTINGENCIA</v>
          </cell>
          <cell r="G3326" t="str">
            <v>MOVIL CONTINGENCIA</v>
          </cell>
          <cell r="H3326" t="str">
            <v>MOVIL CONTINGENCIA</v>
          </cell>
          <cell r="I3326" t="str">
            <v>MOVIL CONTINGENCIA</v>
          </cell>
          <cell r="J3326" t="str">
            <v>MOVIL CONTINGENCIA</v>
          </cell>
          <cell r="K3326" t="str">
            <v>MOVIL CONTINGENCIA</v>
          </cell>
          <cell r="L3326" t="str">
            <v>MOVIL CONTINGENCIA</v>
          </cell>
          <cell r="M3326" t="str">
            <v>MOVIL CONTINGENCIA</v>
          </cell>
          <cell r="N3326">
            <v>46083</v>
          </cell>
          <cell r="O3326">
            <v>0</v>
          </cell>
          <cell r="P3326">
            <v>0</v>
          </cell>
        </row>
        <row r="3327">
          <cell r="A3327">
            <v>4176</v>
          </cell>
          <cell r="B3327">
            <v>4176</v>
          </cell>
          <cell r="C3327" t="str">
            <v>CERO MATRICULA</v>
          </cell>
          <cell r="D3327" t="str">
            <v>ACTIVO</v>
          </cell>
          <cell r="E3327" t="str">
            <v>FLOTA PROPIA</v>
          </cell>
          <cell r="F3327" t="str">
            <v>FLOTA PROPIA</v>
          </cell>
          <cell r="G3327" t="str">
            <v>FLOTA PROPIA</v>
          </cell>
          <cell r="H3327" t="str">
            <v>FLOTA PROPIA</v>
          </cell>
          <cell r="I3327" t="str">
            <v>FLOTA PROPIA</v>
          </cell>
          <cell r="J3327" t="str">
            <v>FLOTA PROPIA</v>
          </cell>
          <cell r="K3327" t="str">
            <v>FLOTA PROPIA</v>
          </cell>
          <cell r="L3327" t="str">
            <v>FLOTA PROPIA</v>
          </cell>
          <cell r="M3327" t="str">
            <v>FLOTA PROPIA</v>
          </cell>
          <cell r="N3327">
            <v>46084</v>
          </cell>
          <cell r="O3327">
            <v>0</v>
          </cell>
          <cell r="P3327" t="str">
            <v>VAN</v>
          </cell>
        </row>
        <row r="3328">
          <cell r="A3328">
            <v>4307</v>
          </cell>
          <cell r="B3328">
            <v>4307</v>
          </cell>
          <cell r="C3328" t="str">
            <v>CERO MATRICULA</v>
          </cell>
          <cell r="D3328" t="str">
            <v>ACTIVO</v>
          </cell>
          <cell r="E3328" t="str">
            <v>AVR551</v>
          </cell>
          <cell r="F3328" t="str">
            <v>Caycho Zarate Flavio Cesar</v>
          </cell>
          <cell r="G3328" t="str">
            <v>Caycho Zarate Flavio Cesar</v>
          </cell>
          <cell r="H3328">
            <v>72084719</v>
          </cell>
          <cell r="I3328" t="str">
            <v>BCP</v>
          </cell>
          <cell r="J3328">
            <v>19413614326043</v>
          </cell>
          <cell r="K3328" t="str">
            <v>DNI</v>
          </cell>
          <cell r="L3328">
            <v>10720847197</v>
          </cell>
          <cell r="M3328" t="str">
            <v>URBANO PARTNER</v>
          </cell>
          <cell r="N3328">
            <v>46091</v>
          </cell>
          <cell r="O3328">
            <v>0</v>
          </cell>
          <cell r="P3328">
            <v>0</v>
          </cell>
        </row>
        <row r="3329">
          <cell r="A3329">
            <v>3971</v>
          </cell>
          <cell r="B3329">
            <v>3971</v>
          </cell>
          <cell r="C3329" t="str">
            <v>CERO MATRICULA</v>
          </cell>
          <cell r="D3329" t="str">
            <v>ACTIVO</v>
          </cell>
          <cell r="E3329" t="str">
            <v>CTC501</v>
          </cell>
          <cell r="F3329" t="str">
            <v>Gonzales Chauca Kenedy Joel</v>
          </cell>
          <cell r="G3329" t="str">
            <v>Gonzales Chauca  Kenedy Joel</v>
          </cell>
          <cell r="H3329">
            <v>70377641</v>
          </cell>
          <cell r="I3329" t="str">
            <v>BCP</v>
          </cell>
          <cell r="J3329">
            <v>19131355965090</v>
          </cell>
          <cell r="K3329" t="str">
            <v>DNI</v>
          </cell>
          <cell r="L3329">
            <v>10703776413</v>
          </cell>
          <cell r="M3329" t="str">
            <v>AEROLINEAS</v>
          </cell>
          <cell r="N3329">
            <v>46094</v>
          </cell>
          <cell r="O3329">
            <v>0</v>
          </cell>
          <cell r="P3329">
            <v>0</v>
          </cell>
        </row>
        <row r="3330">
          <cell r="A3330">
            <v>4301</v>
          </cell>
          <cell r="B3330">
            <v>4301</v>
          </cell>
          <cell r="C3330" t="str">
            <v>CERO MATRICULA</v>
          </cell>
          <cell r="D3330" t="str">
            <v>ACTIVO</v>
          </cell>
          <cell r="E3330" t="str">
            <v>CLK097</v>
          </cell>
          <cell r="F3330" t="str">
            <v>Pirela Vargas Jonathan Rafael</v>
          </cell>
          <cell r="G3330" t="str">
            <v>Pirela Vargas Jonathan Rafael</v>
          </cell>
          <cell r="H3330">
            <v>6662152</v>
          </cell>
          <cell r="I3330" t="str">
            <v>BCP</v>
          </cell>
          <cell r="J3330" t="str">
            <v>19193081613030</v>
          </cell>
          <cell r="K3330" t="str">
            <v>CE</v>
          </cell>
          <cell r="L3330">
            <v>15609481584</v>
          </cell>
          <cell r="M3330" t="str">
            <v>AEROLINEAS</v>
          </cell>
          <cell r="N3330">
            <v>46094</v>
          </cell>
          <cell r="O3330">
            <v>0</v>
          </cell>
          <cell r="P3330">
            <v>0</v>
          </cell>
        </row>
        <row r="3331">
          <cell r="A3331">
            <v>4303</v>
          </cell>
          <cell r="B3331">
            <v>4303</v>
          </cell>
          <cell r="C3331" t="str">
            <v>CERO MATRICULA</v>
          </cell>
          <cell r="D3331" t="str">
            <v>ACTIVO</v>
          </cell>
          <cell r="E3331" t="str">
            <v>BWC464</v>
          </cell>
          <cell r="F3331" t="str">
            <v xml:space="preserve">Leandro Torres Moises luis </v>
          </cell>
          <cell r="G3331" t="str">
            <v xml:space="preserve">Leandro Torres Moises luis </v>
          </cell>
          <cell r="H3331">
            <v>40153699</v>
          </cell>
          <cell r="I3331" t="str">
            <v>INTERBANK</v>
          </cell>
          <cell r="J3331">
            <v>2863069132190</v>
          </cell>
          <cell r="K3331" t="str">
            <v>DNI</v>
          </cell>
          <cell r="L3331">
            <v>10401536995</v>
          </cell>
          <cell r="M3331" t="str">
            <v>URBANO PARTNER</v>
          </cell>
          <cell r="N3331">
            <v>46094</v>
          </cell>
          <cell r="O3331">
            <v>0</v>
          </cell>
          <cell r="P3331" t="str">
            <v>LITE</v>
          </cell>
        </row>
        <row r="3332">
          <cell r="A3332">
            <v>4306</v>
          </cell>
          <cell r="B3332">
            <v>4306</v>
          </cell>
          <cell r="C3332" t="str">
            <v>CERO MATRICULA</v>
          </cell>
          <cell r="D3332" t="str">
            <v>ACTIVO</v>
          </cell>
          <cell r="E3332" t="str">
            <v>CXF217</v>
          </cell>
          <cell r="F3332" t="str">
            <v>Torres Torres Pablo Emmanuel</v>
          </cell>
          <cell r="G3332" t="str">
            <v>Torres Torres Pablo Emmanuel</v>
          </cell>
          <cell r="H3332">
            <v>1258593</v>
          </cell>
          <cell r="I3332" t="str">
            <v>BCP</v>
          </cell>
          <cell r="J3332">
            <v>19493765556080</v>
          </cell>
          <cell r="K3332" t="str">
            <v>CE</v>
          </cell>
          <cell r="L3332">
            <v>15612638460</v>
          </cell>
          <cell r="M3332" t="str">
            <v>MEMBRESÍA DIURNA</v>
          </cell>
          <cell r="N3332">
            <v>46094</v>
          </cell>
          <cell r="O3332">
            <v>265</v>
          </cell>
          <cell r="P3332" t="str">
            <v>LITE</v>
          </cell>
        </row>
        <row r="3333">
          <cell r="A3333">
            <v>4305</v>
          </cell>
          <cell r="B3333">
            <v>4305</v>
          </cell>
          <cell r="C3333" t="str">
            <v>CERO MATRICULA</v>
          </cell>
          <cell r="D3333" t="str">
            <v>ACTIVO</v>
          </cell>
          <cell r="E3333" t="str">
            <v>CXF150</v>
          </cell>
          <cell r="F3333" t="str">
            <v>Pizarro Mejia Willy Antonio</v>
          </cell>
          <cell r="G3333" t="str">
            <v>Pizarro Mejia Willy Antonio</v>
          </cell>
          <cell r="H3333">
            <v>74841718</v>
          </cell>
          <cell r="I3333" t="str">
            <v>BCP</v>
          </cell>
          <cell r="J3333">
            <v>19137763709059</v>
          </cell>
          <cell r="K3333" t="str">
            <v>DNI</v>
          </cell>
          <cell r="L3333">
            <v>10748417180</v>
          </cell>
          <cell r="M3333" t="str">
            <v>MEMBRESÍA DIURNA</v>
          </cell>
          <cell r="N3333">
            <v>46094</v>
          </cell>
          <cell r="O3333">
            <v>285</v>
          </cell>
          <cell r="P3333" t="str">
            <v>COMFORT XL</v>
          </cell>
        </row>
        <row r="3334">
          <cell r="A3334">
            <v>4290</v>
          </cell>
          <cell r="B3334">
            <v>4290</v>
          </cell>
          <cell r="C3334" t="str">
            <v>CERO MATRICULA</v>
          </cell>
          <cell r="D3334" t="str">
            <v>ACTIVO</v>
          </cell>
          <cell r="E3334" t="str">
            <v>CVV674</v>
          </cell>
          <cell r="F3334" t="str">
            <v>Alvarez Villamizar Wilmer Eduardo</v>
          </cell>
          <cell r="G3334" t="str">
            <v>Alvarez Villamizar Wilmer Eduardo</v>
          </cell>
          <cell r="H3334">
            <v>2605030</v>
          </cell>
          <cell r="I3334" t="str">
            <v>BCP</v>
          </cell>
          <cell r="J3334" t="str">
            <v>19439570834038</v>
          </cell>
          <cell r="K3334" t="str">
            <v>CE</v>
          </cell>
          <cell r="L3334">
            <v>15603650147</v>
          </cell>
          <cell r="M3334" t="str">
            <v>MEMBRESÍA NOCTURNA - APTO</v>
          </cell>
          <cell r="N3334">
            <v>46086</v>
          </cell>
          <cell r="O3334">
            <v>315</v>
          </cell>
          <cell r="P3334" t="str">
            <v>LITE</v>
          </cell>
        </row>
        <row r="3335">
          <cell r="A3335">
            <v>4300</v>
          </cell>
          <cell r="B3335">
            <v>4300</v>
          </cell>
          <cell r="C3335" t="str">
            <v>CERO MATRICULA</v>
          </cell>
          <cell r="D3335" t="str">
            <v>ACTIVO</v>
          </cell>
          <cell r="E3335" t="str">
            <v>CWZ460</v>
          </cell>
          <cell r="F3335" t="str">
            <v>Montenegro Vergara Jorge Luis</v>
          </cell>
          <cell r="G3335" t="str">
            <v>Montenegro Vergara Jorge Luis</v>
          </cell>
          <cell r="H3335" t="str">
            <v>06776020</v>
          </cell>
          <cell r="I3335" t="str">
            <v>BBVA</v>
          </cell>
          <cell r="J3335" t="str">
            <v>001108140279930024</v>
          </cell>
          <cell r="K3335" t="str">
            <v>DNI</v>
          </cell>
          <cell r="L3335">
            <v>10067760200</v>
          </cell>
          <cell r="M3335" t="str">
            <v>MEMBRESÍA DIURNA</v>
          </cell>
          <cell r="N3335">
            <v>46086</v>
          </cell>
          <cell r="O3335">
            <v>285</v>
          </cell>
          <cell r="P3335" t="str">
            <v>COMFORT XL</v>
          </cell>
        </row>
        <row r="3336">
          <cell r="A3336">
            <v>4302</v>
          </cell>
          <cell r="B3336">
            <v>4302</v>
          </cell>
          <cell r="C3336" t="str">
            <v>CERO MATRICULA</v>
          </cell>
          <cell r="D3336" t="str">
            <v>ACTIVO</v>
          </cell>
          <cell r="E3336" t="str">
            <v>BYV175</v>
          </cell>
          <cell r="F3336" t="str">
            <v>Montani Bolaños Julio Cesat</v>
          </cell>
          <cell r="G3336" t="str">
            <v>Montani Bolaños Julio Cesat</v>
          </cell>
          <cell r="H3336">
            <v>40553678</v>
          </cell>
          <cell r="I3336" t="str">
            <v>BBVA</v>
          </cell>
          <cell r="J3336" t="str">
            <v>001105080200308877</v>
          </cell>
          <cell r="K3336" t="str">
            <v>DNI</v>
          </cell>
          <cell r="L3336">
            <v>10405536787</v>
          </cell>
          <cell r="M3336" t="str">
            <v>AEROLINEAS</v>
          </cell>
          <cell r="N3336">
            <v>46090</v>
          </cell>
          <cell r="O3336">
            <v>0</v>
          </cell>
          <cell r="P3336">
            <v>0</v>
          </cell>
        </row>
        <row r="3337">
          <cell r="A3337">
            <v>4304</v>
          </cell>
          <cell r="B3337">
            <v>4304</v>
          </cell>
          <cell r="C3337" t="str">
            <v>CERO MATRICULA</v>
          </cell>
          <cell r="D3337" t="str">
            <v>ACTIVO</v>
          </cell>
          <cell r="E3337" t="str">
            <v>CVP536</v>
          </cell>
          <cell r="F3337" t="str">
            <v>RIVERO SUMOZA LEONARDO ISMAEL</v>
          </cell>
          <cell r="G3337" t="str">
            <v>RIVERO SUMOZA LEONARDO ISMAEL</v>
          </cell>
          <cell r="H3337" t="str">
            <v>002892198</v>
          </cell>
          <cell r="I3337" t="str">
            <v>BCP</v>
          </cell>
          <cell r="J3337" t="str">
            <v>19198519025064</v>
          </cell>
          <cell r="K3337" t="str">
            <v>CE</v>
          </cell>
          <cell r="L3337">
            <v>15603791425</v>
          </cell>
          <cell r="M3337" t="str">
            <v>AEROLINEAS</v>
          </cell>
          <cell r="N3337">
            <v>46090</v>
          </cell>
          <cell r="O3337">
            <v>0</v>
          </cell>
          <cell r="P3337">
            <v>0</v>
          </cell>
        </row>
        <row r="3338">
          <cell r="A3338">
            <v>4</v>
          </cell>
          <cell r="B3338">
            <v>4</v>
          </cell>
          <cell r="C3338" t="str">
            <v>CERO MATRICULA</v>
          </cell>
          <cell r="D3338" t="str">
            <v>ACTIVO</v>
          </cell>
          <cell r="E3338" t="str">
            <v>MOVIL CONTINGENCIA</v>
          </cell>
          <cell r="F3338" t="str">
            <v>MOVIL CONTINGENCIA</v>
          </cell>
          <cell r="G3338" t="str">
            <v>MOVIL CONTINGENCIA</v>
          </cell>
          <cell r="H3338" t="str">
            <v>MOVIL CONTINGENCIA</v>
          </cell>
          <cell r="I3338" t="str">
            <v>MOVIL CONTINGENCIA</v>
          </cell>
          <cell r="J3338" t="str">
            <v>MOVIL CONTINGENCIA</v>
          </cell>
          <cell r="K3338" t="str">
            <v>MOVIL CONTINGENCIA</v>
          </cell>
          <cell r="L3338" t="str">
            <v>MOVIL CONTINGENCIA</v>
          </cell>
          <cell r="M3338" t="str">
            <v>MOVIL CONTINGENCIA</v>
          </cell>
          <cell r="N3338">
            <v>46090</v>
          </cell>
          <cell r="O3338">
            <v>0</v>
          </cell>
          <cell r="P3338">
            <v>0</v>
          </cell>
        </row>
        <row r="3339">
          <cell r="A3339">
            <v>4280</v>
          </cell>
          <cell r="B3339">
            <v>4280</v>
          </cell>
          <cell r="C3339" t="str">
            <v>CERO MATRICULA</v>
          </cell>
          <cell r="D3339" t="str">
            <v>ACTIVO</v>
          </cell>
          <cell r="E3339" t="str">
            <v>ALF329</v>
          </cell>
          <cell r="F3339" t="str">
            <v>Cerna Diaz Edwin</v>
          </cell>
          <cell r="G3339" t="str">
            <v>Cerna Diaz Edwin</v>
          </cell>
          <cell r="H3339">
            <v>72546959</v>
          </cell>
          <cell r="I3339" t="str">
            <v>BCP</v>
          </cell>
          <cell r="J3339">
            <v>19193679806064</v>
          </cell>
          <cell r="K3339" t="str">
            <v>DNI</v>
          </cell>
          <cell r="L3339">
            <v>10725469590</v>
          </cell>
          <cell r="M3339" t="str">
            <v>URBANO PARTNER</v>
          </cell>
          <cell r="N3339">
            <v>46098</v>
          </cell>
          <cell r="O3339">
            <v>0</v>
          </cell>
          <cell r="P3339">
            <v>0</v>
          </cell>
        </row>
        <row r="3340">
          <cell r="A3340">
            <v>4318</v>
          </cell>
          <cell r="B3340">
            <v>4318</v>
          </cell>
          <cell r="C3340" t="str">
            <v>CERO MATRICULA</v>
          </cell>
          <cell r="D3340" t="str">
            <v>ACTIVO</v>
          </cell>
          <cell r="E3340" t="str">
            <v>CEQ537</v>
          </cell>
          <cell r="F3340" t="str">
            <v>Galdos Lizárraga Fernando Antonio</v>
          </cell>
          <cell r="G3340" t="str">
            <v>Galdos Lizárraga Fernando Antonio</v>
          </cell>
          <cell r="H3340">
            <v>10798912</v>
          </cell>
          <cell r="I3340" t="str">
            <v>BCP</v>
          </cell>
          <cell r="J3340">
            <v>19336657804083</v>
          </cell>
          <cell r="K3340" t="str">
            <v>DNI</v>
          </cell>
          <cell r="L3340">
            <v>10107989124</v>
          </cell>
          <cell r="M3340" t="str">
            <v>URBANO PARTNER</v>
          </cell>
          <cell r="N3340">
            <v>46098</v>
          </cell>
          <cell r="O3340">
            <v>0</v>
          </cell>
          <cell r="P3340">
            <v>0</v>
          </cell>
        </row>
        <row r="3341">
          <cell r="A3341">
            <v>4319</v>
          </cell>
          <cell r="B3341">
            <v>4319</v>
          </cell>
          <cell r="C3341" t="str">
            <v>CERO MATRICULA</v>
          </cell>
          <cell r="D3341" t="str">
            <v>ACTIVO</v>
          </cell>
          <cell r="E3341" t="str">
            <v>CXF087</v>
          </cell>
          <cell r="F3341" t="str">
            <v>Nolasco Ramos Juan Dionisio</v>
          </cell>
          <cell r="G3341" t="str">
            <v>Nolasco Ramos Juan Dionisio</v>
          </cell>
          <cell r="H3341">
            <v>9964721</v>
          </cell>
          <cell r="I3341" t="str">
            <v>BCP</v>
          </cell>
          <cell r="J3341">
            <v>19190557805028</v>
          </cell>
          <cell r="K3341" t="str">
            <v>DNI</v>
          </cell>
          <cell r="L3341">
            <v>10099647219</v>
          </cell>
          <cell r="M3341" t="str">
            <v>URBANO PARTNER</v>
          </cell>
          <cell r="N3341">
            <v>46098</v>
          </cell>
          <cell r="O3341">
            <v>0</v>
          </cell>
          <cell r="P3341">
            <v>0</v>
          </cell>
        </row>
        <row r="3342">
          <cell r="A3342">
            <v>4320</v>
          </cell>
          <cell r="B3342">
            <v>4320</v>
          </cell>
          <cell r="C3342" t="str">
            <v>CERO MATRICULA</v>
          </cell>
          <cell r="D3342" t="str">
            <v>ACTIVO</v>
          </cell>
          <cell r="E3342" t="str">
            <v>CXB040</v>
          </cell>
          <cell r="F3342" t="str">
            <v>Solis Salguero Juan Diego</v>
          </cell>
          <cell r="G3342" t="str">
            <v>Solis Salguero Juan Diego</v>
          </cell>
          <cell r="H3342">
            <v>43471931</v>
          </cell>
          <cell r="I3342" t="str">
            <v>BCP</v>
          </cell>
          <cell r="J3342">
            <v>19278394233092</v>
          </cell>
          <cell r="K3342" t="str">
            <v>DNI</v>
          </cell>
          <cell r="L3342">
            <v>10434719319</v>
          </cell>
          <cell r="M3342" t="str">
            <v>URBANO PARTNER</v>
          </cell>
          <cell r="N3342">
            <v>46098</v>
          </cell>
          <cell r="O3342">
            <v>0</v>
          </cell>
          <cell r="P3342" t="str">
            <v>COMFORT</v>
          </cell>
        </row>
        <row r="3343">
          <cell r="A3343">
            <v>4321</v>
          </cell>
          <cell r="B3343">
            <v>4321</v>
          </cell>
          <cell r="C3343" t="str">
            <v>CERO MATRICULA</v>
          </cell>
          <cell r="D3343" t="str">
            <v>ACTIVO</v>
          </cell>
          <cell r="E3343" t="str">
            <v>BPS393</v>
          </cell>
          <cell r="F3343" t="str">
            <v>Guisado Rosales carlos jose</v>
          </cell>
          <cell r="G3343" t="str">
            <v>Guisado Rosales carlos jose</v>
          </cell>
          <cell r="H3343">
            <v>75518920</v>
          </cell>
          <cell r="I3343" t="str">
            <v>BCP</v>
          </cell>
          <cell r="J3343" t="str">
            <v>19492377207008</v>
          </cell>
          <cell r="K3343" t="str">
            <v>DNI</v>
          </cell>
          <cell r="L3343">
            <v>10755189206</v>
          </cell>
          <cell r="M3343" t="str">
            <v>URBANO PARTNER</v>
          </cell>
          <cell r="N3343">
            <v>46100</v>
          </cell>
          <cell r="O3343">
            <v>0</v>
          </cell>
          <cell r="P3343">
            <v>0</v>
          </cell>
        </row>
        <row r="3344">
          <cell r="A3344">
            <v>4322</v>
          </cell>
          <cell r="B3344">
            <v>4322</v>
          </cell>
          <cell r="C3344" t="str">
            <v>CERO MATRICULA</v>
          </cell>
          <cell r="D3344" t="str">
            <v>ACTIVO</v>
          </cell>
          <cell r="E3344" t="str">
            <v>Clv043</v>
          </cell>
          <cell r="F3344" t="str">
            <v>Pérez Huertas Alvaro José</v>
          </cell>
          <cell r="G3344" t="str">
            <v>PEREZ HUERTAS ALVARO JOSE</v>
          </cell>
          <cell r="H3344"/>
          <cell r="I3344" t="str">
            <v>BBVA</v>
          </cell>
          <cell r="J3344" t="str">
            <v>0011-0175-0200936917</v>
          </cell>
          <cell r="K3344"/>
          <cell r="L3344">
            <v>10768510186</v>
          </cell>
          <cell r="M3344" t="str">
            <v>URBANO PARTNER</v>
          </cell>
          <cell r="N3344">
            <v>46100</v>
          </cell>
          <cell r="O3344">
            <v>0</v>
          </cell>
          <cell r="P3344">
            <v>0</v>
          </cell>
        </row>
        <row r="3345">
          <cell r="A3345">
            <v>4311</v>
          </cell>
          <cell r="B3345">
            <v>4311</v>
          </cell>
          <cell r="C3345" t="str">
            <v>CERO MATRICULA</v>
          </cell>
          <cell r="D3345" t="str">
            <v>ACTIVO</v>
          </cell>
          <cell r="E3345" t="str">
            <v>CXJ322</v>
          </cell>
          <cell r="F3345" t="str">
            <v>Muro Cornejo Diego José</v>
          </cell>
          <cell r="G3345" t="str">
            <v>Muro Cornejo Diego Jose</v>
          </cell>
          <cell r="H3345">
            <v>45849992</v>
          </cell>
          <cell r="I3345" t="str">
            <v>BCP</v>
          </cell>
          <cell r="J3345" t="str">
            <v>19394663300093</v>
          </cell>
          <cell r="K3345" t="str">
            <v>DNI</v>
          </cell>
          <cell r="L3345">
            <v>10458499921</v>
          </cell>
          <cell r="M3345" t="str">
            <v>AEROLINEAS</v>
          </cell>
          <cell r="N3345">
            <v>46101</v>
          </cell>
          <cell r="O3345">
            <v>0</v>
          </cell>
          <cell r="P3345">
            <v>0</v>
          </cell>
        </row>
        <row r="3346">
          <cell r="A3346">
            <v>4310</v>
          </cell>
          <cell r="B3346">
            <v>4310</v>
          </cell>
          <cell r="C3346" t="str">
            <v>CERO MATRICULA</v>
          </cell>
          <cell r="D3346" t="str">
            <v>ACTIVO</v>
          </cell>
          <cell r="E3346" t="str">
            <v>BSW220</v>
          </cell>
          <cell r="F3346" t="str">
            <v>Alvarado Albornoz Richard Juan</v>
          </cell>
          <cell r="G3346" t="str">
            <v>Alvarado Albornoz Richard Juan</v>
          </cell>
          <cell r="H3346">
            <v>44302705</v>
          </cell>
          <cell r="I3346" t="str">
            <v>INTERBANK</v>
          </cell>
          <cell r="J3346">
            <v>893135960038</v>
          </cell>
          <cell r="K3346" t="str">
            <v>DNI</v>
          </cell>
          <cell r="L3346">
            <v>10443027055</v>
          </cell>
          <cell r="M3346" t="str">
            <v>AEROLINEAS</v>
          </cell>
          <cell r="N3346">
            <v>46101</v>
          </cell>
          <cell r="O3346">
            <v>0</v>
          </cell>
          <cell r="P3346">
            <v>0</v>
          </cell>
        </row>
        <row r="3347">
          <cell r="A3347">
            <v>4309</v>
          </cell>
          <cell r="B3347">
            <v>4309</v>
          </cell>
          <cell r="C3347" t="str">
            <v>CERO MATRICULA</v>
          </cell>
          <cell r="D3347" t="str">
            <v>ACTIVO</v>
          </cell>
          <cell r="E3347" t="str">
            <v>CUS021</v>
          </cell>
          <cell r="F3347" t="str">
            <v>Gonzales Burga Cesar Arturo</v>
          </cell>
          <cell r="G3347" t="str">
            <v>Gonzales Burga Cesar Arturo</v>
          </cell>
          <cell r="H3347">
            <v>71927023</v>
          </cell>
          <cell r="I3347" t="str">
            <v>BCP</v>
          </cell>
          <cell r="J3347" t="str">
            <v>19299604703009</v>
          </cell>
          <cell r="K3347" t="str">
            <v>DNI</v>
          </cell>
          <cell r="L3347">
            <v>10719270234</v>
          </cell>
          <cell r="M3347" t="str">
            <v>AEROLINEAS</v>
          </cell>
          <cell r="N3347">
            <v>46101</v>
          </cell>
          <cell r="O3347">
            <v>0</v>
          </cell>
          <cell r="P3347">
            <v>0</v>
          </cell>
        </row>
        <row r="3348">
          <cell r="A3348">
            <v>4315</v>
          </cell>
          <cell r="B3348">
            <v>4315</v>
          </cell>
          <cell r="C3348" t="str">
            <v>CERO MATRICULA</v>
          </cell>
          <cell r="D3348" t="str">
            <v>ACTIVO</v>
          </cell>
          <cell r="E3348" t="str">
            <v>CPH266</v>
          </cell>
          <cell r="F3348" t="str">
            <v>Valle Cuesta Leonardo Andre</v>
          </cell>
          <cell r="G3348" t="str">
            <v>Valle Cuesta Leonardo Andre</v>
          </cell>
          <cell r="H3348">
            <v>75870343</v>
          </cell>
          <cell r="I3348" t="str">
            <v>BCP</v>
          </cell>
          <cell r="J3348">
            <v>19295207893086</v>
          </cell>
          <cell r="K3348" t="str">
            <v>DNI</v>
          </cell>
          <cell r="L3348">
            <v>10758703431</v>
          </cell>
          <cell r="M3348" t="str">
            <v>MEMBRESÍA NOCTURNA - APTO</v>
          </cell>
          <cell r="N3348">
            <v>46101</v>
          </cell>
          <cell r="O3348">
            <v>285</v>
          </cell>
          <cell r="P3348" t="str">
            <v>COMFORT XL</v>
          </cell>
        </row>
        <row r="3349">
          <cell r="A3349">
            <v>4314</v>
          </cell>
          <cell r="B3349">
            <v>4314</v>
          </cell>
          <cell r="C3349" t="str">
            <v>CERO MATRICULA</v>
          </cell>
          <cell r="D3349" t="str">
            <v>ACTIVO</v>
          </cell>
          <cell r="E3349" t="str">
            <v>CCG479</v>
          </cell>
          <cell r="F3349" t="str">
            <v>Gamero Mollo Jesús Adolfo</v>
          </cell>
          <cell r="G3349" t="str">
            <v>Gamero Mollo Jesús Adolfo</v>
          </cell>
          <cell r="H3349">
            <v>29702434</v>
          </cell>
          <cell r="I3349" t="str">
            <v>BCP</v>
          </cell>
          <cell r="J3349">
            <v>19475374880040</v>
          </cell>
          <cell r="K3349" t="str">
            <v>DNI</v>
          </cell>
          <cell r="L3349">
            <v>10297024341</v>
          </cell>
          <cell r="M3349" t="str">
            <v>MEMBRESÍA NOCTURNA - APTO</v>
          </cell>
          <cell r="N3349">
            <v>46101</v>
          </cell>
          <cell r="O3349">
            <v>235</v>
          </cell>
          <cell r="P3349" t="str">
            <v>COMFORT XL</v>
          </cell>
        </row>
        <row r="3350">
          <cell r="A3350">
            <v>4313</v>
          </cell>
          <cell r="B3350">
            <v>4313</v>
          </cell>
          <cell r="C3350" t="str">
            <v>CERO MATRICULA</v>
          </cell>
          <cell r="D3350" t="str">
            <v>ACTIVO</v>
          </cell>
          <cell r="E3350" t="str">
            <v>CRT221</v>
          </cell>
          <cell r="F3350" t="str">
            <v>Reyes Hernández Orangel Enrique</v>
          </cell>
          <cell r="G3350" t="str">
            <v>Reyes Hernández Orangel Enrique</v>
          </cell>
          <cell r="H3350">
            <v>2804362</v>
          </cell>
          <cell r="I3350" t="str">
            <v>BCP</v>
          </cell>
          <cell r="J3350">
            <v>19393120812025</v>
          </cell>
          <cell r="K3350" t="str">
            <v>CE</v>
          </cell>
          <cell r="L3350">
            <v>15606961151</v>
          </cell>
          <cell r="M3350" t="str">
            <v>MEMBRESÍA NOCTURNA - APTO</v>
          </cell>
          <cell r="N3350">
            <v>46101</v>
          </cell>
          <cell r="O3350">
            <v>285</v>
          </cell>
          <cell r="P3350" t="str">
            <v>COMFORT XL</v>
          </cell>
        </row>
        <row r="3351">
          <cell r="A3351">
            <v>4288</v>
          </cell>
          <cell r="B3351">
            <v>4288</v>
          </cell>
          <cell r="C3351" t="str">
            <v>CERO MATRICULA</v>
          </cell>
          <cell r="D3351" t="str">
            <v>ACTIVO</v>
          </cell>
          <cell r="E3351" t="str">
            <v>CTB611</v>
          </cell>
          <cell r="F3351" t="str">
            <v>Lozada Quispe Fernando Antonio</v>
          </cell>
          <cell r="G3351" t="str">
            <v>Lozada Quispe Fernando Antonio</v>
          </cell>
          <cell r="H3351">
            <v>44645838</v>
          </cell>
          <cell r="I3351" t="str">
            <v>BCP</v>
          </cell>
          <cell r="J3351">
            <v>19190217784072</v>
          </cell>
          <cell r="K3351" t="str">
            <v>DNI</v>
          </cell>
          <cell r="L3351">
            <v>10446458383</v>
          </cell>
          <cell r="M3351" t="str">
            <v>MEMBRESÍA NOCTURNA - APTO</v>
          </cell>
          <cell r="N3351">
            <v>46101</v>
          </cell>
          <cell r="O3351">
            <v>285</v>
          </cell>
          <cell r="P3351" t="str">
            <v>COMFORT XL</v>
          </cell>
        </row>
        <row r="3352">
          <cell r="A3352">
            <v>4200</v>
          </cell>
          <cell r="B3352">
            <v>4200</v>
          </cell>
          <cell r="C3352" t="str">
            <v>CERO MATRICULA</v>
          </cell>
          <cell r="D3352" t="str">
            <v>ACTIVO</v>
          </cell>
          <cell r="E3352" t="str">
            <v>FLOTA PROPIA</v>
          </cell>
          <cell r="F3352" t="str">
            <v>FLOTA PROPIA</v>
          </cell>
          <cell r="G3352" t="str">
            <v>FLOTA PROPIA</v>
          </cell>
          <cell r="H3352" t="str">
            <v>FLOTA PROPIA</v>
          </cell>
          <cell r="I3352" t="str">
            <v>FLOTA PROPIA</v>
          </cell>
          <cell r="J3352" t="str">
            <v>FLOTA PROPIA</v>
          </cell>
          <cell r="K3352" t="str">
            <v>FLOTA PROPIA</v>
          </cell>
          <cell r="L3352" t="str">
            <v>FLOTA PROPIA</v>
          </cell>
          <cell r="M3352" t="str">
            <v>FLOTA PROPIA</v>
          </cell>
          <cell r="N3352">
            <v>46100</v>
          </cell>
          <cell r="O3352">
            <v>0</v>
          </cell>
          <cell r="P3352" t="str">
            <v>VAN</v>
          </cell>
        </row>
        <row r="3353">
          <cell r="A3353">
            <v>2524</v>
          </cell>
          <cell r="B3353">
            <v>2524</v>
          </cell>
          <cell r="C3353" t="str">
            <v>CERO MATRICULA</v>
          </cell>
          <cell r="D3353" t="str">
            <v>ACTIVO</v>
          </cell>
          <cell r="E3353" t="str">
            <v>CVF563</v>
          </cell>
          <cell r="F3353" t="str">
            <v>Alburqueque Torres Sammy</v>
          </cell>
          <cell r="G3353" t="str">
            <v>Alburqueque Torres Sammy</v>
          </cell>
          <cell r="H3353">
            <v>47158617</v>
          </cell>
          <cell r="I3353" t="str">
            <v>BCP</v>
          </cell>
          <cell r="J3353" t="str">
            <v>19203654590003</v>
          </cell>
          <cell r="K3353" t="str">
            <v>DNI</v>
          </cell>
          <cell r="L3353">
            <v>10471586175</v>
          </cell>
          <cell r="M3353" t="str">
            <v>URBANO PARTNER</v>
          </cell>
          <cell r="N3353">
            <v>46105</v>
          </cell>
          <cell r="O3353">
            <v>0</v>
          </cell>
          <cell r="P3353">
            <v>0</v>
          </cell>
        </row>
        <row r="3354">
          <cell r="A3354">
            <v>4308</v>
          </cell>
          <cell r="B3354">
            <v>4308</v>
          </cell>
          <cell r="C3354" t="str">
            <v>CERO MATRICULA</v>
          </cell>
          <cell r="D3354" t="str">
            <v>ACTIVO</v>
          </cell>
          <cell r="E3354" t="str">
            <v>CVW078</v>
          </cell>
          <cell r="F3354" t="str">
            <v>Valenzuela Coronel Carlos</v>
          </cell>
          <cell r="G3354" t="str">
            <v>Valenzuela Coronel Carlos</v>
          </cell>
          <cell r="H3354">
            <v>47182673</v>
          </cell>
          <cell r="I3354" t="str">
            <v>INTERBANK</v>
          </cell>
          <cell r="J3354" t="str">
            <v>8983469899596</v>
          </cell>
          <cell r="K3354" t="str">
            <v>DNI</v>
          </cell>
          <cell r="L3354">
            <v>10471826737</v>
          </cell>
          <cell r="M3354" t="str">
            <v>AEROLINEAS</v>
          </cell>
          <cell r="N3354">
            <v>46108</v>
          </cell>
          <cell r="O3354">
            <v>0</v>
          </cell>
          <cell r="P3354">
            <v>0</v>
          </cell>
        </row>
        <row r="3355">
          <cell r="A3355">
            <v>4317</v>
          </cell>
          <cell r="B3355">
            <v>4317</v>
          </cell>
          <cell r="C3355" t="str">
            <v>CERO MATRICULA</v>
          </cell>
          <cell r="D3355" t="str">
            <v>ACTIVO</v>
          </cell>
          <cell r="E3355" t="str">
            <v>CWX555</v>
          </cell>
          <cell r="F3355" t="str">
            <v>Jambo Figueroa Elvis Jonathan</v>
          </cell>
          <cell r="G3355" t="str">
            <v>Jambo Figueroa Elvis Jonathan</v>
          </cell>
          <cell r="H3355">
            <v>77054473</v>
          </cell>
          <cell r="I3355" t="str">
            <v>INTERBANK</v>
          </cell>
          <cell r="J3355" t="str">
            <v>0483146636724</v>
          </cell>
          <cell r="K3355" t="str">
            <v>DNI</v>
          </cell>
          <cell r="L3355">
            <v>10770544730</v>
          </cell>
          <cell r="M3355" t="str">
            <v>URBANO PARTNER</v>
          </cell>
          <cell r="N3355">
            <v>46105</v>
          </cell>
          <cell r="O3355">
            <v>0</v>
          </cell>
          <cell r="P3355">
            <v>0</v>
          </cell>
        </row>
        <row r="3356">
          <cell r="A3356">
            <v>4324</v>
          </cell>
          <cell r="B3356">
            <v>4324</v>
          </cell>
          <cell r="C3356" t="str">
            <v>CERO MATRICULA</v>
          </cell>
          <cell r="D3356" t="str">
            <v>ACTIVO</v>
          </cell>
          <cell r="E3356" t="str">
            <v>CVD128</v>
          </cell>
          <cell r="F3356" t="str">
            <v>Egoavil Gomez Luis Alexis</v>
          </cell>
          <cell r="G3356" t="str">
            <v>Egoavil Gomez Luis Alexis</v>
          </cell>
          <cell r="H3356">
            <v>42369967</v>
          </cell>
          <cell r="I3356" t="str">
            <v>BBVA</v>
          </cell>
          <cell r="J3356" t="str">
            <v>001100570233422011</v>
          </cell>
          <cell r="K3356" t="str">
            <v>DNI</v>
          </cell>
          <cell r="L3356">
            <v>10423699677</v>
          </cell>
          <cell r="M3356" t="str">
            <v>AEROLINEAS</v>
          </cell>
          <cell r="N3356">
            <v>46108</v>
          </cell>
          <cell r="O3356">
            <v>0</v>
          </cell>
          <cell r="P3356">
            <v>0</v>
          </cell>
        </row>
        <row r="3357">
          <cell r="A3357">
            <v>4325</v>
          </cell>
          <cell r="B3357">
            <v>4325</v>
          </cell>
          <cell r="C3357" t="str">
            <v>CERO MATRICULA</v>
          </cell>
          <cell r="D3357" t="str">
            <v>ACTIVO</v>
          </cell>
          <cell r="E3357" t="str">
            <v>CTE401</v>
          </cell>
          <cell r="F3357" t="str">
            <v>Lovatón Aguirre Roberto</v>
          </cell>
          <cell r="G3357" t="str">
            <v>Lovatón  Aguirre Roberto</v>
          </cell>
          <cell r="H3357">
            <v>24002757</v>
          </cell>
          <cell r="I3357" t="str">
            <v>BCP</v>
          </cell>
          <cell r="J3357" t="str">
            <v>19390419510036</v>
          </cell>
          <cell r="K3357" t="str">
            <v>DNI</v>
          </cell>
          <cell r="L3357">
            <v>10240027572</v>
          </cell>
          <cell r="M3357" t="str">
            <v>AEROLINEAS</v>
          </cell>
          <cell r="N3357">
            <v>46108</v>
          </cell>
          <cell r="O3357">
            <v>0</v>
          </cell>
          <cell r="P3357">
            <v>0</v>
          </cell>
        </row>
        <row r="3358">
          <cell r="A3358">
            <v>4326</v>
          </cell>
          <cell r="B3358">
            <v>4326</v>
          </cell>
          <cell r="C3358" t="str">
            <v>CERO MATRICULA</v>
          </cell>
          <cell r="D3358" t="str">
            <v>ACTIVO</v>
          </cell>
          <cell r="E3358" t="str">
            <v>CWP221</v>
          </cell>
          <cell r="F3358" t="str">
            <v>Lucas Huamanyauri Brian  Yoel</v>
          </cell>
          <cell r="G3358" t="str">
            <v>Lucas Huamanyauri Brian  Yoel</v>
          </cell>
          <cell r="H3358">
            <v>77542531</v>
          </cell>
          <cell r="I3358" t="str">
            <v>BCP</v>
          </cell>
          <cell r="J3358" t="str">
            <v>19197653420016</v>
          </cell>
          <cell r="K3358" t="str">
            <v>DNI</v>
          </cell>
          <cell r="L3358">
            <v>10775425313</v>
          </cell>
          <cell r="M3358" t="str">
            <v>AEROLINEAS</v>
          </cell>
          <cell r="N3358">
            <v>46108</v>
          </cell>
          <cell r="O3358">
            <v>0</v>
          </cell>
          <cell r="P3358">
            <v>0</v>
          </cell>
        </row>
        <row r="3359">
          <cell r="A3359">
            <v>4327</v>
          </cell>
          <cell r="B3359">
            <v>4327</v>
          </cell>
          <cell r="C3359" t="str">
            <v>CERO MATRICULA</v>
          </cell>
          <cell r="D3359" t="str">
            <v>ACTIVO</v>
          </cell>
          <cell r="E3359" t="str">
            <v>D0E489</v>
          </cell>
          <cell r="F3359" t="str">
            <v>PEBE NIEBUHR JOSHUA THOMAS</v>
          </cell>
          <cell r="G3359" t="str">
            <v>PEBE NIEBUHR JOSHUA THOMAS</v>
          </cell>
          <cell r="H3359">
            <v>41797713</v>
          </cell>
          <cell r="I3359" t="str">
            <v>INTERBANK</v>
          </cell>
          <cell r="J3359" t="str">
            <v>1583342988707</v>
          </cell>
          <cell r="K3359" t="str">
            <v>DNI</v>
          </cell>
          <cell r="L3359">
            <v>10417977134</v>
          </cell>
          <cell r="M3359" t="str">
            <v>AEROLINEAS</v>
          </cell>
          <cell r="N3359">
            <v>46108</v>
          </cell>
          <cell r="O3359">
            <v>0</v>
          </cell>
          <cell r="P3359">
            <v>0</v>
          </cell>
        </row>
        <row r="3360">
          <cell r="A3360">
            <v>4328</v>
          </cell>
          <cell r="B3360">
            <v>4328</v>
          </cell>
          <cell r="C3360" t="str">
            <v>CERO MATRICULA</v>
          </cell>
          <cell r="D3360" t="str">
            <v>ACTIVO</v>
          </cell>
          <cell r="E3360" t="str">
            <v>CWV 293</v>
          </cell>
          <cell r="F3360" t="str">
            <v>PIEDRA CHANDIVI Luis Arnaldo</v>
          </cell>
          <cell r="G3360" t="str">
            <v>PIEDRA CHANDIVI Luis Arnaldo</v>
          </cell>
          <cell r="H3360" t="str">
            <v>06667495</v>
          </cell>
          <cell r="I3360" t="str">
            <v>BCP</v>
          </cell>
          <cell r="J3360" t="str">
            <v>19498814009028</v>
          </cell>
          <cell r="K3360" t="str">
            <v>DNI</v>
          </cell>
          <cell r="L3360">
            <v>10066674954</v>
          </cell>
          <cell r="M3360" t="str">
            <v>MEMBRESÍA NOCTURNA - APTO</v>
          </cell>
          <cell r="N3360">
            <v>46108</v>
          </cell>
          <cell r="O3360">
            <v>235</v>
          </cell>
          <cell r="P3360" t="str">
            <v>COMFORT XL</v>
          </cell>
        </row>
        <row r="3361">
          <cell r="A3361">
            <v>4330</v>
          </cell>
          <cell r="B3361">
            <v>4330</v>
          </cell>
          <cell r="C3361" t="str">
            <v>CERO MATRICULA</v>
          </cell>
          <cell r="D3361" t="str">
            <v>ACTIVO</v>
          </cell>
          <cell r="E3361" t="str">
            <v>CTD217</v>
          </cell>
          <cell r="F3361" t="str">
            <v>HERNÁNDEZ RUEDA DANIEL EDUARDO</v>
          </cell>
          <cell r="G3361" t="str">
            <v>HERNÁNDEZ RUEDA DANIEL EDUARDO</v>
          </cell>
          <cell r="H3361" t="str">
            <v>003814624</v>
          </cell>
          <cell r="I3361" t="str">
            <v>BCP</v>
          </cell>
          <cell r="J3361" t="str">
            <v>19194659308060</v>
          </cell>
          <cell r="K3361" t="str">
            <v>CE</v>
          </cell>
          <cell r="L3361">
            <v>15607366427</v>
          </cell>
          <cell r="M3361" t="str">
            <v>MEMBRESÍA NOCTURNA - APTO</v>
          </cell>
          <cell r="N3361">
            <v>46108</v>
          </cell>
          <cell r="O3361">
            <v>315</v>
          </cell>
          <cell r="P3361" t="str">
            <v>LITE</v>
          </cell>
        </row>
        <row r="3362">
          <cell r="A3362">
            <v>4331</v>
          </cell>
          <cell r="B3362">
            <v>4331</v>
          </cell>
          <cell r="C3362" t="str">
            <v>CERO MATRICULA</v>
          </cell>
          <cell r="D3362" t="str">
            <v>ACTIVO</v>
          </cell>
          <cell r="E3362" t="str">
            <v>CST304</v>
          </cell>
          <cell r="F3362" t="str">
            <v>Corbetta Chávez Edgar Rogelio</v>
          </cell>
          <cell r="G3362" t="str">
            <v>Corbetta Chávez Edgar Rogelio</v>
          </cell>
          <cell r="H3362">
            <v>20577579</v>
          </cell>
          <cell r="I3362" t="str">
            <v>BCP</v>
          </cell>
          <cell r="J3362" t="str">
            <v>19305610415085</v>
          </cell>
          <cell r="K3362" t="str">
            <v>DNI</v>
          </cell>
          <cell r="L3362">
            <v>10205775795</v>
          </cell>
          <cell r="M3362" t="str">
            <v>MEMBRESÍA NOCTURNA - APTO</v>
          </cell>
          <cell r="N3362">
            <v>46108</v>
          </cell>
          <cell r="O3362">
            <v>235</v>
          </cell>
          <cell r="P3362" t="str">
            <v>COMFORT XL</v>
          </cell>
        </row>
        <row r="3363">
          <cell r="A3363">
            <v>4332</v>
          </cell>
          <cell r="B3363">
            <v>4332</v>
          </cell>
          <cell r="C3363" t="str">
            <v>CERO MATRICULA</v>
          </cell>
          <cell r="D3363" t="str">
            <v>ACTIVO</v>
          </cell>
          <cell r="E3363" t="str">
            <v>CSM257</v>
          </cell>
          <cell r="F3363" t="str">
            <v>Acuña Guizado Omar Andre</v>
          </cell>
          <cell r="G3363" t="str">
            <v>Acuña  Guizado Omar Andre</v>
          </cell>
          <cell r="H3363">
            <v>45836469</v>
          </cell>
          <cell r="I3363" t="str">
            <v>BBVA</v>
          </cell>
          <cell r="J3363" t="str">
            <v>001100570235317762</v>
          </cell>
          <cell r="K3363" t="str">
            <v>DNI</v>
          </cell>
          <cell r="L3363">
            <v>10458364694</v>
          </cell>
          <cell r="M3363" t="str">
            <v>URBANO PARTNER</v>
          </cell>
          <cell r="N3363">
            <v>46105</v>
          </cell>
          <cell r="O3363">
            <v>0</v>
          </cell>
          <cell r="P3363">
            <v>0</v>
          </cell>
        </row>
        <row r="3364">
          <cell r="A3364">
            <v>4335</v>
          </cell>
          <cell r="B3364">
            <v>4335</v>
          </cell>
          <cell r="C3364" t="str">
            <v>CERO MATRICULA</v>
          </cell>
          <cell r="D3364" t="str">
            <v>ACTIVO</v>
          </cell>
          <cell r="E3364" t="str">
            <v>CEQ136</v>
          </cell>
          <cell r="F3364" t="str">
            <v>Leguia Ludeña Fredy</v>
          </cell>
          <cell r="G3364" t="str">
            <v>Leguia Ludeña Fredy</v>
          </cell>
          <cell r="H3364">
            <v>44583957</v>
          </cell>
          <cell r="I3364" t="str">
            <v>BCP</v>
          </cell>
          <cell r="J3364" t="str">
            <v>19193738093039</v>
          </cell>
          <cell r="K3364" t="str">
            <v>DNI</v>
          </cell>
          <cell r="L3364">
            <v>10445839570</v>
          </cell>
          <cell r="M3364" t="str">
            <v>URBANO PARTNER</v>
          </cell>
          <cell r="N3364">
            <v>46105</v>
          </cell>
          <cell r="O3364">
            <v>0</v>
          </cell>
          <cell r="P3364">
            <v>0</v>
          </cell>
        </row>
        <row r="3365">
          <cell r="A3365">
            <v>4336</v>
          </cell>
          <cell r="B3365">
            <v>4336</v>
          </cell>
          <cell r="C3365" t="str">
            <v>CERO MATRICULA</v>
          </cell>
          <cell r="D3365" t="str">
            <v>ACTIVO</v>
          </cell>
          <cell r="E3365" t="str">
            <v>CUK039</v>
          </cell>
          <cell r="F3365" t="str">
            <v>Pérez Barón Alexander Rafael</v>
          </cell>
          <cell r="G3365" t="str">
            <v xml:space="preserve"> ALEXANDER RAFAEL PEREZ BARÓN</v>
          </cell>
          <cell r="H3365" t="str">
            <v>008706917</v>
          </cell>
          <cell r="I3365" t="str">
            <v>SCOTIABANK</v>
          </cell>
          <cell r="J3365" t="str">
            <v>0747558393</v>
          </cell>
          <cell r="K3365" t="str">
            <v>CE</v>
          </cell>
          <cell r="L3365">
            <v>15615749882</v>
          </cell>
          <cell r="M3365" t="str">
            <v>URBANO PARTNER</v>
          </cell>
          <cell r="N3365">
            <v>46105</v>
          </cell>
          <cell r="O3365">
            <v>0</v>
          </cell>
          <cell r="P3365">
            <v>0</v>
          </cell>
        </row>
        <row r="3366">
          <cell r="A3366">
            <v>4337</v>
          </cell>
          <cell r="B3366">
            <v>4337</v>
          </cell>
          <cell r="C3366" t="str">
            <v>CERO MATRICULA</v>
          </cell>
          <cell r="D3366" t="str">
            <v>ACTIVO</v>
          </cell>
          <cell r="E3366" t="str">
            <v>CDK426</v>
          </cell>
          <cell r="F3366" t="str">
            <v xml:space="preserve">Salazar Garban Freddy Jose </v>
          </cell>
          <cell r="G3366" t="str">
            <v xml:space="preserve">Salazar Garban Freddy Jose </v>
          </cell>
          <cell r="H3366">
            <v>49084704</v>
          </cell>
          <cell r="I3366" t="str">
            <v>BCP</v>
          </cell>
          <cell r="J3366" t="str">
            <v>19197941131033</v>
          </cell>
          <cell r="K3366" t="str">
            <v>DNI</v>
          </cell>
          <cell r="L3366">
            <v>15607580780</v>
          </cell>
          <cell r="M3366" t="str">
            <v>URBANO PARTNER</v>
          </cell>
          <cell r="N3366">
            <v>46105</v>
          </cell>
          <cell r="O3366">
            <v>0</v>
          </cell>
          <cell r="P3366">
            <v>0</v>
          </cell>
        </row>
        <row r="3367">
          <cell r="A3367">
            <v>4338</v>
          </cell>
          <cell r="B3367">
            <v>4338</v>
          </cell>
          <cell r="C3367" t="str">
            <v>CERO MATRICULA</v>
          </cell>
          <cell r="D3367" t="str">
            <v>ACTIVO</v>
          </cell>
          <cell r="E3367" t="str">
            <v>Cwt344</v>
          </cell>
          <cell r="F3367" t="str">
            <v xml:space="preserve">Cortez Rebatta Roberto Vladimir </v>
          </cell>
          <cell r="G3367" t="str">
            <v xml:space="preserve">Cortez Rebatta Roberto Vladimir </v>
          </cell>
          <cell r="H3367">
            <v>45162715</v>
          </cell>
          <cell r="I3367" t="str">
            <v>BCP</v>
          </cell>
          <cell r="J3367" t="str">
            <v>19278812479062</v>
          </cell>
          <cell r="K3367" t="str">
            <v>DNI</v>
          </cell>
          <cell r="L3367">
            <v>10451627151</v>
          </cell>
          <cell r="M3367" t="str">
            <v>AEROPUERTO</v>
          </cell>
          <cell r="N3367">
            <v>46105</v>
          </cell>
          <cell r="O3367">
            <v>240</v>
          </cell>
          <cell r="P3367" t="str">
            <v>XL</v>
          </cell>
        </row>
        <row r="3368">
          <cell r="A3368">
            <v>4341</v>
          </cell>
          <cell r="B3368">
            <v>4341</v>
          </cell>
          <cell r="C3368" t="str">
            <v>CERO MATRICULA</v>
          </cell>
          <cell r="D3368" t="str">
            <v>ACTIVO</v>
          </cell>
          <cell r="E3368" t="str">
            <v>CBR666</v>
          </cell>
          <cell r="F3368" t="str">
            <v>Bendezu Saldaña Victor Lizandro</v>
          </cell>
          <cell r="G3368" t="str">
            <v>Bendezu Saldaña Victor Lizandro</v>
          </cell>
          <cell r="H3368">
            <v>70634374</v>
          </cell>
          <cell r="I3368" t="str">
            <v>BCP</v>
          </cell>
          <cell r="J3368" t="str">
            <v>19113749230009</v>
          </cell>
          <cell r="K3368" t="str">
            <v>DNI</v>
          </cell>
          <cell r="L3368">
            <v>10706343747</v>
          </cell>
          <cell r="M3368" t="str">
            <v>URBANO PARTNER</v>
          </cell>
          <cell r="N3368">
            <v>46105</v>
          </cell>
          <cell r="O3368">
            <v>0</v>
          </cell>
          <cell r="P3368">
            <v>0</v>
          </cell>
        </row>
        <row r="3369">
          <cell r="A3369">
            <v>4342</v>
          </cell>
          <cell r="B3369">
            <v>4342</v>
          </cell>
          <cell r="C3369" t="str">
            <v>CERO MATRICULA</v>
          </cell>
          <cell r="D3369" t="str">
            <v>ACTIVO</v>
          </cell>
          <cell r="E3369" t="str">
            <v>Cwv043</v>
          </cell>
          <cell r="F3369" t="str">
            <v>Leandro Yldefonso Wilmer Celestino</v>
          </cell>
          <cell r="G3369" t="str">
            <v>Leandro  Yldefonso Wilmer Celestino</v>
          </cell>
          <cell r="H3369" t="str">
            <v>04222705</v>
          </cell>
          <cell r="I3369" t="str">
            <v>BCP</v>
          </cell>
          <cell r="J3369" t="str">
            <v>19119488579031</v>
          </cell>
          <cell r="K3369" t="str">
            <v>DNI</v>
          </cell>
          <cell r="L3369">
            <v>10042227051</v>
          </cell>
          <cell r="M3369" t="str">
            <v>URBANO PARTNER</v>
          </cell>
          <cell r="N3369">
            <v>46105</v>
          </cell>
          <cell r="O3369">
            <v>0</v>
          </cell>
          <cell r="P3369">
            <v>0</v>
          </cell>
        </row>
        <row r="3370">
          <cell r="A3370">
            <v>4323</v>
          </cell>
          <cell r="B3370">
            <v>4323</v>
          </cell>
          <cell r="C3370" t="str">
            <v>CERO MATRICULA</v>
          </cell>
          <cell r="D3370" t="str">
            <v>ACTIVO</v>
          </cell>
          <cell r="E3370" t="str">
            <v>FLOTA PROPIA</v>
          </cell>
          <cell r="F3370" t="str">
            <v>FLOTA PROPIA</v>
          </cell>
          <cell r="G3370" t="str">
            <v>FLOTA PROPIA</v>
          </cell>
          <cell r="H3370" t="str">
            <v>FLOTA PROPIA</v>
          </cell>
          <cell r="I3370" t="str">
            <v>FLOTA PROPIA</v>
          </cell>
          <cell r="J3370" t="str">
            <v>FLOTA PROPIA</v>
          </cell>
          <cell r="K3370" t="str">
            <v>FLOTA PROPIA</v>
          </cell>
          <cell r="L3370" t="str">
            <v>FLOTA PROPIA</v>
          </cell>
          <cell r="M3370" t="str">
            <v>FLOTA PROPIA</v>
          </cell>
          <cell r="N3370">
            <v>46100</v>
          </cell>
          <cell r="O3370">
            <v>0</v>
          </cell>
          <cell r="P3370" t="str">
            <v>VAN</v>
          </cell>
        </row>
        <row r="3371">
          <cell r="A3371">
            <v>23</v>
          </cell>
          <cell r="B3371">
            <v>23</v>
          </cell>
          <cell r="C3371" t="str">
            <v>CERO MATRICULA</v>
          </cell>
          <cell r="D3371" t="str">
            <v>ACTIVO</v>
          </cell>
          <cell r="E3371" t="str">
            <v>MOVIL CONTINGENCIA</v>
          </cell>
          <cell r="F3371" t="str">
            <v>MOVIL CONTINGENCIA</v>
          </cell>
          <cell r="G3371" t="str">
            <v>MOVIL CONTINGENCIA</v>
          </cell>
          <cell r="H3371" t="str">
            <v>MOVIL CONTINGENCIA</v>
          </cell>
          <cell r="I3371" t="str">
            <v>MOVIL CONTINGENCIA</v>
          </cell>
          <cell r="J3371" t="str">
            <v>MOVIL CONTINGENCIA</v>
          </cell>
          <cell r="K3371" t="str">
            <v>MOVIL CONTINGENCIA</v>
          </cell>
          <cell r="L3371" t="str">
            <v>MOVIL CONTINGENCIA</v>
          </cell>
          <cell r="M3371" t="str">
            <v>MOVIL CONTINGENCIA</v>
          </cell>
          <cell r="N3371">
            <v>46104</v>
          </cell>
          <cell r="O3371">
            <v>0</v>
          </cell>
          <cell r="P3371">
            <v>0</v>
          </cell>
        </row>
        <row r="3372">
          <cell r="A3372">
            <v>4202</v>
          </cell>
          <cell r="B3372">
            <v>4202</v>
          </cell>
          <cell r="C3372" t="str">
            <v>CERO MATRICULA</v>
          </cell>
          <cell r="D3372" t="str">
            <v>ACTIVO</v>
          </cell>
          <cell r="E3372" t="str">
            <v>FLOTA PROPIA</v>
          </cell>
          <cell r="F3372" t="str">
            <v>FLOTA PROPIA</v>
          </cell>
          <cell r="G3372" t="str">
            <v>FLOTA PROPIA</v>
          </cell>
          <cell r="H3372" t="str">
            <v>FLOTA PROPIA</v>
          </cell>
          <cell r="I3372" t="str">
            <v>FLOTA PROPIA</v>
          </cell>
          <cell r="J3372" t="str">
            <v>FLOTA PROPIA</v>
          </cell>
          <cell r="K3372" t="str">
            <v>FLOTA PROPIA</v>
          </cell>
          <cell r="L3372" t="str">
            <v>FLOTA PROPIA</v>
          </cell>
          <cell r="M3372" t="str">
            <v>FLOTA PROPIA</v>
          </cell>
          <cell r="N3372">
            <v>46107</v>
          </cell>
          <cell r="O3372">
            <v>0</v>
          </cell>
          <cell r="P3372" t="str">
            <v>VAN</v>
          </cell>
        </row>
        <row r="3373">
          <cell r="A3373">
            <v>4179</v>
          </cell>
          <cell r="B3373">
            <v>4179</v>
          </cell>
          <cell r="C3373" t="str">
            <v>CERO MATRICULA</v>
          </cell>
          <cell r="D3373" t="str">
            <v>ACTIVO</v>
          </cell>
          <cell r="E3373" t="str">
            <v>FLOTA PROPIA</v>
          </cell>
          <cell r="F3373" t="str">
            <v>FLOTA PROPIA</v>
          </cell>
          <cell r="G3373" t="str">
            <v>FLOTA PROPIA</v>
          </cell>
          <cell r="H3373" t="str">
            <v>FLOTA PROPIA</v>
          </cell>
          <cell r="I3373" t="str">
            <v>FLOTA PROPIA</v>
          </cell>
          <cell r="J3373" t="str">
            <v>FLOTA PROPIA</v>
          </cell>
          <cell r="K3373" t="str">
            <v>FLOTA PROPIA</v>
          </cell>
          <cell r="L3373" t="str">
            <v>FLOTA PROPIA</v>
          </cell>
          <cell r="M3373" t="str">
            <v>FLOTA PROPIA</v>
          </cell>
          <cell r="N3373">
            <v>46100</v>
          </cell>
          <cell r="O3373">
            <v>0</v>
          </cell>
          <cell r="P3373" t="str">
            <v>VAN</v>
          </cell>
        </row>
        <row r="3374">
          <cell r="A3374">
            <v>4346</v>
          </cell>
          <cell r="B3374">
            <v>4346</v>
          </cell>
          <cell r="C3374" t="str">
            <v>CERO MATRICULA</v>
          </cell>
          <cell r="D3374" t="str">
            <v>ACTIVO</v>
          </cell>
          <cell r="E3374" t="str">
            <v>CVX322</v>
          </cell>
          <cell r="F3374" t="str">
            <v>CRUZ CONTRERAS JESUS ALBERTO</v>
          </cell>
          <cell r="G3374" t="str">
            <v xml:space="preserve">CRUZ CONTRERAS LUIS MIGUEL </v>
          </cell>
          <cell r="H3374" t="str">
            <v>75201259</v>
          </cell>
          <cell r="I3374" t="str">
            <v>INTERBANK</v>
          </cell>
          <cell r="J3374" t="str">
            <v>3303342002550</v>
          </cell>
          <cell r="K3374" t="str">
            <v>DNI</v>
          </cell>
          <cell r="L3374">
            <v>10752012593</v>
          </cell>
          <cell r="M3374" t="str">
            <v>URBANO PARTNER</v>
          </cell>
          <cell r="N3374">
            <v>46112</v>
          </cell>
          <cell r="O3374">
            <v>0</v>
          </cell>
          <cell r="P3374">
            <v>0</v>
          </cell>
        </row>
        <row r="3375">
          <cell r="A3375">
            <v>4339</v>
          </cell>
          <cell r="B3375">
            <v>4339</v>
          </cell>
          <cell r="C3375" t="str">
            <v>CERO MATRICULA</v>
          </cell>
          <cell r="D3375" t="str">
            <v>ACTIVO</v>
          </cell>
          <cell r="E3375" t="str">
            <v>CPJ487</v>
          </cell>
          <cell r="F3375" t="str">
            <v>Pazo Riojas Alberto Brandy</v>
          </cell>
          <cell r="G3375" t="str">
            <v>Pazo Riojas Alberto Brandy</v>
          </cell>
          <cell r="H3375">
            <v>73339134</v>
          </cell>
          <cell r="I3375" t="str">
            <v>INTERBANK</v>
          </cell>
          <cell r="J3375" t="str">
            <v>8213358144623</v>
          </cell>
          <cell r="K3375" t="str">
            <v>DNI</v>
          </cell>
          <cell r="L3375">
            <v>10733391346</v>
          </cell>
          <cell r="M3375" t="str">
            <v>URBANO PARTNER</v>
          </cell>
          <cell r="N3375">
            <v>46112</v>
          </cell>
          <cell r="O3375">
            <v>0</v>
          </cell>
          <cell r="P3375">
            <v>0</v>
          </cell>
        </row>
        <row r="3376">
          <cell r="A3376">
            <v>4347</v>
          </cell>
          <cell r="B3376">
            <v>4347</v>
          </cell>
          <cell r="C3376" t="str">
            <v>CERO MATRICULA</v>
          </cell>
          <cell r="D3376" t="str">
            <v>ACTIVO</v>
          </cell>
          <cell r="E3376" t="str">
            <v>CXH558</v>
          </cell>
          <cell r="F3376" t="str">
            <v>LLALLIHUAMAN CALDERON ALAN LEIBNIZ</v>
          </cell>
          <cell r="G3376" t="str">
            <v>Ramirez Guerrero Deysi Milagros</v>
          </cell>
          <cell r="H3376">
            <v>4514223</v>
          </cell>
          <cell r="I3376" t="str">
            <v>INTERBANK</v>
          </cell>
          <cell r="J3376" t="str">
            <v>2003084511973</v>
          </cell>
          <cell r="K3376" t="str">
            <v>DNI</v>
          </cell>
          <cell r="L3376">
            <v>10451422231</v>
          </cell>
          <cell r="M3376" t="str">
            <v>URBANO PARTNER</v>
          </cell>
          <cell r="N3376">
            <v>46112</v>
          </cell>
          <cell r="O3376">
            <v>0</v>
          </cell>
          <cell r="P3376">
            <v>0</v>
          </cell>
        </row>
        <row r="3377">
          <cell r="A3377">
            <v>807</v>
          </cell>
          <cell r="B3377">
            <v>807</v>
          </cell>
          <cell r="C3377" t="str">
            <v>CERO MATRICULA</v>
          </cell>
          <cell r="D3377" t="str">
            <v>ACTIVO</v>
          </cell>
          <cell r="E3377" t="str">
            <v>BAL462</v>
          </cell>
          <cell r="F3377" t="str">
            <v>MUÑOZ CHAVEZ PEDRO</v>
          </cell>
          <cell r="G3377" t="str">
            <v>YURAIMI ANABEL
MUÑOZ MILLONES</v>
          </cell>
          <cell r="H3377" t="str">
            <v>71178618</v>
          </cell>
          <cell r="I3377" t="str">
            <v>BCP</v>
          </cell>
          <cell r="J3377" t="str">
            <v>19115999218024</v>
          </cell>
          <cell r="K3377" t="str">
            <v>DNI</v>
          </cell>
          <cell r="L3377">
            <v>10711786185</v>
          </cell>
          <cell r="M3377" t="str">
            <v>AEROPUERTO</v>
          </cell>
          <cell r="N3377" t="str">
            <v>PENDIENTE</v>
          </cell>
          <cell r="O3377">
            <v>265</v>
          </cell>
          <cell r="P3377" t="str">
            <v>LITE</v>
          </cell>
        </row>
        <row r="3378">
          <cell r="A3378">
            <v>4329</v>
          </cell>
          <cell r="B3378">
            <v>4329</v>
          </cell>
          <cell r="C3378" t="str">
            <v>CERO MATRICULA</v>
          </cell>
          <cell r="D3378" t="str">
            <v>ACTIVO</v>
          </cell>
          <cell r="E3378" t="str">
            <v>CUF102</v>
          </cell>
          <cell r="F3378" t="str">
            <v>UZURIAGA LOPEZ BORIS</v>
          </cell>
          <cell r="G3378" t="str">
            <v>UZURIAGA LOPEZ BORIS</v>
          </cell>
          <cell r="H3378">
            <v>43175741</v>
          </cell>
          <cell r="I3378" t="str">
            <v>BCP</v>
          </cell>
          <cell r="J3378" t="str">
            <v>19197566665084</v>
          </cell>
          <cell r="K3378" t="str">
            <v>DNI</v>
          </cell>
          <cell r="L3378">
            <v>10431757414</v>
          </cell>
          <cell r="M3378" t="str">
            <v>MEMBRESÍA NOCTURNA - APTO</v>
          </cell>
          <cell r="N3378">
            <v>46108</v>
          </cell>
          <cell r="O3378">
            <v>235</v>
          </cell>
          <cell r="P3378" t="str">
            <v>COMFORT</v>
          </cell>
        </row>
        <row r="3379">
          <cell r="A3379">
            <v>4312</v>
          </cell>
          <cell r="B3379">
            <v>4312</v>
          </cell>
          <cell r="C3379" t="str">
            <v>CERO MATRICULA</v>
          </cell>
          <cell r="D3379" t="str">
            <v>ACTIVO</v>
          </cell>
          <cell r="E3379" t="str">
            <v>CXL075</v>
          </cell>
          <cell r="F3379" t="str">
            <v>Cordero Murga Franklin david</v>
          </cell>
          <cell r="G3379" t="str">
            <v>Cordero Murga Franklin david</v>
          </cell>
          <cell r="H3379" t="str">
            <v>004465527</v>
          </cell>
          <cell r="I3379" t="str">
            <v>BBVA</v>
          </cell>
          <cell r="J3379" t="str">
            <v>001108310710221284</v>
          </cell>
          <cell r="K3379" t="str">
            <v>CE</v>
          </cell>
          <cell r="L3379">
            <v>15609487825</v>
          </cell>
          <cell r="M3379" t="str">
            <v>AEROLINEAS</v>
          </cell>
          <cell r="N3379">
            <v>46122</v>
          </cell>
          <cell r="O3379">
            <v>0</v>
          </cell>
          <cell r="P3379">
            <v>0</v>
          </cell>
        </row>
        <row r="3380">
          <cell r="A3380">
            <v>4355</v>
          </cell>
          <cell r="B3380">
            <v>4355</v>
          </cell>
          <cell r="C3380" t="str">
            <v>CERO MATRICULA</v>
          </cell>
          <cell r="D3380" t="str">
            <v>ACTIVO</v>
          </cell>
          <cell r="E3380" t="str">
            <v>CTY438</v>
          </cell>
          <cell r="F3380" t="str">
            <v>Davila Vernal Freddy Fernando</v>
          </cell>
          <cell r="G3380" t="str">
            <v>OLIVARES VALDIVIA ERNESTO RUFINO</v>
          </cell>
          <cell r="H3380" t="str">
            <v>07850089</v>
          </cell>
          <cell r="I3380" t="str">
            <v>BBVA</v>
          </cell>
          <cell r="J3380" t="str">
            <v>0011-0579-0215078832</v>
          </cell>
          <cell r="K3380" t="str">
            <v>DNI</v>
          </cell>
          <cell r="L3380">
            <v>10078500897</v>
          </cell>
          <cell r="M3380" t="str">
            <v>AEROLINEAS</v>
          </cell>
          <cell r="N3380">
            <v>46122</v>
          </cell>
          <cell r="O3380">
            <v>0</v>
          </cell>
          <cell r="P3380">
            <v>0</v>
          </cell>
        </row>
        <row r="3381">
          <cell r="A3381">
            <v>4348</v>
          </cell>
          <cell r="B3381">
            <v>4348</v>
          </cell>
          <cell r="C3381" t="str">
            <v>CERO MATRICULA</v>
          </cell>
          <cell r="D3381" t="str">
            <v>ACTIVO</v>
          </cell>
          <cell r="E3381" t="str">
            <v>CTS373</v>
          </cell>
          <cell r="F3381" t="str">
            <v>Inca Cisneros Edwin</v>
          </cell>
          <cell r="G3381" t="str">
            <v>Inca Cisneros Edwin</v>
          </cell>
          <cell r="H3381">
            <v>10354945</v>
          </cell>
          <cell r="I3381" t="str">
            <v>BCP</v>
          </cell>
          <cell r="J3381" t="str">
            <v>19112575523047</v>
          </cell>
          <cell r="K3381" t="str">
            <v>DNI</v>
          </cell>
          <cell r="L3381">
            <v>10103549456</v>
          </cell>
          <cell r="M3381" t="str">
            <v>AEROLINEAS</v>
          </cell>
          <cell r="N3381">
            <v>46122</v>
          </cell>
          <cell r="O3381">
            <v>0</v>
          </cell>
          <cell r="P3381">
            <v>0</v>
          </cell>
        </row>
        <row r="3382">
          <cell r="A3382">
            <v>4350</v>
          </cell>
          <cell r="B3382">
            <v>4350</v>
          </cell>
          <cell r="C3382" t="str">
            <v>CERO MATRICULA</v>
          </cell>
          <cell r="D3382" t="str">
            <v>ACTIVO</v>
          </cell>
          <cell r="E3382" t="str">
            <v>CSI202</v>
          </cell>
          <cell r="F3382" t="str">
            <v>Salazar Alegría Ricardo</v>
          </cell>
          <cell r="G3382" t="str">
            <v>Salazar Alegría Ricardo</v>
          </cell>
          <cell r="H3382">
            <v>74643762</v>
          </cell>
          <cell r="I3382" t="str">
            <v>BCP</v>
          </cell>
          <cell r="J3382" t="str">
            <v>19101828811082</v>
          </cell>
          <cell r="K3382" t="str">
            <v>DNI</v>
          </cell>
          <cell r="L3382">
            <v>10746437621</v>
          </cell>
          <cell r="M3382" t="str">
            <v>AEROLINEAS</v>
          </cell>
          <cell r="N3382">
            <v>46122</v>
          </cell>
          <cell r="O3382">
            <v>0</v>
          </cell>
          <cell r="P3382">
            <v>0</v>
          </cell>
        </row>
        <row r="3383">
          <cell r="A3383">
            <v>4358</v>
          </cell>
          <cell r="B3383">
            <v>4358</v>
          </cell>
          <cell r="C3383" t="str">
            <v>CERO MATRICULA</v>
          </cell>
          <cell r="D3383" t="str">
            <v>ACTIVO</v>
          </cell>
          <cell r="E3383" t="str">
            <v>CAY420</v>
          </cell>
          <cell r="F3383" t="str">
            <v>SAENZ RUIZ JUAN CARLOS</v>
          </cell>
          <cell r="G3383" t="str">
            <v>SAENZ RUIZ JUAN CARLOS</v>
          </cell>
          <cell r="H3383" t="str">
            <v>40888298</v>
          </cell>
          <cell r="I3383" t="str">
            <v>BBVA</v>
          </cell>
          <cell r="J3383" t="str">
            <v>001101490200345550</v>
          </cell>
          <cell r="K3383" t="str">
            <v>DNI</v>
          </cell>
          <cell r="L3383">
            <v>10408882988</v>
          </cell>
          <cell r="M3383" t="str">
            <v>AEROLINEAS</v>
          </cell>
          <cell r="N3383">
            <v>46122</v>
          </cell>
          <cell r="O3383">
            <v>0</v>
          </cell>
          <cell r="P3383">
            <v>0</v>
          </cell>
        </row>
        <row r="3384">
          <cell r="A3384">
            <v>4359</v>
          </cell>
          <cell r="B3384">
            <v>4359</v>
          </cell>
          <cell r="C3384" t="str">
            <v>CERO MATRICULA</v>
          </cell>
          <cell r="D3384" t="str">
            <v>ACTIVO</v>
          </cell>
          <cell r="E3384" t="str">
            <v>CSZ262</v>
          </cell>
          <cell r="F3384" t="str">
            <v>Cabrera Fano Ronald Vladimir</v>
          </cell>
          <cell r="G3384" t="str">
            <v>Cabrera Fano Ronald Vladimir</v>
          </cell>
          <cell r="H3384">
            <v>40239901</v>
          </cell>
          <cell r="I3384" t="str">
            <v>BCP</v>
          </cell>
          <cell r="J3384" t="str">
            <v>1919041664037</v>
          </cell>
          <cell r="K3384" t="str">
            <v>DNI</v>
          </cell>
          <cell r="L3384">
            <v>10402399011</v>
          </cell>
          <cell r="M3384" t="str">
            <v>URBANO PARTNER</v>
          </cell>
          <cell r="N3384">
            <v>46122</v>
          </cell>
          <cell r="O3384">
            <v>0</v>
          </cell>
          <cell r="P3384">
            <v>0</v>
          </cell>
        </row>
        <row r="3385">
          <cell r="A3385">
            <v>4360</v>
          </cell>
          <cell r="B3385">
            <v>4360</v>
          </cell>
          <cell r="C3385" t="str">
            <v>CERO MATRICULA</v>
          </cell>
          <cell r="D3385" t="str">
            <v>ACTIVO</v>
          </cell>
          <cell r="E3385" t="str">
            <v>CFH201</v>
          </cell>
          <cell r="F3385" t="str">
            <v>Rojas Santisteban Julio Mario</v>
          </cell>
          <cell r="G3385" t="str">
            <v>Julio Mario Rojas Santisteban</v>
          </cell>
          <cell r="H3385">
            <v>43246592</v>
          </cell>
          <cell r="I3385" t="str">
            <v>BBVA</v>
          </cell>
          <cell r="J3385" t="str">
            <v>001108140258682200</v>
          </cell>
          <cell r="K3385" t="str">
            <v>DNI</v>
          </cell>
          <cell r="L3385">
            <v>10432465921</v>
          </cell>
          <cell r="M3385" t="str">
            <v>AEROLINEAS</v>
          </cell>
          <cell r="N3385">
            <v>46122</v>
          </cell>
          <cell r="O3385">
            <v>0</v>
          </cell>
          <cell r="P3385">
            <v>0</v>
          </cell>
        </row>
        <row r="3386">
          <cell r="A3386">
            <v>4351</v>
          </cell>
          <cell r="B3386">
            <v>4351</v>
          </cell>
          <cell r="C3386" t="str">
            <v>CERO MATRICULA</v>
          </cell>
          <cell r="D3386" t="str">
            <v>ACTIVO</v>
          </cell>
          <cell r="E3386" t="str">
            <v>BZZ363</v>
          </cell>
          <cell r="F3386" t="str">
            <v>Saucedo Peña Anthony brayan</v>
          </cell>
          <cell r="G3386" t="str">
            <v>Saucedo Peña Anthony brayan</v>
          </cell>
          <cell r="H3386">
            <v>73132033</v>
          </cell>
          <cell r="I3386" t="str">
            <v>BCP</v>
          </cell>
          <cell r="J3386" t="str">
            <v>1917219189099</v>
          </cell>
          <cell r="K3386" t="str">
            <v>DNI</v>
          </cell>
          <cell r="L3386">
            <v>20613481801</v>
          </cell>
          <cell r="M3386" t="str">
            <v>AEROLINEAS</v>
          </cell>
          <cell r="N3386">
            <v>46122</v>
          </cell>
          <cell r="O3386">
            <v>0</v>
          </cell>
          <cell r="P3386">
            <v>0</v>
          </cell>
        </row>
        <row r="3387">
          <cell r="A3387">
            <v>4353</v>
          </cell>
          <cell r="B3387">
            <v>4353</v>
          </cell>
          <cell r="C3387" t="str">
            <v>CERO MATRICULA</v>
          </cell>
          <cell r="D3387" t="str">
            <v>ACTIVO</v>
          </cell>
          <cell r="E3387" t="str">
            <v>CWK 659</v>
          </cell>
          <cell r="F3387" t="str">
            <v>Moroccolla Gamarra Guilmar</v>
          </cell>
          <cell r="G3387" t="str">
            <v>Moroccolla Gamarra Guilmar</v>
          </cell>
          <cell r="H3387">
            <v>43135271</v>
          </cell>
          <cell r="I3387" t="str">
            <v>BBVA</v>
          </cell>
          <cell r="J3387" t="str">
            <v>001101860200418789</v>
          </cell>
          <cell r="K3387" t="str">
            <v>DNI</v>
          </cell>
          <cell r="L3387">
            <v>10431352716</v>
          </cell>
          <cell r="M3387" t="str">
            <v>AEROLINEAS</v>
          </cell>
          <cell r="N3387">
            <v>46122</v>
          </cell>
          <cell r="O3387">
            <v>0</v>
          </cell>
          <cell r="P3387">
            <v>0</v>
          </cell>
        </row>
        <row r="3388">
          <cell r="A3388">
            <v>4356</v>
          </cell>
          <cell r="B3388">
            <v>4356</v>
          </cell>
          <cell r="C3388" t="str">
            <v>CERO MATRICULA</v>
          </cell>
          <cell r="D3388" t="str">
            <v>ACTIVO</v>
          </cell>
          <cell r="E3388" t="str">
            <v>CXF547</v>
          </cell>
          <cell r="F3388" t="str">
            <v>Carbajal Chirote Santos</v>
          </cell>
          <cell r="G3388" t="str">
            <v>Carbajal Chirote Santos</v>
          </cell>
          <cell r="H3388">
            <v>47864482</v>
          </cell>
          <cell r="I3388" t="str">
            <v>BCP</v>
          </cell>
          <cell r="J3388" t="str">
            <v>19114178483098</v>
          </cell>
          <cell r="K3388" t="str">
            <v>DNI</v>
          </cell>
          <cell r="L3388">
            <v>10478644821</v>
          </cell>
          <cell r="M3388" t="str">
            <v>MEMBRESÍA NOCTURNA - APTO</v>
          </cell>
          <cell r="N3388">
            <v>46122</v>
          </cell>
          <cell r="O3388">
            <v>285</v>
          </cell>
          <cell r="P3388" t="str">
            <v>COMFORT XL</v>
          </cell>
        </row>
        <row r="3389">
          <cell r="A3389">
            <v>4349</v>
          </cell>
          <cell r="B3389">
            <v>4349</v>
          </cell>
          <cell r="C3389" t="str">
            <v>CERO MATRICULA</v>
          </cell>
          <cell r="D3389" t="str">
            <v>ACTIVO</v>
          </cell>
          <cell r="E3389" t="str">
            <v>CWU159</v>
          </cell>
          <cell r="F3389" t="str">
            <v>Vargas Rojas Oswaldo gianmarco</v>
          </cell>
          <cell r="G3389" t="str">
            <v>Vargas Rojas Oswaldo gianmarco</v>
          </cell>
          <cell r="H3389">
            <v>70094308</v>
          </cell>
          <cell r="I3389" t="str">
            <v>INTERBANK</v>
          </cell>
          <cell r="J3389" t="str">
            <v>8983310651305</v>
          </cell>
          <cell r="K3389" t="str">
            <v>DNI</v>
          </cell>
          <cell r="L3389">
            <v>10700943084</v>
          </cell>
          <cell r="M3389" t="str">
            <v>MEMBRESÍA NOCTURNA - APTO</v>
          </cell>
          <cell r="N3389">
            <v>46122</v>
          </cell>
          <cell r="O3389">
            <v>290</v>
          </cell>
          <cell r="P3389" t="str">
            <v>XL</v>
          </cell>
        </row>
        <row r="3390">
          <cell r="A3390">
            <v>4357</v>
          </cell>
          <cell r="B3390">
            <v>4357</v>
          </cell>
          <cell r="C3390" t="str">
            <v>CERO MATRICULA</v>
          </cell>
          <cell r="D3390" t="str">
            <v>ACTIVO</v>
          </cell>
          <cell r="E3390" t="str">
            <v>CWS313</v>
          </cell>
          <cell r="F3390" t="str">
            <v>Medina Pampas Rodrigo</v>
          </cell>
          <cell r="G3390" t="str">
            <v>CORPORACION CHANKA PERÚ E.I.R.L.</v>
          </cell>
          <cell r="H3390">
            <v>20606196289</v>
          </cell>
          <cell r="I3390" t="str">
            <v>BCP</v>
          </cell>
          <cell r="J3390" t="str">
            <v>1922666358007</v>
          </cell>
          <cell r="K3390" t="str">
            <v>RUC</v>
          </cell>
          <cell r="L3390">
            <v>20606196289</v>
          </cell>
          <cell r="M3390" t="str">
            <v>MEMBRESÍA DIURNA</v>
          </cell>
          <cell r="N3390">
            <v>46122</v>
          </cell>
          <cell r="O3390">
            <v>235</v>
          </cell>
          <cell r="P3390" t="str">
            <v>COMFORT XL</v>
          </cell>
        </row>
        <row r="3391">
          <cell r="A3391">
            <v>2484</v>
          </cell>
          <cell r="B3391">
            <v>2484</v>
          </cell>
          <cell r="C3391" t="str">
            <v>CERO MATRICULA</v>
          </cell>
          <cell r="D3391" t="str">
            <v>ACTIVO</v>
          </cell>
          <cell r="E3391" t="str">
            <v>BNI363</v>
          </cell>
          <cell r="F3391" t="str">
            <v>Guedez NN Juan Eduardo</v>
          </cell>
          <cell r="G3391" t="str">
            <v>Guedez NN Juan Eduardo</v>
          </cell>
          <cell r="H3391" t="str">
            <v>002605266</v>
          </cell>
          <cell r="I3391" t="str">
            <v>INTERBANK</v>
          </cell>
          <cell r="J3391" t="str">
            <v>5303486469546</v>
          </cell>
          <cell r="K3391" t="str">
            <v>CE</v>
          </cell>
          <cell r="L3391">
            <v>15611000143</v>
          </cell>
          <cell r="M3391" t="str">
            <v>URBANO PARTNER</v>
          </cell>
          <cell r="N3391">
            <v>46122</v>
          </cell>
          <cell r="O3391">
            <v>0</v>
          </cell>
          <cell r="P3391" t="str">
            <v>LITE</v>
          </cell>
        </row>
        <row r="3392">
          <cell r="A3392">
            <v>4354</v>
          </cell>
          <cell r="B3392">
            <v>4354</v>
          </cell>
          <cell r="C3392" t="str">
            <v>CERO MATRICULA</v>
          </cell>
          <cell r="D3392" t="str">
            <v>ACTIVO</v>
          </cell>
          <cell r="E3392" t="str">
            <v>CWS583</v>
          </cell>
          <cell r="F3392" t="str">
            <v>Lopez Pacush teodoro urbano</v>
          </cell>
          <cell r="G3392" t="str">
            <v>TALITA S.A.C.</v>
          </cell>
          <cell r="H3392">
            <v>20615539300</v>
          </cell>
          <cell r="I3392" t="str">
            <v>INTERBANK</v>
          </cell>
          <cell r="J3392" t="str">
            <v>2003008236966</v>
          </cell>
          <cell r="K3392" t="str">
            <v>RUC</v>
          </cell>
          <cell r="L3392">
            <v>20615539300</v>
          </cell>
          <cell r="M3392" t="str">
            <v>MEMBRESÍA DIURNA</v>
          </cell>
          <cell r="N3392">
            <v>46122</v>
          </cell>
          <cell r="O3392">
            <v>290</v>
          </cell>
          <cell r="P3392" t="str">
            <v>XL</v>
          </cell>
        </row>
        <row r="3393">
          <cell r="A3393">
            <v>4201</v>
          </cell>
          <cell r="B3393">
            <v>4201</v>
          </cell>
          <cell r="C3393" t="str">
            <v>CERO MATRICULA</v>
          </cell>
          <cell r="D3393" t="str">
            <v>ACTIVO</v>
          </cell>
          <cell r="E3393" t="str">
            <v>FLOTA PROPIA</v>
          </cell>
          <cell r="F3393" t="str">
            <v>FLOTA PROPIA</v>
          </cell>
          <cell r="G3393" t="str">
            <v>FLOTA PROPIA</v>
          </cell>
          <cell r="H3393" t="str">
            <v>FLOTA PROPIA</v>
          </cell>
          <cell r="I3393" t="str">
            <v>FLOTA PROPIA</v>
          </cell>
          <cell r="J3393" t="str">
            <v>FLOTA PROPIA</v>
          </cell>
          <cell r="K3393" t="str">
            <v>FLOTA PROPIA</v>
          </cell>
          <cell r="L3393" t="str">
            <v>FLOTA PROPIA</v>
          </cell>
          <cell r="M3393" t="str">
            <v>FLOTA PROPIA</v>
          </cell>
          <cell r="N3393">
            <v>46107</v>
          </cell>
          <cell r="O3393">
            <v>0</v>
          </cell>
          <cell r="P3393" t="str">
            <v>VAN</v>
          </cell>
        </row>
        <row r="3394">
          <cell r="A3394">
            <v>4203</v>
          </cell>
          <cell r="B3394">
            <v>4203</v>
          </cell>
          <cell r="C3394" t="str">
            <v>CERO MATRICULA</v>
          </cell>
          <cell r="D3394" t="str">
            <v>ACTIVO</v>
          </cell>
          <cell r="E3394" t="str">
            <v>FLOTA PROPIA</v>
          </cell>
          <cell r="F3394" t="str">
            <v>FLOTA PROPIA</v>
          </cell>
          <cell r="G3394" t="str">
            <v>FLOTA PROPIA</v>
          </cell>
          <cell r="H3394" t="str">
            <v>FLOTA PROPIA</v>
          </cell>
          <cell r="I3394" t="str">
            <v>FLOTA PROPIA</v>
          </cell>
          <cell r="J3394" t="str">
            <v>FLOTA PROPIA</v>
          </cell>
          <cell r="K3394" t="str">
            <v>FLOTA PROPIA</v>
          </cell>
          <cell r="L3394" t="str">
            <v>FLOTA PROPIA</v>
          </cell>
          <cell r="M3394" t="str">
            <v>FLOTA PROPIA</v>
          </cell>
          <cell r="N3394">
            <v>46111</v>
          </cell>
          <cell r="O3394">
            <v>0</v>
          </cell>
          <cell r="P3394" t="str">
            <v>VAN</v>
          </cell>
        </row>
        <row r="3395">
          <cell r="A3395">
            <v>4204</v>
          </cell>
          <cell r="B3395">
            <v>4204</v>
          </cell>
          <cell r="C3395" t="str">
            <v>CERO MATRICULA</v>
          </cell>
          <cell r="D3395" t="str">
            <v>ACTIVO</v>
          </cell>
          <cell r="E3395" t="str">
            <v>FLOTA PROPIA</v>
          </cell>
          <cell r="F3395" t="str">
            <v>FLOTA PROPIA</v>
          </cell>
          <cell r="G3395" t="str">
            <v>FLOTA PROPIA</v>
          </cell>
          <cell r="H3395" t="str">
            <v>FLOTA PROPIA</v>
          </cell>
          <cell r="I3395" t="str">
            <v>FLOTA PROPIA</v>
          </cell>
          <cell r="J3395" t="str">
            <v>FLOTA PROPIA</v>
          </cell>
          <cell r="K3395" t="str">
            <v>FLOTA PROPIA</v>
          </cell>
          <cell r="L3395" t="str">
            <v>FLOTA PROPIA</v>
          </cell>
          <cell r="M3395" t="str">
            <v>FLOTA PROPIA</v>
          </cell>
          <cell r="N3395">
            <v>46111</v>
          </cell>
          <cell r="O3395">
            <v>0</v>
          </cell>
          <cell r="P3395" t="str">
            <v>VAN</v>
          </cell>
        </row>
        <row r="3396">
          <cell r="A3396">
            <v>4205</v>
          </cell>
          <cell r="B3396">
            <v>4205</v>
          </cell>
          <cell r="C3396" t="str">
            <v>CERO MATRICULA</v>
          </cell>
          <cell r="D3396" t="str">
            <v>ACTIVO</v>
          </cell>
          <cell r="E3396" t="str">
            <v>FLOTA PROPIA</v>
          </cell>
          <cell r="F3396" t="str">
            <v>FLOTA PROPIA</v>
          </cell>
          <cell r="G3396" t="str">
            <v>FLOTA PROPIA</v>
          </cell>
          <cell r="H3396" t="str">
            <v>FLOTA PROPIA</v>
          </cell>
          <cell r="I3396" t="str">
            <v>FLOTA PROPIA</v>
          </cell>
          <cell r="J3396" t="str">
            <v>FLOTA PROPIA</v>
          </cell>
          <cell r="K3396" t="str">
            <v>FLOTA PROPIA</v>
          </cell>
          <cell r="L3396" t="str">
            <v>FLOTA PROPIA</v>
          </cell>
          <cell r="M3396" t="str">
            <v>FLOTA PROPIA</v>
          </cell>
          <cell r="N3396">
            <v>46119</v>
          </cell>
          <cell r="O3396">
            <v>0</v>
          </cell>
          <cell r="P3396" t="str">
            <v>VAN</v>
          </cell>
        </row>
        <row r="3397">
          <cell r="A3397">
            <v>4206</v>
          </cell>
          <cell r="B3397">
            <v>4206</v>
          </cell>
          <cell r="C3397" t="str">
            <v>CERO MATRICULA</v>
          </cell>
          <cell r="D3397" t="str">
            <v>ACTIVO</v>
          </cell>
          <cell r="E3397" t="str">
            <v>FLOTA PROPIA</v>
          </cell>
          <cell r="F3397" t="str">
            <v>FLOTA PROPIA</v>
          </cell>
          <cell r="G3397" t="str">
            <v>FLOTA PROPIA</v>
          </cell>
          <cell r="H3397" t="str">
            <v>FLOTA PROPIA</v>
          </cell>
          <cell r="I3397" t="str">
            <v>FLOTA PROPIA</v>
          </cell>
          <cell r="J3397" t="str">
            <v>FLOTA PROPIA</v>
          </cell>
          <cell r="K3397" t="str">
            <v>FLOTA PROPIA</v>
          </cell>
          <cell r="L3397" t="str">
            <v>FLOTA PROPIA</v>
          </cell>
          <cell r="M3397" t="str">
            <v>FLOTA PROPIA</v>
          </cell>
          <cell r="N3397">
            <v>46119</v>
          </cell>
          <cell r="O3397">
            <v>0</v>
          </cell>
          <cell r="P3397" t="str">
            <v>VAN</v>
          </cell>
        </row>
        <row r="3398">
          <cell r="A3398">
            <v>4207</v>
          </cell>
          <cell r="B3398">
            <v>4207</v>
          </cell>
          <cell r="C3398" t="str">
            <v>CERO MATRICULA</v>
          </cell>
          <cell r="D3398" t="str">
            <v>ACTIVO</v>
          </cell>
          <cell r="E3398" t="str">
            <v>FLOTA PROPIA</v>
          </cell>
          <cell r="F3398" t="str">
            <v>FLOTA PROPIA</v>
          </cell>
          <cell r="G3398" t="str">
            <v>FLOTA PROPIA</v>
          </cell>
          <cell r="H3398" t="str">
            <v>FLOTA PROPIA</v>
          </cell>
          <cell r="I3398" t="str">
            <v>FLOTA PROPIA</v>
          </cell>
          <cell r="J3398" t="str">
            <v>FLOTA PROPIA</v>
          </cell>
          <cell r="K3398" t="str">
            <v>FLOTA PROPIA</v>
          </cell>
          <cell r="L3398" t="str">
            <v>FLOTA PROPIA</v>
          </cell>
          <cell r="M3398" t="str">
            <v>FLOTA PROPIA</v>
          </cell>
          <cell r="N3398">
            <v>46119</v>
          </cell>
          <cell r="O3398">
            <v>0</v>
          </cell>
          <cell r="P3398" t="str">
            <v>VAN</v>
          </cell>
        </row>
        <row r="3399">
          <cell r="A3399">
            <v>4208</v>
          </cell>
          <cell r="B3399">
            <v>4208</v>
          </cell>
          <cell r="C3399" t="str">
            <v>CERO MATRICULA</v>
          </cell>
          <cell r="D3399" t="str">
            <v>ACTIVO</v>
          </cell>
          <cell r="E3399" t="str">
            <v>FLOTA PROPIA</v>
          </cell>
          <cell r="F3399" t="str">
            <v>FLOTA PROPIA</v>
          </cell>
          <cell r="G3399" t="str">
            <v>FLOTA PROPIA</v>
          </cell>
          <cell r="H3399" t="str">
            <v>FLOTA PROPIA</v>
          </cell>
          <cell r="I3399" t="str">
            <v>FLOTA PROPIA</v>
          </cell>
          <cell r="J3399" t="str">
            <v>FLOTA PROPIA</v>
          </cell>
          <cell r="K3399" t="str">
            <v>FLOTA PROPIA</v>
          </cell>
          <cell r="L3399" t="str">
            <v>FLOTA PROPIA</v>
          </cell>
          <cell r="M3399" t="str">
            <v>FLOTA PROPIA</v>
          </cell>
          <cell r="N3399">
            <v>46119</v>
          </cell>
          <cell r="O3399">
            <v>0</v>
          </cell>
          <cell r="P3399" t="str">
            <v>VAN</v>
          </cell>
        </row>
        <row r="3400">
          <cell r="A3400">
            <v>4352</v>
          </cell>
          <cell r="B3400">
            <v>4352</v>
          </cell>
          <cell r="C3400" t="str">
            <v>CERO MATRICULA</v>
          </cell>
          <cell r="D3400" t="str">
            <v>ACTIVO</v>
          </cell>
          <cell r="E3400" t="str">
            <v>CXN484</v>
          </cell>
          <cell r="F3400" t="str">
            <v>Manrique Villanueva David Jesús</v>
          </cell>
          <cell r="G3400" t="str">
            <v>Manrique Villanueva David Jesús</v>
          </cell>
          <cell r="H3400">
            <v>73172135</v>
          </cell>
          <cell r="I3400" t="str">
            <v>BCP</v>
          </cell>
          <cell r="J3400" t="str">
            <v>19193646932058</v>
          </cell>
          <cell r="K3400" t="str">
            <v>DNI</v>
          </cell>
          <cell r="L3400">
            <v>10731721357</v>
          </cell>
          <cell r="M3400" t="str">
            <v>AEROLINEAS</v>
          </cell>
          <cell r="N3400">
            <v>46129</v>
          </cell>
          <cell r="O3400">
            <v>0</v>
          </cell>
          <cell r="P3400">
            <v>0</v>
          </cell>
        </row>
        <row r="3401">
          <cell r="A3401">
            <v>4363</v>
          </cell>
          <cell r="B3401">
            <v>4363</v>
          </cell>
          <cell r="C3401" t="str">
            <v>CERO MATRICULA</v>
          </cell>
          <cell r="D3401" t="str">
            <v>ACTIVO</v>
          </cell>
          <cell r="E3401" t="str">
            <v>CCK319</v>
          </cell>
          <cell r="F3401" t="str">
            <v xml:space="preserve">Durán Gómez Pabel Clemente </v>
          </cell>
          <cell r="G3401" t="str">
            <v xml:space="preserve">MAICOL DE JESUS MARTINEZ VENTURA </v>
          </cell>
          <cell r="H3401" t="str">
            <v>45102929</v>
          </cell>
          <cell r="I3401" t="str">
            <v>INTERBANK</v>
          </cell>
          <cell r="J3401" t="str">
            <v>0483206686904</v>
          </cell>
          <cell r="K3401" t="str">
            <v>DNI</v>
          </cell>
          <cell r="L3401">
            <v>10748813158</v>
          </cell>
          <cell r="M3401" t="str">
            <v>AEROLINEAS</v>
          </cell>
          <cell r="N3401">
            <v>46129</v>
          </cell>
          <cell r="O3401">
            <v>0</v>
          </cell>
          <cell r="P3401">
            <v>0</v>
          </cell>
        </row>
        <row r="3402">
          <cell r="A3402">
            <v>4364</v>
          </cell>
          <cell r="B3402">
            <v>4364</v>
          </cell>
          <cell r="C3402" t="str">
            <v>CERO MATRICULA</v>
          </cell>
          <cell r="D3402" t="str">
            <v>ACTIVO</v>
          </cell>
          <cell r="E3402" t="str">
            <v>AZW626</v>
          </cell>
          <cell r="F3402" t="str">
            <v>Rodríguez Santillan Leonardo</v>
          </cell>
          <cell r="G3402" t="str">
            <v xml:space="preserve"> Garaycochea Gonzales Christina Yaneth</v>
          </cell>
          <cell r="H3402">
            <v>44784860</v>
          </cell>
          <cell r="I3402" t="str">
            <v>INTERBANK</v>
          </cell>
          <cell r="J3402" t="str">
            <v>8983429564753</v>
          </cell>
          <cell r="K3402" t="str">
            <v>DNI</v>
          </cell>
          <cell r="L3402">
            <v>10447848606</v>
          </cell>
          <cell r="M3402" t="str">
            <v>AEROLINEAS</v>
          </cell>
          <cell r="N3402">
            <v>46129</v>
          </cell>
          <cell r="O3402">
            <v>0</v>
          </cell>
          <cell r="P3402">
            <v>0</v>
          </cell>
        </row>
        <row r="3403">
          <cell r="A3403">
            <v>4365</v>
          </cell>
          <cell r="B3403">
            <v>4365</v>
          </cell>
          <cell r="C3403" t="str">
            <v>CERO MATRICULA</v>
          </cell>
          <cell r="D3403" t="str">
            <v>ACTIVO</v>
          </cell>
          <cell r="E3403" t="str">
            <v>CWS467</v>
          </cell>
          <cell r="F3403" t="str">
            <v>CHAMOCHUMBI MACCHIAVELLO EDUARDO</v>
          </cell>
          <cell r="G3403" t="str">
            <v>CHAMOCHUMBI MACCHIAVELLO EDUARDO</v>
          </cell>
          <cell r="H3403" t="str">
            <v>06340669</v>
          </cell>
          <cell r="I3403" t="str">
            <v>BBVA</v>
          </cell>
          <cell r="J3403" t="str">
            <v>001108140290862103</v>
          </cell>
          <cell r="K3403" t="str">
            <v>DNI</v>
          </cell>
          <cell r="L3403">
            <v>10063406690</v>
          </cell>
          <cell r="M3403" t="str">
            <v>AEROLINEAS</v>
          </cell>
          <cell r="N3403">
            <v>46129</v>
          </cell>
          <cell r="O3403">
            <v>0</v>
          </cell>
          <cell r="P3403">
            <v>0</v>
          </cell>
        </row>
        <row r="3404">
          <cell r="A3404">
            <v>4366</v>
          </cell>
          <cell r="B3404">
            <v>4366</v>
          </cell>
          <cell r="C3404" t="str">
            <v>CERO MATRICULA</v>
          </cell>
          <cell r="D3404" t="str">
            <v>ACTIVO</v>
          </cell>
          <cell r="E3404" t="str">
            <v>CXL028</v>
          </cell>
          <cell r="F3404" t="str">
            <v>Tovar Wualttuoni Carlos Bernardino</v>
          </cell>
          <cell r="G3404" t="str">
            <v>Tovar Wualttuoni Carlos Bernardino</v>
          </cell>
          <cell r="H3404">
            <v>25721030</v>
          </cell>
          <cell r="I3404" t="str">
            <v>INTERBANK</v>
          </cell>
          <cell r="J3404" t="str">
            <v>8983243107344</v>
          </cell>
          <cell r="K3404" t="str">
            <v>DNI</v>
          </cell>
          <cell r="L3404">
            <v>10257210303</v>
          </cell>
          <cell r="M3404" t="str">
            <v>AEROLINEAS</v>
          </cell>
          <cell r="N3404">
            <v>46129</v>
          </cell>
          <cell r="O3404">
            <v>0</v>
          </cell>
          <cell r="P3404">
            <v>0</v>
          </cell>
        </row>
        <row r="3405">
          <cell r="A3405">
            <v>4367</v>
          </cell>
          <cell r="B3405">
            <v>4367</v>
          </cell>
          <cell r="C3405" t="str">
            <v>CERO MATRICULA</v>
          </cell>
          <cell r="D3405" t="str">
            <v>ACTIVO</v>
          </cell>
          <cell r="E3405" t="str">
            <v>CWS 441</v>
          </cell>
          <cell r="F3405" t="str">
            <v>Gonzales Tiburcio Hernán Andrés</v>
          </cell>
          <cell r="G3405" t="str">
            <v>Gonzales Tiburcio Hernán Andrés</v>
          </cell>
          <cell r="H3405" t="str">
            <v>09752017</v>
          </cell>
          <cell r="I3405" t="str">
            <v>BCP</v>
          </cell>
          <cell r="J3405" t="str">
            <v>19306690264041</v>
          </cell>
          <cell r="K3405" t="str">
            <v>DNI</v>
          </cell>
          <cell r="L3405">
            <v>10097520173</v>
          </cell>
          <cell r="M3405" t="str">
            <v>AEROLINEAS</v>
          </cell>
          <cell r="N3405">
            <v>46129</v>
          </cell>
          <cell r="O3405">
            <v>0</v>
          </cell>
          <cell r="P3405">
            <v>0</v>
          </cell>
        </row>
        <row r="3406">
          <cell r="A3406">
            <v>4368</v>
          </cell>
          <cell r="B3406">
            <v>4368</v>
          </cell>
          <cell r="C3406" t="str">
            <v>CERO MATRICULA</v>
          </cell>
          <cell r="D3406" t="str">
            <v>ACTIVO</v>
          </cell>
          <cell r="E3406" t="str">
            <v>Cxy640</v>
          </cell>
          <cell r="F3406" t="str">
            <v>Castro Hidalgo Jimmy Andre</v>
          </cell>
          <cell r="G3406" t="str">
            <v>Castro Hidalgo Jimmy Andre</v>
          </cell>
          <cell r="H3406">
            <v>74543347</v>
          </cell>
          <cell r="I3406" t="str">
            <v>INTERBANK</v>
          </cell>
          <cell r="J3406" t="str">
            <v>3763387397690</v>
          </cell>
          <cell r="K3406" t="str">
            <v>DNI</v>
          </cell>
          <cell r="L3406">
            <v>10745433478</v>
          </cell>
          <cell r="M3406" t="str">
            <v>AEROLINEAS</v>
          </cell>
          <cell r="N3406">
            <v>46129</v>
          </cell>
          <cell r="O3406">
            <v>0</v>
          </cell>
          <cell r="P3406">
            <v>0</v>
          </cell>
        </row>
        <row r="3407">
          <cell r="A3407">
            <v>4369</v>
          </cell>
          <cell r="B3407">
            <v>4369</v>
          </cell>
          <cell r="C3407" t="str">
            <v>CERO MATRICULA</v>
          </cell>
          <cell r="D3407" t="str">
            <v>ACTIVO</v>
          </cell>
          <cell r="E3407" t="str">
            <v>CUP507</v>
          </cell>
          <cell r="F3407" t="str">
            <v>Álvarez Duque José Rafael</v>
          </cell>
          <cell r="G3407" t="str">
            <v>Álvarez Duque José Rafael</v>
          </cell>
          <cell r="H3407" t="str">
            <v>008140082</v>
          </cell>
          <cell r="I3407" t="str">
            <v>BCP</v>
          </cell>
          <cell r="J3407" t="str">
            <v>19114187214018</v>
          </cell>
          <cell r="K3407" t="str">
            <v>CE</v>
          </cell>
          <cell r="L3407">
            <v>15615500507</v>
          </cell>
          <cell r="M3407" t="str">
            <v>MEMBRESÍA DIURNA</v>
          </cell>
          <cell r="N3407">
            <v>46129</v>
          </cell>
          <cell r="O3407">
            <v>240</v>
          </cell>
          <cell r="P3407" t="str">
            <v>XL</v>
          </cell>
        </row>
        <row r="3408">
          <cell r="A3408">
            <v>4371</v>
          </cell>
          <cell r="B3408">
            <v>4371</v>
          </cell>
          <cell r="C3408" t="str">
            <v>CERO MATRICULA</v>
          </cell>
          <cell r="D3408" t="str">
            <v>ACTIVO</v>
          </cell>
          <cell r="E3408" t="str">
            <v>BLO418</v>
          </cell>
          <cell r="F3408" t="str">
            <v>GASPAR TORIBIO LUIS ANGEL ANTONIO</v>
          </cell>
          <cell r="G3408" t="str">
            <v>GASPAR TORIBIO LUIS ANGEL ANTONIO</v>
          </cell>
          <cell r="H3408">
            <v>10666001</v>
          </cell>
          <cell r="I3408" t="str">
            <v>BCP</v>
          </cell>
          <cell r="J3408" t="str">
            <v>19197351913064</v>
          </cell>
          <cell r="K3408" t="str">
            <v>DNI</v>
          </cell>
          <cell r="L3408">
            <v>10106660013</v>
          </cell>
          <cell r="M3408" t="str">
            <v>MEMBRESÍA NOCTURNA - APTO</v>
          </cell>
          <cell r="N3408">
            <v>46129</v>
          </cell>
          <cell r="O3408">
            <v>285</v>
          </cell>
          <cell r="P3408" t="str">
            <v>COMFORT XL</v>
          </cell>
        </row>
        <row r="3409">
          <cell r="A3409">
            <v>4372</v>
          </cell>
          <cell r="B3409">
            <v>4372</v>
          </cell>
          <cell r="C3409" t="str">
            <v>CERO MATRICULA</v>
          </cell>
          <cell r="D3409" t="str">
            <v>ACTIVO</v>
          </cell>
          <cell r="E3409" t="str">
            <v>CTY172</v>
          </cell>
          <cell r="F3409" t="str">
            <v>Alvarado Correa Henry Manuel</v>
          </cell>
          <cell r="G3409" t="str">
            <v>Alvarado Correa Henry Manuel</v>
          </cell>
          <cell r="H3409" t="str">
            <v>08882763</v>
          </cell>
          <cell r="I3409" t="str">
            <v>INTERBANK</v>
          </cell>
          <cell r="J3409" t="str">
            <v>2883107885218</v>
          </cell>
          <cell r="K3409" t="str">
            <v>DNI</v>
          </cell>
          <cell r="L3409">
            <v>10088827631</v>
          </cell>
          <cell r="M3409" t="str">
            <v>MEMBRESÍA DIURNA</v>
          </cell>
          <cell r="N3409">
            <v>46129</v>
          </cell>
          <cell r="O3409">
            <v>235</v>
          </cell>
          <cell r="P3409" t="str">
            <v>COMFORT XL</v>
          </cell>
        </row>
        <row r="3410">
          <cell r="A3410">
            <v>4373</v>
          </cell>
          <cell r="B3410">
            <v>4373</v>
          </cell>
          <cell r="C3410" t="str">
            <v>CERO MATRICULA</v>
          </cell>
          <cell r="D3410" t="str">
            <v>ACTIVO</v>
          </cell>
          <cell r="E3410" t="str">
            <v>Crk395</v>
          </cell>
          <cell r="F3410" t="str">
            <v>Maestre Cedeño Cesar Antonio</v>
          </cell>
          <cell r="G3410" t="str">
            <v>Maestre Cedeño Cesar Antonio</v>
          </cell>
          <cell r="H3410" t="str">
            <v>007644100</v>
          </cell>
          <cell r="I3410" t="str">
            <v>BCP</v>
          </cell>
          <cell r="J3410" t="str">
            <v>19109229106028</v>
          </cell>
          <cell r="K3410" t="str">
            <v>CE</v>
          </cell>
          <cell r="L3410">
            <v>15615776715</v>
          </cell>
          <cell r="M3410" t="str">
            <v>MEMBRESÍA NOCTURNA - APTO</v>
          </cell>
          <cell r="N3410">
            <v>46129</v>
          </cell>
          <cell r="O3410">
            <v>290</v>
          </cell>
          <cell r="P3410" t="str">
            <v>COMFORT</v>
          </cell>
        </row>
        <row r="3411">
          <cell r="A3411">
            <v>4374</v>
          </cell>
          <cell r="B3411">
            <v>4374</v>
          </cell>
          <cell r="C3411" t="str">
            <v>CERO MATRICULA</v>
          </cell>
          <cell r="D3411" t="str">
            <v>ACTIVO</v>
          </cell>
          <cell r="E3411" t="str">
            <v>CWC294</v>
          </cell>
          <cell r="F3411" t="str">
            <v>Arotinco Taipe Luis Diego</v>
          </cell>
          <cell r="G3411" t="str">
            <v>Arotinco Taipe Luis Diego</v>
          </cell>
          <cell r="H3411" t="str">
            <v>45929217</v>
          </cell>
          <cell r="I3411" t="str">
            <v>BCP</v>
          </cell>
          <cell r="J3411" t="str">
            <v>1914831946033</v>
          </cell>
          <cell r="K3411" t="str">
            <v>DNI</v>
          </cell>
          <cell r="L3411">
            <v>10459292174</v>
          </cell>
          <cell r="M3411" t="str">
            <v>URBANO PARTNER</v>
          </cell>
          <cell r="N3411">
            <v>46126</v>
          </cell>
          <cell r="O3411">
            <v>0</v>
          </cell>
          <cell r="P3411">
            <v>0</v>
          </cell>
        </row>
        <row r="3412">
          <cell r="A3412">
            <v>4375</v>
          </cell>
          <cell r="B3412">
            <v>4375</v>
          </cell>
          <cell r="C3412" t="str">
            <v>CERO MATRICULA</v>
          </cell>
          <cell r="D3412" t="str">
            <v>ACTIVO</v>
          </cell>
          <cell r="E3412" t="str">
            <v>CXJ448</v>
          </cell>
          <cell r="F3412" t="str">
            <v>Rios Morales Eder</v>
          </cell>
          <cell r="G3412" t="str">
            <v>Rios Morales Eder</v>
          </cell>
          <cell r="H3412">
            <v>43004482</v>
          </cell>
          <cell r="I3412" t="str">
            <v>BCP</v>
          </cell>
          <cell r="J3412" t="str">
            <v>19397372313070</v>
          </cell>
          <cell r="K3412" t="str">
            <v>DNI</v>
          </cell>
          <cell r="L3412">
            <v>10430044821</v>
          </cell>
          <cell r="M3412" t="str">
            <v>URBANO PARTNER</v>
          </cell>
          <cell r="N3412">
            <v>46126</v>
          </cell>
          <cell r="O3412">
            <v>0</v>
          </cell>
          <cell r="P3412">
            <v>0</v>
          </cell>
        </row>
        <row r="3413">
          <cell r="A3413">
            <v>4376</v>
          </cell>
          <cell r="B3413">
            <v>4376</v>
          </cell>
          <cell r="C3413" t="str">
            <v>CERO MATRICULA</v>
          </cell>
          <cell r="D3413" t="str">
            <v>ACTIVO</v>
          </cell>
          <cell r="E3413" t="str">
            <v>CSU493</v>
          </cell>
          <cell r="F3413" t="str">
            <v xml:space="preserve">Carrion Arredondo Angel Enrique </v>
          </cell>
          <cell r="G3413" t="str">
            <v xml:space="preserve">Carrion Arredondo Angel Enrique </v>
          </cell>
          <cell r="H3413" t="str">
            <v>25734710</v>
          </cell>
          <cell r="I3413" t="str">
            <v>BCP</v>
          </cell>
          <cell r="J3413" t="str">
            <v>19238978358076</v>
          </cell>
          <cell r="K3413" t="str">
            <v>DNI</v>
          </cell>
          <cell r="L3413">
            <v>10257347104</v>
          </cell>
          <cell r="M3413" t="str">
            <v>URBANO PARTNER</v>
          </cell>
          <cell r="N3413">
            <v>46126</v>
          </cell>
          <cell r="O3413">
            <v>0</v>
          </cell>
          <cell r="P3413">
            <v>0</v>
          </cell>
        </row>
        <row r="3414">
          <cell r="A3414">
            <v>4377</v>
          </cell>
          <cell r="B3414">
            <v>4377</v>
          </cell>
          <cell r="C3414" t="str">
            <v>CERO MATRICULA</v>
          </cell>
          <cell r="D3414" t="str">
            <v>ACTIVO</v>
          </cell>
          <cell r="E3414" t="str">
            <v>CTU172</v>
          </cell>
          <cell r="F3414" t="str">
            <v>Irigoyen Holguin Miguel Angel</v>
          </cell>
          <cell r="G3414" t="str">
            <v>Irigoyen Holguin Miguel Angel</v>
          </cell>
          <cell r="H3414" t="str">
            <v>73318517</v>
          </cell>
          <cell r="I3414" t="str">
            <v>BBVA</v>
          </cell>
          <cell r="J3414" t="str">
            <v>0011-0579-0238415402</v>
          </cell>
          <cell r="K3414" t="str">
            <v>DNI</v>
          </cell>
          <cell r="L3414">
            <v>10733185177</v>
          </cell>
          <cell r="M3414" t="str">
            <v>AEROLINEAS</v>
          </cell>
          <cell r="N3414">
            <v>46126</v>
          </cell>
          <cell r="O3414">
            <v>0</v>
          </cell>
          <cell r="P3414">
            <v>0</v>
          </cell>
        </row>
        <row r="3415">
          <cell r="A3415">
            <v>4379</v>
          </cell>
          <cell r="B3415">
            <v>4379</v>
          </cell>
          <cell r="C3415" t="str">
            <v>CERO MATRICULA</v>
          </cell>
          <cell r="D3415" t="str">
            <v>ACTIVO</v>
          </cell>
          <cell r="E3415" t="str">
            <v>CSB547</v>
          </cell>
          <cell r="F3415" t="str">
            <v>Abanto Saenz Robin Williams</v>
          </cell>
          <cell r="G3415" t="str">
            <v>Abanto Saenz Robin Williams</v>
          </cell>
          <cell r="H3415">
            <v>74360778</v>
          </cell>
          <cell r="I3415" t="str">
            <v>BCP</v>
          </cell>
          <cell r="J3415" t="str">
            <v>19239903384046</v>
          </cell>
          <cell r="K3415" t="str">
            <v>DNI</v>
          </cell>
          <cell r="L3415">
            <v>10743607789</v>
          </cell>
          <cell r="M3415" t="str">
            <v>URBANO PARTNER</v>
          </cell>
          <cell r="N3415">
            <v>46126</v>
          </cell>
          <cell r="O3415">
            <v>0</v>
          </cell>
          <cell r="P3415">
            <v>0</v>
          </cell>
        </row>
        <row r="3416">
          <cell r="A3416">
            <v>2726</v>
          </cell>
          <cell r="B3416">
            <v>2726</v>
          </cell>
          <cell r="C3416" t="str">
            <v>CERO MATRICULA</v>
          </cell>
          <cell r="D3416" t="str">
            <v>ACTIVO</v>
          </cell>
          <cell r="E3416" t="str">
            <v>B5O067</v>
          </cell>
          <cell r="F3416" t="str">
            <v>SALINAS PELAEZ GABRIELA ALEJANDRA</v>
          </cell>
          <cell r="G3416" t="str">
            <v>SALINAS PELAEZ GABRIELA ALEJANDRA</v>
          </cell>
          <cell r="H3416" t="str">
            <v>003680187</v>
          </cell>
          <cell r="I3416" t="str">
            <v>BCP</v>
          </cell>
          <cell r="J3416">
            <v>19493214973036</v>
          </cell>
          <cell r="K3416" t="str">
            <v>CE</v>
          </cell>
          <cell r="L3416">
            <v>15604128053</v>
          </cell>
          <cell r="M3416" t="str">
            <v>AEROLINEAS</v>
          </cell>
          <cell r="N3416">
            <v>45761</v>
          </cell>
          <cell r="O3416">
            <v>0</v>
          </cell>
          <cell r="P3416" t="str">
            <v>LITE</v>
          </cell>
        </row>
        <row r="3417">
          <cell r="A3417">
            <v>3789</v>
          </cell>
          <cell r="B3417">
            <v>3789</v>
          </cell>
          <cell r="C3417" t="str">
            <v>CERO MATRICULA</v>
          </cell>
          <cell r="D3417" t="str">
            <v>ACTIVO</v>
          </cell>
          <cell r="E3417" t="str">
            <v>CAW076</v>
          </cell>
          <cell r="F3417" t="str">
            <v>Castro González Yormelis Yuliannys</v>
          </cell>
          <cell r="G3417" t="str">
            <v>Castro González Yormelis Yuliannys</v>
          </cell>
          <cell r="H3417" t="str">
            <v>004498876</v>
          </cell>
          <cell r="I3417" t="str">
            <v>BCP</v>
          </cell>
          <cell r="J3417" t="str">
            <v>19105565242055</v>
          </cell>
          <cell r="K3417" t="str">
            <v>CE</v>
          </cell>
          <cell r="L3417">
            <v>15605421846</v>
          </cell>
          <cell r="M3417" t="str">
            <v>AEROLINEAS</v>
          </cell>
          <cell r="N3417">
            <v>45890.583333333336</v>
          </cell>
          <cell r="O3417">
            <v>0</v>
          </cell>
          <cell r="P3417" t="str">
            <v>COMFORT XL</v>
          </cell>
        </row>
        <row r="3418">
          <cell r="A3418">
            <v>7566</v>
          </cell>
          <cell r="B3418">
            <v>7566</v>
          </cell>
          <cell r="C3418" t="str">
            <v>CERO MATRICULA</v>
          </cell>
          <cell r="D3418" t="str">
            <v>ACTIVO</v>
          </cell>
          <cell r="E3418">
            <v>0</v>
          </cell>
          <cell r="F3418" t="str">
            <v>GUTIERREZ SANCHEZ RUBEN DARIO</v>
          </cell>
          <cell r="G3418" t="str">
            <v>GUTIERREZ SANCHEZ RUBEN DARIO</v>
          </cell>
          <cell r="H3418" t="str">
            <v>003016766</v>
          </cell>
          <cell r="I3418" t="str">
            <v>BCP</v>
          </cell>
          <cell r="J3418" t="str">
            <v>19394198915017</v>
          </cell>
          <cell r="K3418" t="str">
            <v>CE</v>
          </cell>
          <cell r="L3418">
            <v>15603977235</v>
          </cell>
          <cell r="M3418" t="str">
            <v>AEROLINEAS</v>
          </cell>
          <cell r="N3418" t="str">
            <v>PENDIENTE</v>
          </cell>
          <cell r="O3418">
            <v>0</v>
          </cell>
          <cell r="P3418" t="str">
            <v>COMFORT XL</v>
          </cell>
        </row>
        <row r="3419">
          <cell r="A3419">
            <v>4103</v>
          </cell>
          <cell r="B3419">
            <v>4103</v>
          </cell>
          <cell r="C3419" t="str">
            <v>CERO MATRICULA</v>
          </cell>
          <cell r="D3419" t="str">
            <v>ACTIVO</v>
          </cell>
          <cell r="E3419" t="str">
            <v>CVO556</v>
          </cell>
          <cell r="F3419" t="str">
            <v>De la Cruz Inga Jefferson Reber</v>
          </cell>
          <cell r="G3419" t="str">
            <v>De la Cruz Inga Jefferson Reber</v>
          </cell>
          <cell r="H3419" t="str">
            <v>44976403</v>
          </cell>
          <cell r="I3419" t="str">
            <v>BCP</v>
          </cell>
          <cell r="J3419" t="str">
            <v>19295668133075</v>
          </cell>
          <cell r="K3419" t="str">
            <v>DNI</v>
          </cell>
          <cell r="L3419">
            <v>10449764035</v>
          </cell>
          <cell r="M3419" t="str">
            <v>AEROPUERTO</v>
          </cell>
          <cell r="N3419">
            <v>46009</v>
          </cell>
          <cell r="O3419">
            <v>235</v>
          </cell>
          <cell r="P3419" t="str">
            <v>COMFORT XL</v>
          </cell>
        </row>
        <row r="3420">
          <cell r="A3420">
            <v>4370</v>
          </cell>
          <cell r="B3420">
            <v>4370</v>
          </cell>
          <cell r="C3420" t="str">
            <v>CERO MATRICULA</v>
          </cell>
          <cell r="D3420" t="str">
            <v>ACTIVO</v>
          </cell>
          <cell r="E3420" t="str">
            <v>CNU068</v>
          </cell>
          <cell r="F3420" t="str">
            <v>Chumpitaz Pacheco Jose fernando</v>
          </cell>
          <cell r="G3420" t="str">
            <v>Chumpitaz Pacheco Jose fernando</v>
          </cell>
          <cell r="H3420">
            <v>40480073</v>
          </cell>
          <cell r="I3420" t="str">
            <v>BBVA</v>
          </cell>
          <cell r="J3420" t="str">
            <v>001108140227291864</v>
          </cell>
          <cell r="K3420" t="str">
            <v>DNI</v>
          </cell>
          <cell r="L3420">
            <v>10404800731</v>
          </cell>
          <cell r="M3420" t="str">
            <v>MEMBRESÍA NOCTURNA - APTO</v>
          </cell>
          <cell r="N3420">
            <v>46129</v>
          </cell>
          <cell r="O3420">
            <v>290</v>
          </cell>
          <cell r="P3420" t="str">
            <v>XL</v>
          </cell>
        </row>
        <row r="3421">
          <cell r="A3421">
            <v>4380</v>
          </cell>
          <cell r="B3421">
            <v>4380</v>
          </cell>
          <cell r="C3421" t="str">
            <v>CERO MATRICULA</v>
          </cell>
          <cell r="D3421" t="str">
            <v>ACTIVO</v>
          </cell>
          <cell r="E3421" t="str">
            <v>CCB187</v>
          </cell>
          <cell r="F3421" t="str">
            <v>TOVAR AVILA Jorge Armando</v>
          </cell>
          <cell r="G3421" t="str">
            <v>TOVAR AVILA Jorge Armando</v>
          </cell>
          <cell r="H3421" t="str">
            <v>43089617</v>
          </cell>
          <cell r="I3421" t="str">
            <v>INTERBANK</v>
          </cell>
          <cell r="J3421" t="str">
            <v>8983123977329</v>
          </cell>
          <cell r="K3421" t="str">
            <v>DNI</v>
          </cell>
          <cell r="L3421">
            <v>10430896178</v>
          </cell>
          <cell r="M3421" t="str">
            <v>AEROLINEAS</v>
          </cell>
          <cell r="N3421">
            <v>46136</v>
          </cell>
          <cell r="O3421">
            <v>0</v>
          </cell>
          <cell r="P3421">
            <v>0</v>
          </cell>
        </row>
        <row r="3422">
          <cell r="A3422">
            <v>4381</v>
          </cell>
          <cell r="B3422">
            <v>4381</v>
          </cell>
          <cell r="C3422" t="str">
            <v>CERO MATRICULA</v>
          </cell>
          <cell r="D3422" t="str">
            <v>ACTIVO</v>
          </cell>
          <cell r="E3422" t="str">
            <v>AMD290</v>
          </cell>
          <cell r="F3422" t="str">
            <v>Jimenez Lopez Edwin Antonio</v>
          </cell>
          <cell r="G3422" t="str">
            <v>Jimenez Lopez Edwin Antonio</v>
          </cell>
          <cell r="H3422" t="str">
            <v>09442623</v>
          </cell>
          <cell r="I3422" t="str">
            <v>BCP</v>
          </cell>
          <cell r="J3422" t="str">
            <v>19401141775007</v>
          </cell>
          <cell r="K3422" t="str">
            <v>DNI</v>
          </cell>
          <cell r="L3422">
            <v>10094426231</v>
          </cell>
          <cell r="M3422" t="str">
            <v>AEROLINEAS</v>
          </cell>
          <cell r="N3422">
            <v>46136</v>
          </cell>
          <cell r="O3422">
            <v>0</v>
          </cell>
          <cell r="P3422">
            <v>0</v>
          </cell>
        </row>
        <row r="3423">
          <cell r="A3423">
            <v>4382</v>
          </cell>
          <cell r="B3423">
            <v>4382</v>
          </cell>
          <cell r="C3423" t="str">
            <v>CERO MATRICULA</v>
          </cell>
          <cell r="D3423" t="str">
            <v>ACTIVO</v>
          </cell>
          <cell r="E3423" t="str">
            <v>CMG294</v>
          </cell>
          <cell r="F3423" t="str">
            <v>Herrera Eyzaguirre Leonardo Daniel</v>
          </cell>
          <cell r="G3423" t="str">
            <v>Herrera Eyzaguirre Leonardo Daniel</v>
          </cell>
          <cell r="H3423">
            <v>46787013</v>
          </cell>
          <cell r="I3423" t="str">
            <v>BCP</v>
          </cell>
          <cell r="J3423" t="str">
            <v>19194834419040</v>
          </cell>
          <cell r="K3423" t="str">
            <v>DNI</v>
          </cell>
          <cell r="L3423">
            <v>10467870136</v>
          </cell>
          <cell r="M3423" t="str">
            <v>AEROLINEAS</v>
          </cell>
          <cell r="N3423">
            <v>46136</v>
          </cell>
          <cell r="O3423">
            <v>0</v>
          </cell>
          <cell r="P3423">
            <v>0</v>
          </cell>
        </row>
        <row r="3424">
          <cell r="A3424">
            <v>4383</v>
          </cell>
          <cell r="B3424">
            <v>4383</v>
          </cell>
          <cell r="C3424" t="str">
            <v>CERO MATRICULA</v>
          </cell>
          <cell r="D3424" t="str">
            <v>ACTIVO</v>
          </cell>
          <cell r="E3424" t="str">
            <v>CNV319</v>
          </cell>
          <cell r="F3424" t="str">
            <v>Ruiz Llacctas Bryan Kevin Eduardo</v>
          </cell>
          <cell r="G3424" t="str">
            <v>Ruiz Llacctas Bryan Kevin Eduardo</v>
          </cell>
          <cell r="H3424" t="str">
            <v>48194219</v>
          </cell>
          <cell r="I3424" t="str">
            <v>BBVA</v>
          </cell>
          <cell r="J3424" t="str">
            <v>001108140288472667</v>
          </cell>
          <cell r="K3424" t="str">
            <v>DNI</v>
          </cell>
          <cell r="L3424">
            <v>10481942191</v>
          </cell>
          <cell r="M3424" t="str">
            <v>MEMBRESÍA NOCTURNA - APTO</v>
          </cell>
          <cell r="N3424">
            <v>46136</v>
          </cell>
          <cell r="O3424">
            <v>285</v>
          </cell>
          <cell r="P3424" t="str">
            <v>COMFORT XL</v>
          </cell>
        </row>
        <row r="3425">
          <cell r="A3425">
            <v>4384</v>
          </cell>
          <cell r="B3425">
            <v>4384</v>
          </cell>
          <cell r="C3425" t="str">
            <v>CERO MATRICULA</v>
          </cell>
          <cell r="D3425" t="str">
            <v>ACTIVO</v>
          </cell>
          <cell r="E3425" t="str">
            <v>AXL136</v>
          </cell>
          <cell r="F3425" t="str">
            <v>Cecilio Acosta Gomer Darwing</v>
          </cell>
          <cell r="G3425" t="str">
            <v>Cecilio Acosta Gomer Darwing</v>
          </cell>
          <cell r="H3425" t="str">
            <v>44122505</v>
          </cell>
          <cell r="I3425" t="str">
            <v>INTERBANK</v>
          </cell>
          <cell r="J3425" t="str">
            <v>8983446074026</v>
          </cell>
          <cell r="K3425" t="str">
            <v>DNI</v>
          </cell>
          <cell r="L3425">
            <v>10441225054</v>
          </cell>
          <cell r="M3425" t="str">
            <v>MEMBRESÍA NOCTURNA - APTO</v>
          </cell>
          <cell r="N3425">
            <v>46136</v>
          </cell>
          <cell r="O3425">
            <v>290</v>
          </cell>
          <cell r="P3425" t="str">
            <v>XL</v>
          </cell>
        </row>
        <row r="3426">
          <cell r="A3426">
            <v>4385</v>
          </cell>
          <cell r="B3426">
            <v>4385</v>
          </cell>
          <cell r="C3426" t="str">
            <v>CERO MATRICULA</v>
          </cell>
          <cell r="D3426" t="str">
            <v>ACTIVO</v>
          </cell>
          <cell r="E3426" t="str">
            <v>CCU028</v>
          </cell>
          <cell r="F3426" t="str">
            <v>Gamboa Roncal Rosman Rene</v>
          </cell>
          <cell r="G3426" t="str">
            <v>Gamboa Roncal Rosman Rene</v>
          </cell>
          <cell r="H3426">
            <v>71797387</v>
          </cell>
          <cell r="I3426" t="str">
            <v>BCP</v>
          </cell>
          <cell r="J3426" t="str">
            <v>19194847739094</v>
          </cell>
          <cell r="K3426" t="str">
            <v>DNI</v>
          </cell>
          <cell r="L3426">
            <v>10717973874</v>
          </cell>
          <cell r="M3426" t="str">
            <v>AEROLINEAS</v>
          </cell>
          <cell r="N3426">
            <v>46136</v>
          </cell>
          <cell r="O3426">
            <v>0</v>
          </cell>
          <cell r="P3426">
            <v>0</v>
          </cell>
        </row>
        <row r="3427">
          <cell r="A3427">
            <v>4387</v>
          </cell>
          <cell r="B3427">
            <v>4387</v>
          </cell>
          <cell r="C3427" t="str">
            <v>CERO MATRICULA</v>
          </cell>
          <cell r="D3427" t="str">
            <v>ACTIVO</v>
          </cell>
          <cell r="E3427" t="str">
            <v>CUF191</v>
          </cell>
          <cell r="F3427" t="str">
            <v>Braga Ramírez Edy</v>
          </cell>
          <cell r="G3427" t="str">
            <v xml:space="preserve">Braga tuesta Erick Jhamir </v>
          </cell>
          <cell r="H3427">
            <v>74503043</v>
          </cell>
          <cell r="I3427" t="str">
            <v>INTERBANK</v>
          </cell>
          <cell r="J3427" t="str">
            <v>3763476870285</v>
          </cell>
          <cell r="K3427" t="str">
            <v>DNI</v>
          </cell>
          <cell r="L3427">
            <v>10745030438</v>
          </cell>
          <cell r="M3427" t="str">
            <v>AEROLINEAS</v>
          </cell>
          <cell r="N3427">
            <v>46136</v>
          </cell>
          <cell r="O3427">
            <v>0</v>
          </cell>
          <cell r="P3427">
            <v>0</v>
          </cell>
        </row>
        <row r="3428">
          <cell r="A3428">
            <v>4388</v>
          </cell>
          <cell r="B3428">
            <v>4388</v>
          </cell>
          <cell r="C3428" t="str">
            <v>CERO MATRICULA</v>
          </cell>
          <cell r="D3428" t="str">
            <v>ACTIVO</v>
          </cell>
          <cell r="E3428" t="str">
            <v>CKH368</v>
          </cell>
          <cell r="F3428" t="str">
            <v>ARAMAYO DIAZ JOSE ADOLFO ARAMAYO DIAZ</v>
          </cell>
          <cell r="G3428" t="str">
            <v>ARAMAYO DIAZ JOSE ADOLFO ARAMAYO DIAZ</v>
          </cell>
          <cell r="H3428" t="str">
            <v>08688688</v>
          </cell>
          <cell r="I3428" t="str">
            <v>INTERBANK</v>
          </cell>
          <cell r="J3428" t="str">
            <v>6433125103063</v>
          </cell>
          <cell r="K3428" t="str">
            <v>DNI</v>
          </cell>
          <cell r="L3428">
            <v>10086886885</v>
          </cell>
          <cell r="M3428" t="str">
            <v>AEROLINEAS</v>
          </cell>
          <cell r="N3428">
            <v>46136</v>
          </cell>
          <cell r="O3428">
            <v>0</v>
          </cell>
          <cell r="P3428">
            <v>0</v>
          </cell>
        </row>
        <row r="3429">
          <cell r="A3429">
            <v>4389</v>
          </cell>
          <cell r="B3429">
            <v>4389</v>
          </cell>
          <cell r="C3429" t="str">
            <v>CERO MATRICULA</v>
          </cell>
          <cell r="D3429" t="str">
            <v>ACTIVO</v>
          </cell>
          <cell r="E3429" t="str">
            <v>CXZ123</v>
          </cell>
          <cell r="F3429" t="str">
            <v>Carrasco Baca George Peter</v>
          </cell>
          <cell r="G3429" t="str">
            <v>Carrasco Baca George Peter</v>
          </cell>
          <cell r="H3429" t="str">
            <v>45859957</v>
          </cell>
          <cell r="I3429" t="str">
            <v>BCP</v>
          </cell>
          <cell r="J3429" t="str">
            <v>19191749048003</v>
          </cell>
          <cell r="K3429" t="str">
            <v>DNI</v>
          </cell>
          <cell r="L3429">
            <v>10458599578</v>
          </cell>
          <cell r="M3429" t="str">
            <v>AEROLINEAS</v>
          </cell>
          <cell r="N3429">
            <v>46136</v>
          </cell>
          <cell r="O3429">
            <v>0</v>
          </cell>
          <cell r="P3429">
            <v>0</v>
          </cell>
        </row>
        <row r="3430">
          <cell r="A3430">
            <v>4390</v>
          </cell>
          <cell r="B3430">
            <v>4390</v>
          </cell>
          <cell r="C3430" t="str">
            <v>CERO MATRICULA</v>
          </cell>
          <cell r="D3430" t="str">
            <v>ACTIVO</v>
          </cell>
          <cell r="E3430" t="str">
            <v>CTX313</v>
          </cell>
          <cell r="F3430" t="str">
            <v>Marigorda Baca Cesar Ignacio</v>
          </cell>
          <cell r="G3430" t="str">
            <v>Marigorda Baca Cesar Ignacio</v>
          </cell>
          <cell r="H3430" t="str">
            <v>40579824</v>
          </cell>
          <cell r="I3430" t="str">
            <v>BCP</v>
          </cell>
          <cell r="J3430" t="str">
            <v>19200399562096</v>
          </cell>
          <cell r="K3430" t="str">
            <v>DNI</v>
          </cell>
          <cell r="L3430">
            <v>10405798242</v>
          </cell>
          <cell r="M3430" t="str">
            <v>AEROLINEAS</v>
          </cell>
          <cell r="N3430">
            <v>46136</v>
          </cell>
          <cell r="O3430">
            <v>0</v>
          </cell>
          <cell r="P3430">
            <v>0</v>
          </cell>
        </row>
        <row r="3431">
          <cell r="A3431">
            <v>4316</v>
          </cell>
          <cell r="B3431">
            <v>4316</v>
          </cell>
          <cell r="C3431" t="str">
            <v>CERO MATRICULA</v>
          </cell>
          <cell r="D3431" t="str">
            <v>ACTIVO</v>
          </cell>
          <cell r="E3431" t="str">
            <v>CSW079</v>
          </cell>
          <cell r="F3431" t="str">
            <v>ROBERTO CANESSA GUILLEN</v>
          </cell>
          <cell r="G3431" t="str">
            <v>ROBERTO CANESSA GUILLEN</v>
          </cell>
          <cell r="H3431">
            <v>25783980</v>
          </cell>
          <cell r="I3431" t="str">
            <v>BCP</v>
          </cell>
          <cell r="J3431" t="str">
            <v>19291264461022</v>
          </cell>
          <cell r="K3431" t="str">
            <v>DNI</v>
          </cell>
          <cell r="L3431">
            <v>10257839805</v>
          </cell>
          <cell r="M3431" t="str">
            <v>MEMBRESÍA NOCTURNA - APTO</v>
          </cell>
          <cell r="N3431">
            <v>46133</v>
          </cell>
          <cell r="O3431">
            <v>285</v>
          </cell>
          <cell r="P3431" t="str">
            <v>COMFORT XL</v>
          </cell>
        </row>
        <row r="3432">
          <cell r="A3432">
            <v>9302</v>
          </cell>
          <cell r="B3432">
            <v>9302</v>
          </cell>
          <cell r="C3432" t="str">
            <v>CERO MATRICULA</v>
          </cell>
          <cell r="D3432" t="str">
            <v>ACTIVO</v>
          </cell>
          <cell r="E3432" t="str">
            <v>BYB491</v>
          </cell>
          <cell r="F3432" t="str">
            <v>GIMENEZ CATARI CARLOS ARMANDO</v>
          </cell>
          <cell r="G3432" t="str">
            <v xml:space="preserve">CARLOS ARMANDO GIMÉNEZ CATARI </v>
          </cell>
          <cell r="H3432" t="str">
            <v>002447015</v>
          </cell>
          <cell r="I3432" t="str">
            <v xml:space="preserve">INTERBANK </v>
          </cell>
          <cell r="J3432" t="str">
            <v>645 3366976677</v>
          </cell>
          <cell r="K3432" t="str">
            <v>CE</v>
          </cell>
          <cell r="L3432">
            <v>15604171765</v>
          </cell>
          <cell r="M3432" t="str">
            <v>AEROLINEAS</v>
          </cell>
          <cell r="N3432">
            <v>45400</v>
          </cell>
          <cell r="O3432">
            <v>0</v>
          </cell>
          <cell r="P3432" t="str">
            <v>XL</v>
          </cell>
        </row>
        <row r="3433">
          <cell r="A3433">
            <v>4210</v>
          </cell>
          <cell r="B3433">
            <v>4210</v>
          </cell>
          <cell r="C3433" t="str">
            <v>CERO MATRICULA</v>
          </cell>
          <cell r="D3433" t="str">
            <v>ACTIVO</v>
          </cell>
          <cell r="E3433" t="str">
            <v>FLOTA PROPIA</v>
          </cell>
          <cell r="F3433" t="str">
            <v>FLOTA PROPIA</v>
          </cell>
          <cell r="G3433" t="str">
            <v>FLOTA PROPIA</v>
          </cell>
          <cell r="H3433" t="str">
            <v>FLOTA PROPIA</v>
          </cell>
          <cell r="I3433" t="str">
            <v>FLOTA PROPIA</v>
          </cell>
          <cell r="J3433" t="str">
            <v>FLOTA PROPIA</v>
          </cell>
          <cell r="K3433" t="str">
            <v>FLOTA PROPIA</v>
          </cell>
          <cell r="L3433" t="str">
            <v>FLOTA PROPIA</v>
          </cell>
          <cell r="M3433" t="str">
            <v>FLOTA PROPIA</v>
          </cell>
          <cell r="N3433">
            <v>46128</v>
          </cell>
          <cell r="O3433">
            <v>0</v>
          </cell>
          <cell r="P3433" t="str">
            <v>VAN</v>
          </cell>
        </row>
        <row r="3434">
          <cell r="A3434">
            <v>4211</v>
          </cell>
          <cell r="B3434">
            <v>4211</v>
          </cell>
          <cell r="C3434" t="str">
            <v>CERO MATRICULA</v>
          </cell>
          <cell r="D3434" t="str">
            <v>ACTIVO</v>
          </cell>
          <cell r="E3434" t="str">
            <v>FLOTA PROPIA</v>
          </cell>
          <cell r="F3434" t="str">
            <v>FLOTA PROPIA</v>
          </cell>
          <cell r="G3434" t="str">
            <v>FLOTA PROPIA</v>
          </cell>
          <cell r="H3434" t="str">
            <v>FLOTA PROPIA</v>
          </cell>
          <cell r="I3434" t="str">
            <v>FLOTA PROPIA</v>
          </cell>
          <cell r="J3434" t="str">
            <v>FLOTA PROPIA</v>
          </cell>
          <cell r="K3434" t="str">
            <v>FLOTA PROPIA</v>
          </cell>
          <cell r="L3434" t="str">
            <v>FLOTA PROPIA</v>
          </cell>
          <cell r="M3434" t="str">
            <v>FLOTA PROPIA</v>
          </cell>
          <cell r="N3434">
            <v>46128</v>
          </cell>
          <cell r="O3434">
            <v>0</v>
          </cell>
          <cell r="P3434" t="str">
            <v>VAN</v>
          </cell>
        </row>
        <row r="3435">
          <cell r="A3435">
            <v>4214</v>
          </cell>
          <cell r="B3435">
            <v>4214</v>
          </cell>
          <cell r="C3435" t="str">
            <v>CERO MATRICULA</v>
          </cell>
          <cell r="D3435" t="str">
            <v>ACTIVO</v>
          </cell>
          <cell r="E3435" t="str">
            <v>FLOTA PROPIA</v>
          </cell>
          <cell r="F3435" t="str">
            <v>FLOTA PROPIA</v>
          </cell>
          <cell r="G3435" t="str">
            <v>FLOTA PROPIA</v>
          </cell>
          <cell r="H3435" t="str">
            <v>FLOTA PROPIA</v>
          </cell>
          <cell r="I3435" t="str">
            <v>FLOTA PROPIA</v>
          </cell>
          <cell r="J3435" t="str">
            <v>FLOTA PROPIA</v>
          </cell>
          <cell r="K3435" t="str">
            <v>FLOTA PROPIA</v>
          </cell>
          <cell r="L3435" t="str">
            <v>FLOTA PROPIA</v>
          </cell>
          <cell r="M3435" t="str">
            <v>FLOTA PROPIA</v>
          </cell>
          <cell r="N3435">
            <v>46128</v>
          </cell>
          <cell r="O3435">
            <v>0</v>
          </cell>
          <cell r="P3435" t="str">
            <v>VAN</v>
          </cell>
        </row>
        <row r="3436">
          <cell r="A3436">
            <v>4215</v>
          </cell>
          <cell r="B3436">
            <v>4215</v>
          </cell>
          <cell r="C3436" t="str">
            <v>CERO MATRICULA</v>
          </cell>
          <cell r="D3436" t="str">
            <v>ACTIVO</v>
          </cell>
          <cell r="E3436" t="str">
            <v>FLOTA PROPIA</v>
          </cell>
          <cell r="F3436" t="str">
            <v>FLOTA PROPIA</v>
          </cell>
          <cell r="G3436" t="str">
            <v>FLOTA PROPIA</v>
          </cell>
          <cell r="H3436" t="str">
            <v>FLOTA PROPIA</v>
          </cell>
          <cell r="I3436" t="str">
            <v>FLOTA PROPIA</v>
          </cell>
          <cell r="J3436" t="str">
            <v>FLOTA PROPIA</v>
          </cell>
          <cell r="K3436" t="str">
            <v>FLOTA PROPIA</v>
          </cell>
          <cell r="L3436" t="str">
            <v>FLOTA PROPIA</v>
          </cell>
          <cell r="M3436" t="str">
            <v>FLOTA PROPIA</v>
          </cell>
          <cell r="N3436">
            <v>46134</v>
          </cell>
          <cell r="O3436">
            <v>0</v>
          </cell>
          <cell r="P3436" t="str">
            <v>VAN</v>
          </cell>
        </row>
        <row r="3437">
          <cell r="A3437">
            <v>3232</v>
          </cell>
          <cell r="B3437">
            <v>3232</v>
          </cell>
          <cell r="C3437" t="str">
            <v>CERO MATRICULA</v>
          </cell>
          <cell r="D3437" t="str">
            <v>ACTIVO</v>
          </cell>
          <cell r="E3437" t="str">
            <v>CRU554</v>
          </cell>
          <cell r="F3437" t="str">
            <v xml:space="preserve">Cepeda Alpiste Bryan Renato </v>
          </cell>
          <cell r="G3437" t="str">
            <v xml:space="preserve">Cepeda Alpiste Bryan Renato </v>
          </cell>
          <cell r="H3437" t="str">
            <v>47034268</v>
          </cell>
          <cell r="I3437" t="str">
            <v>INTERBANK</v>
          </cell>
          <cell r="J3437" t="str">
            <v>8983230599469</v>
          </cell>
          <cell r="K3437" t="str">
            <v>DNI</v>
          </cell>
          <cell r="L3437">
            <v>10470342680</v>
          </cell>
          <cell r="M3437" t="str">
            <v>AEROLINEAS</v>
          </cell>
          <cell r="N3437">
            <v>46142</v>
          </cell>
          <cell r="O3437">
            <v>0</v>
          </cell>
          <cell r="P3437">
            <v>0</v>
          </cell>
        </row>
        <row r="3438">
          <cell r="A3438">
            <v>4391</v>
          </cell>
          <cell r="B3438">
            <v>4391</v>
          </cell>
          <cell r="C3438" t="str">
            <v>CERO MATRICULA</v>
          </cell>
          <cell r="D3438" t="str">
            <v>ACTIVO</v>
          </cell>
          <cell r="E3438" t="str">
            <v>CSD479</v>
          </cell>
          <cell r="F3438" t="str">
            <v xml:space="preserve">Condori Méndez Máximo Gumer </v>
          </cell>
          <cell r="G3438" t="str">
            <v xml:space="preserve">Condori Méndez Máximo Gumer </v>
          </cell>
          <cell r="H3438" t="str">
            <v>07975084</v>
          </cell>
          <cell r="I3438" t="str">
            <v>BCP</v>
          </cell>
          <cell r="J3438" t="str">
            <v>19106872705025</v>
          </cell>
          <cell r="K3438" t="str">
            <v>DNI</v>
          </cell>
          <cell r="L3438">
            <v>10079750846</v>
          </cell>
          <cell r="M3438" t="str">
            <v>MEMBRESÍA NOCTURNA - APTO</v>
          </cell>
          <cell r="N3438">
            <v>46136</v>
          </cell>
          <cell r="O3438">
            <v>235</v>
          </cell>
          <cell r="P3438" t="str">
            <v>COMFORT XL</v>
          </cell>
        </row>
        <row r="3439">
          <cell r="A3439">
            <v>4392</v>
          </cell>
          <cell r="B3439">
            <v>4392</v>
          </cell>
          <cell r="C3439" t="str">
            <v>CERO MATRICULA</v>
          </cell>
          <cell r="D3439" t="str">
            <v>ACTIVO</v>
          </cell>
          <cell r="E3439" t="str">
            <v>BTQ673</v>
          </cell>
          <cell r="F3439" t="str">
            <v>Chavez Padilla Cesar Augusto</v>
          </cell>
          <cell r="G3439" t="str">
            <v>Chavez Padilla Cesar Augusto</v>
          </cell>
          <cell r="H3439" t="str">
            <v>70375327</v>
          </cell>
          <cell r="I3439" t="str">
            <v>INTERBANK</v>
          </cell>
          <cell r="J3439" t="str">
            <v>1693105385714</v>
          </cell>
          <cell r="K3439" t="str">
            <v>DNI</v>
          </cell>
          <cell r="L3439">
            <v>10703753278</v>
          </cell>
          <cell r="M3439" t="str">
            <v>URBANO PARTNER</v>
          </cell>
          <cell r="N3439">
            <v>46139</v>
          </cell>
          <cell r="O3439">
            <v>0</v>
          </cell>
          <cell r="P3439">
            <v>0</v>
          </cell>
        </row>
        <row r="3440">
          <cell r="A3440">
            <v>4394</v>
          </cell>
          <cell r="B3440">
            <v>4394</v>
          </cell>
          <cell r="C3440" t="str">
            <v>CERO MATRICULA</v>
          </cell>
          <cell r="D3440" t="str">
            <v>ACTIVO</v>
          </cell>
          <cell r="E3440" t="str">
            <v>vcw161</v>
          </cell>
          <cell r="F3440" t="str">
            <v>Carmona Rojas Diego Eduardo</v>
          </cell>
          <cell r="G3440" t="str">
            <v>Carmona Rojas Diego Eduardo</v>
          </cell>
          <cell r="H3440" t="str">
            <v>002590778</v>
          </cell>
          <cell r="I3440" t="str">
            <v>BBVA</v>
          </cell>
          <cell r="J3440" t="str">
            <v>001101220200875862</v>
          </cell>
          <cell r="K3440" t="str">
            <v>CE</v>
          </cell>
          <cell r="L3440">
            <v>15605874298</v>
          </cell>
          <cell r="M3440" t="str">
            <v>URBANO PARTNER</v>
          </cell>
          <cell r="N3440">
            <v>46139</v>
          </cell>
          <cell r="O3440">
            <v>0</v>
          </cell>
          <cell r="P3440">
            <v>0</v>
          </cell>
        </row>
        <row r="3441">
          <cell r="A3441">
            <v>4395</v>
          </cell>
          <cell r="B3441">
            <v>4395</v>
          </cell>
          <cell r="C3441" t="str">
            <v>CERO MATRICULA</v>
          </cell>
          <cell r="D3441" t="str">
            <v>ACTIVO</v>
          </cell>
          <cell r="E3441" t="str">
            <v>ATY527</v>
          </cell>
          <cell r="F3441" t="str">
            <v>Ortiz Viera José Luis</v>
          </cell>
          <cell r="G3441" t="str">
            <v>Ortiz Viera José Luis</v>
          </cell>
          <cell r="H3441" t="str">
            <v>43078981</v>
          </cell>
          <cell r="I3441" t="str">
            <v>BCP</v>
          </cell>
          <cell r="J3441" t="str">
            <v>19206872508026</v>
          </cell>
          <cell r="K3441" t="str">
            <v>DNI</v>
          </cell>
          <cell r="L3441">
            <v>10430789819</v>
          </cell>
          <cell r="M3441" t="str">
            <v>URBANO PARTNER</v>
          </cell>
          <cell r="N3441">
            <v>46139</v>
          </cell>
          <cell r="O3441">
            <v>0</v>
          </cell>
          <cell r="P3441">
            <v>0</v>
          </cell>
        </row>
        <row r="3442">
          <cell r="A3442">
            <v>4396</v>
          </cell>
          <cell r="B3442">
            <v>4396</v>
          </cell>
          <cell r="C3442" t="str">
            <v>CERO MATRICULA</v>
          </cell>
          <cell r="D3442" t="str">
            <v>ACTIVO</v>
          </cell>
          <cell r="E3442" t="str">
            <v>CWV308</v>
          </cell>
          <cell r="F3442" t="str">
            <v>Enrique Carhuapoma Nestor</v>
          </cell>
          <cell r="G3442" t="str">
            <v>Enrique Carhuapoma Nestor</v>
          </cell>
          <cell r="H3442" t="str">
            <v>09890981</v>
          </cell>
          <cell r="I3442" t="str">
            <v>INTERBANK</v>
          </cell>
          <cell r="J3442" t="str">
            <v>8983419369006</v>
          </cell>
          <cell r="K3442" t="str">
            <v>DNI</v>
          </cell>
          <cell r="L3442">
            <v>10098909813</v>
          </cell>
          <cell r="M3442" t="str">
            <v>URBANO PARTNER</v>
          </cell>
          <cell r="N3442">
            <v>46139</v>
          </cell>
          <cell r="O3442">
            <v>0</v>
          </cell>
          <cell r="P3442">
            <v>0</v>
          </cell>
        </row>
        <row r="3443">
          <cell r="A3443">
            <v>4397</v>
          </cell>
          <cell r="B3443">
            <v>4397</v>
          </cell>
          <cell r="C3443" t="str">
            <v>CERO MATRICULA</v>
          </cell>
          <cell r="D3443" t="str">
            <v>ACTIVO</v>
          </cell>
          <cell r="E3443" t="str">
            <v>Clc102</v>
          </cell>
          <cell r="F3443" t="str">
            <v>Leguia Ludeña Claudio</v>
          </cell>
          <cell r="G3443" t="str">
            <v>Leguia Ludeña Claudio</v>
          </cell>
          <cell r="H3443" t="str">
            <v>71511633</v>
          </cell>
          <cell r="I3443" t="str">
            <v>BCP</v>
          </cell>
          <cell r="J3443" t="str">
            <v>19301926572030</v>
          </cell>
          <cell r="K3443" t="str">
            <v>DNI</v>
          </cell>
          <cell r="L3443">
            <v>10715116338</v>
          </cell>
          <cell r="M3443" t="str">
            <v>URBANO PARTNER</v>
          </cell>
          <cell r="N3443">
            <v>46139</v>
          </cell>
          <cell r="O3443">
            <v>0</v>
          </cell>
          <cell r="P3443">
            <v>0</v>
          </cell>
        </row>
        <row r="3444">
          <cell r="A3444">
            <v>4398</v>
          </cell>
          <cell r="B3444">
            <v>4398</v>
          </cell>
          <cell r="C3444" t="str">
            <v>CERO MATRICULA</v>
          </cell>
          <cell r="D3444" t="str">
            <v>ACTIVO</v>
          </cell>
          <cell r="E3444" t="str">
            <v>CBF344</v>
          </cell>
          <cell r="F3444" t="str">
            <v>MELGAREJO DAMIAN RODOMIRO RICARDO</v>
          </cell>
          <cell r="G3444" t="str">
            <v>MELGAREJO DAMIAN RODOMIRO RICARDO</v>
          </cell>
          <cell r="H3444" t="str">
            <v>08441266</v>
          </cell>
          <cell r="I3444" t="str">
            <v>BCP</v>
          </cell>
          <cell r="J3444" t="str">
            <v>19210415037038</v>
          </cell>
          <cell r="K3444" t="str">
            <v>DNI</v>
          </cell>
          <cell r="L3444">
            <v>10084412665</v>
          </cell>
          <cell r="M3444" t="str">
            <v>AEROLINEAS</v>
          </cell>
          <cell r="N3444">
            <v>46142</v>
          </cell>
          <cell r="O3444">
            <v>0</v>
          </cell>
          <cell r="P3444">
            <v>0</v>
          </cell>
        </row>
        <row r="3445">
          <cell r="A3445">
            <v>4399</v>
          </cell>
          <cell r="B3445">
            <v>4399</v>
          </cell>
          <cell r="C3445" t="str">
            <v>CERO MATRICULA</v>
          </cell>
          <cell r="D3445" t="str">
            <v>ACTIVO</v>
          </cell>
          <cell r="E3445" t="str">
            <v>Cut571</v>
          </cell>
          <cell r="F3445" t="str">
            <v>Tineo Soto Christian yomelo</v>
          </cell>
          <cell r="G3445" t="str">
            <v xml:space="preserve">Rodriguez Montesinos Jefferson </v>
          </cell>
          <cell r="H3445">
            <v>77259108</v>
          </cell>
          <cell r="I3445" t="str">
            <v>BCP</v>
          </cell>
          <cell r="J3445" t="str">
            <v>19303588911061</v>
          </cell>
          <cell r="K3445" t="str">
            <v>DNI</v>
          </cell>
          <cell r="L3445">
            <v>10772591085</v>
          </cell>
          <cell r="M3445" t="str">
            <v>URBANO PARTNER</v>
          </cell>
          <cell r="N3445">
            <v>46142</v>
          </cell>
          <cell r="O3445">
            <v>0</v>
          </cell>
          <cell r="P3445">
            <v>0</v>
          </cell>
        </row>
        <row r="3446">
          <cell r="A3446">
            <v>4400</v>
          </cell>
          <cell r="B3446">
            <v>4400</v>
          </cell>
          <cell r="C3446" t="str">
            <v>CERO MATRICULA</v>
          </cell>
          <cell r="D3446" t="str">
            <v>ACTIVO</v>
          </cell>
          <cell r="E3446" t="str">
            <v>AVV084</v>
          </cell>
          <cell r="F3446" t="str">
            <v>Velasquez Basilio Walter Hector</v>
          </cell>
          <cell r="G3446" t="str">
            <v>Velasquez Basilio Walter Hector</v>
          </cell>
          <cell r="H3446" t="str">
            <v>04081269</v>
          </cell>
          <cell r="I3446" t="str">
            <v>BCP</v>
          </cell>
          <cell r="J3446" t="str">
            <v>19193908303069</v>
          </cell>
          <cell r="K3446" t="str">
            <v>DNI</v>
          </cell>
          <cell r="L3446">
            <v>10040812691</v>
          </cell>
          <cell r="M3446" t="str">
            <v>AEROLINEAS</v>
          </cell>
          <cell r="N3446">
            <v>46142</v>
          </cell>
          <cell r="O3446">
            <v>0</v>
          </cell>
          <cell r="P3446">
            <v>0</v>
          </cell>
        </row>
        <row r="3447">
          <cell r="A3447">
            <v>4401</v>
          </cell>
          <cell r="B3447">
            <v>4401</v>
          </cell>
          <cell r="C3447" t="str">
            <v>CERO MATRICULA</v>
          </cell>
          <cell r="D3447" t="str">
            <v>ACTIVO</v>
          </cell>
          <cell r="E3447" t="str">
            <v>CLG644</v>
          </cell>
          <cell r="F3447" t="str">
            <v>LAZARO LARA JUAN DANIEL</v>
          </cell>
          <cell r="G3447" t="str">
            <v>LAZARO LARA JUAN DANIEL</v>
          </cell>
          <cell r="H3447" t="str">
            <v>41192571</v>
          </cell>
          <cell r="I3447" t="str">
            <v>BBVA</v>
          </cell>
          <cell r="J3447" t="str">
            <v>0011-0814-0294650372</v>
          </cell>
          <cell r="K3447" t="str">
            <v>DNI</v>
          </cell>
          <cell r="L3447">
            <v>10411925710</v>
          </cell>
          <cell r="M3447" t="str">
            <v>AEROLINEAS</v>
          </cell>
          <cell r="N3447">
            <v>46142</v>
          </cell>
          <cell r="O3447">
            <v>0</v>
          </cell>
          <cell r="P3447">
            <v>0</v>
          </cell>
        </row>
        <row r="3448">
          <cell r="A3448">
            <v>4402</v>
          </cell>
          <cell r="B3448">
            <v>4402</v>
          </cell>
          <cell r="C3448" t="str">
            <v>CERO MATRICULA</v>
          </cell>
          <cell r="D3448" t="str">
            <v>ACTIVO</v>
          </cell>
          <cell r="E3448" t="str">
            <v>CUG046</v>
          </cell>
          <cell r="F3448" t="str">
            <v>Putpaña Córdova Ignacio</v>
          </cell>
          <cell r="G3448" t="str">
            <v>Putpaña Córdova Ignacio</v>
          </cell>
          <cell r="H3448" t="str">
            <v>42174782</v>
          </cell>
          <cell r="I3448" t="str">
            <v>INTERBANK</v>
          </cell>
          <cell r="J3448" t="str">
            <v>2723096218443</v>
          </cell>
          <cell r="K3448" t="str">
            <v>DNI</v>
          </cell>
          <cell r="L3448">
            <v>10421747828</v>
          </cell>
          <cell r="M3448" t="str">
            <v>AEROLINEAS</v>
          </cell>
          <cell r="N3448">
            <v>46142</v>
          </cell>
          <cell r="O3448">
            <v>0</v>
          </cell>
          <cell r="P3448">
            <v>0</v>
          </cell>
        </row>
        <row r="3449">
          <cell r="A3449">
            <v>4403</v>
          </cell>
          <cell r="B3449">
            <v>4403</v>
          </cell>
          <cell r="C3449" t="str">
            <v>CERO MATRICULA</v>
          </cell>
          <cell r="D3449" t="str">
            <v>ACTIVO</v>
          </cell>
          <cell r="E3449" t="str">
            <v>CSA315</v>
          </cell>
          <cell r="F3449" t="str">
            <v>Huaman Billena Luis Enrique</v>
          </cell>
          <cell r="G3449" t="str">
            <v>Huaman Billena Luis Enrique</v>
          </cell>
          <cell r="H3449" t="str">
            <v>43211072</v>
          </cell>
          <cell r="I3449" t="str">
            <v>INTERBANK</v>
          </cell>
          <cell r="J3449" t="str">
            <v>8983396300267</v>
          </cell>
          <cell r="K3449" t="str">
            <v>DNI</v>
          </cell>
          <cell r="L3449">
            <v>10432110724</v>
          </cell>
          <cell r="M3449" t="str">
            <v>MEMBRESÍA DIURNA</v>
          </cell>
          <cell r="N3449">
            <v>46142</v>
          </cell>
          <cell r="O3449">
            <v>290</v>
          </cell>
          <cell r="P3449" t="str">
            <v>XL</v>
          </cell>
        </row>
        <row r="3450">
          <cell r="A3450">
            <v>4404</v>
          </cell>
          <cell r="B3450">
            <v>4404</v>
          </cell>
          <cell r="C3450" t="str">
            <v>CERO MATRICULA</v>
          </cell>
          <cell r="D3450" t="str">
            <v>ACTIVO</v>
          </cell>
          <cell r="E3450" t="str">
            <v>CRH203</v>
          </cell>
          <cell r="F3450" t="str">
            <v>Huaringa Contreras Juan Ademir</v>
          </cell>
          <cell r="G3450" t="str">
            <v>Huaringa Contreras Juan Ademir</v>
          </cell>
          <cell r="H3450" t="str">
            <v>40160764</v>
          </cell>
          <cell r="I3450" t="str">
            <v>BBVA</v>
          </cell>
          <cell r="J3450" t="str">
            <v>001101290200828889</v>
          </cell>
          <cell r="K3450" t="str">
            <v>DNI</v>
          </cell>
          <cell r="L3450">
            <v>10401607647</v>
          </cell>
          <cell r="M3450" t="str">
            <v>MEMBRESÍA DIURNA</v>
          </cell>
          <cell r="N3450">
            <v>46142</v>
          </cell>
          <cell r="O3450">
            <v>285</v>
          </cell>
          <cell r="P3450" t="str">
            <v>COMFORT XL</v>
          </cell>
        </row>
        <row r="3451">
          <cell r="A3451">
            <v>4218</v>
          </cell>
          <cell r="B3451">
            <v>4218</v>
          </cell>
          <cell r="C3451" t="str">
            <v>CERO MATRICULA</v>
          </cell>
          <cell r="D3451" t="str">
            <v>ACTIVO</v>
          </cell>
          <cell r="E3451" t="str">
            <v>FLOTA PROPIA</v>
          </cell>
          <cell r="F3451" t="str">
            <v>FLOTA PROPIA</v>
          </cell>
          <cell r="G3451" t="str">
            <v>FLOTA PROPIA</v>
          </cell>
          <cell r="H3451" t="str">
            <v>FLOTA PROPIA</v>
          </cell>
          <cell r="I3451" t="str">
            <v>FLOTA PROPIA</v>
          </cell>
          <cell r="J3451" t="str">
            <v>FLOTA PROPIA</v>
          </cell>
          <cell r="K3451" t="str">
            <v>FLOTA PROPIA</v>
          </cell>
          <cell r="L3451" t="str">
            <v>FLOTA PROPIA</v>
          </cell>
          <cell r="M3451" t="str">
            <v>FLOTA PROPIA</v>
          </cell>
          <cell r="N3451">
            <v>46134</v>
          </cell>
          <cell r="O3451">
            <v>0</v>
          </cell>
          <cell r="P3451" t="str">
            <v>VAN</v>
          </cell>
        </row>
        <row r="3452">
          <cell r="A3452">
            <v>4217</v>
          </cell>
          <cell r="B3452">
            <v>4217</v>
          </cell>
          <cell r="C3452" t="str">
            <v>CERO MATRICULA</v>
          </cell>
          <cell r="D3452" t="str">
            <v>ACTIVO</v>
          </cell>
          <cell r="E3452" t="str">
            <v>FLOTA PROPIA</v>
          </cell>
          <cell r="F3452" t="str">
            <v>FLOTA PROPIA</v>
          </cell>
          <cell r="G3452" t="str">
            <v>FLOTA PROPIA</v>
          </cell>
          <cell r="H3452" t="str">
            <v>FLOTA PROPIA</v>
          </cell>
          <cell r="I3452" t="str">
            <v>FLOTA PROPIA</v>
          </cell>
          <cell r="J3452" t="str">
            <v>FLOTA PROPIA</v>
          </cell>
          <cell r="K3452" t="str">
            <v>FLOTA PROPIA</v>
          </cell>
          <cell r="L3452" t="str">
            <v>FLOTA PROPIA</v>
          </cell>
          <cell r="M3452" t="str">
            <v>FLOTA PROPIA</v>
          </cell>
          <cell r="N3452">
            <v>46135</v>
          </cell>
          <cell r="O3452">
            <v>0</v>
          </cell>
          <cell r="P3452" t="str">
            <v>VAN</v>
          </cell>
        </row>
        <row r="3453">
          <cell r="A3453">
            <v>2268</v>
          </cell>
          <cell r="B3453">
            <v>2268</v>
          </cell>
          <cell r="C3453" t="str">
            <v>CERO MATRICULA</v>
          </cell>
          <cell r="D3453" t="str">
            <v>ACTIVO</v>
          </cell>
          <cell r="E3453" t="str">
            <v>BJW466</v>
          </cell>
          <cell r="F3453" t="str">
            <v>Ramon Maguiña David Ramon</v>
          </cell>
          <cell r="G3453" t="str">
            <v>Ramon Maguiña David Ramon</v>
          </cell>
          <cell r="H3453" t="str">
            <v>46413319</v>
          </cell>
          <cell r="I3453" t="str">
            <v>INTERBANK</v>
          </cell>
          <cell r="J3453" t="str">
            <v>2003132261046</v>
          </cell>
          <cell r="K3453" t="str">
            <v>DNI</v>
          </cell>
          <cell r="L3453">
            <v>10464133190</v>
          </cell>
          <cell r="M3453" t="str">
            <v>URBANO PARTNER</v>
          </cell>
          <cell r="N3453">
            <v>46147</v>
          </cell>
          <cell r="O3453">
            <v>0</v>
          </cell>
          <cell r="P3453">
            <v>0</v>
          </cell>
        </row>
        <row r="3454">
          <cell r="A3454">
            <v>4408</v>
          </cell>
          <cell r="B3454">
            <v>4408</v>
          </cell>
          <cell r="C3454" t="str">
            <v>CERO MATRICULA</v>
          </cell>
          <cell r="D3454" t="str">
            <v>ACTIVO</v>
          </cell>
          <cell r="E3454" t="str">
            <v>CXZ147</v>
          </cell>
          <cell r="F3454" t="str">
            <v>Mendoza Garcia Marvin Brandon</v>
          </cell>
          <cell r="G3454" t="str">
            <v>Mendoza Garcia Marvin Brandon</v>
          </cell>
          <cell r="H3454" t="str">
            <v>75476064</v>
          </cell>
          <cell r="I3454" t="str">
            <v>BCP</v>
          </cell>
          <cell r="J3454" t="str">
            <v>19104385210004</v>
          </cell>
          <cell r="K3454" t="str">
            <v>DNI</v>
          </cell>
          <cell r="L3454">
            <v>10754760643</v>
          </cell>
          <cell r="M3454" t="str">
            <v>AEROLINEAS</v>
          </cell>
          <cell r="N3454">
            <v>46150</v>
          </cell>
          <cell r="O3454">
            <v>0</v>
          </cell>
          <cell r="P3454">
            <v>0</v>
          </cell>
        </row>
        <row r="3455">
          <cell r="A3455">
            <v>4409</v>
          </cell>
          <cell r="B3455">
            <v>4409</v>
          </cell>
          <cell r="C3455" t="str">
            <v>CERO MATRICULA</v>
          </cell>
          <cell r="D3455" t="str">
            <v>ACTIVO</v>
          </cell>
          <cell r="E3455" t="str">
            <v>CNE323</v>
          </cell>
          <cell r="F3455" t="str">
            <v>Corrales Floriano Julio Gianmarco</v>
          </cell>
          <cell r="G3455" t="str">
            <v>Corrales Floriano Julio Gianmarco</v>
          </cell>
          <cell r="H3455" t="str">
            <v>75650874</v>
          </cell>
          <cell r="I3455" t="str">
            <v>BCP</v>
          </cell>
          <cell r="J3455" t="str">
            <v>19298314069038</v>
          </cell>
          <cell r="K3455" t="str">
            <v>DNI</v>
          </cell>
          <cell r="L3455">
            <v>10756508747</v>
          </cell>
          <cell r="M3455" t="str">
            <v>AEROLINEAS</v>
          </cell>
          <cell r="N3455">
            <v>46150</v>
          </cell>
          <cell r="O3455">
            <v>0</v>
          </cell>
          <cell r="P3455">
            <v>0</v>
          </cell>
        </row>
        <row r="3456">
          <cell r="A3456">
            <v>4410</v>
          </cell>
          <cell r="B3456">
            <v>4410</v>
          </cell>
          <cell r="C3456" t="str">
            <v>CERO MATRICULA</v>
          </cell>
          <cell r="D3456" t="str">
            <v>ACTIVO</v>
          </cell>
          <cell r="E3456" t="str">
            <v>AUZ240</v>
          </cell>
          <cell r="F3456" t="str">
            <v>Sajami Cruz Alfredo</v>
          </cell>
          <cell r="G3456" t="str">
            <v>Sajami Cruz Alfredo</v>
          </cell>
          <cell r="H3456" t="str">
            <v>47581461</v>
          </cell>
          <cell r="I3456" t="str">
            <v>BCP</v>
          </cell>
          <cell r="J3456" t="str">
            <v>19125390747018</v>
          </cell>
          <cell r="K3456" t="str">
            <v>DNI</v>
          </cell>
          <cell r="L3456">
            <v>10475814610</v>
          </cell>
          <cell r="M3456" t="str">
            <v>AEROLINEAS</v>
          </cell>
          <cell r="N3456">
            <v>46150</v>
          </cell>
          <cell r="O3456">
            <v>0</v>
          </cell>
          <cell r="P3456">
            <v>0</v>
          </cell>
        </row>
        <row r="3457">
          <cell r="A3457">
            <v>4411</v>
          </cell>
          <cell r="B3457">
            <v>4411</v>
          </cell>
          <cell r="C3457" t="str">
            <v>CERO MATRICULA</v>
          </cell>
          <cell r="D3457" t="str">
            <v>ACTIVO</v>
          </cell>
          <cell r="E3457" t="str">
            <v>CJE057</v>
          </cell>
          <cell r="F3457" t="str">
            <v>Diaz Salcedo Kevin Mohsen</v>
          </cell>
          <cell r="G3457" t="str">
            <v>Diaz Salcedo Kevin Mohsen</v>
          </cell>
          <cell r="H3457" t="str">
            <v>77024984</v>
          </cell>
          <cell r="I3457" t="str">
            <v>BCP</v>
          </cell>
          <cell r="J3457" t="str">
            <v>19295130335046</v>
          </cell>
          <cell r="K3457" t="str">
            <v>DNI</v>
          </cell>
          <cell r="L3457">
            <v>10770249843</v>
          </cell>
          <cell r="M3457" t="str">
            <v>AEROLINEAS</v>
          </cell>
          <cell r="N3457">
            <v>46150</v>
          </cell>
          <cell r="O3457">
            <v>0</v>
          </cell>
          <cell r="P3457">
            <v>0</v>
          </cell>
        </row>
        <row r="3458">
          <cell r="A3458">
            <v>4414</v>
          </cell>
          <cell r="B3458">
            <v>4414</v>
          </cell>
          <cell r="C3458" t="str">
            <v>CERO MATRICULA</v>
          </cell>
          <cell r="D3458" t="str">
            <v>ACTIVO</v>
          </cell>
          <cell r="E3458" t="str">
            <v>BUV100</v>
          </cell>
          <cell r="F3458" t="str">
            <v>Mendoza Mendoza Miguel angel</v>
          </cell>
          <cell r="G3458" t="str">
            <v>Mendoza Mendoza Miguel angel</v>
          </cell>
          <cell r="H3458" t="str">
            <v>10377481</v>
          </cell>
          <cell r="I3458" t="str">
            <v>INTERBANK</v>
          </cell>
          <cell r="J3458" t="str">
            <v>8983246371417</v>
          </cell>
          <cell r="K3458" t="str">
            <v>DNI</v>
          </cell>
          <cell r="L3458">
            <v>10103774816</v>
          </cell>
          <cell r="M3458" t="str">
            <v>MEMBRESÍA NOCTURNA - APTO</v>
          </cell>
          <cell r="N3458">
            <v>46150</v>
          </cell>
          <cell r="O3458">
            <v>235</v>
          </cell>
          <cell r="P3458" t="str">
            <v>COMFORT XL</v>
          </cell>
        </row>
        <row r="3459">
          <cell r="A3459">
            <v>4415</v>
          </cell>
          <cell r="B3459">
            <v>4415</v>
          </cell>
          <cell r="C3459" t="str">
            <v>CERO MATRICULA</v>
          </cell>
          <cell r="D3459" t="str">
            <v>ACTIVO</v>
          </cell>
          <cell r="E3459" t="str">
            <v>CRV131</v>
          </cell>
          <cell r="F3459" t="str">
            <v>Ortega Duran Oswell</v>
          </cell>
          <cell r="G3459" t="str">
            <v>Ortega Duran Oswell</v>
          </cell>
          <cell r="H3459" t="str">
            <v>004646144</v>
          </cell>
          <cell r="I3459" t="str">
            <v>BBVA</v>
          </cell>
          <cell r="J3459" t="str">
            <v>001101370200658952</v>
          </cell>
          <cell r="K3459" t="str">
            <v>CE</v>
          </cell>
          <cell r="L3459">
            <v>15607803215</v>
          </cell>
          <cell r="M3459" t="str">
            <v>URBANO PARTNER</v>
          </cell>
          <cell r="N3459">
            <v>46147</v>
          </cell>
          <cell r="O3459">
            <v>0</v>
          </cell>
          <cell r="P3459">
            <v>0</v>
          </cell>
        </row>
        <row r="3460">
          <cell r="A3460">
            <v>9539</v>
          </cell>
          <cell r="B3460">
            <v>9539</v>
          </cell>
          <cell r="C3460" t="str">
            <v>CERO MATRICULA</v>
          </cell>
          <cell r="D3460" t="str">
            <v>ACTIVO</v>
          </cell>
          <cell r="E3460" t="str">
            <v>Z6H614</v>
          </cell>
          <cell r="F3460" t="str">
            <v>Cañarte Baquero Eduar mauricio</v>
          </cell>
          <cell r="G3460" t="str">
            <v>Avalos  Ybargüen de Cañarte Gaudy Mercedes</v>
          </cell>
          <cell r="H3460" t="str">
            <v>40826352</v>
          </cell>
          <cell r="I3460" t="str">
            <v>BCP</v>
          </cell>
          <cell r="J3460" t="str">
            <v>19298485033029</v>
          </cell>
          <cell r="K3460" t="str">
            <v>DNI</v>
          </cell>
          <cell r="L3460">
            <v>10408263528</v>
          </cell>
          <cell r="M3460" t="str">
            <v>URBANO PARTNER</v>
          </cell>
          <cell r="N3460">
            <v>46149</v>
          </cell>
          <cell r="O3460">
            <v>0</v>
          </cell>
          <cell r="P3460">
            <v>0</v>
          </cell>
        </row>
        <row r="3461">
          <cell r="A3461">
            <v>4219</v>
          </cell>
          <cell r="B3461">
            <v>4219</v>
          </cell>
          <cell r="C3461" t="str">
            <v>CERO MATRICULA</v>
          </cell>
          <cell r="D3461" t="str">
            <v>ACTIVO</v>
          </cell>
          <cell r="E3461" t="str">
            <v>FLOTA PROPIA</v>
          </cell>
          <cell r="F3461" t="str">
            <v>FLOTA PROPIA</v>
          </cell>
          <cell r="G3461" t="str">
            <v>FLOTA PROPIA</v>
          </cell>
          <cell r="H3461" t="str">
            <v>FLOTA PROPIA</v>
          </cell>
          <cell r="I3461" t="str">
            <v>FLOTA PROPIA</v>
          </cell>
          <cell r="J3461" t="str">
            <v>FLOTA PROPIA</v>
          </cell>
          <cell r="K3461" t="str">
            <v>FLOTA PROPIA</v>
          </cell>
          <cell r="L3461" t="str">
            <v>FLOTA PROPIA</v>
          </cell>
          <cell r="M3461" t="str">
            <v>FLOTA PROPIA</v>
          </cell>
          <cell r="N3461">
            <v>46139</v>
          </cell>
          <cell r="O3461">
            <v>0</v>
          </cell>
          <cell r="P3461" t="str">
            <v>VAN</v>
          </cell>
        </row>
        <row r="3462">
          <cell r="A3462">
            <v>3210</v>
          </cell>
          <cell r="B3462">
            <v>3210</v>
          </cell>
          <cell r="C3462" t="str">
            <v>CERO MATRICULA</v>
          </cell>
          <cell r="D3462" t="str">
            <v>ACTIVO</v>
          </cell>
          <cell r="E3462" t="str">
            <v>BCQ288</v>
          </cell>
          <cell r="F3462" t="str">
            <v>Parraga Ramirez Ricardo Alejandro</v>
          </cell>
          <cell r="G3462" t="str">
            <v>Teran Balza Dariannys Daniela</v>
          </cell>
          <cell r="H3462" t="str">
            <v>005877234</v>
          </cell>
          <cell r="I3462" t="str">
            <v>BCP</v>
          </cell>
          <cell r="J3462" t="str">
            <v>19179546831032</v>
          </cell>
          <cell r="K3462" t="str">
            <v>DNI</v>
          </cell>
          <cell r="L3462">
            <v>15612331950</v>
          </cell>
          <cell r="M3462" t="str">
            <v>AEROLINEAS</v>
          </cell>
          <cell r="N3462">
            <v>46157</v>
          </cell>
          <cell r="O3462">
            <v>0</v>
          </cell>
          <cell r="P3462">
            <v>0</v>
          </cell>
        </row>
        <row r="3463">
          <cell r="A3463">
            <v>4413</v>
          </cell>
          <cell r="B3463">
            <v>4413</v>
          </cell>
          <cell r="C3463" t="str">
            <v>CERO MATRICULA</v>
          </cell>
          <cell r="D3463" t="str">
            <v>ACTIVO</v>
          </cell>
          <cell r="E3463" t="str">
            <v>CUZ525</v>
          </cell>
          <cell r="F3463" t="str">
            <v>Enciso Aguilar Santiago Enrique</v>
          </cell>
          <cell r="G3463" t="str">
            <v>Enciso Aguilar Santiago Enrique</v>
          </cell>
          <cell r="H3463" t="str">
            <v>10653243</v>
          </cell>
          <cell r="I3463" t="str">
            <v>BCP</v>
          </cell>
          <cell r="J3463" t="str">
            <v>19196831851048</v>
          </cell>
          <cell r="K3463" t="str">
            <v>DNI</v>
          </cell>
          <cell r="L3463">
            <v>10106532431</v>
          </cell>
          <cell r="M3463" t="str">
            <v>MEMBRESÍA NOCTURNA - APTO</v>
          </cell>
          <cell r="N3463">
            <v>46157</v>
          </cell>
          <cell r="O3463">
            <v>290</v>
          </cell>
          <cell r="P3463" t="str">
            <v>XL</v>
          </cell>
        </row>
        <row r="3464">
          <cell r="A3464">
            <v>4417</v>
          </cell>
          <cell r="B3464">
            <v>4417</v>
          </cell>
          <cell r="C3464" t="str">
            <v>CERO MATRICULA</v>
          </cell>
          <cell r="D3464" t="str">
            <v>ACTIVO</v>
          </cell>
          <cell r="E3464" t="str">
            <v>CTM359</v>
          </cell>
          <cell r="F3464" t="str">
            <v>Pacheco Cuba Hugo</v>
          </cell>
          <cell r="G3464" t="str">
            <v xml:space="preserve">Hugo Pacheco Cuba </v>
          </cell>
          <cell r="H3464">
            <v>24990905</v>
          </cell>
          <cell r="I3464" t="str">
            <v>BCP</v>
          </cell>
          <cell r="J3464" t="str">
            <v>19498647157090</v>
          </cell>
          <cell r="K3464" t="str">
            <v>DNI</v>
          </cell>
          <cell r="L3464">
            <v>10249909055</v>
          </cell>
          <cell r="M3464" t="str">
            <v>AEROLINEAS</v>
          </cell>
          <cell r="N3464">
            <v>46157</v>
          </cell>
          <cell r="O3464">
            <v>0</v>
          </cell>
          <cell r="P3464">
            <v>0</v>
          </cell>
        </row>
        <row r="3465">
          <cell r="A3465">
            <v>4418</v>
          </cell>
          <cell r="B3465">
            <v>4418</v>
          </cell>
          <cell r="C3465" t="str">
            <v>CERO MATRICULA</v>
          </cell>
          <cell r="D3465" t="str">
            <v>ACTIVO</v>
          </cell>
          <cell r="E3465" t="str">
            <v>BZQ272</v>
          </cell>
          <cell r="F3465" t="str">
            <v>Surco Astocondor Victor Junior</v>
          </cell>
          <cell r="G3465" t="str">
            <v>Surco Astocondor Victor Junior</v>
          </cell>
          <cell r="H3465" t="str">
            <v>75169898</v>
          </cell>
          <cell r="I3465" t="str">
            <v>BCP</v>
          </cell>
          <cell r="J3465" t="str">
            <v>19372000656034</v>
          </cell>
          <cell r="K3465" t="str">
            <v>DNI</v>
          </cell>
          <cell r="L3465">
            <v>10751698980</v>
          </cell>
          <cell r="M3465" t="str">
            <v>AEROLINEAS</v>
          </cell>
          <cell r="N3465">
            <v>46157</v>
          </cell>
          <cell r="O3465">
            <v>0</v>
          </cell>
          <cell r="P3465">
            <v>0</v>
          </cell>
        </row>
        <row r="3466">
          <cell r="A3466">
            <v>4419</v>
          </cell>
          <cell r="B3466">
            <v>4419</v>
          </cell>
          <cell r="C3466" t="str">
            <v>CERO MATRICULA</v>
          </cell>
          <cell r="D3466" t="str">
            <v>ACTIVO</v>
          </cell>
          <cell r="E3466" t="str">
            <v>CWY 536</v>
          </cell>
          <cell r="F3466" t="str">
            <v>Gavelan Wong William Edwin</v>
          </cell>
          <cell r="G3466" t="str">
            <v>Gavelan Wong William Edwin</v>
          </cell>
          <cell r="H3466" t="str">
            <v>25795089</v>
          </cell>
          <cell r="I3466" t="str">
            <v>BCP</v>
          </cell>
          <cell r="J3466" t="str">
            <v>19196903599020</v>
          </cell>
          <cell r="K3466" t="str">
            <v>DNI</v>
          </cell>
          <cell r="L3466">
            <v>15297141772</v>
          </cell>
          <cell r="M3466" t="str">
            <v>AEROLINEAS</v>
          </cell>
          <cell r="N3466">
            <v>46157</v>
          </cell>
          <cell r="O3466">
            <v>0</v>
          </cell>
          <cell r="P3466">
            <v>0</v>
          </cell>
        </row>
        <row r="3467">
          <cell r="A3467">
            <v>4420</v>
          </cell>
          <cell r="B3467">
            <v>4420</v>
          </cell>
          <cell r="C3467" t="str">
            <v>CERO MATRICULA</v>
          </cell>
          <cell r="D3467" t="str">
            <v>ACTIVO</v>
          </cell>
          <cell r="E3467" t="str">
            <v>CWF469</v>
          </cell>
          <cell r="F3467" t="str">
            <v xml:space="preserve">Arismendiz Pinedo Franchesco </v>
          </cell>
          <cell r="G3467" t="str">
            <v xml:space="preserve">Arismendiz Pinedo Franchesco </v>
          </cell>
          <cell r="H3467" t="str">
            <v>45953472</v>
          </cell>
          <cell r="I3467" t="str">
            <v>INTERBANK</v>
          </cell>
          <cell r="J3467" t="str">
            <v>140 3319277308</v>
          </cell>
          <cell r="K3467" t="str">
            <v>DNI</v>
          </cell>
          <cell r="L3467">
            <v>10459534721</v>
          </cell>
          <cell r="M3467" t="str">
            <v>AEROLINEAS</v>
          </cell>
          <cell r="N3467">
            <v>46157</v>
          </cell>
          <cell r="O3467">
            <v>0</v>
          </cell>
          <cell r="P3467">
            <v>0</v>
          </cell>
        </row>
        <row r="3468">
          <cell r="A3468">
            <v>4421</v>
          </cell>
          <cell r="B3468">
            <v>4421</v>
          </cell>
          <cell r="C3468" t="str">
            <v>CERO MATRICULA</v>
          </cell>
          <cell r="D3468" t="str">
            <v>ACTIVO</v>
          </cell>
          <cell r="E3468" t="str">
            <v>CYN085</v>
          </cell>
          <cell r="F3468" t="str">
            <v>Talledo Castañeda Luis enrique</v>
          </cell>
          <cell r="G3468" t="str">
            <v>Talledo Castañeda Luis enrique</v>
          </cell>
          <cell r="H3468" t="str">
            <v>72899143</v>
          </cell>
          <cell r="I3468" t="str">
            <v>BCP</v>
          </cell>
          <cell r="J3468" t="str">
            <v>19336088603033</v>
          </cell>
          <cell r="K3468" t="str">
            <v>DNI</v>
          </cell>
          <cell r="L3468">
            <v>10728991432</v>
          </cell>
          <cell r="M3468" t="str">
            <v>AEROLINEAS</v>
          </cell>
          <cell r="N3468">
            <v>46157</v>
          </cell>
          <cell r="O3468">
            <v>0</v>
          </cell>
          <cell r="P3468">
            <v>0</v>
          </cell>
        </row>
        <row r="3469">
          <cell r="A3469">
            <v>4423</v>
          </cell>
          <cell r="B3469">
            <v>4423</v>
          </cell>
          <cell r="C3469" t="str">
            <v>CERO MATRICULA</v>
          </cell>
          <cell r="D3469" t="str">
            <v>ACTIVO</v>
          </cell>
          <cell r="E3469" t="str">
            <v>CYA079</v>
          </cell>
          <cell r="F3469" t="str">
            <v>GÓMEZ SALAZAR LEONARDO</v>
          </cell>
          <cell r="G3469" t="str">
            <v>GÓMEZ SALAZAR LEONARDO</v>
          </cell>
          <cell r="H3469" t="str">
            <v>002711291</v>
          </cell>
          <cell r="I3469" t="str">
            <v>BCP</v>
          </cell>
          <cell r="J3469" t="str">
            <v>19395821034021</v>
          </cell>
          <cell r="K3469" t="str">
            <v>CARNET DE EXTRANJERÍA</v>
          </cell>
          <cell r="L3469">
            <v>15608669717</v>
          </cell>
          <cell r="M3469" t="str">
            <v>AEROLINEAS</v>
          </cell>
          <cell r="N3469">
            <v>46157</v>
          </cell>
          <cell r="O3469">
            <v>0</v>
          </cell>
          <cell r="P3469">
            <v>0</v>
          </cell>
        </row>
        <row r="3470">
          <cell r="A3470">
            <v>4424</v>
          </cell>
          <cell r="B3470">
            <v>4424</v>
          </cell>
          <cell r="C3470" t="str">
            <v>CERO MATRICULA</v>
          </cell>
          <cell r="D3470" t="str">
            <v>ACTIVO</v>
          </cell>
          <cell r="E3470" t="str">
            <v>CWP258</v>
          </cell>
          <cell r="F3470" t="str">
            <v>Vilchez Sanchez Luis enrique</v>
          </cell>
          <cell r="G3470" t="str">
            <v>Vilchez Sanchez Luis enrique</v>
          </cell>
          <cell r="H3470" t="str">
            <v>77431001</v>
          </cell>
          <cell r="I3470" t="str">
            <v>BBVA</v>
          </cell>
          <cell r="J3470" t="str">
            <v>001108140211969984</v>
          </cell>
          <cell r="K3470" t="str">
            <v>DNI</v>
          </cell>
          <cell r="L3470">
            <v>10774310016</v>
          </cell>
          <cell r="M3470" t="str">
            <v>AEROLINEAS</v>
          </cell>
          <cell r="N3470">
            <v>46157</v>
          </cell>
          <cell r="O3470">
            <v>0</v>
          </cell>
          <cell r="P3470">
            <v>0</v>
          </cell>
        </row>
        <row r="3471">
          <cell r="A3471">
            <v>4425</v>
          </cell>
          <cell r="B3471">
            <v>4425</v>
          </cell>
          <cell r="C3471" t="str">
            <v>CERO MATRICULA</v>
          </cell>
          <cell r="D3471" t="str">
            <v>ACTIVO</v>
          </cell>
          <cell r="E3471" t="str">
            <v>CKJ081</v>
          </cell>
          <cell r="F3471" t="str">
            <v>Bustillos Castillo Nilo Zenobio</v>
          </cell>
          <cell r="G3471" t="str">
            <v xml:space="preserve">Sarmiento Villavicencio Jaime Rodolfo </v>
          </cell>
          <cell r="H3471" t="str">
            <v>04221127</v>
          </cell>
          <cell r="I3471" t="str">
            <v>BCP</v>
          </cell>
          <cell r="J3471" t="str">
            <v>19316721151050</v>
          </cell>
          <cell r="K3471" t="str">
            <v>DNI</v>
          </cell>
          <cell r="L3471">
            <v>10042211279</v>
          </cell>
          <cell r="M3471" t="str">
            <v>MEMBRESÍA DIURNA</v>
          </cell>
          <cell r="N3471">
            <v>46157</v>
          </cell>
          <cell r="O3471">
            <v>315</v>
          </cell>
          <cell r="P3471" t="str">
            <v>LITE</v>
          </cell>
        </row>
        <row r="3472">
          <cell r="A3472">
            <v>4427</v>
          </cell>
          <cell r="B3472">
            <v>4427</v>
          </cell>
          <cell r="C3472" t="str">
            <v>CERO MATRICULA</v>
          </cell>
          <cell r="D3472" t="str">
            <v>ACTIVO</v>
          </cell>
          <cell r="E3472" t="str">
            <v>CMS207</v>
          </cell>
          <cell r="F3472" t="str">
            <v>Pimentel Espinoza José Luis</v>
          </cell>
          <cell r="G3472" t="str">
            <v>Pimentel Espinoza José Luis</v>
          </cell>
          <cell r="H3472" t="str">
            <v>75432070</v>
          </cell>
          <cell r="I3472" t="str">
            <v>INTERBANK</v>
          </cell>
          <cell r="J3472" t="str">
            <v>8983316752413</v>
          </cell>
          <cell r="K3472" t="str">
            <v>DNI</v>
          </cell>
          <cell r="L3472">
            <v>10754320708</v>
          </cell>
          <cell r="M3472" t="str">
            <v>AEROLINEAS</v>
          </cell>
          <cell r="N3472">
            <v>46154</v>
          </cell>
          <cell r="O3472">
            <v>0</v>
          </cell>
          <cell r="P3472">
            <v>0</v>
          </cell>
        </row>
        <row r="3473">
          <cell r="A3473">
            <v>4428</v>
          </cell>
          <cell r="B3473">
            <v>4428</v>
          </cell>
          <cell r="C3473" t="str">
            <v>CERO MATRICULA</v>
          </cell>
          <cell r="D3473" t="str">
            <v>ACTIVO</v>
          </cell>
          <cell r="E3473" t="str">
            <v>CNQ627</v>
          </cell>
          <cell r="F3473" t="str">
            <v>Atencio García Wilmer Jesús</v>
          </cell>
          <cell r="G3473" t="str">
            <v>Atencio García Wilmer Jesús</v>
          </cell>
          <cell r="H3473" t="str">
            <v>006209641</v>
          </cell>
          <cell r="I3473" t="str">
            <v>BCP</v>
          </cell>
          <cell r="J3473" t="str">
            <v>57093856469066</v>
          </cell>
          <cell r="K3473" t="str">
            <v>CARNET DE EXTRANJERÍA</v>
          </cell>
          <cell r="L3473">
            <v>15611221379</v>
          </cell>
          <cell r="M3473" t="str">
            <v>URBANO PARTNER</v>
          </cell>
          <cell r="N3473">
            <v>46154</v>
          </cell>
          <cell r="O3473">
            <v>0</v>
          </cell>
          <cell r="P3473">
            <v>0</v>
          </cell>
        </row>
        <row r="3474">
          <cell r="A3474">
            <v>4430</v>
          </cell>
          <cell r="B3474">
            <v>4430</v>
          </cell>
          <cell r="C3474" t="str">
            <v>CERO MATRICULA</v>
          </cell>
          <cell r="D3474" t="str">
            <v>ACTIVO</v>
          </cell>
          <cell r="E3474" t="str">
            <v>CHL329</v>
          </cell>
          <cell r="F3474" t="str">
            <v>Ramirez Albarran José Gregorio</v>
          </cell>
          <cell r="G3474" t="str">
            <v xml:space="preserve">José Gregorio Ramirez Albarran </v>
          </cell>
          <cell r="H3474" t="str">
            <v>003630932</v>
          </cell>
          <cell r="I3474" t="str">
            <v>BBVA</v>
          </cell>
          <cell r="J3474" t="str">
            <v>001108140257273445</v>
          </cell>
          <cell r="K3474" t="str">
            <v>CE</v>
          </cell>
          <cell r="L3474">
            <v>15604664966</v>
          </cell>
          <cell r="M3474" t="str">
            <v>URBANO PARTNER</v>
          </cell>
          <cell r="N3474">
            <v>46154</v>
          </cell>
          <cell r="O3474">
            <v>0</v>
          </cell>
          <cell r="P3474">
            <v>0</v>
          </cell>
        </row>
        <row r="3475">
          <cell r="A3475">
            <v>4431</v>
          </cell>
          <cell r="B3475">
            <v>4431</v>
          </cell>
          <cell r="C3475" t="str">
            <v>CERO MATRICULA</v>
          </cell>
          <cell r="D3475" t="str">
            <v>ACTIVO</v>
          </cell>
          <cell r="E3475" t="str">
            <v>CWS507</v>
          </cell>
          <cell r="F3475" t="str">
            <v>Villapolo Herrera Daniel Teobaldo</v>
          </cell>
          <cell r="G3475" t="str">
            <v>Villapolo Herrera Daniel Teobaldo</v>
          </cell>
          <cell r="H3475" t="str">
            <v>07867440</v>
          </cell>
          <cell r="I3475" t="str">
            <v>BCP</v>
          </cell>
          <cell r="J3475" t="str">
            <v>39000290222026</v>
          </cell>
          <cell r="K3475" t="str">
            <v>DNI</v>
          </cell>
          <cell r="L3475">
            <v>10078674402</v>
          </cell>
          <cell r="M3475" t="str">
            <v>URBANO PARTNER</v>
          </cell>
          <cell r="N3475">
            <v>46154</v>
          </cell>
          <cell r="O3475">
            <v>0</v>
          </cell>
          <cell r="P3475">
            <v>0</v>
          </cell>
        </row>
        <row r="3476">
          <cell r="A3476">
            <v>4433</v>
          </cell>
          <cell r="B3476">
            <v>4433</v>
          </cell>
          <cell r="C3476" t="str">
            <v>CERO MATRICULA</v>
          </cell>
          <cell r="D3476" t="str">
            <v>ACTIVO</v>
          </cell>
          <cell r="E3476" t="str">
            <v>CXR-253</v>
          </cell>
          <cell r="F3476" t="str">
            <v>Loyola  Canchari Jose Gabriel</v>
          </cell>
          <cell r="G3476" t="str">
            <v>Loyola  Canchari Jose Gabriel</v>
          </cell>
          <cell r="H3476" t="str">
            <v>47091016</v>
          </cell>
          <cell r="I3476" t="str">
            <v>BCP</v>
          </cell>
          <cell r="J3476" t="str">
            <v>19175642348010</v>
          </cell>
          <cell r="K3476" t="str">
            <v>DNI</v>
          </cell>
          <cell r="L3476">
            <v>10470910165</v>
          </cell>
          <cell r="M3476" t="str">
            <v>URBANO PARTNER</v>
          </cell>
          <cell r="N3476">
            <v>46154</v>
          </cell>
          <cell r="O3476">
            <v>0</v>
          </cell>
          <cell r="P3476">
            <v>0</v>
          </cell>
        </row>
        <row r="3477">
          <cell r="A3477">
            <v>1864</v>
          </cell>
          <cell r="B3477">
            <v>1864</v>
          </cell>
          <cell r="C3477" t="str">
            <v>CERO MATRICULA</v>
          </cell>
          <cell r="D3477" t="str">
            <v>ACTIVO</v>
          </cell>
          <cell r="E3477" t="str">
            <v>CNI640</v>
          </cell>
          <cell r="F3477" t="str">
            <v>PEÑA GUERRERO JEYMMY ALEXANDER</v>
          </cell>
          <cell r="G3477" t="str">
            <v xml:space="preserve">Angela Rosales Cordova </v>
          </cell>
          <cell r="H3477" t="str">
            <v>73036087</v>
          </cell>
          <cell r="I3477" t="str">
            <v>INTERBANK</v>
          </cell>
          <cell r="J3477" t="str">
            <v>8983323383105</v>
          </cell>
          <cell r="K3477" t="str">
            <v>DNI</v>
          </cell>
          <cell r="L3477">
            <v>10730360873</v>
          </cell>
          <cell r="M3477" t="str">
            <v>AEROLINEAS</v>
          </cell>
          <cell r="N3477">
            <v>45738</v>
          </cell>
          <cell r="O3477">
            <v>0</v>
          </cell>
          <cell r="P3477" t="str">
            <v>COMFORT XL</v>
          </cell>
        </row>
        <row r="3478">
          <cell r="A3478">
            <v>2210</v>
          </cell>
          <cell r="B3478">
            <v>2210</v>
          </cell>
          <cell r="C3478" t="str">
            <v>CERO MATRICULA</v>
          </cell>
          <cell r="D3478" t="str">
            <v>ACTIVO</v>
          </cell>
          <cell r="E3478">
            <v>0</v>
          </cell>
          <cell r="F3478" t="str">
            <v>DEL SOLAR JIMENEZ CARLOS JESUS</v>
          </cell>
          <cell r="G3478" t="str">
            <v>DEL SOLAR JIMENEZ CARLOS JESUS</v>
          </cell>
          <cell r="H3478" t="str">
            <v>10301929</v>
          </cell>
          <cell r="I3478" t="str">
            <v>BCP</v>
          </cell>
          <cell r="J3478" t="str">
            <v>194-00197257-0-48</v>
          </cell>
          <cell r="K3478" t="str">
            <v>DNI</v>
          </cell>
          <cell r="L3478">
            <v>10103019295</v>
          </cell>
          <cell r="M3478" t="str">
            <v>AEROLINEAS</v>
          </cell>
          <cell r="N3478">
            <v>44879</v>
          </cell>
          <cell r="O3478">
            <v>0</v>
          </cell>
          <cell r="P3478" t="str">
            <v>XL</v>
          </cell>
        </row>
        <row r="3479">
          <cell r="A3479">
            <v>7106</v>
          </cell>
          <cell r="B3479">
            <v>7106</v>
          </cell>
          <cell r="C3479" t="str">
            <v>CERO MATRICULA</v>
          </cell>
          <cell r="D3479" t="str">
            <v>ACTIVO</v>
          </cell>
          <cell r="E3479" t="str">
            <v>BCJ418</v>
          </cell>
          <cell r="F3479" t="str">
            <v>BELLIDO GUERRA LUIS</v>
          </cell>
          <cell r="G3479" t="str">
            <v>PEÑAFIEL VILCAS KATTY AYDEE</v>
          </cell>
          <cell r="H3479" t="str">
            <v>70222500</v>
          </cell>
          <cell r="I3479" t="str">
            <v>BCP</v>
          </cell>
          <cell r="J3479" t="str">
            <v>191-90276012-0-89</v>
          </cell>
          <cell r="K3479" t="str">
            <v>DNI</v>
          </cell>
          <cell r="L3479">
            <v>10702225006</v>
          </cell>
          <cell r="M3479" t="str">
            <v>URBANO PARTNER</v>
          </cell>
          <cell r="N3479">
            <v>44965</v>
          </cell>
          <cell r="O3479">
            <v>0</v>
          </cell>
          <cell r="P3479" t="str">
            <v>LITE</v>
          </cell>
        </row>
        <row r="3480">
          <cell r="A3480">
            <v>40</v>
          </cell>
          <cell r="B3480">
            <v>40</v>
          </cell>
          <cell r="C3480" t="str">
            <v>CERO MATRICULA</v>
          </cell>
          <cell r="D3480" t="str">
            <v>ACTIVO</v>
          </cell>
          <cell r="E3480" t="str">
            <v>MOVIL CONTINGENCIA</v>
          </cell>
          <cell r="F3480" t="str">
            <v>MOVIL CONTINGENCIA</v>
          </cell>
          <cell r="G3480" t="str">
            <v>MOVIL CONTINGENCIA</v>
          </cell>
          <cell r="H3480" t="str">
            <v>MOVIL CONTINGENCIA</v>
          </cell>
          <cell r="I3480" t="str">
            <v>MOVIL CONTINGENCIA</v>
          </cell>
          <cell r="J3480" t="str">
            <v>MOVIL CONTINGENCIA</v>
          </cell>
          <cell r="K3480" t="str">
            <v>MOVIL CONTINGENCIA</v>
          </cell>
          <cell r="L3480" t="str">
            <v>MOVIL CONTINGENCIA</v>
          </cell>
          <cell r="M3480" t="str">
            <v>MOVIL CONTINGENCIA</v>
          </cell>
          <cell r="N3480">
            <v>46153</v>
          </cell>
          <cell r="O3480">
            <v>0</v>
          </cell>
          <cell r="P3480">
            <v>0</v>
          </cell>
        </row>
        <row r="3481">
          <cell r="A3481">
            <v>4422</v>
          </cell>
          <cell r="B3481">
            <v>4422</v>
          </cell>
          <cell r="C3481" t="str">
            <v>CERO MATRICULA</v>
          </cell>
          <cell r="D3481" t="str">
            <v>ACTIVO</v>
          </cell>
          <cell r="E3481" t="str">
            <v>Z6v443</v>
          </cell>
          <cell r="F3481" t="str">
            <v>Reynoso marca Anthony</v>
          </cell>
          <cell r="G3481" t="str">
            <v>Reynoso marca Anthony</v>
          </cell>
          <cell r="H3481" t="str">
            <v>74722449</v>
          </cell>
          <cell r="I3481" t="str">
            <v>BCP</v>
          </cell>
          <cell r="J3481" t="str">
            <v>19198300177006</v>
          </cell>
          <cell r="K3481" t="str">
            <v>DNI</v>
          </cell>
          <cell r="L3481">
            <v>10747224493</v>
          </cell>
          <cell r="M3481" t="str">
            <v>AEROLINEAS</v>
          </cell>
          <cell r="N3481">
            <v>46164</v>
          </cell>
          <cell r="O3481">
            <v>0</v>
          </cell>
          <cell r="P3481">
            <v>0</v>
          </cell>
        </row>
        <row r="3482">
          <cell r="A3482">
            <v>4432</v>
          </cell>
          <cell r="B3482">
            <v>4432</v>
          </cell>
          <cell r="C3482" t="str">
            <v>CERO MATRICULA</v>
          </cell>
          <cell r="D3482" t="str">
            <v>ACTIVO</v>
          </cell>
          <cell r="E3482" t="str">
            <v>CYJ514</v>
          </cell>
          <cell r="F3482" t="str">
            <v>Choque Manchego Jesus Alexander</v>
          </cell>
          <cell r="G3482" t="str">
            <v>Choque Manchego Jesus Alexander</v>
          </cell>
          <cell r="H3482" t="str">
            <v>47156986</v>
          </cell>
          <cell r="I3482" t="str">
            <v>BCP</v>
          </cell>
          <cell r="J3482" t="str">
            <v>19415359372015</v>
          </cell>
          <cell r="K3482" t="str">
            <v>DNI</v>
          </cell>
          <cell r="L3482">
            <v>10471569866</v>
          </cell>
          <cell r="M3482" t="str">
            <v>URBANO PARTNER</v>
          </cell>
          <cell r="N3482">
            <v>46161</v>
          </cell>
          <cell r="O3482">
            <v>0</v>
          </cell>
          <cell r="P3482">
            <v>0</v>
          </cell>
        </row>
        <row r="3483">
          <cell r="A3483">
            <v>4434</v>
          </cell>
          <cell r="B3483">
            <v>4434</v>
          </cell>
          <cell r="C3483" t="str">
            <v>CERO MATRICULA</v>
          </cell>
          <cell r="D3483" t="str">
            <v>ACTIVO</v>
          </cell>
          <cell r="E3483" t="str">
            <v>CDX270</v>
          </cell>
          <cell r="F3483" t="str">
            <v>Torres Paez Fernando</v>
          </cell>
          <cell r="G3483" t="str">
            <v>Torres Paez Fernando</v>
          </cell>
          <cell r="H3483" t="str">
            <v>002427886</v>
          </cell>
          <cell r="I3483" t="str">
            <v>BCP</v>
          </cell>
          <cell r="J3483" t="str">
            <v>19200929415001</v>
          </cell>
          <cell r="K3483" t="str">
            <v>CARNET DE EXTRANJERÍA</v>
          </cell>
          <cell r="L3483">
            <v>15605218447</v>
          </cell>
          <cell r="M3483" t="str">
            <v>URBANO PARTNER</v>
          </cell>
          <cell r="N3483">
            <v>46164</v>
          </cell>
          <cell r="O3483">
            <v>0</v>
          </cell>
          <cell r="P3483">
            <v>0</v>
          </cell>
        </row>
        <row r="3484">
          <cell r="A3484">
            <v>4435</v>
          </cell>
          <cell r="B3484">
            <v>4435</v>
          </cell>
          <cell r="C3484" t="str">
            <v>CERO MATRICULA</v>
          </cell>
          <cell r="D3484" t="str">
            <v>ACTIVO</v>
          </cell>
          <cell r="E3484" t="str">
            <v>CYF464</v>
          </cell>
          <cell r="F3484" t="str">
            <v>Velarde Pineda Pierina Elizabeth</v>
          </cell>
          <cell r="G3484" t="str">
            <v>Solis Salguero Juan Diego</v>
          </cell>
          <cell r="H3484" t="str">
            <v>43471931</v>
          </cell>
          <cell r="I3484" t="str">
            <v>BCP</v>
          </cell>
          <cell r="J3484" t="str">
            <v>19278394233092</v>
          </cell>
          <cell r="K3484" t="str">
            <v>DNI</v>
          </cell>
          <cell r="L3484">
            <v>10434719319</v>
          </cell>
          <cell r="M3484" t="str">
            <v>AEROLINEAS</v>
          </cell>
          <cell r="N3484">
            <v>46164</v>
          </cell>
          <cell r="O3484">
            <v>0</v>
          </cell>
          <cell r="P3484">
            <v>0</v>
          </cell>
        </row>
        <row r="3485">
          <cell r="A3485">
            <v>4436</v>
          </cell>
          <cell r="B3485">
            <v>4436</v>
          </cell>
          <cell r="C3485" t="str">
            <v>CERO MATRICULA</v>
          </cell>
          <cell r="D3485" t="str">
            <v>ACTIVO</v>
          </cell>
          <cell r="E3485" t="str">
            <v>BDK449</v>
          </cell>
          <cell r="F3485" t="str">
            <v>Conde Alzamora Lincoln Max</v>
          </cell>
          <cell r="G3485" t="str">
            <v>Conde Alzamora Lincoln Max</v>
          </cell>
          <cell r="H3485" t="str">
            <v>42460107</v>
          </cell>
          <cell r="I3485" t="str">
            <v>INTERBANK</v>
          </cell>
          <cell r="J3485" t="str">
            <v>4363112207704</v>
          </cell>
          <cell r="K3485" t="str">
            <v>DNI</v>
          </cell>
          <cell r="L3485">
            <v>10424601077</v>
          </cell>
          <cell r="M3485" t="str">
            <v>AEROLINEAS</v>
          </cell>
          <cell r="N3485">
            <v>46164</v>
          </cell>
          <cell r="O3485">
            <v>0</v>
          </cell>
          <cell r="P3485">
            <v>0</v>
          </cell>
        </row>
        <row r="3486">
          <cell r="A3486">
            <v>4437</v>
          </cell>
          <cell r="B3486">
            <v>4437</v>
          </cell>
          <cell r="C3486" t="str">
            <v>CERO MATRICULA</v>
          </cell>
          <cell r="D3486" t="str">
            <v>ACTIVO</v>
          </cell>
          <cell r="E3486" t="str">
            <v>BBW042</v>
          </cell>
          <cell r="F3486" t="str">
            <v>Villaran Zegarra Jorge eduardo</v>
          </cell>
          <cell r="G3486" t="str">
            <v>Villaran Zegarra Jorge eduardo</v>
          </cell>
          <cell r="H3486" t="str">
            <v>25799642</v>
          </cell>
          <cell r="I3486" t="str">
            <v>BCP</v>
          </cell>
          <cell r="J3486" t="str">
            <v>19211055589060</v>
          </cell>
          <cell r="K3486" t="str">
            <v>DNI</v>
          </cell>
          <cell r="L3486">
            <v>10257996421</v>
          </cell>
          <cell r="M3486" t="str">
            <v>AEROLINEAS</v>
          </cell>
          <cell r="N3486">
            <v>46164</v>
          </cell>
          <cell r="O3486">
            <v>0</v>
          </cell>
          <cell r="P3486">
            <v>0</v>
          </cell>
        </row>
        <row r="3487">
          <cell r="A3487">
            <v>4438</v>
          </cell>
          <cell r="B3487">
            <v>4438</v>
          </cell>
          <cell r="C3487" t="str">
            <v>CERO MATRICULA</v>
          </cell>
          <cell r="D3487" t="str">
            <v>ACTIVO</v>
          </cell>
          <cell r="E3487" t="str">
            <v>BGW375</v>
          </cell>
          <cell r="F3487" t="str">
            <v>Morales Ponce de León Carlos Ernesto Jesús</v>
          </cell>
          <cell r="G3487" t="str">
            <v>Morales Ponce de León Carlos Ernesto Jesús</v>
          </cell>
          <cell r="H3487" t="str">
            <v>07961092</v>
          </cell>
          <cell r="I3487" t="str">
            <v>BCP</v>
          </cell>
          <cell r="J3487" t="str">
            <v>44595048484096</v>
          </cell>
          <cell r="K3487" t="str">
            <v>DNI</v>
          </cell>
          <cell r="L3487">
            <v>10079610921</v>
          </cell>
          <cell r="M3487" t="str">
            <v>AEROLINEAS</v>
          </cell>
          <cell r="N3487">
            <v>46164</v>
          </cell>
          <cell r="O3487">
            <v>0</v>
          </cell>
          <cell r="P3487">
            <v>0</v>
          </cell>
        </row>
        <row r="3488">
          <cell r="A3488">
            <v>4440</v>
          </cell>
          <cell r="B3488">
            <v>4440</v>
          </cell>
          <cell r="C3488" t="str">
            <v>CERO MATRICULA</v>
          </cell>
          <cell r="D3488" t="str">
            <v>ACTIVO</v>
          </cell>
          <cell r="E3488" t="str">
            <v>CFJ 680</v>
          </cell>
          <cell r="F3488" t="str">
            <v>Nieto Reyes Jose Antonio</v>
          </cell>
          <cell r="G3488" t="str">
            <v>Nieto Reyes Jose Antonio</v>
          </cell>
          <cell r="H3488" t="str">
            <v>006818661</v>
          </cell>
          <cell r="I3488" t="str">
            <v>BCP</v>
          </cell>
          <cell r="J3488" t="str">
            <v>19296211150078</v>
          </cell>
          <cell r="K3488" t="str">
            <v>CARNET DE EXTRANJERÍA</v>
          </cell>
          <cell r="L3488">
            <v>15612355034</v>
          </cell>
          <cell r="M3488" t="str">
            <v>AEROLINEAS</v>
          </cell>
          <cell r="N3488">
            <v>46164</v>
          </cell>
          <cell r="O3488">
            <v>0</v>
          </cell>
          <cell r="P3488">
            <v>0</v>
          </cell>
        </row>
        <row r="3489">
          <cell r="A3489">
            <v>4441</v>
          </cell>
          <cell r="B3489">
            <v>4441</v>
          </cell>
          <cell r="C3489" t="str">
            <v>CERO MATRICULA</v>
          </cell>
          <cell r="D3489" t="str">
            <v>ACTIVO</v>
          </cell>
          <cell r="E3489" t="str">
            <v>CLT002</v>
          </cell>
          <cell r="F3489" t="str">
            <v>Cobian Murillo Junior Luis</v>
          </cell>
          <cell r="G3489" t="str">
            <v>Cobian Murillo Junior Luis</v>
          </cell>
          <cell r="H3489" t="str">
            <v>44004097</v>
          </cell>
          <cell r="I3489" t="str">
            <v>BCP</v>
          </cell>
          <cell r="J3489" t="str">
            <v>19103208728038</v>
          </cell>
          <cell r="K3489" t="str">
            <v>DNI</v>
          </cell>
          <cell r="L3489">
            <v>10440040972</v>
          </cell>
          <cell r="M3489" t="str">
            <v>AEROLINEAS</v>
          </cell>
          <cell r="N3489">
            <v>46164</v>
          </cell>
          <cell r="O3489">
            <v>0</v>
          </cell>
          <cell r="P3489">
            <v>0</v>
          </cell>
        </row>
        <row r="3490">
          <cell r="A3490">
            <v>4442</v>
          </cell>
          <cell r="B3490">
            <v>4442</v>
          </cell>
          <cell r="C3490" t="str">
            <v>CERO MATRICULA</v>
          </cell>
          <cell r="D3490" t="str">
            <v>ACTIVO</v>
          </cell>
          <cell r="E3490" t="str">
            <v>CFI693</v>
          </cell>
          <cell r="F3490" t="str">
            <v>Campos Segovia Marcos Martin</v>
          </cell>
          <cell r="G3490" t="str">
            <v>Campos Segovia Marcos Martin</v>
          </cell>
          <cell r="H3490" t="str">
            <v>003056707</v>
          </cell>
          <cell r="I3490" t="str">
            <v>BCP</v>
          </cell>
          <cell r="J3490" t="str">
            <v>19305491705076</v>
          </cell>
          <cell r="K3490" t="str">
            <v>CARNET DE EXTRANJERÍA</v>
          </cell>
          <cell r="L3490">
            <v>15604199171</v>
          </cell>
          <cell r="M3490" t="str">
            <v>MEMBRESÍA DIURNA</v>
          </cell>
          <cell r="N3490">
            <v>46164</v>
          </cell>
          <cell r="O3490">
            <v>315</v>
          </cell>
          <cell r="P3490" t="str">
            <v>LITE</v>
          </cell>
        </row>
        <row r="3491">
          <cell r="A3491">
            <v>4443</v>
          </cell>
          <cell r="B3491">
            <v>4443</v>
          </cell>
          <cell r="C3491" t="str">
            <v>CERO MATRICULA</v>
          </cell>
          <cell r="D3491" t="str">
            <v>ACTIVO</v>
          </cell>
          <cell r="E3491" t="str">
            <v>CYH155</v>
          </cell>
          <cell r="F3491" t="str">
            <v>Conde Breña Jhon Petter</v>
          </cell>
          <cell r="G3491" t="str">
            <v>Conde Breña Jhon Petter</v>
          </cell>
          <cell r="H3491" t="str">
            <v>08482381</v>
          </cell>
          <cell r="I3491" t="str">
            <v>BCP</v>
          </cell>
          <cell r="J3491" t="str">
            <v>19171860864029</v>
          </cell>
          <cell r="K3491" t="str">
            <v>DNI</v>
          </cell>
          <cell r="L3491">
            <v>10084823819</v>
          </cell>
          <cell r="M3491" t="str">
            <v>MEMBRESÍA DIURNA</v>
          </cell>
          <cell r="N3491">
            <v>46164</v>
          </cell>
          <cell r="O3491">
            <v>285</v>
          </cell>
          <cell r="P3491" t="str">
            <v>COMFORT XL</v>
          </cell>
        </row>
        <row r="3492">
          <cell r="A3492">
            <v>4446</v>
          </cell>
          <cell r="B3492">
            <v>4446</v>
          </cell>
          <cell r="C3492" t="str">
            <v>CERO MATRICULA</v>
          </cell>
          <cell r="D3492" t="str">
            <v>ACTIVO</v>
          </cell>
          <cell r="E3492" t="str">
            <v>CME454</v>
          </cell>
          <cell r="F3492" t="str">
            <v>De La Rosa Romero Gianfranco Martín</v>
          </cell>
          <cell r="G3492" t="str">
            <v>De La Rosa Romero Gianfranco Martín</v>
          </cell>
          <cell r="H3492" t="str">
            <v>47066766</v>
          </cell>
          <cell r="I3492" t="str">
            <v>INTERBANK</v>
          </cell>
          <cell r="J3492" t="str">
            <v>4873110152621</v>
          </cell>
          <cell r="K3492" t="str">
            <v>DNI</v>
          </cell>
          <cell r="L3492">
            <v>10470667660</v>
          </cell>
          <cell r="M3492" t="str">
            <v>URBANO PARTNER</v>
          </cell>
          <cell r="N3492">
            <v>46161</v>
          </cell>
          <cell r="O3492">
            <v>0</v>
          </cell>
          <cell r="P3492">
            <v>0</v>
          </cell>
        </row>
        <row r="3493">
          <cell r="A3493">
            <v>4447</v>
          </cell>
          <cell r="B3493">
            <v>4447</v>
          </cell>
          <cell r="C3493" t="str">
            <v>CERO MATRICULA</v>
          </cell>
          <cell r="D3493" t="str">
            <v>ACTIVO</v>
          </cell>
          <cell r="E3493" t="str">
            <v>CXT678</v>
          </cell>
          <cell r="F3493" t="str">
            <v xml:space="preserve">Ojeda Mogollon Pedro edson </v>
          </cell>
          <cell r="G3493" t="str">
            <v xml:space="preserve">Ojeda Mogollon Pedro edson </v>
          </cell>
          <cell r="H3493" t="str">
            <v>41994421</v>
          </cell>
          <cell r="I3493" t="str">
            <v>INTERBANK</v>
          </cell>
          <cell r="J3493" t="str">
            <v>3783369766901</v>
          </cell>
          <cell r="K3493" t="str">
            <v>DNI</v>
          </cell>
          <cell r="L3493">
            <v>10419944217</v>
          </cell>
          <cell r="M3493" t="str">
            <v>URBANO PARTNER</v>
          </cell>
          <cell r="N3493">
            <v>46161</v>
          </cell>
          <cell r="O3493">
            <v>0</v>
          </cell>
          <cell r="P3493">
            <v>0</v>
          </cell>
        </row>
        <row r="3494">
          <cell r="A3494">
            <v>4448</v>
          </cell>
          <cell r="B3494">
            <v>4448</v>
          </cell>
          <cell r="C3494" t="str">
            <v>CERO MATRICULA</v>
          </cell>
          <cell r="D3494" t="str">
            <v>ACTIVO</v>
          </cell>
          <cell r="E3494" t="str">
            <v>CYM357</v>
          </cell>
          <cell r="F3494" t="str">
            <v>Vargas Rojas Asunción Alberto</v>
          </cell>
          <cell r="G3494" t="str">
            <v>Vargas Rojas Oswaldo Gianmarco</v>
          </cell>
          <cell r="H3494" t="str">
            <v>70094308</v>
          </cell>
          <cell r="I3494" t="str">
            <v>BBVA</v>
          </cell>
          <cell r="J3494" t="str">
            <v>001101190200437184</v>
          </cell>
          <cell r="K3494" t="str">
            <v>DNI</v>
          </cell>
          <cell r="L3494">
            <v>10700943084</v>
          </cell>
          <cell r="M3494" t="str">
            <v>URBANO PARTNER</v>
          </cell>
          <cell r="N3494">
            <v>46161</v>
          </cell>
          <cell r="O3494">
            <v>0</v>
          </cell>
          <cell r="P3494">
            <v>0</v>
          </cell>
        </row>
        <row r="3495">
          <cell r="A3495">
            <v>4449</v>
          </cell>
          <cell r="B3495">
            <v>4449</v>
          </cell>
          <cell r="C3495" t="str">
            <v>CERO MATRICULA</v>
          </cell>
          <cell r="D3495" t="str">
            <v>ACTIVO</v>
          </cell>
          <cell r="E3495" t="str">
            <v>VDO536</v>
          </cell>
          <cell r="F3495" t="str">
            <v>Caldera Urbina Rafael</v>
          </cell>
          <cell r="G3495" t="str">
            <v>Caldera Urbina Rafael</v>
          </cell>
          <cell r="H3495" t="str">
            <v>004465334</v>
          </cell>
          <cell r="I3495" t="str">
            <v>BBVA</v>
          </cell>
          <cell r="J3495" t="str">
            <v>001107130200243486</v>
          </cell>
          <cell r="K3495" t="str">
            <v>CARNET DE EXTRANJERÍA</v>
          </cell>
          <cell r="L3495">
            <v>15611714189</v>
          </cell>
          <cell r="M3495" t="str">
            <v>URBANO PARTNER</v>
          </cell>
          <cell r="N3495">
            <v>46161</v>
          </cell>
          <cell r="O3495">
            <v>0</v>
          </cell>
          <cell r="P3495">
            <v>0</v>
          </cell>
        </row>
        <row r="3496">
          <cell r="A3496">
            <v>4450</v>
          </cell>
          <cell r="B3496">
            <v>4450</v>
          </cell>
          <cell r="C3496" t="str">
            <v>CERO MATRICULA</v>
          </cell>
          <cell r="D3496" t="str">
            <v>ACTIVO</v>
          </cell>
          <cell r="E3496" t="str">
            <v>CYE396</v>
          </cell>
          <cell r="F3496" t="str">
            <v xml:space="preserve">Tirado Rocha Miguel Angel </v>
          </cell>
          <cell r="G3496" t="str">
            <v xml:space="preserve">Tirado Rocha Miguel Angel </v>
          </cell>
          <cell r="H3496" t="str">
            <v>40870555</v>
          </cell>
          <cell r="I3496" t="str">
            <v>INTERBANK</v>
          </cell>
          <cell r="J3496" t="str">
            <v>8983405774676</v>
          </cell>
          <cell r="K3496" t="str">
            <v>DNI</v>
          </cell>
          <cell r="L3496">
            <v>10408705555</v>
          </cell>
          <cell r="M3496" t="str">
            <v>URBANO PARTNER</v>
          </cell>
          <cell r="N3496">
            <v>46161</v>
          </cell>
          <cell r="O3496">
            <v>0</v>
          </cell>
          <cell r="P3496">
            <v>0</v>
          </cell>
        </row>
        <row r="3497">
          <cell r="A3497">
            <v>4220</v>
          </cell>
          <cell r="B3497">
            <v>4220</v>
          </cell>
          <cell r="C3497" t="str">
            <v>CERO MATRICULA</v>
          </cell>
          <cell r="D3497" t="str">
            <v>ACTIVO</v>
          </cell>
          <cell r="E3497" t="str">
            <v>FLOTA PROPIA</v>
          </cell>
          <cell r="F3497" t="str">
            <v>FLOTA PROPIA</v>
          </cell>
          <cell r="G3497" t="str">
            <v>FLOTA PROPIA</v>
          </cell>
          <cell r="H3497" t="str">
            <v>FLOTA PROPIA</v>
          </cell>
          <cell r="I3497" t="str">
            <v>FLOTA PROPIA</v>
          </cell>
          <cell r="J3497" t="str">
            <v>FLOTA PROPIA</v>
          </cell>
          <cell r="K3497" t="str">
            <v>FLOTA PROPIA</v>
          </cell>
          <cell r="L3497" t="str">
            <v>FLOTA PROPIA</v>
          </cell>
          <cell r="M3497" t="str">
            <v>FLOTA PROPIA</v>
          </cell>
          <cell r="N3497">
            <v>46156</v>
          </cell>
          <cell r="O3497">
            <v>0</v>
          </cell>
          <cell r="P3497" t="str">
            <v>VAN</v>
          </cell>
        </row>
        <row r="3498">
          <cell r="A3498">
            <v>4221</v>
          </cell>
          <cell r="B3498">
            <v>4221</v>
          </cell>
          <cell r="C3498" t="str">
            <v>CERO MATRICULA</v>
          </cell>
          <cell r="D3498" t="str">
            <v>ACTIVO</v>
          </cell>
          <cell r="E3498" t="str">
            <v>FLOTA PROPIA</v>
          </cell>
          <cell r="F3498" t="str">
            <v>FLOTA PROPIA</v>
          </cell>
          <cell r="G3498" t="str">
            <v>FLOTA PROPIA</v>
          </cell>
          <cell r="H3498" t="str">
            <v>FLOTA PROPIA</v>
          </cell>
          <cell r="I3498" t="str">
            <v>FLOTA PROPIA</v>
          </cell>
          <cell r="J3498" t="str">
            <v>FLOTA PROPIA</v>
          </cell>
          <cell r="K3498" t="str">
            <v>FLOTA PROPIA</v>
          </cell>
          <cell r="L3498" t="str">
            <v>FLOTA PROPIA</v>
          </cell>
          <cell r="M3498" t="str">
            <v>FLOTA PROPIA</v>
          </cell>
          <cell r="N3498">
            <v>46156</v>
          </cell>
          <cell r="O3498">
            <v>0</v>
          </cell>
          <cell r="P3498" t="str">
            <v>VAN</v>
          </cell>
        </row>
        <row r="3499">
          <cell r="A3499">
            <v>286</v>
          </cell>
          <cell r="B3499">
            <v>286</v>
          </cell>
          <cell r="C3499" t="str">
            <v>CERO MATRICULA</v>
          </cell>
          <cell r="D3499" t="str">
            <v>ACTIVO</v>
          </cell>
          <cell r="E3499" t="str">
            <v>BWR431</v>
          </cell>
          <cell r="F3499" t="str">
            <v>Camarena Bullón Mery Luz</v>
          </cell>
          <cell r="G3499" t="str">
            <v>Franco Camarena Estefani Alexnadra</v>
          </cell>
          <cell r="H3499" t="str">
            <v>76521411</v>
          </cell>
          <cell r="I3499" t="str">
            <v>BCP</v>
          </cell>
          <cell r="J3499" t="str">
            <v>19194368958077</v>
          </cell>
          <cell r="K3499" t="str">
            <v>DNI</v>
          </cell>
          <cell r="L3499">
            <v>10765214110</v>
          </cell>
          <cell r="M3499" t="str">
            <v>MEMBRESÍA DIURNA</v>
          </cell>
          <cell r="N3499">
            <v>46171</v>
          </cell>
          <cell r="O3499">
            <v>285</v>
          </cell>
          <cell r="P3499" t="str">
            <v>COMFORT XL</v>
          </cell>
        </row>
        <row r="3500">
          <cell r="A3500">
            <v>4407</v>
          </cell>
          <cell r="B3500">
            <v>4407</v>
          </cell>
          <cell r="C3500" t="str">
            <v>CERO MATRICULA</v>
          </cell>
          <cell r="D3500" t="str">
            <v>ACTIVO</v>
          </cell>
          <cell r="E3500" t="str">
            <v>Bkr497</v>
          </cell>
          <cell r="F3500" t="str">
            <v xml:space="preserve">Muñoz Infante Sebastián </v>
          </cell>
          <cell r="G3500" t="str">
            <v xml:space="preserve">Muñoz Infante Sebastián </v>
          </cell>
          <cell r="H3500" t="str">
            <v>005240372</v>
          </cell>
          <cell r="I3500" t="str">
            <v>INTERBANK</v>
          </cell>
          <cell r="J3500" t="str">
            <v>3783451489070</v>
          </cell>
          <cell r="K3500" t="str">
            <v>CE</v>
          </cell>
          <cell r="L3500">
            <v>15610007080</v>
          </cell>
          <cell r="M3500" t="str">
            <v>URBANO PARTNER</v>
          </cell>
          <cell r="N3500">
            <v>46168</v>
          </cell>
          <cell r="O3500">
            <v>0</v>
          </cell>
          <cell r="P3500">
            <v>0</v>
          </cell>
        </row>
        <row r="3501">
          <cell r="A3501">
            <v>4439</v>
          </cell>
          <cell r="B3501">
            <v>4439</v>
          </cell>
          <cell r="C3501" t="str">
            <v>CERO MATRICULA</v>
          </cell>
          <cell r="D3501" t="str">
            <v>ACTIVO</v>
          </cell>
          <cell r="E3501" t="str">
            <v>CBJ615</v>
          </cell>
          <cell r="F3501" t="str">
            <v>Hidalgo Teran Jose Alexander</v>
          </cell>
          <cell r="G3501" t="str">
            <v>Hidalgo Teran Jose Alexander</v>
          </cell>
          <cell r="H3501" t="str">
            <v>008162537</v>
          </cell>
          <cell r="I3501" t="str">
            <v>BCP</v>
          </cell>
          <cell r="J3501" t="str">
            <v>19197162110044</v>
          </cell>
          <cell r="K3501" t="str">
            <v>CE</v>
          </cell>
          <cell r="L3501">
            <v>15615728869</v>
          </cell>
          <cell r="M3501" t="str">
            <v>AEROLINEAS</v>
          </cell>
          <cell r="N3501">
            <v>46171</v>
          </cell>
          <cell r="O3501">
            <v>0</v>
          </cell>
          <cell r="P3501">
            <v>0</v>
          </cell>
        </row>
        <row r="3502">
          <cell r="A3502">
            <v>4452</v>
          </cell>
          <cell r="B3502">
            <v>4452</v>
          </cell>
          <cell r="C3502" t="str">
            <v>CERO MATRICULA</v>
          </cell>
          <cell r="D3502" t="str">
            <v>ACTIVO</v>
          </cell>
          <cell r="E3502" t="str">
            <v>H2W123</v>
          </cell>
          <cell r="F3502" t="str">
            <v>Ugueto Burguillo Argenis Leonardo</v>
          </cell>
          <cell r="G3502" t="str">
            <v>Ugueto Burguillo Argenis Leonardo</v>
          </cell>
          <cell r="H3502" t="str">
            <v>003356177</v>
          </cell>
          <cell r="I3502" t="str">
            <v>INTERBANK</v>
          </cell>
          <cell r="J3502" t="str">
            <v>0423368985547</v>
          </cell>
          <cell r="K3502" t="str">
            <v>CE</v>
          </cell>
          <cell r="L3502">
            <v>15604157011</v>
          </cell>
          <cell r="M3502" t="str">
            <v>AEROLINEAS</v>
          </cell>
          <cell r="N3502">
            <v>46171</v>
          </cell>
          <cell r="O3502">
            <v>0</v>
          </cell>
          <cell r="P3502">
            <v>0</v>
          </cell>
        </row>
        <row r="3503">
          <cell r="A3503">
            <v>4453</v>
          </cell>
          <cell r="B3503">
            <v>4453</v>
          </cell>
          <cell r="C3503" t="str">
            <v>CERO MATRICULA</v>
          </cell>
          <cell r="D3503" t="str">
            <v>ACTIVO</v>
          </cell>
          <cell r="E3503" t="str">
            <v>CUW-505</v>
          </cell>
          <cell r="F3503" t="str">
            <v>Sánchez Ramos Ana María</v>
          </cell>
          <cell r="G3503" t="str">
            <v>Sánchez Ramos Ana María</v>
          </cell>
          <cell r="H3503" t="str">
            <v>25479834</v>
          </cell>
          <cell r="I3503" t="str">
            <v>BCP</v>
          </cell>
          <cell r="J3503" t="str">
            <v>19221552309008</v>
          </cell>
          <cell r="K3503" t="str">
            <v>DNI</v>
          </cell>
          <cell r="L3503">
            <v>10254798342</v>
          </cell>
          <cell r="M3503" t="str">
            <v>AEROLINEAS</v>
          </cell>
          <cell r="N3503">
            <v>46171</v>
          </cell>
          <cell r="O3503">
            <v>0</v>
          </cell>
          <cell r="P3503">
            <v>0</v>
          </cell>
        </row>
        <row r="3504">
          <cell r="A3504">
            <v>4455</v>
          </cell>
          <cell r="B3504">
            <v>4455</v>
          </cell>
          <cell r="C3504" t="str">
            <v>CERO MATRICULA</v>
          </cell>
          <cell r="D3504" t="str">
            <v>ACTIVO</v>
          </cell>
          <cell r="E3504" t="str">
            <v>CRI219</v>
          </cell>
          <cell r="F3504" t="str">
            <v>Degregori Ordinola Rubén Dario</v>
          </cell>
          <cell r="G3504" t="str">
            <v>Degregori Ordinola Rubén Dario</v>
          </cell>
          <cell r="H3504" t="str">
            <v>42273787</v>
          </cell>
          <cell r="I3504" t="str">
            <v>BCP</v>
          </cell>
          <cell r="J3504" t="str">
            <v>19299141716046</v>
          </cell>
          <cell r="K3504" t="str">
            <v>DNI</v>
          </cell>
          <cell r="L3504">
            <v>10422737877</v>
          </cell>
          <cell r="M3504" t="str">
            <v>MEMBRESÍA DIURNA</v>
          </cell>
          <cell r="N3504">
            <v>46171</v>
          </cell>
          <cell r="O3504">
            <v>285</v>
          </cell>
          <cell r="P3504" t="str">
            <v>COMFORT XL</v>
          </cell>
        </row>
        <row r="3505">
          <cell r="A3505">
            <v>4456</v>
          </cell>
          <cell r="B3505">
            <v>4456</v>
          </cell>
          <cell r="C3505" t="str">
            <v>CERO MATRICULA</v>
          </cell>
          <cell r="D3505" t="str">
            <v>ACTIVO</v>
          </cell>
          <cell r="E3505" t="str">
            <v>Cwv083</v>
          </cell>
          <cell r="F3505" t="str">
            <v>De abreu Ribeiro Claret maria</v>
          </cell>
          <cell r="G3505" t="str">
            <v>De abreu Ribeiro Claret maria</v>
          </cell>
          <cell r="H3505" t="str">
            <v>007120586</v>
          </cell>
          <cell r="I3505" t="str">
            <v>BBVA</v>
          </cell>
          <cell r="J3505" t="str">
            <v>001107160200205785</v>
          </cell>
          <cell r="K3505" t="str">
            <v>CE</v>
          </cell>
          <cell r="L3505">
            <v>15615346591</v>
          </cell>
          <cell r="M3505" t="str">
            <v>MEMBRESÍA DIURNA</v>
          </cell>
          <cell r="N3505">
            <v>46171</v>
          </cell>
          <cell r="O3505">
            <v>315</v>
          </cell>
          <cell r="P3505" t="str">
            <v>LITE</v>
          </cell>
        </row>
        <row r="3506">
          <cell r="A3506">
            <v>4460</v>
          </cell>
          <cell r="B3506">
            <v>4460</v>
          </cell>
          <cell r="C3506" t="str">
            <v>CERO MATRICULA</v>
          </cell>
          <cell r="D3506" t="str">
            <v>ACTIVO</v>
          </cell>
          <cell r="E3506" t="str">
            <v>CXU137</v>
          </cell>
          <cell r="F3506" t="str">
            <v>Rojas Landeo Carlos Alberto</v>
          </cell>
          <cell r="G3506" t="str">
            <v>Rojas Landeo Carlos Alberto</v>
          </cell>
          <cell r="H3506" t="str">
            <v>40965179</v>
          </cell>
          <cell r="I3506" t="str">
            <v>BBVA</v>
          </cell>
          <cell r="J3506" t="str">
            <v>001108140216863165</v>
          </cell>
          <cell r="K3506" t="str">
            <v>DNI</v>
          </cell>
          <cell r="L3506">
            <v>10409651793</v>
          </cell>
          <cell r="M3506" t="str">
            <v>URBANO PARTNER</v>
          </cell>
          <cell r="N3506">
            <v>46168</v>
          </cell>
          <cell r="O3506">
            <v>0</v>
          </cell>
          <cell r="P3506">
            <v>0</v>
          </cell>
        </row>
        <row r="3507">
          <cell r="A3507">
            <v>4461</v>
          </cell>
          <cell r="B3507">
            <v>4461</v>
          </cell>
          <cell r="C3507" t="str">
            <v>CERO MATRICULA</v>
          </cell>
          <cell r="D3507" t="str">
            <v>ACTIVO</v>
          </cell>
          <cell r="E3507" t="str">
            <v>CUH631</v>
          </cell>
          <cell r="F3507" t="str">
            <v>Shapiama Peña Tito</v>
          </cell>
          <cell r="G3507" t="str">
            <v>Shapiama Peña Tito</v>
          </cell>
          <cell r="H3507" t="str">
            <v>09547735</v>
          </cell>
          <cell r="I3507" t="str">
            <v>BCP</v>
          </cell>
          <cell r="J3507" t="str">
            <v>19126227679003</v>
          </cell>
          <cell r="K3507" t="str">
            <v>DNI</v>
          </cell>
          <cell r="L3507">
            <v>10095477351</v>
          </cell>
          <cell r="M3507" t="str">
            <v>URBANO PARTNER</v>
          </cell>
          <cell r="N3507">
            <v>46168</v>
          </cell>
          <cell r="O3507">
            <v>0</v>
          </cell>
          <cell r="P3507">
            <v>0</v>
          </cell>
        </row>
        <row r="3508">
          <cell r="A3508">
            <v>9063</v>
          </cell>
          <cell r="B3508">
            <v>9063</v>
          </cell>
          <cell r="C3508" t="str">
            <v>CERO MATRICULA</v>
          </cell>
          <cell r="D3508" t="str">
            <v>ACTIVO</v>
          </cell>
          <cell r="E3508" t="str">
            <v>CKI005</v>
          </cell>
          <cell r="F3508" t="str">
            <v>Lopez Perez Segundo pablo</v>
          </cell>
          <cell r="G3508" t="str">
            <v>CUBAS  BURGA  MARIA NELVA</v>
          </cell>
          <cell r="H3508" t="str">
            <v>41386011</v>
          </cell>
          <cell r="I3508" t="str">
            <v>BBVA</v>
          </cell>
          <cell r="J3508" t="str">
            <v>001100570276236963</v>
          </cell>
          <cell r="K3508" t="str">
            <v>DNI</v>
          </cell>
          <cell r="L3508">
            <v>10413860119</v>
          </cell>
          <cell r="M3508" t="str">
            <v>AEROPUERTO</v>
          </cell>
          <cell r="N3508">
            <v>45358</v>
          </cell>
          <cell r="O3508">
            <v>240</v>
          </cell>
          <cell r="P3508" t="str">
            <v>XL</v>
          </cell>
        </row>
        <row r="3509">
          <cell r="A3509">
            <v>4223</v>
          </cell>
          <cell r="B3509">
            <v>4223</v>
          </cell>
          <cell r="C3509" t="str">
            <v>CERO MATRICULA</v>
          </cell>
          <cell r="D3509" t="str">
            <v>ACTIVO</v>
          </cell>
          <cell r="E3509" t="str">
            <v>FLOTA PROPIA</v>
          </cell>
          <cell r="F3509" t="str">
            <v>FLOTA PROPIA</v>
          </cell>
          <cell r="G3509" t="str">
            <v>FLOTA PROPIA</v>
          </cell>
          <cell r="H3509" t="str">
            <v>FLOTA PROPIA</v>
          </cell>
          <cell r="I3509" t="str">
            <v>FLOTA PROPIA</v>
          </cell>
          <cell r="J3509" t="str">
            <v>FLOTA PROPIA</v>
          </cell>
          <cell r="K3509" t="str">
            <v>FLOTA PROPIA</v>
          </cell>
          <cell r="L3509" t="str">
            <v>FLOTA PROPIA</v>
          </cell>
          <cell r="M3509" t="str">
            <v>FLOTA PROPIA</v>
          </cell>
          <cell r="N3509">
            <v>46163</v>
          </cell>
          <cell r="O3509">
            <v>0</v>
          </cell>
          <cell r="P3509" t="str">
            <v>VAN</v>
          </cell>
        </row>
        <row r="3510">
          <cell r="A3510">
            <v>4224</v>
          </cell>
          <cell r="B3510">
            <v>4224</v>
          </cell>
          <cell r="C3510" t="str">
            <v>CERO MATRICULA</v>
          </cell>
          <cell r="D3510" t="str">
            <v>ACTIVO</v>
          </cell>
          <cell r="E3510" t="str">
            <v>FLOTA PROPIA</v>
          </cell>
          <cell r="F3510" t="str">
            <v>FLOTA PROPIA</v>
          </cell>
          <cell r="G3510" t="str">
            <v>FLOTA PROPIA</v>
          </cell>
          <cell r="H3510" t="str">
            <v>FLOTA PROPIA</v>
          </cell>
          <cell r="I3510" t="str">
            <v>FLOTA PROPIA</v>
          </cell>
          <cell r="J3510" t="str">
            <v>FLOTA PROPIA</v>
          </cell>
          <cell r="K3510" t="str">
            <v>FLOTA PROPIA</v>
          </cell>
          <cell r="L3510" t="str">
            <v>FLOTA PROPIA</v>
          </cell>
          <cell r="M3510" t="str">
            <v>FLOTA PROPIA</v>
          </cell>
          <cell r="N3510">
            <v>46170</v>
          </cell>
          <cell r="O3510">
            <v>0</v>
          </cell>
          <cell r="P3510" t="str">
            <v>VAN</v>
          </cell>
        </row>
        <row r="3511">
          <cell r="A3511">
            <v>323</v>
          </cell>
          <cell r="B3511">
            <v>323</v>
          </cell>
          <cell r="C3511" t="str">
            <v>CERO MATRICULA</v>
          </cell>
          <cell r="D3511" t="str">
            <v>ACTIVO</v>
          </cell>
          <cell r="E3511" t="str">
            <v>CYT610</v>
          </cell>
          <cell r="F3511" t="str">
            <v xml:space="preserve">Casas Alzamora Angel Isaac </v>
          </cell>
          <cell r="G3511" t="str">
            <v xml:space="preserve">Casas Alzamora Angel Isaac </v>
          </cell>
          <cell r="H3511" t="str">
            <v>09956248</v>
          </cell>
          <cell r="I3511" t="str">
            <v>BCP</v>
          </cell>
          <cell r="J3511" t="str">
            <v>19133523448067</v>
          </cell>
          <cell r="K3511" t="str">
            <v>DNI</v>
          </cell>
          <cell r="L3511">
            <v>10099562485</v>
          </cell>
          <cell r="M3511" t="str">
            <v>URBANO PARTNER</v>
          </cell>
          <cell r="N3511">
            <v>46175</v>
          </cell>
          <cell r="O3511">
            <v>0</v>
          </cell>
          <cell r="P3511">
            <v>0</v>
          </cell>
        </row>
        <row r="3512">
          <cell r="A3512">
            <v>2254</v>
          </cell>
          <cell r="B3512">
            <v>2254</v>
          </cell>
          <cell r="C3512" t="str">
            <v>CERO MATRICULA</v>
          </cell>
          <cell r="D3512" t="str">
            <v>ACTIVO</v>
          </cell>
          <cell r="E3512" t="str">
            <v>Byw305</v>
          </cell>
          <cell r="F3512" t="str">
            <v>Marín Echarri Victor José</v>
          </cell>
          <cell r="G3512" t="str">
            <v>Ortiz Bravo Elizabeth Coromoto</v>
          </cell>
          <cell r="H3512" t="str">
            <v>004688997</v>
          </cell>
          <cell r="I3512" t="str">
            <v>BCP</v>
          </cell>
          <cell r="J3512" t="str">
            <v>19196299280097</v>
          </cell>
          <cell r="K3512" t="str">
            <v>CE</v>
          </cell>
          <cell r="L3512">
            <v>15609978152</v>
          </cell>
          <cell r="M3512" t="str">
            <v>URBANO PARTNER</v>
          </cell>
          <cell r="N3512">
            <v>46175</v>
          </cell>
          <cell r="O3512">
            <v>0</v>
          </cell>
          <cell r="P3512">
            <v>0</v>
          </cell>
        </row>
        <row r="3513">
          <cell r="A3513">
            <v>4457</v>
          </cell>
          <cell r="B3513">
            <v>4457</v>
          </cell>
          <cell r="C3513" t="str">
            <v>CERO MATRICULA</v>
          </cell>
          <cell r="D3513" t="str">
            <v>ACTIVO</v>
          </cell>
          <cell r="E3513" t="str">
            <v>CVZ 485</v>
          </cell>
          <cell r="F3513" t="str">
            <v>Jaramillo Lopera Giovanny</v>
          </cell>
          <cell r="G3513" t="str">
            <v>Jaramillo Lopera Giovanny</v>
          </cell>
          <cell r="H3513" t="str">
            <v>48856210</v>
          </cell>
          <cell r="I3513" t="str">
            <v>BCP</v>
          </cell>
          <cell r="J3513" t="str">
            <v>19494054981029</v>
          </cell>
          <cell r="K3513" t="str">
            <v>DNI</v>
          </cell>
          <cell r="L3513">
            <v>15492092409</v>
          </cell>
          <cell r="M3513" t="str">
            <v>URBANO PARTNER</v>
          </cell>
          <cell r="N3513">
            <v>46175</v>
          </cell>
          <cell r="O3513">
            <v>0</v>
          </cell>
          <cell r="P3513">
            <v>0</v>
          </cell>
        </row>
        <row r="3514">
          <cell r="A3514">
            <v>4458</v>
          </cell>
          <cell r="B3514">
            <v>4458</v>
          </cell>
          <cell r="C3514" t="str">
            <v>CERO MATRICULA</v>
          </cell>
          <cell r="D3514" t="str">
            <v>ACTIVO</v>
          </cell>
          <cell r="E3514" t="str">
            <v>CVZ 485</v>
          </cell>
          <cell r="F3514" t="str">
            <v>Ciuffardi Montoya Carla Roxana</v>
          </cell>
          <cell r="G3514" t="str">
            <v>Ciuffardi Montoya Carla Roxana</v>
          </cell>
          <cell r="H3514" t="str">
            <v>10545505</v>
          </cell>
          <cell r="I3514" t="str">
            <v>BCP</v>
          </cell>
          <cell r="J3514" t="str">
            <v>19398547713042</v>
          </cell>
          <cell r="K3514" t="str">
            <v>DNI</v>
          </cell>
          <cell r="L3514">
            <v>10105455050</v>
          </cell>
          <cell r="M3514" t="str">
            <v>URBANO PARTNER</v>
          </cell>
          <cell r="N3514">
            <v>46175</v>
          </cell>
          <cell r="O3514">
            <v>0</v>
          </cell>
          <cell r="P3514">
            <v>0</v>
          </cell>
        </row>
        <row r="3515">
          <cell r="A3515">
            <v>4465</v>
          </cell>
          <cell r="B3515">
            <v>4465</v>
          </cell>
          <cell r="C3515" t="str">
            <v>CERO MATRICULA</v>
          </cell>
          <cell r="D3515" t="str">
            <v>ACTIVO</v>
          </cell>
          <cell r="E3515" t="str">
            <v>BBR509</v>
          </cell>
          <cell r="F3515" t="str">
            <v>Nn Rodríguez Yenner Javier</v>
          </cell>
          <cell r="G3515" t="str">
            <v>Nn Rodríguez Yenner Javier</v>
          </cell>
          <cell r="H3515" t="str">
            <v>005511481</v>
          </cell>
          <cell r="I3515" t="str">
            <v>BCP</v>
          </cell>
          <cell r="J3515" t="str">
            <v>19194924668000</v>
          </cell>
          <cell r="K3515" t="str">
            <v>CE</v>
          </cell>
          <cell r="L3515">
            <v>15615930790</v>
          </cell>
          <cell r="M3515" t="str">
            <v>AEROLINEAS</v>
          </cell>
          <cell r="N3515">
            <v>46178</v>
          </cell>
          <cell r="O3515">
            <v>0</v>
          </cell>
          <cell r="P3515">
            <v>0</v>
          </cell>
        </row>
        <row r="3516">
          <cell r="A3516">
            <v>4466</v>
          </cell>
          <cell r="B3516">
            <v>4466</v>
          </cell>
          <cell r="C3516" t="str">
            <v>CERO MATRICULA</v>
          </cell>
          <cell r="D3516" t="str">
            <v>ACTIVO</v>
          </cell>
          <cell r="E3516" t="str">
            <v>CUZ165</v>
          </cell>
          <cell r="F3516" t="str">
            <v>Pérez Putpaña Georges Lenin</v>
          </cell>
          <cell r="G3516" t="str">
            <v>Perez Castillo Jose Armando</v>
          </cell>
          <cell r="H3516" t="str">
            <v>25863313</v>
          </cell>
          <cell r="I3516" t="str">
            <v>BCP</v>
          </cell>
          <cell r="J3516" t="str">
            <v>55095234063056</v>
          </cell>
          <cell r="K3516" t="str">
            <v>DNI</v>
          </cell>
          <cell r="L3516">
            <v>10258633135</v>
          </cell>
          <cell r="M3516" t="str">
            <v>AEROLINEAS</v>
          </cell>
          <cell r="N3516">
            <v>46178</v>
          </cell>
          <cell r="O3516">
            <v>0</v>
          </cell>
          <cell r="P3516">
            <v>0</v>
          </cell>
        </row>
        <row r="3517">
          <cell r="A3517">
            <v>4467</v>
          </cell>
          <cell r="B3517">
            <v>4467</v>
          </cell>
          <cell r="C3517" t="str">
            <v>CERO MATRICULA</v>
          </cell>
          <cell r="D3517" t="str">
            <v>ACTIVO</v>
          </cell>
          <cell r="E3517" t="str">
            <v>CAV269</v>
          </cell>
          <cell r="F3517" t="str">
            <v>Loaiza Vinaja Willangel Paul</v>
          </cell>
          <cell r="G3517" t="str">
            <v>Loaiza Vinaja Willangel Paul</v>
          </cell>
          <cell r="H3517" t="str">
            <v>006662511</v>
          </cell>
          <cell r="I3517" t="str">
            <v>BCP</v>
          </cell>
          <cell r="J3517" t="str">
            <v>19495816548089</v>
          </cell>
          <cell r="K3517" t="str">
            <v>CE</v>
          </cell>
          <cell r="L3517">
            <v>15612475692</v>
          </cell>
          <cell r="M3517" t="str">
            <v>AEROLINEAS</v>
          </cell>
          <cell r="N3517">
            <v>46178</v>
          </cell>
          <cell r="O3517">
            <v>0</v>
          </cell>
          <cell r="P3517">
            <v>0</v>
          </cell>
        </row>
        <row r="3518">
          <cell r="A3518">
            <v>4468</v>
          </cell>
          <cell r="B3518">
            <v>4468</v>
          </cell>
          <cell r="C3518" t="str">
            <v>CERO MATRICULA</v>
          </cell>
          <cell r="D3518" t="str">
            <v>ACTIVO</v>
          </cell>
          <cell r="E3518" t="str">
            <v>CSZ448</v>
          </cell>
          <cell r="F3518" t="str">
            <v>QUIÑONES HUAYANEY JIMMY EDWIN</v>
          </cell>
          <cell r="G3518" t="str">
            <v>QUIÑONES HUAYANEY JIMMY EDWIN</v>
          </cell>
          <cell r="H3518" t="str">
            <v>42199239</v>
          </cell>
          <cell r="I3518" t="str">
            <v>BCP</v>
          </cell>
          <cell r="J3518" t="str">
            <v>19192677311043</v>
          </cell>
          <cell r="K3518" t="str">
            <v>DNI</v>
          </cell>
          <cell r="L3518">
            <v>10421992393</v>
          </cell>
          <cell r="M3518" t="str">
            <v>AEROLINEAS</v>
          </cell>
          <cell r="N3518">
            <v>46178</v>
          </cell>
          <cell r="O3518">
            <v>0</v>
          </cell>
          <cell r="P3518">
            <v>0</v>
          </cell>
        </row>
        <row r="3519">
          <cell r="A3519">
            <v>4469</v>
          </cell>
          <cell r="B3519">
            <v>4469</v>
          </cell>
          <cell r="C3519" t="str">
            <v>CERO MATRICULA</v>
          </cell>
          <cell r="D3519" t="str">
            <v>ACTIVO</v>
          </cell>
          <cell r="E3519" t="str">
            <v>Cvz266</v>
          </cell>
          <cell r="F3519" t="str">
            <v>Medina Obregón Anthony Luis</v>
          </cell>
          <cell r="G3519" t="str">
            <v>Medina Obregón Anthony Luis</v>
          </cell>
          <cell r="H3519" t="str">
            <v>75673154</v>
          </cell>
          <cell r="I3519" t="str">
            <v>INTERBANK</v>
          </cell>
          <cell r="J3519" t="str">
            <v>2003129209777</v>
          </cell>
          <cell r="K3519" t="str">
            <v>DNI</v>
          </cell>
          <cell r="L3519">
            <v>10756731543</v>
          </cell>
          <cell r="M3519" t="str">
            <v>MEMBRESÍA DIURNA</v>
          </cell>
          <cell r="N3519">
            <v>46178</v>
          </cell>
          <cell r="O3519">
            <v>290</v>
          </cell>
          <cell r="P3519" t="str">
            <v>XL</v>
          </cell>
        </row>
        <row r="3520">
          <cell r="A3520">
            <v>4470</v>
          </cell>
          <cell r="B3520">
            <v>4470</v>
          </cell>
          <cell r="C3520" t="str">
            <v>CERO MATRICULA</v>
          </cell>
          <cell r="D3520" t="str">
            <v>ACTIVO</v>
          </cell>
          <cell r="E3520" t="str">
            <v>BVO095</v>
          </cell>
          <cell r="F3520" t="str">
            <v>Villarreal linares yorbys José</v>
          </cell>
          <cell r="G3520" t="str">
            <v>Yorbys José Villarreal Linares</v>
          </cell>
          <cell r="H3520" t="str">
            <v>003853866</v>
          </cell>
          <cell r="I3520" t="str">
            <v>INTERBANK</v>
          </cell>
          <cell r="J3520" t="str">
            <v>5303233597823</v>
          </cell>
          <cell r="K3520" t="str">
            <v>CE</v>
          </cell>
          <cell r="L3520">
            <v>15605072272</v>
          </cell>
          <cell r="M3520" t="str">
            <v>URBANO PARTNER</v>
          </cell>
          <cell r="N3520">
            <v>46175</v>
          </cell>
          <cell r="O3520">
            <v>0</v>
          </cell>
          <cell r="P3520">
            <v>0</v>
          </cell>
        </row>
        <row r="3521">
          <cell r="A3521">
            <v>4472</v>
          </cell>
          <cell r="B3521">
            <v>4472</v>
          </cell>
          <cell r="C3521" t="str">
            <v>CERO MATRICULA</v>
          </cell>
          <cell r="D3521" t="str">
            <v>ACTIVO</v>
          </cell>
          <cell r="E3521" t="str">
            <v>CYK292</v>
          </cell>
          <cell r="F3521" t="str">
            <v>Velarde Romani Nery Felipe</v>
          </cell>
          <cell r="G3521" t="str">
            <v>Velarde Romani Nery Felipe</v>
          </cell>
          <cell r="H3521" t="str">
            <v>47951509</v>
          </cell>
          <cell r="I3521" t="str">
            <v>BCP</v>
          </cell>
          <cell r="J3521" t="str">
            <v>19195552796073</v>
          </cell>
          <cell r="K3521" t="str">
            <v>DNI</v>
          </cell>
          <cell r="L3521">
            <v>10479515099</v>
          </cell>
          <cell r="M3521" t="str">
            <v>URBANO PARTNER</v>
          </cell>
          <cell r="N3521">
            <v>46175</v>
          </cell>
          <cell r="O3521">
            <v>0</v>
          </cell>
          <cell r="P3521">
            <v>0</v>
          </cell>
        </row>
        <row r="3522">
          <cell r="A3522">
            <v>4473</v>
          </cell>
          <cell r="B3522">
            <v>4473</v>
          </cell>
          <cell r="C3522" t="str">
            <v>CERO MATRICULA</v>
          </cell>
          <cell r="D3522" t="str">
            <v>ACTIVO</v>
          </cell>
          <cell r="E3522" t="str">
            <v>CME641</v>
          </cell>
          <cell r="F3522" t="str">
            <v>Rodríguez Espinoza Carlos José</v>
          </cell>
          <cell r="G3522" t="str">
            <v>Rodríguez Espinoza Carlos José</v>
          </cell>
          <cell r="H3522" t="str">
            <v>44136824</v>
          </cell>
          <cell r="I3522" t="str">
            <v>BCP</v>
          </cell>
          <cell r="J3522" t="str">
            <v>19439387966022</v>
          </cell>
          <cell r="K3522" t="str">
            <v>DNI</v>
          </cell>
          <cell r="L3522">
            <v>10441368246</v>
          </cell>
          <cell r="M3522" t="str">
            <v>URBANO PARTNER</v>
          </cell>
          <cell r="N3522">
            <v>46175</v>
          </cell>
          <cell r="O3522">
            <v>0</v>
          </cell>
          <cell r="P3522">
            <v>0</v>
          </cell>
        </row>
        <row r="3523">
          <cell r="A3523">
            <v>4474</v>
          </cell>
          <cell r="B3523">
            <v>4474</v>
          </cell>
          <cell r="C3523" t="str">
            <v>CERO MATRICULA</v>
          </cell>
          <cell r="D3523" t="str">
            <v>ACTIVO</v>
          </cell>
          <cell r="E3523" t="str">
            <v>CUZ005</v>
          </cell>
          <cell r="F3523" t="str">
            <v xml:space="preserve">Prieto Hernandez Angel José </v>
          </cell>
          <cell r="G3523" t="str">
            <v xml:space="preserve">Prieto Hernandez Angel José </v>
          </cell>
          <cell r="H3523" t="str">
            <v>004038882</v>
          </cell>
          <cell r="I3523" t="str">
            <v>BCP</v>
          </cell>
          <cell r="J3523" t="str">
            <v>19202443357036</v>
          </cell>
          <cell r="K3523" t="str">
            <v>CE</v>
          </cell>
          <cell r="L3523">
            <v>15607854812</v>
          </cell>
          <cell r="M3523" t="str">
            <v>URBANO PARTNER</v>
          </cell>
          <cell r="N3523">
            <v>46175</v>
          </cell>
          <cell r="O3523">
            <v>0</v>
          </cell>
          <cell r="P3523">
            <v>0</v>
          </cell>
        </row>
        <row r="3524">
          <cell r="A3524">
            <v>4475</v>
          </cell>
          <cell r="B3524">
            <v>4475</v>
          </cell>
          <cell r="C3524" t="str">
            <v>CERO MATRICULA</v>
          </cell>
          <cell r="D3524" t="str">
            <v>ACTIVO</v>
          </cell>
          <cell r="E3524" t="str">
            <v>Z7R579</v>
          </cell>
          <cell r="F3524" t="str">
            <v>González Espejo Ramón Andrés Simón</v>
          </cell>
          <cell r="G3524" t="str">
            <v>González Espejo Ramón Andrés Simón</v>
          </cell>
          <cell r="H3524" t="str">
            <v>004479083</v>
          </cell>
          <cell r="I3524" t="str">
            <v>BCP</v>
          </cell>
          <cell r="J3524" t="str">
            <v>19392021537046</v>
          </cell>
          <cell r="K3524" t="str">
            <v>CE</v>
          </cell>
          <cell r="L3524">
            <v>15605857636</v>
          </cell>
          <cell r="M3524" t="str">
            <v>URBANO PARTNER</v>
          </cell>
          <cell r="N3524">
            <v>46175</v>
          </cell>
          <cell r="O3524">
            <v>0</v>
          </cell>
          <cell r="P3524">
            <v>0</v>
          </cell>
        </row>
        <row r="3525">
          <cell r="A3525">
            <v>4476</v>
          </cell>
          <cell r="B3525">
            <v>4476</v>
          </cell>
          <cell r="C3525" t="str">
            <v>CERO MATRICULA</v>
          </cell>
          <cell r="D3525" t="str">
            <v>ACTIVO</v>
          </cell>
          <cell r="E3525" t="str">
            <v>CWO073</v>
          </cell>
          <cell r="F3525" t="str">
            <v>Reyes Martínez Jorge Luis</v>
          </cell>
          <cell r="G3525" t="str">
            <v>Reyes Martínez Jorge Luis</v>
          </cell>
          <cell r="H3525" t="str">
            <v>10517674</v>
          </cell>
          <cell r="I3525" t="str">
            <v>BBVA</v>
          </cell>
          <cell r="J3525" t="str">
            <v>001103420200061608</v>
          </cell>
          <cell r="K3525" t="str">
            <v>DNI</v>
          </cell>
          <cell r="L3525">
            <v>10105176746</v>
          </cell>
          <cell r="M3525" t="str">
            <v>URBANO PARTNER</v>
          </cell>
          <cell r="N3525">
            <v>46175</v>
          </cell>
          <cell r="O3525">
            <v>0</v>
          </cell>
          <cell r="P3525">
            <v>0</v>
          </cell>
        </row>
        <row r="3526">
          <cell r="A3526">
            <v>4477</v>
          </cell>
          <cell r="B3526">
            <v>4477</v>
          </cell>
          <cell r="C3526" t="str">
            <v>CERO MATRICULA</v>
          </cell>
          <cell r="D3526" t="str">
            <v>ACTIVO</v>
          </cell>
          <cell r="E3526" t="str">
            <v>BFX479</v>
          </cell>
          <cell r="F3526" t="str">
            <v>CORDOVA ROJAS DASSILO BORIS</v>
          </cell>
          <cell r="G3526" t="str">
            <v>CORDOVA ROJAS DASSILO BORIS</v>
          </cell>
          <cell r="H3526" t="str">
            <v>09599506</v>
          </cell>
          <cell r="I3526" t="str">
            <v>INTERBANK</v>
          </cell>
          <cell r="J3526" t="str">
            <v>6453309106542</v>
          </cell>
          <cell r="K3526" t="str">
            <v>DNI</v>
          </cell>
          <cell r="L3526">
            <v>10095995069</v>
          </cell>
          <cell r="M3526" t="str">
            <v>URBANO PARTNER</v>
          </cell>
          <cell r="N3526">
            <v>46175</v>
          </cell>
          <cell r="O3526">
            <v>0</v>
          </cell>
          <cell r="P3526">
            <v>0</v>
          </cell>
        </row>
        <row r="3527">
          <cell r="A3527">
            <v>4478</v>
          </cell>
          <cell r="B3527">
            <v>4478</v>
          </cell>
          <cell r="C3527" t="str">
            <v>CERO MATRICULA</v>
          </cell>
          <cell r="D3527" t="str">
            <v>ACTIVO</v>
          </cell>
          <cell r="E3527" t="str">
            <v>CUT386</v>
          </cell>
          <cell r="F3527" t="str">
            <v>Fernandez Carpio Oscar Alfonzo</v>
          </cell>
          <cell r="G3527" t="str">
            <v>Fernandez Carpio Oscar Alfonzo</v>
          </cell>
          <cell r="H3527" t="str">
            <v>002714955</v>
          </cell>
          <cell r="I3527" t="str">
            <v>BCP</v>
          </cell>
          <cell r="J3527" t="str">
            <v>19191533358035</v>
          </cell>
          <cell r="K3527" t="str">
            <v>CE</v>
          </cell>
          <cell r="L3527">
            <v>15603749739</v>
          </cell>
          <cell r="M3527" t="str">
            <v>URBANO PARTNER</v>
          </cell>
          <cell r="N3527">
            <v>46175</v>
          </cell>
          <cell r="O3527">
            <v>0</v>
          </cell>
          <cell r="P3527">
            <v>0</v>
          </cell>
        </row>
        <row r="3528">
          <cell r="A3528">
            <v>4225</v>
          </cell>
          <cell r="B3528">
            <v>4225</v>
          </cell>
          <cell r="C3528" t="str">
            <v>CERO MATRICULA</v>
          </cell>
          <cell r="D3528" t="str">
            <v>ACTIVO</v>
          </cell>
          <cell r="E3528" t="str">
            <v>FLOTA PROPIA</v>
          </cell>
          <cell r="F3528" t="str">
            <v>FLOTA PROPIA</v>
          </cell>
          <cell r="G3528" t="str">
            <v>FLOTA PROPIA</v>
          </cell>
          <cell r="H3528" t="str">
            <v>FLOTA PROPIA</v>
          </cell>
          <cell r="I3528" t="str">
            <v>FLOTA PROPIA</v>
          </cell>
          <cell r="J3528" t="str">
            <v>FLOTA PROPIA</v>
          </cell>
          <cell r="K3528" t="str">
            <v>FLOTA PROPIA</v>
          </cell>
          <cell r="L3528" t="str">
            <v>FLOTA PROPIA</v>
          </cell>
          <cell r="M3528" t="str">
            <v>FLOTA PROPIA</v>
          </cell>
          <cell r="N3528">
            <v>46170</v>
          </cell>
          <cell r="O3528">
            <v>0</v>
          </cell>
          <cell r="P3528" t="str">
            <v>VAN</v>
          </cell>
        </row>
        <row r="3529">
          <cell r="A3529">
            <v>4226</v>
          </cell>
          <cell r="B3529">
            <v>4226</v>
          </cell>
          <cell r="C3529" t="str">
            <v>CERO MATRICULA</v>
          </cell>
          <cell r="D3529" t="str">
            <v>ACTIVO</v>
          </cell>
          <cell r="E3529" t="str">
            <v>FLOTA PROPIA</v>
          </cell>
          <cell r="F3529" t="str">
            <v>FLOTA PROPIA</v>
          </cell>
          <cell r="G3529" t="str">
            <v>FLOTA PROPIA</v>
          </cell>
          <cell r="H3529" t="str">
            <v>FLOTA PROPIA</v>
          </cell>
          <cell r="I3529" t="str">
            <v>FLOTA PROPIA</v>
          </cell>
          <cell r="J3529" t="str">
            <v>FLOTA PROPIA</v>
          </cell>
          <cell r="K3529" t="str">
            <v>FLOTA PROPIA</v>
          </cell>
          <cell r="L3529" t="str">
            <v>FLOTA PROPIA</v>
          </cell>
          <cell r="M3529" t="str">
            <v>FLOTA PROPIA</v>
          </cell>
          <cell r="N3529">
            <v>46170</v>
          </cell>
          <cell r="O3529">
            <v>0</v>
          </cell>
          <cell r="P3529" t="str">
            <v>VAN</v>
          </cell>
        </row>
        <row r="3530">
          <cell r="A3530">
            <v>25</v>
          </cell>
          <cell r="B3530">
            <v>25</v>
          </cell>
          <cell r="C3530" t="str">
            <v>CERO MATRICULA</v>
          </cell>
          <cell r="D3530" t="str">
            <v>ACTIVO</v>
          </cell>
          <cell r="E3530" t="str">
            <v>MOVIL CONTINGENCIA</v>
          </cell>
          <cell r="F3530" t="str">
            <v>MOVIL CONTINGENCIA</v>
          </cell>
          <cell r="G3530" t="str">
            <v>MOVIL CONTINGENCIA</v>
          </cell>
          <cell r="H3530" t="str">
            <v>MOVIL CONTINGENCIA</v>
          </cell>
          <cell r="I3530" t="str">
            <v>MOVIL CONTINGENCIA</v>
          </cell>
          <cell r="J3530" t="str">
            <v>MOVIL CONTINGENCIA</v>
          </cell>
          <cell r="K3530" t="str">
            <v>MOVIL CONTINGENCIA</v>
          </cell>
          <cell r="L3530" t="str">
            <v>MOVIL CONTINGENCIA</v>
          </cell>
          <cell r="M3530" t="str">
            <v>MOVIL CONTINGENCIA</v>
          </cell>
          <cell r="N3530">
            <v>45866</v>
          </cell>
          <cell r="O3530">
            <v>0</v>
          </cell>
          <cell r="P3530" t="str">
            <v>LITE</v>
          </cell>
        </row>
        <row r="3531">
          <cell r="A3531">
            <v>2647</v>
          </cell>
          <cell r="B3531">
            <v>2647</v>
          </cell>
          <cell r="C3531" t="str">
            <v>CERO MATRICULA</v>
          </cell>
          <cell r="D3531" t="str">
            <v>ACTIVO</v>
          </cell>
          <cell r="E3531" t="str">
            <v>C4L367</v>
          </cell>
          <cell r="F3531" t="str">
            <v>CERNA VENTURA EDGAR PERCY</v>
          </cell>
          <cell r="G3531" t="str">
            <v>CERNA VENTURA EDGAR PERCY</v>
          </cell>
          <cell r="H3531" t="str">
            <v>43084914</v>
          </cell>
          <cell r="I3531" t="str">
            <v>BCP</v>
          </cell>
          <cell r="J3531" t="str">
            <v>191-93350331062</v>
          </cell>
          <cell r="K3531" t="str">
            <v>DNI</v>
          </cell>
          <cell r="L3531">
            <v>10430849145</v>
          </cell>
          <cell r="M3531" t="str">
            <v>URBANO PARTNER</v>
          </cell>
          <cell r="N3531">
            <v>45182</v>
          </cell>
          <cell r="O3531">
            <v>0</v>
          </cell>
          <cell r="P3531" t="str">
            <v>COMFORT XL</v>
          </cell>
        </row>
        <row r="3532">
          <cell r="A3532">
            <v>4479</v>
          </cell>
          <cell r="B3532">
            <v>4479</v>
          </cell>
          <cell r="C3532" t="str">
            <v>CERO MATRICULA</v>
          </cell>
          <cell r="D3532" t="str">
            <v>ACTIVO</v>
          </cell>
          <cell r="E3532" t="str">
            <v>CYX044</v>
          </cell>
          <cell r="F3532" t="str">
            <v>FLORES YBALA RICHARD WALTHER</v>
          </cell>
          <cell r="G3532" t="str">
            <v>FLORES YBALA RICHARD WALTHER</v>
          </cell>
          <cell r="H3532" t="str">
            <v>43582770</v>
          </cell>
          <cell r="I3532" t="str">
            <v>BCP</v>
          </cell>
          <cell r="J3532" t="str">
            <v>19474108655025</v>
          </cell>
          <cell r="K3532" t="str">
            <v>DNI</v>
          </cell>
          <cell r="L3532">
            <v>10435827701</v>
          </cell>
          <cell r="M3532" t="str">
            <v>AEROLINEAS</v>
          </cell>
          <cell r="N3532">
            <v>46185</v>
          </cell>
          <cell r="O3532">
            <v>0</v>
          </cell>
          <cell r="P3532">
            <v>0</v>
          </cell>
        </row>
        <row r="3533">
          <cell r="A3533">
            <v>4480</v>
          </cell>
          <cell r="B3533">
            <v>4480</v>
          </cell>
          <cell r="C3533" t="str">
            <v>CERO MATRICULA</v>
          </cell>
          <cell r="D3533" t="str">
            <v>ACTIVO</v>
          </cell>
          <cell r="E3533" t="str">
            <v>CYP465</v>
          </cell>
          <cell r="F3533" t="str">
            <v>Ortega Alfaro José Luis</v>
          </cell>
          <cell r="G3533" t="str">
            <v>Ortega Alfaro José Luis</v>
          </cell>
          <cell r="H3533" t="str">
            <v>70320508</v>
          </cell>
          <cell r="I3533" t="str">
            <v>INTERBANK</v>
          </cell>
          <cell r="J3533" t="str">
            <v xml:space="preserve"> 898 3415093774</v>
          </cell>
          <cell r="K3533" t="str">
            <v>DNI</v>
          </cell>
          <cell r="L3533">
            <v>10703205084</v>
          </cell>
          <cell r="M3533" t="str">
            <v>AEROLINEAS</v>
          </cell>
          <cell r="N3533">
            <v>46185</v>
          </cell>
          <cell r="O3533">
            <v>0</v>
          </cell>
          <cell r="P3533">
            <v>0</v>
          </cell>
        </row>
        <row r="3534">
          <cell r="A3534">
            <v>4487</v>
          </cell>
          <cell r="B3534">
            <v>4487</v>
          </cell>
          <cell r="C3534" t="str">
            <v>CERO MATRICULA</v>
          </cell>
          <cell r="D3534" t="str">
            <v>ACTIVO</v>
          </cell>
          <cell r="E3534" t="str">
            <v>Cdd238</v>
          </cell>
          <cell r="F3534" t="str">
            <v>Orihuela Hoces Pedro Simon</v>
          </cell>
          <cell r="G3534" t="str">
            <v>Orihuela Hoces Pedro Simon</v>
          </cell>
          <cell r="H3534" t="str">
            <v>08666470</v>
          </cell>
          <cell r="I3534" t="str">
            <v>BCP</v>
          </cell>
          <cell r="J3534" t="str">
            <v>19193376580075</v>
          </cell>
          <cell r="K3534" t="str">
            <v>DNI</v>
          </cell>
          <cell r="L3534">
            <v>10086664700</v>
          </cell>
          <cell r="M3534" t="str">
            <v>URBANO PARTNER</v>
          </cell>
          <cell r="N3534">
            <v>46182</v>
          </cell>
          <cell r="O3534">
            <v>0</v>
          </cell>
          <cell r="P3534">
            <v>0</v>
          </cell>
        </row>
        <row r="3535">
          <cell r="A3535">
            <v>4488</v>
          </cell>
          <cell r="B3535">
            <v>4488</v>
          </cell>
          <cell r="C3535" t="str">
            <v>CERO MATRICULA</v>
          </cell>
          <cell r="D3535" t="str">
            <v>ACTIVO</v>
          </cell>
          <cell r="E3535" t="str">
            <v>BFN595</v>
          </cell>
          <cell r="F3535" t="str">
            <v>Sanchez Flores cristopher Willians</v>
          </cell>
          <cell r="G3535" t="str">
            <v xml:space="preserve">Gutierrez Palacios Katty nayder </v>
          </cell>
          <cell r="H3535" t="str">
            <v>47907574</v>
          </cell>
          <cell r="I3535" t="str">
            <v>BCP</v>
          </cell>
          <cell r="J3535" t="str">
            <v>19490473286055</v>
          </cell>
          <cell r="K3535" t="str">
            <v>DNI</v>
          </cell>
          <cell r="L3535">
            <v>10479075749</v>
          </cell>
          <cell r="M3535" t="str">
            <v>URBANO PARTNER</v>
          </cell>
          <cell r="N3535">
            <v>46182</v>
          </cell>
          <cell r="O3535">
            <v>0</v>
          </cell>
          <cell r="P3535">
            <v>0</v>
          </cell>
        </row>
        <row r="3536">
          <cell r="A3536">
            <v>4471</v>
          </cell>
          <cell r="B3536">
            <v>4471</v>
          </cell>
          <cell r="C3536" t="str">
            <v>CERO MATRICULA</v>
          </cell>
          <cell r="D3536" t="str">
            <v>ACTIVO</v>
          </cell>
          <cell r="E3536" t="str">
            <v>Cyl363</v>
          </cell>
          <cell r="F3536" t="str">
            <v>Silva Flores César Arquimides</v>
          </cell>
          <cell r="G3536" t="str">
            <v>Silva Flores César Arquimides</v>
          </cell>
          <cell r="H3536" t="str">
            <v>03662334</v>
          </cell>
          <cell r="I3536" t="str">
            <v>BCP</v>
          </cell>
          <cell r="J3536" t="str">
            <v>19315995021085</v>
          </cell>
          <cell r="K3536" t="str">
            <v>DNI</v>
          </cell>
          <cell r="L3536">
            <v>10036623344</v>
          </cell>
          <cell r="M3536" t="str">
            <v>URBANO PARTNER</v>
          </cell>
          <cell r="N3536">
            <v>46182</v>
          </cell>
          <cell r="O3536">
            <v>0</v>
          </cell>
          <cell r="P3536">
            <v>0</v>
          </cell>
        </row>
        <row r="3537">
          <cell r="A3537">
            <v>770</v>
          </cell>
          <cell r="B3537">
            <v>770</v>
          </cell>
          <cell r="C3537" t="str">
            <v>CERO MATRICULA</v>
          </cell>
          <cell r="D3537" t="str">
            <v>ACTIVO</v>
          </cell>
          <cell r="E3537" t="str">
            <v>CYZ527</v>
          </cell>
          <cell r="F3537" t="str">
            <v>Arriola Chalco Jesús Francisco</v>
          </cell>
          <cell r="G3537" t="str">
            <v>Mercado Acosta Madelin</v>
          </cell>
          <cell r="H3537" t="str">
            <v>45553093</v>
          </cell>
          <cell r="I3537" t="str">
            <v>INTERBANK</v>
          </cell>
          <cell r="J3537" t="str">
            <v>0593101937679</v>
          </cell>
          <cell r="K3537" t="str">
            <v>DNI</v>
          </cell>
          <cell r="L3537">
            <v>10455530933</v>
          </cell>
          <cell r="M3537" t="str">
            <v>MEMBRESÍA DIURNA</v>
          </cell>
          <cell r="N3537">
            <v>46188</v>
          </cell>
          <cell r="O3537">
            <v>285</v>
          </cell>
          <cell r="P3537" t="str">
            <v>COMFORT XL</v>
          </cell>
        </row>
        <row r="3538">
          <cell r="A3538">
            <v>4484</v>
          </cell>
          <cell r="B3538">
            <v>4484</v>
          </cell>
          <cell r="C3538" t="str">
            <v>CERO MATRICULA</v>
          </cell>
          <cell r="D3538" t="str">
            <v>ACTIVO</v>
          </cell>
          <cell r="E3538" t="str">
            <v>CPL662</v>
          </cell>
          <cell r="F3538" t="str">
            <v xml:space="preserve">Galarza Madrid Wilmer </v>
          </cell>
          <cell r="G3538" t="str">
            <v>Galarza madrid Wilmer</v>
          </cell>
          <cell r="H3538" t="str">
            <v>25863125</v>
          </cell>
          <cell r="I3538" t="str">
            <v>BCP</v>
          </cell>
          <cell r="J3538" t="str">
            <v>19194487572089</v>
          </cell>
          <cell r="K3538" t="str">
            <v>DNI</v>
          </cell>
          <cell r="L3538">
            <v>10258631256</v>
          </cell>
          <cell r="M3538" t="str">
            <v>MEMBRESÍA DIURNA</v>
          </cell>
          <cell r="N3538">
            <v>46192</v>
          </cell>
          <cell r="O3538">
            <v>285</v>
          </cell>
          <cell r="P3538" t="str">
            <v>COMFORT XL</v>
          </cell>
        </row>
        <row r="3539">
          <cell r="A3539">
            <v>4486</v>
          </cell>
          <cell r="B3539">
            <v>4486</v>
          </cell>
          <cell r="C3539" t="str">
            <v>CERO MATRICULA</v>
          </cell>
          <cell r="D3539" t="str">
            <v>ACTIVO</v>
          </cell>
          <cell r="E3539" t="str">
            <v>CXP594</v>
          </cell>
          <cell r="F3539" t="str">
            <v>Ferrer Huerta Walter Orlando</v>
          </cell>
          <cell r="G3539" t="str">
            <v>Ferrer Huerta Walter Orlando</v>
          </cell>
          <cell r="H3539" t="str">
            <v>31681006</v>
          </cell>
          <cell r="I3539" t="str">
            <v>BCP</v>
          </cell>
          <cell r="J3539" t="str">
            <v>19105286888089</v>
          </cell>
          <cell r="K3539" t="str">
            <v>DNI</v>
          </cell>
          <cell r="L3539">
            <v>10316810069</v>
          </cell>
          <cell r="M3539" t="str">
            <v>MEMBRESÍA DIURNA</v>
          </cell>
          <cell r="N3539">
            <v>46192</v>
          </cell>
          <cell r="O3539">
            <v>285</v>
          </cell>
          <cell r="P3539" t="str">
            <v>COMFORT XL</v>
          </cell>
        </row>
        <row r="3540">
          <cell r="A3540">
            <v>4518</v>
          </cell>
          <cell r="B3540">
            <v>4518</v>
          </cell>
          <cell r="C3540" t="str">
            <v>CERO MATRICULA</v>
          </cell>
          <cell r="D3540" t="str">
            <v>ACTIVO</v>
          </cell>
          <cell r="E3540" t="str">
            <v>CVY407</v>
          </cell>
          <cell r="F3540" t="str">
            <v>Gutierrez Suarez Martin Augusto</v>
          </cell>
          <cell r="G3540" t="str">
            <v>Gutierrez Suarez Martin Augusto</v>
          </cell>
          <cell r="H3540" t="str">
            <v>21519584</v>
          </cell>
          <cell r="I3540" t="str">
            <v>BBVA</v>
          </cell>
          <cell r="J3540" t="str">
            <v>0011-0814-0263015377</v>
          </cell>
          <cell r="K3540" t="str">
            <v>DNI</v>
          </cell>
          <cell r="L3540">
            <v>10215195843</v>
          </cell>
          <cell r="M3540" t="str">
            <v>AEROLINEAS</v>
          </cell>
          <cell r="N3540">
            <v>46192</v>
          </cell>
          <cell r="O3540">
            <v>0</v>
          </cell>
          <cell r="P3540">
            <v>0</v>
          </cell>
        </row>
        <row r="3541">
          <cell r="A3541">
            <v>4519</v>
          </cell>
          <cell r="B3541">
            <v>4519</v>
          </cell>
          <cell r="C3541" t="str">
            <v>CERO MATRICULA</v>
          </cell>
          <cell r="D3541" t="str">
            <v>ACTIVO</v>
          </cell>
          <cell r="E3541" t="str">
            <v>BNO686</v>
          </cell>
          <cell r="F3541" t="str">
            <v>Vivanco Cigaran Felipe Ricardo</v>
          </cell>
          <cell r="G3541" t="str">
            <v>Vivanco Cigaran Felipe Ricardo</v>
          </cell>
          <cell r="H3541" t="str">
            <v>06718759</v>
          </cell>
          <cell r="I3541" t="str">
            <v>INTERBANK</v>
          </cell>
          <cell r="J3541" t="str">
            <v>8983436630702</v>
          </cell>
          <cell r="K3541" t="str">
            <v>DNI</v>
          </cell>
          <cell r="L3541">
            <v>10067187593</v>
          </cell>
          <cell r="M3541" t="str">
            <v>AEROLINEAS</v>
          </cell>
          <cell r="N3541">
            <v>46192</v>
          </cell>
          <cell r="O3541">
            <v>0</v>
          </cell>
          <cell r="P3541">
            <v>0</v>
          </cell>
        </row>
        <row r="3542">
          <cell r="A3542">
            <v>4521</v>
          </cell>
          <cell r="B3542">
            <v>4521</v>
          </cell>
          <cell r="C3542" t="str">
            <v>CERO MATRICULA</v>
          </cell>
          <cell r="D3542" t="str">
            <v>ACTIVO</v>
          </cell>
          <cell r="E3542" t="str">
            <v>CYX508</v>
          </cell>
          <cell r="F3542" t="str">
            <v>Barrera Ortega Maximo Jorge</v>
          </cell>
          <cell r="G3542" t="str">
            <v>Barrera Ortega Maximo Jorge</v>
          </cell>
          <cell r="H3542" t="str">
            <v>42267799</v>
          </cell>
          <cell r="I3542" t="str">
            <v>BBVA</v>
          </cell>
          <cell r="J3542" t="str">
            <v>001105790248672462</v>
          </cell>
          <cell r="K3542" t="str">
            <v>DNI</v>
          </cell>
          <cell r="L3542">
            <v>10422677998</v>
          </cell>
          <cell r="M3542" t="str">
            <v>AEROLINEAS</v>
          </cell>
          <cell r="N3542">
            <v>46192</v>
          </cell>
          <cell r="O3542">
            <v>0</v>
          </cell>
          <cell r="P3542">
            <v>0</v>
          </cell>
        </row>
        <row r="3543">
          <cell r="A3543">
            <v>4522</v>
          </cell>
          <cell r="B3543">
            <v>4522</v>
          </cell>
          <cell r="C3543" t="str">
            <v>CERO MATRICULA</v>
          </cell>
          <cell r="D3543" t="str">
            <v>ACTIVO</v>
          </cell>
          <cell r="E3543" t="str">
            <v>Czb087</v>
          </cell>
          <cell r="F3543" t="str">
            <v xml:space="preserve">Solari Ogoña Luis Israel </v>
          </cell>
          <cell r="G3543" t="str">
            <v xml:space="preserve">Solari Ogoña Luis Israel </v>
          </cell>
          <cell r="H3543" t="str">
            <v>70526688</v>
          </cell>
          <cell r="I3543" t="str">
            <v>BCP</v>
          </cell>
          <cell r="J3543" t="str">
            <v>19201170093011</v>
          </cell>
          <cell r="K3543" t="str">
            <v>DNI</v>
          </cell>
          <cell r="L3543">
            <v>10705266889</v>
          </cell>
          <cell r="M3543" t="str">
            <v>AEROLINEAS</v>
          </cell>
          <cell r="N3543">
            <v>46192</v>
          </cell>
          <cell r="O3543">
            <v>0</v>
          </cell>
          <cell r="P3543">
            <v>0</v>
          </cell>
        </row>
        <row r="3544">
          <cell r="A3544">
            <v>4523</v>
          </cell>
          <cell r="B3544">
            <v>4523</v>
          </cell>
          <cell r="C3544" t="str">
            <v>CERO MATRICULA</v>
          </cell>
          <cell r="D3544" t="str">
            <v>ACTIVO</v>
          </cell>
          <cell r="E3544" t="str">
            <v>CYP054</v>
          </cell>
          <cell r="F3544" t="str">
            <v>Villena Altamirano Ever Honan</v>
          </cell>
          <cell r="G3544" t="str">
            <v>Villena Altamirano Ever Honan</v>
          </cell>
          <cell r="H3544" t="str">
            <v>48574086</v>
          </cell>
          <cell r="I3544" t="str">
            <v>INTERBANK</v>
          </cell>
          <cell r="J3544" t="str">
            <v>8983507984152</v>
          </cell>
          <cell r="K3544" t="str">
            <v>DNI</v>
          </cell>
          <cell r="L3544">
            <v>10485740860</v>
          </cell>
          <cell r="M3544" t="str">
            <v>AEROLINEAS</v>
          </cell>
          <cell r="N3544">
            <v>46192</v>
          </cell>
          <cell r="O3544">
            <v>0</v>
          </cell>
          <cell r="P3544">
            <v>0</v>
          </cell>
        </row>
        <row r="3545">
          <cell r="A3545">
            <v>4524</v>
          </cell>
          <cell r="B3545">
            <v>4524</v>
          </cell>
          <cell r="C3545" t="str">
            <v>CERO MATRICULA</v>
          </cell>
          <cell r="D3545" t="str">
            <v>ACTIVO</v>
          </cell>
          <cell r="E3545" t="str">
            <v>CVP569</v>
          </cell>
          <cell r="F3545" t="str">
            <v>Loaiza Vinaja Williams Zainth</v>
          </cell>
          <cell r="G3545" t="str">
            <v>Loaiza Vinaja Williams Zainth</v>
          </cell>
          <cell r="H3545" t="str">
            <v>006120207</v>
          </cell>
          <cell r="I3545" t="str">
            <v>BCP</v>
          </cell>
          <cell r="J3545" t="str">
            <v>19405901342050</v>
          </cell>
          <cell r="K3545" t="str">
            <v>CE</v>
          </cell>
          <cell r="L3545">
            <v>15615436205</v>
          </cell>
          <cell r="M3545" t="str">
            <v>AEROLINEAS</v>
          </cell>
          <cell r="N3545">
            <v>46192</v>
          </cell>
          <cell r="O3545">
            <v>0</v>
          </cell>
          <cell r="P3545">
            <v>0</v>
          </cell>
        </row>
        <row r="3546">
          <cell r="A3546">
            <v>4525</v>
          </cell>
          <cell r="B3546">
            <v>4525</v>
          </cell>
          <cell r="C3546" t="str">
            <v>CERO MATRICULA</v>
          </cell>
          <cell r="D3546" t="str">
            <v>ACTIVO</v>
          </cell>
          <cell r="E3546" t="str">
            <v>CYV134</v>
          </cell>
          <cell r="F3546" t="str">
            <v>De La Cruz Vergara Antonio Guillermo</v>
          </cell>
          <cell r="G3546" t="str">
            <v>De La Cruz Vergara Antonio Guillermo</v>
          </cell>
          <cell r="H3546" t="str">
            <v>21549414</v>
          </cell>
          <cell r="I3546" t="str">
            <v>BCP</v>
          </cell>
          <cell r="J3546" t="str">
            <v>19416184026000</v>
          </cell>
          <cell r="K3546" t="str">
            <v>DNI</v>
          </cell>
          <cell r="L3546">
            <v>10215494140</v>
          </cell>
          <cell r="M3546" t="str">
            <v>AEROLINEAS</v>
          </cell>
          <cell r="N3546">
            <v>46192</v>
          </cell>
          <cell r="O3546">
            <v>0</v>
          </cell>
          <cell r="P3546">
            <v>0</v>
          </cell>
        </row>
        <row r="3547">
          <cell r="A3547">
            <v>4526</v>
          </cell>
          <cell r="B3547">
            <v>4526</v>
          </cell>
          <cell r="C3547" t="str">
            <v>CERO MATRICULA</v>
          </cell>
          <cell r="D3547" t="str">
            <v>ACTIVO</v>
          </cell>
          <cell r="E3547" t="str">
            <v>BBY673</v>
          </cell>
          <cell r="F3547" t="str">
            <v>Desme Del Castillo Eduardo  Alejandro</v>
          </cell>
          <cell r="G3547" t="str">
            <v>Desme Del Castillo Eduardo  Alejandro</v>
          </cell>
          <cell r="H3547" t="str">
            <v>09344656</v>
          </cell>
          <cell r="I3547" t="str">
            <v>BCP</v>
          </cell>
          <cell r="J3547" t="str">
            <v>19304133562014</v>
          </cell>
          <cell r="K3547" t="str">
            <v>DNI</v>
          </cell>
          <cell r="L3547">
            <v>10093446564</v>
          </cell>
          <cell r="M3547" t="str">
            <v>AEROLINEAS</v>
          </cell>
          <cell r="N3547">
            <v>46192</v>
          </cell>
          <cell r="O3547">
            <v>0</v>
          </cell>
          <cell r="P3547">
            <v>0</v>
          </cell>
        </row>
        <row r="3548">
          <cell r="A3548">
            <v>4527</v>
          </cell>
          <cell r="B3548">
            <v>4527</v>
          </cell>
          <cell r="C3548" t="str">
            <v>CERO MATRICULA</v>
          </cell>
          <cell r="D3548" t="str">
            <v>ACTIVO</v>
          </cell>
          <cell r="E3548" t="str">
            <v>cxb190</v>
          </cell>
          <cell r="F3548" t="str">
            <v>damian quispe wilber</v>
          </cell>
          <cell r="G3548" t="str">
            <v>Flores gutierrez Sandy Geraldine</v>
          </cell>
          <cell r="H3548" t="str">
            <v>45454981</v>
          </cell>
          <cell r="I3548" t="str">
            <v>BBVA</v>
          </cell>
          <cell r="J3548" t="str">
            <v>001108140270654377</v>
          </cell>
          <cell r="K3548" t="str">
            <v>DNI</v>
          </cell>
          <cell r="L3548">
            <v>10454549819</v>
          </cell>
          <cell r="M3548" t="str">
            <v>AEROLINEAS</v>
          </cell>
          <cell r="N3548">
            <v>46192</v>
          </cell>
          <cell r="O3548">
            <v>0</v>
          </cell>
          <cell r="P3548">
            <v>0</v>
          </cell>
        </row>
        <row r="3549">
          <cell r="A3549">
            <v>4528</v>
          </cell>
          <cell r="B3549">
            <v>4528</v>
          </cell>
          <cell r="C3549" t="str">
            <v>CERO MATRICULA</v>
          </cell>
          <cell r="D3549" t="str">
            <v>ACTIVO</v>
          </cell>
          <cell r="E3549" t="str">
            <v>CWC570</v>
          </cell>
          <cell r="F3549" t="str">
            <v>Oré Alvarez Cristhian Rey</v>
          </cell>
          <cell r="G3549" t="str">
            <v>Ore Alvarez Christian Rey</v>
          </cell>
          <cell r="H3549" t="str">
            <v>45291999</v>
          </cell>
          <cell r="I3549" t="str">
            <v>BBVA</v>
          </cell>
          <cell r="J3549" t="str">
            <v>0011-0579-0218958825</v>
          </cell>
          <cell r="K3549" t="str">
            <v>DNI</v>
          </cell>
          <cell r="L3549">
            <v>10737927488</v>
          </cell>
          <cell r="M3549" t="str">
            <v>MEMBRESÍA NOCTURNA - APTO</v>
          </cell>
          <cell r="N3549">
            <v>46192</v>
          </cell>
          <cell r="O3549">
            <v>285</v>
          </cell>
          <cell r="P3549" t="str">
            <v>COMFORT XL</v>
          </cell>
        </row>
        <row r="3550">
          <cell r="A3550">
            <v>4530</v>
          </cell>
          <cell r="B3550">
            <v>4530</v>
          </cell>
          <cell r="C3550" t="str">
            <v>CERO MATRICULA</v>
          </cell>
          <cell r="D3550" t="str">
            <v>ACTIVO</v>
          </cell>
          <cell r="E3550" t="str">
            <v>F7M239</v>
          </cell>
          <cell r="F3550" t="str">
            <v>Fabián Puyen Ronald Helan</v>
          </cell>
          <cell r="G3550" t="str">
            <v>Estela coriacona Jorge Luis</v>
          </cell>
          <cell r="H3550" t="str">
            <v xml:space="preserve">70656687 </v>
          </cell>
          <cell r="I3550" t="str">
            <v>INTERBANK</v>
          </cell>
          <cell r="J3550" t="str">
            <v>898 3256451877</v>
          </cell>
          <cell r="K3550" t="str">
            <v>DNI</v>
          </cell>
          <cell r="L3550">
            <v>10706566878</v>
          </cell>
          <cell r="M3550" t="str">
            <v>URBANO PARTNER</v>
          </cell>
          <cell r="N3550">
            <v>46189</v>
          </cell>
          <cell r="O3550">
            <v>0</v>
          </cell>
          <cell r="P3550">
            <v>0</v>
          </cell>
        </row>
        <row r="3551">
          <cell r="A3551">
            <v>4532</v>
          </cell>
          <cell r="B3551">
            <v>4532</v>
          </cell>
          <cell r="C3551" t="str">
            <v>CERO MATRICULA</v>
          </cell>
          <cell r="D3551" t="str">
            <v>ACTIVO</v>
          </cell>
          <cell r="E3551" t="str">
            <v>CUP648</v>
          </cell>
          <cell r="F3551" t="str">
            <v xml:space="preserve">Vasquez Pizarro José adán </v>
          </cell>
          <cell r="G3551" t="str">
            <v xml:space="preserve">Vasquez Pizarro José adán </v>
          </cell>
          <cell r="H3551" t="str">
            <v>43352991</v>
          </cell>
          <cell r="I3551" t="str">
            <v>BCP</v>
          </cell>
          <cell r="J3551" t="str">
            <v>19202434582072</v>
          </cell>
          <cell r="K3551" t="str">
            <v>DNI</v>
          </cell>
          <cell r="L3551">
            <v>10433529915</v>
          </cell>
          <cell r="M3551" t="str">
            <v>URBANO PARTNER</v>
          </cell>
          <cell r="N3551">
            <v>46189</v>
          </cell>
          <cell r="O3551">
            <v>0</v>
          </cell>
          <cell r="P3551">
            <v>0</v>
          </cell>
        </row>
        <row r="3552">
          <cell r="A3552">
            <v>4533</v>
          </cell>
          <cell r="B3552">
            <v>4533</v>
          </cell>
          <cell r="C3552" t="str">
            <v>CERO MATRICULA</v>
          </cell>
          <cell r="D3552" t="str">
            <v>ACTIVO</v>
          </cell>
          <cell r="E3552" t="str">
            <v>Cyi413</v>
          </cell>
          <cell r="F3552" t="str">
            <v>Yrivarren Suarez Andrea consuelo</v>
          </cell>
          <cell r="G3552" t="str">
            <v>Yrivarren Suarez Andrea consuelo</v>
          </cell>
          <cell r="H3552" t="str">
            <v>43329584</v>
          </cell>
          <cell r="I3552" t="str">
            <v>BCP</v>
          </cell>
          <cell r="J3552" t="str">
            <v>28599677970082</v>
          </cell>
          <cell r="K3552" t="str">
            <v>DNI</v>
          </cell>
          <cell r="L3552">
            <v>10433295841</v>
          </cell>
          <cell r="M3552" t="str">
            <v>URBANO PARTNER</v>
          </cell>
          <cell r="N3552">
            <v>46189</v>
          </cell>
          <cell r="O3552">
            <v>0</v>
          </cell>
          <cell r="P3552">
            <v>0</v>
          </cell>
        </row>
        <row r="3553">
          <cell r="A3553">
            <v>4534</v>
          </cell>
          <cell r="B3553">
            <v>4534</v>
          </cell>
          <cell r="C3553" t="str">
            <v>CERO MATRICULA</v>
          </cell>
          <cell r="D3553" t="str">
            <v>ACTIVO</v>
          </cell>
          <cell r="E3553" t="str">
            <v>CYN106</v>
          </cell>
          <cell r="F3553" t="str">
            <v>Loayza Marquez Julian Alfredo</v>
          </cell>
          <cell r="G3553" t="str">
            <v>Loayza Marquez Julian Alfredo</v>
          </cell>
          <cell r="H3553" t="str">
            <v>74393188</v>
          </cell>
          <cell r="I3553" t="str">
            <v>INTERBANK</v>
          </cell>
          <cell r="J3553" t="str">
            <v>8983512973630</v>
          </cell>
          <cell r="K3553" t="str">
            <v>DNI</v>
          </cell>
          <cell r="L3553">
            <v>10743931888</v>
          </cell>
          <cell r="M3553" t="str">
            <v>URBANO PARTNER</v>
          </cell>
          <cell r="N3553">
            <v>46189</v>
          </cell>
          <cell r="O3553">
            <v>0</v>
          </cell>
          <cell r="P3553">
            <v>0</v>
          </cell>
        </row>
        <row r="3554">
          <cell r="A3554">
            <v>4535</v>
          </cell>
          <cell r="B3554">
            <v>4535</v>
          </cell>
          <cell r="C3554" t="str">
            <v>CERO MATRICULA</v>
          </cell>
          <cell r="D3554" t="str">
            <v>ACTIVO</v>
          </cell>
          <cell r="E3554" t="str">
            <v>CYP577</v>
          </cell>
          <cell r="F3554" t="str">
            <v>Ñuflo Moran Ruben sergio</v>
          </cell>
          <cell r="G3554" t="str">
            <v>Ñuflo Moran Ruben sergio</v>
          </cell>
          <cell r="H3554" t="str">
            <v>10867374</v>
          </cell>
          <cell r="I3554" t="str">
            <v>BBVA</v>
          </cell>
          <cell r="J3554" t="str">
            <v>001105640200185576</v>
          </cell>
          <cell r="K3554" t="str">
            <v>DNI</v>
          </cell>
          <cell r="L3554">
            <v>10108673741</v>
          </cell>
          <cell r="M3554" t="str">
            <v>URBANO PARTNER</v>
          </cell>
          <cell r="N3554">
            <v>46189</v>
          </cell>
          <cell r="O3554">
            <v>0</v>
          </cell>
          <cell r="P3554">
            <v>0</v>
          </cell>
        </row>
        <row r="3555">
          <cell r="A3555">
            <v>4536</v>
          </cell>
          <cell r="B3555">
            <v>4536</v>
          </cell>
          <cell r="C3555" t="str">
            <v>CERO MATRICULA</v>
          </cell>
          <cell r="D3555" t="str">
            <v>ACTIVO</v>
          </cell>
          <cell r="E3555" t="str">
            <v>CZE572</v>
          </cell>
          <cell r="F3555" t="str">
            <v>Vallejos Alvites Albert Alcides</v>
          </cell>
          <cell r="G3555" t="str">
            <v>Vallejos Alvites Albert Alcides</v>
          </cell>
          <cell r="H3555" t="str">
            <v>44840167</v>
          </cell>
          <cell r="I3555" t="str">
            <v>BCP</v>
          </cell>
          <cell r="J3555" t="str">
            <v>19328161668028</v>
          </cell>
          <cell r="K3555" t="str">
            <v>DNI</v>
          </cell>
          <cell r="L3555">
            <v>10448401672</v>
          </cell>
          <cell r="M3555" t="str">
            <v>URBANO PARTNER</v>
          </cell>
          <cell r="N3555">
            <v>46189</v>
          </cell>
          <cell r="O3555">
            <v>0</v>
          </cell>
          <cell r="P3555">
            <v>0</v>
          </cell>
        </row>
        <row r="3556">
          <cell r="A3556">
            <v>4490</v>
          </cell>
          <cell r="B3556">
            <v>4490</v>
          </cell>
          <cell r="C3556" t="str">
            <v>CERO MATRICULA</v>
          </cell>
          <cell r="D3556" t="str">
            <v>ACTIVO</v>
          </cell>
          <cell r="E3556" t="str">
            <v>FLOTA PROPIA</v>
          </cell>
          <cell r="F3556" t="str">
            <v>FLOTA PROPIA</v>
          </cell>
          <cell r="G3556" t="str">
            <v>FLOTA PROPIA</v>
          </cell>
          <cell r="H3556" t="str">
            <v>FLOTA PROPIA</v>
          </cell>
          <cell r="I3556" t="str">
            <v>FLOTA PROPIA</v>
          </cell>
          <cell r="J3556" t="str">
            <v>FLOTA PROPIA</v>
          </cell>
          <cell r="K3556" t="str">
            <v>FLOTA PROPIA</v>
          </cell>
          <cell r="L3556" t="str">
            <v>FLOTA PROPIA</v>
          </cell>
          <cell r="M3556" t="str">
            <v>FLOTA PROPIA</v>
          </cell>
          <cell r="N3556">
            <v>46189</v>
          </cell>
          <cell r="O3556">
            <v>0</v>
          </cell>
          <cell r="P3556" t="str">
            <v>VAN</v>
          </cell>
        </row>
        <row r="3557">
          <cell r="A3557">
            <v>4250</v>
          </cell>
          <cell r="B3557">
            <v>4250</v>
          </cell>
          <cell r="C3557" t="str">
            <v>CERO MATRICULA</v>
          </cell>
          <cell r="D3557" t="str">
            <v>ACTIVO</v>
          </cell>
          <cell r="E3557" t="str">
            <v>FLOTA PROPIA</v>
          </cell>
          <cell r="F3557" t="str">
            <v>FLOTA PROPIA</v>
          </cell>
          <cell r="G3557" t="str">
            <v>FLOTA PROPIA</v>
          </cell>
          <cell r="H3557" t="str">
            <v>FLOTA PROPIA</v>
          </cell>
          <cell r="I3557" t="str">
            <v>FLOTA PROPIA</v>
          </cell>
          <cell r="J3557" t="str">
            <v>FLOTA PROPIA</v>
          </cell>
          <cell r="K3557" t="str">
            <v>FLOTA PROPIA</v>
          </cell>
          <cell r="L3557" t="str">
            <v>FLOTA PROPIA</v>
          </cell>
          <cell r="M3557" t="str">
            <v>FLOTA PROPIA</v>
          </cell>
          <cell r="N3557">
            <v>46184</v>
          </cell>
          <cell r="O3557">
            <v>0</v>
          </cell>
          <cell r="P3557" t="str">
            <v>VAN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NO PAGADOS"/>
      <sheetName val="DATA YNGRID"/>
      <sheetName val="DETALLE PEX"/>
      <sheetName val="DSCTS"/>
      <sheetName val="REPS"/>
      <sheetName val="SERVICIO CONTABLE"/>
      <sheetName val="BDG NX19"/>
      <sheetName val="TD PEAJES"/>
      <sheetName val="BDG W19"/>
      <sheetName val="BONO CONDUCTOR- TRASLADO"/>
      <sheetName val="BONO DESPLAZAMIENTO 3 Y 5"/>
      <sheetName val="HISTORIAL1"/>
      <sheetName val="CONTROL DE CUPONES"/>
      <sheetName val="LIQ PEAJE"/>
      <sheetName val="LIQUIDACION"/>
      <sheetName val="VALIDACION"/>
      <sheetName val="MATRIZ"/>
      <sheetName val="DETALLE DE SERVICIOS"/>
      <sheetName val="REPORTE JOCKEY-ANGAMOS-MARINA"/>
    </sheetNames>
    <sheetDataSet>
      <sheetData sheetId="0">
        <row r="1">
          <cell r="A1" t="str">
            <v>MOVIL</v>
          </cell>
          <cell r="B1" t="str">
            <v>VEHICULO</v>
          </cell>
          <cell r="C1" t="str">
            <v>MODALIDAD</v>
          </cell>
          <cell r="D1" t="str">
            <v>ESTADO</v>
          </cell>
          <cell r="E1" t="str">
            <v>PLACA</v>
          </cell>
          <cell r="F1" t="str">
            <v>CONDUCTOR</v>
          </cell>
          <cell r="G1" t="str">
            <v>PROPIETARIO</v>
          </cell>
          <cell r="H1" t="str">
            <v>N° DOCUMENTO</v>
          </cell>
          <cell r="I1" t="str">
            <v>BANCO</v>
          </cell>
          <cell r="J1" t="str">
            <v>N° DE CUENTA DEL PROPIETARIO</v>
          </cell>
          <cell r="K1" t="str">
            <v>TIPO DE DOC.</v>
          </cell>
          <cell r="L1" t="str">
            <v>RUC</v>
          </cell>
          <cell r="M1" t="str">
            <v>PLAZA</v>
          </cell>
          <cell r="N1" t="str">
            <v>FECHA DE INICIO</v>
          </cell>
          <cell r="O1" t="str">
            <v>MEMBRESIA</v>
          </cell>
          <cell r="P1" t="str">
            <v>SEGMENTACIÓN</v>
          </cell>
        </row>
        <row r="2">
          <cell r="A2">
            <v>270</v>
          </cell>
          <cell r="B2">
            <v>270</v>
          </cell>
          <cell r="C2" t="str">
            <v>CERO MATRICULA</v>
          </cell>
          <cell r="D2" t="str">
            <v>ACTIVO</v>
          </cell>
          <cell r="E2" t="str">
            <v>BCX071</v>
          </cell>
          <cell r="F2" t="str">
            <v>FERNANDEZ MANRIQUE JOSE ALEJANDRO</v>
          </cell>
          <cell r="G2" t="str">
            <v>MENESES UZCATEGUI KIMBERLIN DARIANA</v>
          </cell>
          <cell r="H2" t="str">
            <v>002940466</v>
          </cell>
          <cell r="I2" t="str">
            <v>INTERBANK</v>
          </cell>
          <cell r="J2" t="str">
            <v>0563164642546</v>
          </cell>
          <cell r="K2" t="str">
            <v>CE</v>
          </cell>
          <cell r="L2">
            <v>15606026827</v>
          </cell>
          <cell r="M2" t="str">
            <v>OPEN MARINA</v>
          </cell>
          <cell r="N2">
            <v>44833</v>
          </cell>
          <cell r="O2">
            <v>210</v>
          </cell>
        </row>
        <row r="3">
          <cell r="A3">
            <v>376</v>
          </cell>
          <cell r="B3">
            <v>376</v>
          </cell>
          <cell r="C3" t="str">
            <v>CERO MATRICULA</v>
          </cell>
          <cell r="D3" t="str">
            <v>ACTIVO</v>
          </cell>
          <cell r="E3">
            <v>0</v>
          </cell>
          <cell r="F3" t="str">
            <v>VELASQUEZ BAUTISTA LERVHY RICHARD</v>
          </cell>
          <cell r="G3" t="str">
            <v>VELASQUEZ BAUTISTA LERVHY RICHARD</v>
          </cell>
          <cell r="H3" t="str">
            <v>44506774</v>
          </cell>
          <cell r="I3" t="str">
            <v>BCP</v>
          </cell>
          <cell r="J3" t="str">
            <v>19103507813044</v>
          </cell>
          <cell r="K3" t="str">
            <v>DNI</v>
          </cell>
          <cell r="L3">
            <v>10445067747</v>
          </cell>
          <cell r="M3" t="str">
            <v>JOCKEY PLAZA</v>
          </cell>
          <cell r="N3" t="str">
            <v>PENDIENTE</v>
          </cell>
          <cell r="O3">
            <v>240</v>
          </cell>
        </row>
        <row r="4">
          <cell r="A4">
            <v>397</v>
          </cell>
          <cell r="B4">
            <v>397</v>
          </cell>
          <cell r="C4" t="str">
            <v>CERO MATRICULA</v>
          </cell>
          <cell r="D4" t="str">
            <v>ACTIVO</v>
          </cell>
          <cell r="E4">
            <v>0</v>
          </cell>
          <cell r="F4" t="str">
            <v>CAMACHO USECHE LUIS  MIGUEL</v>
          </cell>
          <cell r="G4" t="str">
            <v>CAMACHO USECHE LUIS  MIGUEL</v>
          </cell>
          <cell r="H4" t="str">
            <v>003154343</v>
          </cell>
          <cell r="I4" t="str">
            <v>BCP</v>
          </cell>
          <cell r="J4">
            <v>19197194915080</v>
          </cell>
          <cell r="K4" t="str">
            <v>CE</v>
          </cell>
          <cell r="L4">
            <v>15605897468</v>
          </cell>
          <cell r="M4" t="str">
            <v>JOCKEY PLAZA</v>
          </cell>
          <cell r="N4" t="str">
            <v>PENDIENTE</v>
          </cell>
          <cell r="O4">
            <v>240</v>
          </cell>
        </row>
        <row r="5">
          <cell r="A5">
            <v>446</v>
          </cell>
          <cell r="B5">
            <v>446</v>
          </cell>
          <cell r="C5" t="str">
            <v>CERO MATRICULA</v>
          </cell>
          <cell r="D5" t="str">
            <v>ACTIVO</v>
          </cell>
          <cell r="E5" t="str">
            <v>BHW130</v>
          </cell>
          <cell r="F5" t="str">
            <v>URBINA MOLINA OMAR DANIEL</v>
          </cell>
          <cell r="G5" t="str">
            <v>URBINA MOLINA OMAR DANIEL</v>
          </cell>
          <cell r="H5" t="str">
            <v>004040332</v>
          </cell>
          <cell r="I5" t="str">
            <v>BCP</v>
          </cell>
          <cell r="J5" t="str">
            <v>191-03316673-0-73</v>
          </cell>
          <cell r="K5" t="str">
            <v>CE</v>
          </cell>
          <cell r="L5">
            <v>15608582433</v>
          </cell>
          <cell r="M5" t="str">
            <v>JOCKEY PLAZA</v>
          </cell>
          <cell r="N5">
            <v>44914</v>
          </cell>
          <cell r="O5">
            <v>240</v>
          </cell>
        </row>
        <row r="6">
          <cell r="A6">
            <v>739</v>
          </cell>
          <cell r="B6">
            <v>739</v>
          </cell>
          <cell r="C6" t="str">
            <v>CERO MATRICULA</v>
          </cell>
          <cell r="D6" t="str">
            <v>ACTIVO</v>
          </cell>
          <cell r="E6" t="str">
            <v>BWD596</v>
          </cell>
          <cell r="F6" t="str">
            <v>MORA RODRIGUEZ JOSE GREGORIO</v>
          </cell>
          <cell r="G6" t="str">
            <v>MORA RODRIGUEZ JOSE GREGORIO</v>
          </cell>
          <cell r="H6" t="str">
            <v>004611826</v>
          </cell>
          <cell r="I6" t="str">
            <v>INTERBANK</v>
          </cell>
          <cell r="J6" t="str">
            <v>140-3242319576</v>
          </cell>
          <cell r="K6" t="str">
            <v>CE</v>
          </cell>
          <cell r="L6">
            <v>15606919228</v>
          </cell>
          <cell r="M6" t="str">
            <v>OPEN MARINA</v>
          </cell>
          <cell r="N6">
            <v>45110</v>
          </cell>
          <cell r="O6">
            <v>210</v>
          </cell>
        </row>
        <row r="7">
          <cell r="A7">
            <v>1810</v>
          </cell>
          <cell r="B7">
            <v>1810</v>
          </cell>
          <cell r="C7" t="str">
            <v>CERO MATRICULA</v>
          </cell>
          <cell r="D7" t="str">
            <v>ACTIVO</v>
          </cell>
          <cell r="E7" t="str">
            <v>CHA097</v>
          </cell>
          <cell r="F7" t="str">
            <v>ESPINOZA LEON ANDRES AVELINO</v>
          </cell>
          <cell r="G7" t="str">
            <v>ESPINOZA LEON ANDRES AVELINO</v>
          </cell>
          <cell r="H7" t="str">
            <v>02825598</v>
          </cell>
          <cell r="I7" t="str">
            <v>BCP</v>
          </cell>
          <cell r="J7" t="str">
            <v>19273668164084</v>
          </cell>
          <cell r="K7" t="str">
            <v>DNI</v>
          </cell>
          <cell r="L7">
            <v>10028255981</v>
          </cell>
          <cell r="M7" t="str">
            <v>OPEN MARINA</v>
          </cell>
          <cell r="N7">
            <v>45719</v>
          </cell>
          <cell r="O7">
            <v>210</v>
          </cell>
        </row>
        <row r="8">
          <cell r="A8">
            <v>1898</v>
          </cell>
          <cell r="B8">
            <v>1898</v>
          </cell>
          <cell r="C8" t="str">
            <v>CERO MATRICULA</v>
          </cell>
          <cell r="D8" t="str">
            <v>ACTIVO</v>
          </cell>
          <cell r="E8" t="str">
            <v>CRM089</v>
          </cell>
          <cell r="F8" t="str">
            <v>FRANCHINI RAMIREZ JORGE LUIS</v>
          </cell>
          <cell r="G8" t="str">
            <v>TRIGOSO SANCHEZ JORGE ENRIQUE</v>
          </cell>
          <cell r="H8" t="str">
            <v>45989133</v>
          </cell>
          <cell r="I8" t="str">
            <v>BCP</v>
          </cell>
          <cell r="J8" t="str">
            <v>44077060141049</v>
          </cell>
          <cell r="K8" t="str">
            <v>DNI</v>
          </cell>
          <cell r="L8">
            <v>10459891337</v>
          </cell>
          <cell r="M8" t="str">
            <v>OPEN MARINA</v>
          </cell>
          <cell r="N8">
            <v>45754</v>
          </cell>
          <cell r="O8">
            <v>210</v>
          </cell>
        </row>
        <row r="9">
          <cell r="A9">
            <v>2323</v>
          </cell>
          <cell r="B9">
            <v>2323</v>
          </cell>
          <cell r="C9" t="str">
            <v>CERO MATRICULA</v>
          </cell>
          <cell r="D9" t="str">
            <v>ACTIVO</v>
          </cell>
          <cell r="E9" t="str">
            <v>BVI-286</v>
          </cell>
          <cell r="F9" t="str">
            <v>CALERO FLORES  CESAR FERNANDO</v>
          </cell>
          <cell r="G9" t="str">
            <v>CALERO FLORES  CESAR FERNANDO</v>
          </cell>
          <cell r="H9" t="str">
            <v>46765140</v>
          </cell>
          <cell r="I9" t="str">
            <v>INTERBANK</v>
          </cell>
          <cell r="J9" t="str">
            <v>8983-185698183</v>
          </cell>
          <cell r="K9" t="str">
            <v>DNI</v>
          </cell>
          <cell r="L9">
            <v>10467651400</v>
          </cell>
          <cell r="M9" t="str">
            <v>JOCKEY PLAZA</v>
          </cell>
          <cell r="N9" t="str">
            <v>PENDIENTE</v>
          </cell>
          <cell r="O9">
            <v>240</v>
          </cell>
        </row>
        <row r="10">
          <cell r="A10">
            <v>2411</v>
          </cell>
          <cell r="B10">
            <v>2411</v>
          </cell>
          <cell r="C10" t="str">
            <v>CERO MATRICULA</v>
          </cell>
          <cell r="D10" t="str">
            <v>ACTIVO</v>
          </cell>
          <cell r="E10" t="str">
            <v>BPC568</v>
          </cell>
          <cell r="F10" t="str">
            <v>GALLO AQUIJE JOSMELL ERNESTO</v>
          </cell>
          <cell r="G10" t="str">
            <v>MONTOYA GALLO JIMENA ALEXANDRA</v>
          </cell>
          <cell r="H10" t="str">
            <v>74944149</v>
          </cell>
          <cell r="I10" t="str">
            <v>BBVA</v>
          </cell>
          <cell r="J10" t="str">
            <v>0011-0383-0200515068</v>
          </cell>
          <cell r="K10" t="str">
            <v>DNI</v>
          </cell>
          <cell r="L10">
            <v>10749441491</v>
          </cell>
          <cell r="M10" t="str">
            <v>OPEN MARINA</v>
          </cell>
          <cell r="N10">
            <v>45001</v>
          </cell>
          <cell r="O10">
            <v>210</v>
          </cell>
        </row>
        <row r="11">
          <cell r="A11">
            <v>2613</v>
          </cell>
          <cell r="B11">
            <v>2613</v>
          </cell>
          <cell r="C11" t="str">
            <v>CERO MATRICULA</v>
          </cell>
          <cell r="D11" t="str">
            <v>ACTIVO</v>
          </cell>
          <cell r="E11" t="str">
            <v>BZZ265</v>
          </cell>
          <cell r="F11" t="str">
            <v>POLO LUNASCO BRYAN</v>
          </cell>
          <cell r="G11" t="str">
            <v>POLO LUNASCO BRYAN</v>
          </cell>
          <cell r="H11" t="str">
            <v>75791261</v>
          </cell>
          <cell r="I11" t="str">
            <v>BBVA</v>
          </cell>
          <cell r="J11" t="str">
            <v>00111-0814-0247707641</v>
          </cell>
          <cell r="K11" t="str">
            <v>DNI</v>
          </cell>
          <cell r="L11">
            <v>10757912614</v>
          </cell>
          <cell r="M11" t="str">
            <v>JOCKEY PLAZA</v>
          </cell>
          <cell r="N11">
            <v>45194</v>
          </cell>
          <cell r="O11">
            <v>240</v>
          </cell>
        </row>
        <row r="12">
          <cell r="A12">
            <v>2736</v>
          </cell>
          <cell r="B12">
            <v>2736</v>
          </cell>
          <cell r="C12" t="str">
            <v>CERO MATRICULA</v>
          </cell>
          <cell r="D12" t="str">
            <v>ACTIVO</v>
          </cell>
          <cell r="E12" t="str">
            <v>AYY093</v>
          </cell>
          <cell r="F12" t="str">
            <v>CARIDAD NAVA  LUIS ANGEL</v>
          </cell>
          <cell r="G12" t="str">
            <v>CARIDAD NAVA  LUIS ANGEL</v>
          </cell>
          <cell r="H12" t="str">
            <v>003746201</v>
          </cell>
          <cell r="I12" t="str">
            <v>BCP</v>
          </cell>
          <cell r="J12" t="str">
            <v>19394487136049</v>
          </cell>
          <cell r="K12" t="str">
            <v>CE</v>
          </cell>
          <cell r="L12">
            <v>15609655540</v>
          </cell>
          <cell r="M12" t="str">
            <v>JOCKEY PLAZA</v>
          </cell>
          <cell r="N12">
            <v>45218</v>
          </cell>
          <cell r="O12">
            <v>240</v>
          </cell>
        </row>
        <row r="13">
          <cell r="A13">
            <v>2838</v>
          </cell>
          <cell r="B13">
            <v>2838</v>
          </cell>
          <cell r="C13" t="str">
            <v>CERO MATRICULA</v>
          </cell>
          <cell r="D13" t="str">
            <v>ACTIVO</v>
          </cell>
          <cell r="E13" t="str">
            <v>BKW-108</v>
          </cell>
          <cell r="F13" t="str">
            <v>RAIMONDO GOMEZ JONATHAN</v>
          </cell>
          <cell r="G13" t="str">
            <v>JONATHAN RAIMONDO GOMEZ</v>
          </cell>
          <cell r="H13" t="str">
            <v>005808017</v>
          </cell>
          <cell r="I13" t="str">
            <v>BCP</v>
          </cell>
          <cell r="J13" t="str">
            <v>19439985007094</v>
          </cell>
          <cell r="K13" t="str">
            <v>CE</v>
          </cell>
          <cell r="L13">
            <v>15605349118</v>
          </cell>
          <cell r="M13" t="str">
            <v>JOCKEY PLAZA</v>
          </cell>
          <cell r="N13">
            <v>45314</v>
          </cell>
          <cell r="O13">
            <v>240</v>
          </cell>
        </row>
        <row r="14">
          <cell r="A14">
            <v>2849</v>
          </cell>
          <cell r="B14">
            <v>2849</v>
          </cell>
          <cell r="C14" t="str">
            <v>CERO MATRICULA</v>
          </cell>
          <cell r="D14" t="str">
            <v>ACTIVO</v>
          </cell>
          <cell r="E14" t="str">
            <v>CDG106</v>
          </cell>
          <cell r="F14" t="str">
            <v>SUAREZ HUAYHUA EDDY EDUARD</v>
          </cell>
          <cell r="G14" t="str">
            <v>SUAREZ HUAYHUA EDDY EDUARD</v>
          </cell>
          <cell r="H14" t="str">
            <v>76473395</v>
          </cell>
          <cell r="I14" t="str">
            <v>BCP</v>
          </cell>
          <cell r="J14" t="str">
            <v>19407294293071</v>
          </cell>
          <cell r="K14" t="str">
            <v>DNI</v>
          </cell>
          <cell r="L14">
            <v>10764733954</v>
          </cell>
          <cell r="M14" t="str">
            <v>JOCKEY PLAZA</v>
          </cell>
          <cell r="N14">
            <v>45768</v>
          </cell>
          <cell r="O14">
            <v>240</v>
          </cell>
        </row>
        <row r="15">
          <cell r="A15">
            <v>2888</v>
          </cell>
          <cell r="B15">
            <v>2888</v>
          </cell>
          <cell r="C15" t="str">
            <v>CERO MATRICULA</v>
          </cell>
          <cell r="D15" t="str">
            <v>ACTIVO</v>
          </cell>
          <cell r="E15" t="str">
            <v>CHN024</v>
          </cell>
          <cell r="F15" t="str">
            <v>CERRADA AVENDAÑO ARGENIS</v>
          </cell>
          <cell r="G15" t="str">
            <v>CERRADA AVENDAÑO ARGENIS</v>
          </cell>
          <cell r="H15" t="str">
            <v>002585732</v>
          </cell>
          <cell r="I15" t="str">
            <v>BCP</v>
          </cell>
          <cell r="J15" t="str">
            <v>19199120425040</v>
          </cell>
          <cell r="K15" t="str">
            <v>CE</v>
          </cell>
          <cell r="L15">
            <v>15612482737</v>
          </cell>
          <cell r="M15" t="str">
            <v>JOCKEY PLAZA</v>
          </cell>
          <cell r="N15">
            <v>45785</v>
          </cell>
          <cell r="O15">
            <v>240</v>
          </cell>
        </row>
        <row r="16">
          <cell r="A16">
            <v>2927</v>
          </cell>
          <cell r="B16">
            <v>2927</v>
          </cell>
          <cell r="C16" t="str">
            <v>CERO MATRICULA</v>
          </cell>
          <cell r="D16" t="str">
            <v>ACTIVO</v>
          </cell>
          <cell r="E16" t="str">
            <v>CMG339</v>
          </cell>
          <cell r="F16" t="str">
            <v>VILLAREAL EDWIN ALEXANDER</v>
          </cell>
          <cell r="G16" t="str">
            <v>PENDIENTE</v>
          </cell>
          <cell r="H16" t="str">
            <v>PENDIENTE</v>
          </cell>
          <cell r="I16" t="str">
            <v>PENDIENTE</v>
          </cell>
          <cell r="J16" t="str">
            <v>PENDIENTE</v>
          </cell>
          <cell r="K16" t="str">
            <v>PENDIENTE</v>
          </cell>
          <cell r="L16" t="str">
            <v>PENDIENTE</v>
          </cell>
          <cell r="M16" t="str">
            <v>OPEN MARINA</v>
          </cell>
          <cell r="N16">
            <v>45789</v>
          </cell>
          <cell r="O16">
            <v>210</v>
          </cell>
        </row>
        <row r="17">
          <cell r="A17">
            <v>3224</v>
          </cell>
          <cell r="B17">
            <v>3224</v>
          </cell>
          <cell r="C17" t="str">
            <v>CERO MATRICULA</v>
          </cell>
          <cell r="D17" t="str">
            <v>ACTIVO</v>
          </cell>
          <cell r="E17" t="str">
            <v>CCC395</v>
          </cell>
          <cell r="F17" t="str">
            <v>MALDONADO CONTRERAS GARY JULIO</v>
          </cell>
          <cell r="G17" t="str">
            <v>MALDONADO CONTRERAS GARY JULIO</v>
          </cell>
          <cell r="H17" t="str">
            <v>41996025</v>
          </cell>
          <cell r="I17" t="str">
            <v>BCP</v>
          </cell>
          <cell r="J17" t="str">
            <v>19492740505076</v>
          </cell>
          <cell r="K17" t="str">
            <v>DNI</v>
          </cell>
          <cell r="L17">
            <v>10419960255</v>
          </cell>
          <cell r="M17" t="str">
            <v>JOCKEY PLAZA</v>
          </cell>
          <cell r="N17">
            <v>44858</v>
          </cell>
          <cell r="O17">
            <v>240</v>
          </cell>
        </row>
        <row r="18">
          <cell r="A18">
            <v>3640</v>
          </cell>
          <cell r="B18">
            <v>3640</v>
          </cell>
          <cell r="C18" t="str">
            <v>CERO MATRICULA</v>
          </cell>
          <cell r="D18" t="str">
            <v>ACTIVO</v>
          </cell>
          <cell r="E18" t="str">
            <v>BPB623</v>
          </cell>
          <cell r="F18" t="str">
            <v>HUAMALI PAUCAR MICHAEL RUBEN</v>
          </cell>
          <cell r="G18" t="str">
            <v>HUAMALI PAUCAR MICHAEL RUBEN</v>
          </cell>
          <cell r="H18" t="str">
            <v>47808907</v>
          </cell>
          <cell r="I18" t="str">
            <v>INTERBANK</v>
          </cell>
          <cell r="J18" t="str">
            <v>8983306942494</v>
          </cell>
          <cell r="K18" t="str">
            <v>DNI</v>
          </cell>
          <cell r="L18">
            <v>10478089070</v>
          </cell>
          <cell r="M18" t="str">
            <v>JOCKEY PLAZA</v>
          </cell>
          <cell r="N18">
            <v>45843</v>
          </cell>
          <cell r="O18">
            <v>240</v>
          </cell>
        </row>
        <row r="19">
          <cell r="A19">
            <v>3757</v>
          </cell>
          <cell r="B19">
            <v>3757</v>
          </cell>
          <cell r="C19" t="str">
            <v>CERO MATRICULA</v>
          </cell>
          <cell r="D19" t="str">
            <v>ACTIVO</v>
          </cell>
          <cell r="E19" t="str">
            <v>AUT567</v>
          </cell>
          <cell r="F19" t="str">
            <v>Acero Huaman  Teodoro Samuel</v>
          </cell>
          <cell r="G19" t="str">
            <v>Acero Huaman  Teodoro Samuel</v>
          </cell>
          <cell r="H19" t="str">
            <v>06644756</v>
          </cell>
          <cell r="I19" t="str">
            <v>BCP</v>
          </cell>
          <cell r="J19" t="str">
            <v>19490527855075</v>
          </cell>
          <cell r="K19" t="str">
            <v>DNI</v>
          </cell>
          <cell r="L19">
            <v>10066447567</v>
          </cell>
          <cell r="M19" t="str">
            <v>JOCKEY PLAZA</v>
          </cell>
          <cell r="N19">
            <v>45882.125</v>
          </cell>
          <cell r="O19">
            <v>240</v>
          </cell>
        </row>
        <row r="20">
          <cell r="A20">
            <v>3844</v>
          </cell>
          <cell r="B20">
            <v>3844</v>
          </cell>
          <cell r="C20" t="str">
            <v>CERO MATRICULA</v>
          </cell>
          <cell r="D20" t="str">
            <v>ACTIVO</v>
          </cell>
          <cell r="E20" t="str">
            <v>CTH618</v>
          </cell>
          <cell r="F20" t="str">
            <v>GONZALEZ BAUDIN JOSE GERMAN</v>
          </cell>
          <cell r="G20" t="str">
            <v>GONZALEZ BAUDIN JOSE GERMAN</v>
          </cell>
          <cell r="H20" t="str">
            <v>005342768</v>
          </cell>
          <cell r="I20" t="str">
            <v>BCP</v>
          </cell>
          <cell r="J20" t="str">
            <v>19100713024025</v>
          </cell>
          <cell r="K20" t="str">
            <v>CE</v>
          </cell>
          <cell r="L20">
            <v>15614499696</v>
          </cell>
          <cell r="M20" t="str">
            <v>JOCKEY PLAZA</v>
          </cell>
          <cell r="N20">
            <v>45910</v>
          </cell>
          <cell r="O20">
            <v>240</v>
          </cell>
        </row>
        <row r="21">
          <cell r="A21">
            <v>7000</v>
          </cell>
          <cell r="B21">
            <v>7000</v>
          </cell>
          <cell r="C21" t="str">
            <v>CERO MATRICULA</v>
          </cell>
          <cell r="D21" t="str">
            <v>ACTIVO</v>
          </cell>
          <cell r="E21">
            <v>0</v>
          </cell>
          <cell r="F21" t="str">
            <v>ESCALANTE GARCIA JOSE RAFAEL</v>
          </cell>
          <cell r="G21" t="str">
            <v>ESCALANTE GARCÍA JOSÉ RAFAEL</v>
          </cell>
          <cell r="H21" t="str">
            <v>003198493</v>
          </cell>
          <cell r="I21" t="str">
            <v>SCOTIABANK</v>
          </cell>
          <cell r="J21" t="str">
            <v>5621567774</v>
          </cell>
          <cell r="K21" t="str">
            <v>CE</v>
          </cell>
          <cell r="L21">
            <v>15607792841</v>
          </cell>
          <cell r="M21" t="str">
            <v>JOCKEY PLAZA</v>
          </cell>
          <cell r="N21" t="str">
            <v>PENDIENTE</v>
          </cell>
          <cell r="O21">
            <v>240</v>
          </cell>
        </row>
        <row r="22">
          <cell r="A22">
            <v>7001</v>
          </cell>
          <cell r="B22">
            <v>7001</v>
          </cell>
          <cell r="C22" t="str">
            <v>CERO MATRICULA</v>
          </cell>
          <cell r="D22" t="str">
            <v>ACTIVO</v>
          </cell>
          <cell r="E22">
            <v>0</v>
          </cell>
          <cell r="F22" t="str">
            <v>RAMIREZ BALTAZAR AMADOR EXALTACIÓN</v>
          </cell>
          <cell r="G22" t="str">
            <v>RAMIREZ BALTAZAR AMADOR EXALTACIÓN</v>
          </cell>
          <cell r="H22" t="str">
            <v>10019240</v>
          </cell>
          <cell r="I22" t="str">
            <v>PENDIENTE</v>
          </cell>
          <cell r="J22" t="str">
            <v>PENDIENTE</v>
          </cell>
          <cell r="K22" t="str">
            <v>DNI</v>
          </cell>
          <cell r="L22">
            <v>10100192409</v>
          </cell>
          <cell r="M22" t="str">
            <v>JOCKEY PLAZA</v>
          </cell>
          <cell r="N22" t="str">
            <v>PENDIENTE</v>
          </cell>
          <cell r="O22">
            <v>240</v>
          </cell>
        </row>
        <row r="23">
          <cell r="A23">
            <v>7008</v>
          </cell>
          <cell r="B23">
            <v>7008</v>
          </cell>
          <cell r="C23" t="str">
            <v>CERO MATRICULA</v>
          </cell>
          <cell r="D23" t="str">
            <v>ACTIVO</v>
          </cell>
          <cell r="E23">
            <v>0</v>
          </cell>
          <cell r="F23" t="str">
            <v>ALARCON FLORES FREDY JESUS</v>
          </cell>
          <cell r="G23" t="str">
            <v>ALARCON FLORES FREDY JESUS</v>
          </cell>
          <cell r="H23">
            <v>10241723</v>
          </cell>
          <cell r="I23" t="str">
            <v>Interbank</v>
          </cell>
          <cell r="J23" t="str">
            <v>3683118090005</v>
          </cell>
          <cell r="K23" t="str">
            <v>DNI</v>
          </cell>
          <cell r="L23">
            <v>10102417238</v>
          </cell>
          <cell r="M23" t="str">
            <v>JOCKEY PLAZA</v>
          </cell>
          <cell r="N23" t="str">
            <v>PENDIENTE</v>
          </cell>
          <cell r="O23">
            <v>240</v>
          </cell>
        </row>
        <row r="24">
          <cell r="A24">
            <v>7010</v>
          </cell>
          <cell r="B24">
            <v>7010</v>
          </cell>
          <cell r="C24" t="str">
            <v>CERO MATRICULA</v>
          </cell>
          <cell r="D24" t="str">
            <v>ACTIVO</v>
          </cell>
          <cell r="E24">
            <v>0</v>
          </cell>
          <cell r="F24" t="str">
            <v>RAMOS SOLEDAD JOSE FRANCISCO</v>
          </cell>
          <cell r="G24" t="str">
            <v>RAMOS SOLEDAD JOSE FRANCISCO</v>
          </cell>
          <cell r="H24" t="str">
            <v>002177157</v>
          </cell>
          <cell r="I24" t="str">
            <v>BCP</v>
          </cell>
          <cell r="J24" t="str">
            <v>191-95341773-0-19</v>
          </cell>
          <cell r="K24" t="str">
            <v>CE</v>
          </cell>
          <cell r="L24">
            <v>15606071521</v>
          </cell>
          <cell r="M24" t="str">
            <v>JOCKEY PLAZA</v>
          </cell>
          <cell r="N24" t="str">
            <v>PENDIENTE</v>
          </cell>
          <cell r="O24">
            <v>240</v>
          </cell>
        </row>
        <row r="25">
          <cell r="A25">
            <v>7014</v>
          </cell>
          <cell r="B25">
            <v>7014</v>
          </cell>
          <cell r="C25" t="str">
            <v>CERO MATRICULA</v>
          </cell>
          <cell r="D25" t="str">
            <v>ACTIVO</v>
          </cell>
          <cell r="E25">
            <v>0</v>
          </cell>
          <cell r="F25" t="str">
            <v>JULCA HUAMAN ABELARDO</v>
          </cell>
          <cell r="G25" t="str">
            <v>JULCA HUAMAN ABELARDO</v>
          </cell>
          <cell r="H25" t="str">
            <v>03240483</v>
          </cell>
          <cell r="I25" t="str">
            <v>BCP</v>
          </cell>
          <cell r="J25">
            <v>19491467245054</v>
          </cell>
          <cell r="K25" t="str">
            <v>DNI</v>
          </cell>
          <cell r="L25">
            <v>10032404834</v>
          </cell>
          <cell r="M25" t="str">
            <v>JOCKEY PLAZA</v>
          </cell>
          <cell r="N25" t="str">
            <v>PENDIENTE</v>
          </cell>
          <cell r="O25">
            <v>240</v>
          </cell>
        </row>
        <row r="26">
          <cell r="A26">
            <v>7026</v>
          </cell>
          <cell r="B26">
            <v>7026</v>
          </cell>
          <cell r="C26" t="str">
            <v>CERO MATRICULA</v>
          </cell>
          <cell r="D26" t="str">
            <v>ACTIVO</v>
          </cell>
          <cell r="E26">
            <v>0</v>
          </cell>
          <cell r="F26" t="str">
            <v xml:space="preserve">HUAROC POMA ERNESTO LUIS </v>
          </cell>
          <cell r="G26" t="str">
            <v>HUAROC POMA ERNESTO LUIS</v>
          </cell>
          <cell r="H26">
            <v>20059778</v>
          </cell>
          <cell r="I26" t="str">
            <v>SCOTIABANK</v>
          </cell>
          <cell r="J26" t="str">
            <v>0557313830</v>
          </cell>
          <cell r="K26" t="str">
            <v>DNI</v>
          </cell>
          <cell r="L26">
            <v>10200597783</v>
          </cell>
          <cell r="M26" t="str">
            <v>JOCKEY PLAZA</v>
          </cell>
          <cell r="N26" t="str">
            <v>PENDIENTE</v>
          </cell>
          <cell r="O26">
            <v>240</v>
          </cell>
        </row>
        <row r="27">
          <cell r="A27">
            <v>7032</v>
          </cell>
          <cell r="B27">
            <v>7032</v>
          </cell>
          <cell r="C27" t="str">
            <v>CERO MATRICULA</v>
          </cell>
          <cell r="D27" t="str">
            <v>ACTIVO</v>
          </cell>
          <cell r="E27">
            <v>0</v>
          </cell>
          <cell r="F27" t="str">
            <v>CARRANZA CASAVERDE CARLOS ALBERTO</v>
          </cell>
          <cell r="G27" t="str">
            <v>CARRANZA CASAVERDE CARLOS ALBERTO</v>
          </cell>
          <cell r="H27">
            <v>10247455</v>
          </cell>
          <cell r="I27" t="str">
            <v>BBVA</v>
          </cell>
          <cell r="J27" t="str">
            <v>0011-0360-0200483500</v>
          </cell>
          <cell r="K27" t="str">
            <v>DNI</v>
          </cell>
          <cell r="L27">
            <v>10102474550</v>
          </cell>
          <cell r="M27" t="str">
            <v>JOCKEY PLAZA</v>
          </cell>
          <cell r="N27" t="str">
            <v>PENDIENTE</v>
          </cell>
          <cell r="O27">
            <v>240</v>
          </cell>
        </row>
        <row r="28">
          <cell r="A28">
            <v>7033</v>
          </cell>
          <cell r="B28">
            <v>7033</v>
          </cell>
          <cell r="C28" t="str">
            <v>CERO MATRICULA</v>
          </cell>
          <cell r="D28" t="str">
            <v>ACTIVO</v>
          </cell>
          <cell r="E28">
            <v>0</v>
          </cell>
          <cell r="F28" t="str">
            <v>CASTILLO SANCHEZ GRESIBERT ENRIQUE</v>
          </cell>
          <cell r="G28" t="str">
            <v>URBINA MOLINA OMAR DANIEL</v>
          </cell>
          <cell r="H28" t="str">
            <v>004040332</v>
          </cell>
          <cell r="I28" t="str">
            <v>BCP</v>
          </cell>
          <cell r="J28" t="str">
            <v>19103316673073</v>
          </cell>
          <cell r="K28" t="str">
            <v>CE</v>
          </cell>
          <cell r="L28">
            <v>15608582433</v>
          </cell>
          <cell r="M28" t="str">
            <v>JOCKEY PLAZA</v>
          </cell>
          <cell r="N28" t="str">
            <v>PENDIENTE</v>
          </cell>
          <cell r="O28">
            <v>240</v>
          </cell>
        </row>
        <row r="29">
          <cell r="A29">
            <v>7035</v>
          </cell>
          <cell r="B29">
            <v>7035</v>
          </cell>
          <cell r="C29" t="str">
            <v>CERO MATRICULA</v>
          </cell>
          <cell r="D29" t="str">
            <v>ACTIVO</v>
          </cell>
          <cell r="E29">
            <v>0</v>
          </cell>
          <cell r="F29" t="str">
            <v xml:space="preserve">QUINTERO BARROETA PEDRO ALEXANDER </v>
          </cell>
          <cell r="G29" t="str">
            <v xml:space="preserve">QUINTERO BARROETA PEDRO ALEXANDER </v>
          </cell>
          <cell r="H29" t="str">
            <v>003470574</v>
          </cell>
          <cell r="I29" t="str">
            <v>BCP</v>
          </cell>
          <cell r="J29" t="str">
            <v>192-93664886-0-93</v>
          </cell>
          <cell r="K29" t="str">
            <v>CE</v>
          </cell>
          <cell r="L29">
            <v>15606516514</v>
          </cell>
          <cell r="M29" t="str">
            <v>OPEN MARINA</v>
          </cell>
          <cell r="N29" t="str">
            <v>PENDIENTE</v>
          </cell>
          <cell r="O29">
            <v>210</v>
          </cell>
        </row>
        <row r="30">
          <cell r="A30">
            <v>7038</v>
          </cell>
          <cell r="B30">
            <v>7038</v>
          </cell>
          <cell r="C30" t="str">
            <v>CERO MATRICULA</v>
          </cell>
          <cell r="D30" t="str">
            <v>ACTIVO</v>
          </cell>
          <cell r="E30">
            <v>0</v>
          </cell>
          <cell r="F30" t="str">
            <v>AYALA  SALAZAR ROBERTO</v>
          </cell>
          <cell r="G30" t="str">
            <v>AYALA  SALAZAR ROBERTO</v>
          </cell>
          <cell r="H30">
            <v>41268938</v>
          </cell>
          <cell r="I30" t="str">
            <v>BCP</v>
          </cell>
          <cell r="J30" t="str">
            <v>191-30013212-0-75</v>
          </cell>
          <cell r="K30" t="str">
            <v>DNI</v>
          </cell>
          <cell r="L30">
            <v>10438919703</v>
          </cell>
          <cell r="M30" t="str">
            <v>JOCKEY PLAZA</v>
          </cell>
          <cell r="N30" t="str">
            <v>PENDIENTE</v>
          </cell>
          <cell r="O30">
            <v>240</v>
          </cell>
        </row>
        <row r="31">
          <cell r="A31">
            <v>7040</v>
          </cell>
          <cell r="B31">
            <v>7040</v>
          </cell>
          <cell r="C31" t="str">
            <v>CERO MATRICULA</v>
          </cell>
          <cell r="D31" t="str">
            <v>ACTIVO</v>
          </cell>
          <cell r="E31">
            <v>0</v>
          </cell>
          <cell r="F31" t="str">
            <v>PUJAY CAQUI DEDICACION PABLO</v>
          </cell>
          <cell r="G31" t="str">
            <v>PUJAY CAQUI DEDICACION PABLO</v>
          </cell>
          <cell r="H31" t="str">
            <v>10416770</v>
          </cell>
          <cell r="I31" t="str">
            <v>BCP</v>
          </cell>
          <cell r="J31" t="str">
            <v>193-77758041073</v>
          </cell>
          <cell r="K31" t="str">
            <v>DNI</v>
          </cell>
          <cell r="L31">
            <v>10104167701</v>
          </cell>
          <cell r="M31" t="str">
            <v>JOCKEY PLAZA</v>
          </cell>
          <cell r="N31" t="str">
            <v>PENDIENTE</v>
          </cell>
          <cell r="O31">
            <v>240</v>
          </cell>
        </row>
        <row r="32">
          <cell r="A32">
            <v>7042</v>
          </cell>
          <cell r="B32">
            <v>7042</v>
          </cell>
          <cell r="C32" t="str">
            <v>CERO MATRICULA</v>
          </cell>
          <cell r="D32" t="str">
            <v>ACTIVO</v>
          </cell>
          <cell r="E32">
            <v>0</v>
          </cell>
          <cell r="F32" t="str">
            <v>ALEJO RIVERA KEVIN DANIEL</v>
          </cell>
          <cell r="G32" t="str">
            <v>ALEJO RIVERA KEVIN DANIEL</v>
          </cell>
          <cell r="H32">
            <v>73634184</v>
          </cell>
          <cell r="I32" t="str">
            <v>INTERBANK</v>
          </cell>
          <cell r="J32" t="str">
            <v>3683117772536</v>
          </cell>
          <cell r="K32" t="str">
            <v>DNI</v>
          </cell>
          <cell r="L32">
            <v>10736341846</v>
          </cell>
          <cell r="M32" t="str">
            <v>JOCKEY PLAZA</v>
          </cell>
          <cell r="N32" t="str">
            <v>PENDIENTE</v>
          </cell>
          <cell r="O32">
            <v>240</v>
          </cell>
        </row>
        <row r="33">
          <cell r="A33">
            <v>7045</v>
          </cell>
          <cell r="B33">
            <v>7045</v>
          </cell>
          <cell r="C33" t="str">
            <v>CERO MATRICULA</v>
          </cell>
          <cell r="D33" t="str">
            <v>ACTIVO</v>
          </cell>
          <cell r="E33">
            <v>0</v>
          </cell>
          <cell r="F33" t="str">
            <v>LIÑAN CHAVARRIA GILBERT CHARLES</v>
          </cell>
          <cell r="G33" t="str">
            <v>LIÑAN CHAVARRIA GILBERT CHARLES</v>
          </cell>
          <cell r="H33">
            <v>44557060</v>
          </cell>
          <cell r="I33" t="str">
            <v>BBVA</v>
          </cell>
          <cell r="J33" t="str">
            <v>0011-0712-0200333528</v>
          </cell>
          <cell r="K33" t="str">
            <v>DNI</v>
          </cell>
          <cell r="L33">
            <v>10445570601</v>
          </cell>
          <cell r="M33" t="str">
            <v>JOCKEY PLAZA</v>
          </cell>
          <cell r="N33" t="str">
            <v>PENDIENTE</v>
          </cell>
          <cell r="O33">
            <v>240</v>
          </cell>
        </row>
        <row r="34">
          <cell r="A34">
            <v>7046</v>
          </cell>
          <cell r="B34">
            <v>7046</v>
          </cell>
          <cell r="C34" t="str">
            <v>CERO MATRICULA</v>
          </cell>
          <cell r="D34" t="str">
            <v>ACTIVO</v>
          </cell>
          <cell r="E34">
            <v>0</v>
          </cell>
          <cell r="F34" t="str">
            <v xml:space="preserve">ESPINOZA  CONDORI ROLANDO FRANCISCO </v>
          </cell>
          <cell r="G34" t="str">
            <v xml:space="preserve">ESPINOZA  CONDORI ROLANDO FRANCISCO </v>
          </cell>
          <cell r="H34">
            <v>40157829</v>
          </cell>
          <cell r="I34" t="str">
            <v>BCP</v>
          </cell>
          <cell r="J34" t="str">
            <v>191-37833803061</v>
          </cell>
          <cell r="K34" t="str">
            <v>DNI</v>
          </cell>
          <cell r="L34">
            <v>10401578299</v>
          </cell>
          <cell r="M34" t="str">
            <v>JOCKEY PLAZA</v>
          </cell>
          <cell r="N34" t="str">
            <v>PENDIENTE</v>
          </cell>
          <cell r="O34">
            <v>240</v>
          </cell>
        </row>
        <row r="35">
          <cell r="A35">
            <v>7051</v>
          </cell>
          <cell r="B35">
            <v>7051</v>
          </cell>
          <cell r="C35" t="str">
            <v>CERO MATRICULA</v>
          </cell>
          <cell r="D35" t="str">
            <v>ACTIVO</v>
          </cell>
          <cell r="E35">
            <v>0</v>
          </cell>
          <cell r="F35" t="str">
            <v>MELCHOR VALERIO CESAR ALBERTO</v>
          </cell>
          <cell r="G35" t="str">
            <v>MELCHOR VALERIO CESAR ALBERTO</v>
          </cell>
          <cell r="H35">
            <v>40607841</v>
          </cell>
          <cell r="I35" t="str">
            <v>BCP</v>
          </cell>
          <cell r="J35" t="str">
            <v>191-38310023092</v>
          </cell>
          <cell r="K35" t="str">
            <v>DNI</v>
          </cell>
          <cell r="L35">
            <v>10406078413</v>
          </cell>
          <cell r="M35" t="str">
            <v>JOCKEY PLAZA</v>
          </cell>
          <cell r="N35" t="str">
            <v>PENDIENTE</v>
          </cell>
          <cell r="O35">
            <v>240</v>
          </cell>
        </row>
        <row r="36">
          <cell r="A36">
            <v>7055</v>
          </cell>
          <cell r="B36">
            <v>7055</v>
          </cell>
          <cell r="C36" t="str">
            <v>CERO MATRICULA</v>
          </cell>
          <cell r="D36" t="str">
            <v>ACTIVO</v>
          </cell>
          <cell r="E36">
            <v>0</v>
          </cell>
          <cell r="F36" t="str">
            <v>NINA CHOQUE FERNANDO</v>
          </cell>
          <cell r="G36" t="str">
            <v>NINA CHOQUE FERNANDO</v>
          </cell>
          <cell r="H36" t="str">
            <v>29635529</v>
          </cell>
          <cell r="I36" t="str">
            <v>BBVA</v>
          </cell>
          <cell r="J36" t="str">
            <v>0011-0157-0200405816</v>
          </cell>
          <cell r="K36" t="str">
            <v>DNI</v>
          </cell>
          <cell r="L36">
            <v>10296355297</v>
          </cell>
          <cell r="M36" t="str">
            <v>JOCKEY PLAZA</v>
          </cell>
          <cell r="N36" t="str">
            <v>PENDIENTE</v>
          </cell>
          <cell r="O36">
            <v>240</v>
          </cell>
        </row>
        <row r="37">
          <cell r="A37">
            <v>7059</v>
          </cell>
          <cell r="B37">
            <v>7059</v>
          </cell>
          <cell r="C37" t="str">
            <v>CERO MATRICULA</v>
          </cell>
          <cell r="D37" t="str">
            <v>ACTIVO</v>
          </cell>
          <cell r="E37">
            <v>0</v>
          </cell>
          <cell r="F37" t="str">
            <v>HUAMAN RAMIREZ MOISES FERNANDO</v>
          </cell>
          <cell r="G37" t="str">
            <v>HUAMAN RAMIREZ MOISES FERNANDO</v>
          </cell>
          <cell r="H37" t="str">
            <v>09155205</v>
          </cell>
          <cell r="I37" t="str">
            <v>BBVA</v>
          </cell>
          <cell r="J37" t="str">
            <v>001103380200465677</v>
          </cell>
          <cell r="K37" t="str">
            <v>DNI</v>
          </cell>
          <cell r="L37">
            <v>10091552057</v>
          </cell>
          <cell r="M37" t="str">
            <v>JOCKEY PLAZA</v>
          </cell>
          <cell r="N37" t="str">
            <v>PENDIENTE</v>
          </cell>
          <cell r="O37">
            <v>240</v>
          </cell>
        </row>
        <row r="38">
          <cell r="A38">
            <v>7063</v>
          </cell>
          <cell r="B38">
            <v>7063</v>
          </cell>
          <cell r="C38" t="str">
            <v>CERO MATRICULA</v>
          </cell>
          <cell r="D38" t="str">
            <v>ACTIVO</v>
          </cell>
          <cell r="E38">
            <v>0</v>
          </cell>
          <cell r="F38" t="str">
            <v>HERNANDEZ  GUSTAVO DANIEL</v>
          </cell>
          <cell r="G38" t="str">
            <v>HERNANDEZ  GUSTAVO DANIEL</v>
          </cell>
          <cell r="H38" t="str">
            <v>002582307</v>
          </cell>
          <cell r="I38" t="str">
            <v>BCP</v>
          </cell>
          <cell r="J38">
            <v>19339403462075</v>
          </cell>
          <cell r="K38" t="str">
            <v>CE</v>
          </cell>
          <cell r="L38">
            <v>15606026860</v>
          </cell>
          <cell r="M38" t="str">
            <v>JOCKEY PLAZA</v>
          </cell>
          <cell r="N38" t="str">
            <v>PENDIENTE</v>
          </cell>
          <cell r="O38">
            <v>240</v>
          </cell>
        </row>
        <row r="39">
          <cell r="A39">
            <v>7064</v>
          </cell>
          <cell r="B39">
            <v>7064</v>
          </cell>
          <cell r="C39" t="str">
            <v>CERO MATRICULA</v>
          </cell>
          <cell r="D39" t="str">
            <v>ACTIVO</v>
          </cell>
          <cell r="E39" t="str">
            <v>BPF580</v>
          </cell>
          <cell r="F39" t="str">
            <v>ANCHIRAICO AQUINO CARLOS VICTOR</v>
          </cell>
          <cell r="G39" t="str">
            <v>CORONEL CARRANZA JOSE KLEIDER</v>
          </cell>
          <cell r="H39" t="str">
            <v>47739174</v>
          </cell>
          <cell r="I39" t="str">
            <v>BCP</v>
          </cell>
          <cell r="J39" t="str">
            <v>191-33236712-0-35</v>
          </cell>
          <cell r="K39" t="str">
            <v>DNI</v>
          </cell>
          <cell r="L39">
            <v>10477391741</v>
          </cell>
          <cell r="M39" t="str">
            <v>JOCKEY PLAZA</v>
          </cell>
          <cell r="N39">
            <v>44879</v>
          </cell>
          <cell r="O39">
            <v>240</v>
          </cell>
        </row>
        <row r="40">
          <cell r="A40">
            <v>7066</v>
          </cell>
          <cell r="B40">
            <v>7066</v>
          </cell>
          <cell r="C40" t="str">
            <v>CERO MATRICULA</v>
          </cell>
          <cell r="D40" t="str">
            <v>ACTIVO</v>
          </cell>
          <cell r="E40">
            <v>0</v>
          </cell>
          <cell r="F40" t="str">
            <v xml:space="preserve">LUPACA QUISPE FERNANDO JULIO </v>
          </cell>
          <cell r="G40" t="str">
            <v>CARRANZA CASAVERDE CARLOS ALBERTO</v>
          </cell>
          <cell r="H40" t="str">
            <v>10247455</v>
          </cell>
          <cell r="I40" t="str">
            <v>BBVA</v>
          </cell>
          <cell r="J40" t="str">
            <v>0011-0360-0200483500</v>
          </cell>
          <cell r="K40" t="str">
            <v>DNI</v>
          </cell>
          <cell r="L40">
            <v>10102474550</v>
          </cell>
          <cell r="M40" t="str">
            <v>JOCKEY PLAZA</v>
          </cell>
          <cell r="N40" t="str">
            <v>PENDIENTE</v>
          </cell>
          <cell r="O40">
            <v>240</v>
          </cell>
        </row>
        <row r="41">
          <cell r="A41">
            <v>7068</v>
          </cell>
          <cell r="B41">
            <v>7068</v>
          </cell>
          <cell r="C41" t="str">
            <v>CERO MATRICULA</v>
          </cell>
          <cell r="D41" t="str">
            <v>ACTIVO</v>
          </cell>
          <cell r="E41">
            <v>0</v>
          </cell>
          <cell r="F41" t="str">
            <v>MONTEJO RIVERA ALBERTO MAXIMO</v>
          </cell>
          <cell r="G41" t="str">
            <v xml:space="preserve">MONTEJO RIVERA ALBERTO MAXIMO </v>
          </cell>
          <cell r="H41" t="str">
            <v>41294787</v>
          </cell>
          <cell r="I41" t="str">
            <v>BCP</v>
          </cell>
          <cell r="J41" t="str">
            <v>19334522232041</v>
          </cell>
          <cell r="K41" t="str">
            <v>DNI</v>
          </cell>
          <cell r="L41">
            <v>10412947873</v>
          </cell>
          <cell r="M41" t="str">
            <v>JOCKEY PLAZA</v>
          </cell>
          <cell r="N41" t="str">
            <v>PENDIENTE</v>
          </cell>
          <cell r="O41">
            <v>240</v>
          </cell>
        </row>
        <row r="42">
          <cell r="A42">
            <v>7071</v>
          </cell>
          <cell r="B42">
            <v>7071</v>
          </cell>
          <cell r="C42" t="str">
            <v>CERO MATRICULA</v>
          </cell>
          <cell r="D42" t="str">
            <v>ACTIVO</v>
          </cell>
          <cell r="E42">
            <v>0</v>
          </cell>
          <cell r="F42" t="str">
            <v>BAÑON CARDENAS ROBERTO JOSE</v>
          </cell>
          <cell r="G42" t="str">
            <v>BAÑON CARDENAS ROBERTO JOSE</v>
          </cell>
          <cell r="H42" t="str">
            <v>10421177</v>
          </cell>
          <cell r="I42" t="str">
            <v>BCP</v>
          </cell>
          <cell r="J42" t="str">
            <v>194-97332670-0-26</v>
          </cell>
          <cell r="K42" t="str">
            <v>DNI</v>
          </cell>
          <cell r="L42">
            <v>10104211777</v>
          </cell>
          <cell r="M42" t="str">
            <v>JOCKEY PLAZA</v>
          </cell>
          <cell r="N42" t="str">
            <v>PENDIENTE</v>
          </cell>
          <cell r="O42">
            <v>240</v>
          </cell>
        </row>
        <row r="43">
          <cell r="A43">
            <v>7072</v>
          </cell>
          <cell r="B43">
            <v>7072</v>
          </cell>
          <cell r="C43" t="str">
            <v>CERO MATRICULA</v>
          </cell>
          <cell r="D43" t="str">
            <v>ACTIVO</v>
          </cell>
          <cell r="E43" t="str">
            <v>BXM222</v>
          </cell>
          <cell r="F43" t="str">
            <v xml:space="preserve">GONZALEZ CHACON JESUS DANIEL </v>
          </cell>
          <cell r="G43" t="str">
            <v xml:space="preserve">GONZALEZ CHACON JESUS DANIEL </v>
          </cell>
          <cell r="H43" t="str">
            <v>004353291</v>
          </cell>
          <cell r="I43" t="str">
            <v>BCP</v>
          </cell>
          <cell r="J43" t="str">
            <v>194-79969283-0-50</v>
          </cell>
          <cell r="K43" t="str">
            <v>CE</v>
          </cell>
          <cell r="L43">
            <v>15602370167</v>
          </cell>
          <cell r="M43" t="str">
            <v>JOCKEY PLAZA</v>
          </cell>
          <cell r="N43" t="str">
            <v>PENDIENTE</v>
          </cell>
          <cell r="O43">
            <v>240</v>
          </cell>
        </row>
        <row r="44">
          <cell r="A44">
            <v>7073</v>
          </cell>
          <cell r="B44">
            <v>7073</v>
          </cell>
          <cell r="C44" t="str">
            <v>CERO MATRICULA</v>
          </cell>
          <cell r="D44" t="str">
            <v>ACTIVO</v>
          </cell>
          <cell r="E44">
            <v>0</v>
          </cell>
          <cell r="F44" t="str">
            <v>LOPEZ SANCHEZ JEAN CARLOS</v>
          </cell>
          <cell r="G44" t="str">
            <v>LOPEZ SANCHEZ JEAN CARLOS</v>
          </cell>
          <cell r="H44" t="str">
            <v>003092973</v>
          </cell>
          <cell r="I44" t="str">
            <v>BCP</v>
          </cell>
          <cell r="J44" t="str">
            <v>19192479325057</v>
          </cell>
          <cell r="K44" t="str">
            <v>CE</v>
          </cell>
          <cell r="L44">
            <v>15606753796</v>
          </cell>
          <cell r="M44" t="str">
            <v>JOCKEY PLAZA</v>
          </cell>
          <cell r="N44" t="str">
            <v>PENDIENTE</v>
          </cell>
          <cell r="O44">
            <v>240</v>
          </cell>
        </row>
        <row r="45">
          <cell r="A45">
            <v>7075</v>
          </cell>
          <cell r="B45">
            <v>7075</v>
          </cell>
          <cell r="C45" t="str">
            <v>CERO MATRICULA</v>
          </cell>
          <cell r="D45" t="str">
            <v>ACTIVO</v>
          </cell>
          <cell r="E45">
            <v>0</v>
          </cell>
          <cell r="F45" t="str">
            <v>MARTINEZ MENDEZ IVAN RAMON</v>
          </cell>
          <cell r="G45" t="str">
            <v>MARTINEZ MENDEZ IVAN RAMON</v>
          </cell>
          <cell r="H45" t="str">
            <v>003874564</v>
          </cell>
          <cell r="I45" t="str">
            <v>BCP</v>
          </cell>
          <cell r="J45" t="str">
            <v>19100945263009</v>
          </cell>
          <cell r="K45" t="str">
            <v>CE</v>
          </cell>
          <cell r="L45">
            <v>15605659613</v>
          </cell>
          <cell r="M45" t="str">
            <v>JOCKEY PLAZA</v>
          </cell>
          <cell r="N45" t="str">
            <v>PENDIENTE</v>
          </cell>
          <cell r="O45">
            <v>240</v>
          </cell>
        </row>
        <row r="46">
          <cell r="A46">
            <v>7080</v>
          </cell>
          <cell r="B46">
            <v>7080</v>
          </cell>
          <cell r="C46" t="str">
            <v>CERO MATRICULA</v>
          </cell>
          <cell r="D46" t="str">
            <v>ACTIVO</v>
          </cell>
          <cell r="E46">
            <v>0</v>
          </cell>
          <cell r="F46" t="str">
            <v>ARRIECHI FIGUEROA MARIO ARGENIS</v>
          </cell>
          <cell r="G46" t="str">
            <v>ARRIECHI FIGUEROA MARIO ARGENIS</v>
          </cell>
          <cell r="H46" t="str">
            <v>003840197</v>
          </cell>
          <cell r="I46" t="str">
            <v>BCP</v>
          </cell>
          <cell r="J46">
            <v>19496663738037</v>
          </cell>
          <cell r="K46" t="str">
            <v>CE</v>
          </cell>
          <cell r="L46">
            <v>15609707817</v>
          </cell>
          <cell r="M46" t="str">
            <v>JOCKEY PLAZA</v>
          </cell>
          <cell r="N46" t="str">
            <v>PENDIENTE</v>
          </cell>
          <cell r="O46">
            <v>240</v>
          </cell>
        </row>
        <row r="47">
          <cell r="A47">
            <v>7081</v>
          </cell>
          <cell r="B47">
            <v>7081</v>
          </cell>
          <cell r="C47" t="str">
            <v>CERO MATRICULA</v>
          </cell>
          <cell r="D47" t="str">
            <v>ACTIVO</v>
          </cell>
          <cell r="E47" t="str">
            <v>ADQ587</v>
          </cell>
          <cell r="F47" t="str">
            <v>MIRANDA CARDOZO JOSE LUIS</v>
          </cell>
          <cell r="G47" t="str">
            <v>PAHUACHO MEZA EMER DAVID</v>
          </cell>
          <cell r="H47" t="str">
            <v>45957383</v>
          </cell>
          <cell r="I47" t="str">
            <v>BCP</v>
          </cell>
          <cell r="J47">
            <v>19197161814045</v>
          </cell>
          <cell r="K47" t="str">
            <v>DNI</v>
          </cell>
          <cell r="L47">
            <v>10459573831</v>
          </cell>
          <cell r="M47" t="str">
            <v>JOCKEY PLAZA</v>
          </cell>
          <cell r="N47">
            <v>44880</v>
          </cell>
          <cell r="O47">
            <v>240</v>
          </cell>
        </row>
        <row r="48">
          <cell r="A48">
            <v>7082</v>
          </cell>
          <cell r="B48">
            <v>7082</v>
          </cell>
          <cell r="C48" t="str">
            <v>CERO MATRICULA</v>
          </cell>
          <cell r="D48" t="str">
            <v>ACTIVO</v>
          </cell>
          <cell r="E48">
            <v>0</v>
          </cell>
          <cell r="F48" t="str">
            <v>YALE VASQUEZ CELESTINO</v>
          </cell>
          <cell r="G48" t="str">
            <v>YALE VASQUEZ CELESTINO</v>
          </cell>
          <cell r="H48" t="str">
            <v>10255800</v>
          </cell>
          <cell r="I48" t="str">
            <v>BCP</v>
          </cell>
          <cell r="J48" t="str">
            <v>19136439174044</v>
          </cell>
          <cell r="K48" t="str">
            <v>DNI</v>
          </cell>
          <cell r="L48">
            <v>10102558001</v>
          </cell>
          <cell r="M48" t="str">
            <v>JOCKEY PLAZA</v>
          </cell>
          <cell r="N48">
            <v>45495</v>
          </cell>
          <cell r="O48">
            <v>240</v>
          </cell>
        </row>
        <row r="49">
          <cell r="A49">
            <v>7084</v>
          </cell>
          <cell r="B49">
            <v>7084</v>
          </cell>
          <cell r="C49" t="str">
            <v>CERO MATRICULA</v>
          </cell>
          <cell r="D49" t="str">
            <v>ACTIVO</v>
          </cell>
          <cell r="E49" t="str">
            <v>ATP451</v>
          </cell>
          <cell r="F49" t="str">
            <v>GAMARRA BALDERA CARLOS CELSO</v>
          </cell>
          <cell r="G49" t="str">
            <v>GAMARRA BALDERA CARLOS CELSO</v>
          </cell>
          <cell r="H49" t="str">
            <v>40080917</v>
          </cell>
          <cell r="I49" t="str">
            <v>BBVA</v>
          </cell>
          <cell r="J49" t="str">
            <v>0011-0335-0200322594</v>
          </cell>
          <cell r="K49" t="str">
            <v>DNI</v>
          </cell>
          <cell r="L49">
            <v>10400809173</v>
          </cell>
          <cell r="M49" t="str">
            <v>JOCKEY PLAZA</v>
          </cell>
          <cell r="N49">
            <v>44883</v>
          </cell>
          <cell r="O49">
            <v>240</v>
          </cell>
        </row>
        <row r="50">
          <cell r="A50">
            <v>7085</v>
          </cell>
          <cell r="B50">
            <v>7085</v>
          </cell>
          <cell r="C50" t="str">
            <v>CERO MATRICULA</v>
          </cell>
          <cell r="D50" t="str">
            <v>ACTIVO</v>
          </cell>
          <cell r="E50" t="str">
            <v>BEJ127</v>
          </cell>
          <cell r="F50" t="str">
            <v xml:space="preserve">PAREJAS  CORDOVA  ALEJANDRO </v>
          </cell>
          <cell r="G50" t="str">
            <v xml:space="preserve">PAREJAS  CORDOVA  ALEJANDRO </v>
          </cell>
          <cell r="H50" t="str">
            <v>10648930</v>
          </cell>
          <cell r="I50" t="str">
            <v>INTERBANK</v>
          </cell>
          <cell r="J50">
            <v>8983221178760</v>
          </cell>
          <cell r="K50" t="str">
            <v>DNI</v>
          </cell>
          <cell r="L50">
            <v>10106489306</v>
          </cell>
          <cell r="M50" t="str">
            <v>JOCKEY PLAZA</v>
          </cell>
          <cell r="N50">
            <v>44883</v>
          </cell>
          <cell r="O50">
            <v>240</v>
          </cell>
        </row>
        <row r="51">
          <cell r="A51">
            <v>7086</v>
          </cell>
          <cell r="B51">
            <v>7086</v>
          </cell>
          <cell r="C51" t="str">
            <v>CERO MATRICULA</v>
          </cell>
          <cell r="D51" t="str">
            <v>ACTIVO</v>
          </cell>
          <cell r="E51" t="str">
            <v>ATJ016</v>
          </cell>
          <cell r="F51" t="str">
            <v>MONDRAGÓN  GONZALEZ FRANKLIN DANIEL</v>
          </cell>
          <cell r="G51" t="str">
            <v>MONDRAGÓN  GONZALEZ FRANKLIN DANIEL</v>
          </cell>
          <cell r="H51" t="str">
            <v>45371488</v>
          </cell>
          <cell r="I51" t="str">
            <v>BCP</v>
          </cell>
          <cell r="J51" t="str">
            <v>194-35240951-0-19</v>
          </cell>
          <cell r="K51" t="str">
            <v>DNI</v>
          </cell>
          <cell r="L51">
            <v>10453714883</v>
          </cell>
          <cell r="M51" t="str">
            <v>JOCKEY PLAZA</v>
          </cell>
          <cell r="N51">
            <v>44883</v>
          </cell>
          <cell r="O51">
            <v>240</v>
          </cell>
        </row>
        <row r="52">
          <cell r="A52">
            <v>7087</v>
          </cell>
          <cell r="B52">
            <v>7087</v>
          </cell>
          <cell r="C52" t="str">
            <v>CERO MATRICULA</v>
          </cell>
          <cell r="D52" t="str">
            <v>ACTIVO</v>
          </cell>
          <cell r="E52" t="str">
            <v>BST399</v>
          </cell>
          <cell r="F52" t="str">
            <v>TINEO ALFÉREZ JULIO CESAR</v>
          </cell>
          <cell r="G52" t="str">
            <v>TINEO ALFÉREZ JULIO CESAR</v>
          </cell>
          <cell r="H52" t="str">
            <v>74220201</v>
          </cell>
          <cell r="I52" t="str">
            <v>BCP</v>
          </cell>
          <cell r="J52" t="str">
            <v>191-01651171-0-48</v>
          </cell>
          <cell r="K52" t="str">
            <v>DNI</v>
          </cell>
          <cell r="L52">
            <v>10742202017</v>
          </cell>
          <cell r="M52" t="str">
            <v>JOCKEY PLAZA</v>
          </cell>
          <cell r="N52">
            <v>44895</v>
          </cell>
          <cell r="O52">
            <v>240</v>
          </cell>
        </row>
        <row r="53">
          <cell r="A53">
            <v>7090</v>
          </cell>
          <cell r="B53">
            <v>7090</v>
          </cell>
          <cell r="C53" t="str">
            <v>CERO MATRICULA</v>
          </cell>
          <cell r="D53" t="str">
            <v>ACTIVO</v>
          </cell>
          <cell r="E53" t="str">
            <v>AJX551</v>
          </cell>
          <cell r="F53" t="str">
            <v>PALACIOS VASQUEZ DAVID</v>
          </cell>
          <cell r="G53" t="str">
            <v>PALACIOS VASQUEZ DAVID</v>
          </cell>
          <cell r="H53" t="str">
            <v>07661053</v>
          </cell>
          <cell r="I53" t="str">
            <v>BCP</v>
          </cell>
          <cell r="J53" t="str">
            <v>194-98099345-0-45</v>
          </cell>
          <cell r="K53" t="str">
            <v>DNI</v>
          </cell>
          <cell r="L53">
            <v>10076610539</v>
          </cell>
          <cell r="M53" t="str">
            <v>JOCKEY PLAZA</v>
          </cell>
          <cell r="N53">
            <v>44898</v>
          </cell>
          <cell r="O53">
            <v>240</v>
          </cell>
        </row>
        <row r="54">
          <cell r="A54">
            <v>7091</v>
          </cell>
          <cell r="B54">
            <v>7091</v>
          </cell>
          <cell r="C54" t="str">
            <v>CERO MATRICULA</v>
          </cell>
          <cell r="D54" t="str">
            <v>ACTIVO</v>
          </cell>
          <cell r="E54" t="str">
            <v>BRH120</v>
          </cell>
          <cell r="F54" t="str">
            <v>HERNANDEZ PEÑA GREGORY LEONEL</v>
          </cell>
          <cell r="G54" t="str">
            <v>HERNANDEZ PEÑA GREGORY LEONEL</v>
          </cell>
          <cell r="H54" t="str">
            <v>75975018</v>
          </cell>
          <cell r="I54" t="str">
            <v>BCP</v>
          </cell>
          <cell r="J54" t="str">
            <v>192-74812970-0-54</v>
          </cell>
          <cell r="K54" t="str">
            <v xml:space="preserve">DNI </v>
          </cell>
          <cell r="L54">
            <v>10759750182</v>
          </cell>
          <cell r="M54" t="str">
            <v>JOCKEY PLAZA</v>
          </cell>
          <cell r="N54">
            <v>44907</v>
          </cell>
          <cell r="O54">
            <v>240</v>
          </cell>
        </row>
        <row r="55">
          <cell r="A55">
            <v>7092</v>
          </cell>
          <cell r="B55">
            <v>7092</v>
          </cell>
          <cell r="C55" t="str">
            <v>CERO MATRICULA</v>
          </cell>
          <cell r="D55" t="str">
            <v>ACTIVO</v>
          </cell>
          <cell r="E55" t="str">
            <v>CBR429</v>
          </cell>
          <cell r="F55" t="str">
            <v>GARCÍA MEDINA GERSON JIMY</v>
          </cell>
          <cell r="G55" t="str">
            <v>MONTERO CELIS WINDERBIRD ALEXANDER</v>
          </cell>
          <cell r="H55" t="str">
            <v>002888171</v>
          </cell>
          <cell r="I55" t="str">
            <v>BCP</v>
          </cell>
          <cell r="J55" t="str">
            <v>194-91122082-0-05</v>
          </cell>
          <cell r="K55" t="str">
            <v>CE</v>
          </cell>
          <cell r="L55">
            <v>15604003111</v>
          </cell>
          <cell r="M55" t="str">
            <v>JOCKEY PLAZA</v>
          </cell>
          <cell r="N55">
            <v>44910</v>
          </cell>
          <cell r="O55">
            <v>240</v>
          </cell>
        </row>
        <row r="56">
          <cell r="A56">
            <v>7093</v>
          </cell>
          <cell r="B56">
            <v>7093</v>
          </cell>
          <cell r="C56" t="str">
            <v>CERO MATRICULA</v>
          </cell>
          <cell r="D56" t="str">
            <v>ACTIVO</v>
          </cell>
          <cell r="E56" t="str">
            <v>C1Y227</v>
          </cell>
          <cell r="F56" t="str">
            <v>CASTILLO SÁNCHEZ GUILLERMO ANDRÉS</v>
          </cell>
          <cell r="G56" t="str">
            <v>CASTILLO SÁNCHEZ GUILLERMO ANDRÉS</v>
          </cell>
          <cell r="H56" t="str">
            <v>25562742</v>
          </cell>
          <cell r="I56" t="str">
            <v>BANBIF</v>
          </cell>
          <cell r="J56" t="str">
            <v>038-404-108026116569-01</v>
          </cell>
          <cell r="K56" t="str">
            <v xml:space="preserve">DNI </v>
          </cell>
          <cell r="L56">
            <v>10255627428</v>
          </cell>
          <cell r="M56" t="str">
            <v>JOCKEY PLAZA</v>
          </cell>
          <cell r="N56">
            <v>44910</v>
          </cell>
          <cell r="O56">
            <v>240</v>
          </cell>
        </row>
        <row r="57">
          <cell r="A57">
            <v>7094</v>
          </cell>
          <cell r="B57">
            <v>7094</v>
          </cell>
          <cell r="C57" t="str">
            <v>CERO MATRICULA</v>
          </cell>
          <cell r="D57" t="str">
            <v>ACTIVO</v>
          </cell>
          <cell r="E57" t="str">
            <v xml:space="preserve">AUP363 </v>
          </cell>
          <cell r="F57" t="str">
            <v>REYES CORDOVA LUIS</v>
          </cell>
          <cell r="G57" t="str">
            <v>REYES CORDOVA LUIS</v>
          </cell>
          <cell r="H57" t="str">
            <v>45569247</v>
          </cell>
          <cell r="I57" t="str">
            <v>BCP</v>
          </cell>
          <cell r="J57" t="str">
            <v>194-90894279-0-00</v>
          </cell>
          <cell r="K57" t="str">
            <v xml:space="preserve">DNI </v>
          </cell>
          <cell r="L57">
            <v>10455692470</v>
          </cell>
          <cell r="M57" t="str">
            <v>JOCKEY PLAZA</v>
          </cell>
          <cell r="N57">
            <v>44918</v>
          </cell>
          <cell r="O57">
            <v>240</v>
          </cell>
        </row>
        <row r="58">
          <cell r="A58">
            <v>7095</v>
          </cell>
          <cell r="B58">
            <v>7095</v>
          </cell>
          <cell r="C58" t="str">
            <v>CERO MATRICULA</v>
          </cell>
          <cell r="D58" t="str">
            <v>ACTIVO</v>
          </cell>
          <cell r="E58" t="str">
            <v>BXB527</v>
          </cell>
          <cell r="F58" t="str">
            <v>TINOCO HUAMAN LUIS ENRIQUE</v>
          </cell>
          <cell r="G58" t="str">
            <v>TINOCO HUAMAN LUIS ENRIQUE</v>
          </cell>
          <cell r="H58" t="str">
            <v>40734763</v>
          </cell>
          <cell r="I58" t="str">
            <v>BCP</v>
          </cell>
          <cell r="J58" t="str">
            <v>194-05070962-0-83</v>
          </cell>
          <cell r="K58" t="str">
            <v>DNI</v>
          </cell>
          <cell r="L58">
            <v>10407347639</v>
          </cell>
          <cell r="M58" t="str">
            <v>JOCKEY PLAZA</v>
          </cell>
          <cell r="N58">
            <v>44925</v>
          </cell>
          <cell r="O58">
            <v>240</v>
          </cell>
        </row>
        <row r="59">
          <cell r="A59">
            <v>7096</v>
          </cell>
          <cell r="B59">
            <v>7096</v>
          </cell>
          <cell r="C59" t="str">
            <v>CERO MATRICULA</v>
          </cell>
          <cell r="D59" t="str">
            <v>ACTIVO</v>
          </cell>
          <cell r="E59" t="str">
            <v>F8Y149</v>
          </cell>
          <cell r="F59" t="str">
            <v>ARTEAGA CORONADO GERALD FRANCIS</v>
          </cell>
          <cell r="G59" t="str">
            <v>ALCANTARA REYES ANTUANET CAMILA FERNANDA</v>
          </cell>
          <cell r="H59" t="str">
            <v>74748047</v>
          </cell>
          <cell r="I59" t="str">
            <v>BCP</v>
          </cell>
          <cell r="J59" t="str">
            <v>192-79326957037</v>
          </cell>
          <cell r="K59" t="str">
            <v>DNI</v>
          </cell>
          <cell r="L59">
            <v>10747480473</v>
          </cell>
          <cell r="M59" t="str">
            <v>JOCKEY PLAZA</v>
          </cell>
          <cell r="N59">
            <v>44932</v>
          </cell>
          <cell r="O59">
            <v>240</v>
          </cell>
        </row>
        <row r="60">
          <cell r="A60">
            <v>7097</v>
          </cell>
          <cell r="B60">
            <v>7097</v>
          </cell>
          <cell r="C60" t="str">
            <v>CERO MATRICULA</v>
          </cell>
          <cell r="D60" t="str">
            <v>ACTIVO</v>
          </cell>
          <cell r="E60" t="str">
            <v>D8Z323</v>
          </cell>
          <cell r="F60" t="str">
            <v>BELLIDO GUERRA REYNOSO</v>
          </cell>
          <cell r="G60" t="str">
            <v>BELLIDO GUERRA REYNOSO</v>
          </cell>
          <cell r="H60" t="str">
            <v>61672028</v>
          </cell>
          <cell r="I60" t="str">
            <v>BCP</v>
          </cell>
          <cell r="J60" t="str">
            <v>191-02268267-0-77</v>
          </cell>
          <cell r="K60" t="str">
            <v>DNI</v>
          </cell>
          <cell r="L60">
            <v>10616720282</v>
          </cell>
          <cell r="M60" t="str">
            <v>JOCKEY PLAZA</v>
          </cell>
          <cell r="N60">
            <v>44939</v>
          </cell>
          <cell r="O60">
            <v>240</v>
          </cell>
        </row>
        <row r="61">
          <cell r="A61">
            <v>7098</v>
          </cell>
          <cell r="B61">
            <v>7098</v>
          </cell>
          <cell r="C61" t="str">
            <v>CERO MATRICULA</v>
          </cell>
          <cell r="D61" t="str">
            <v>ACTIVO</v>
          </cell>
          <cell r="E61" t="str">
            <v>AAN623</v>
          </cell>
          <cell r="F61" t="str">
            <v>GRANADO BARRIENTOS  VICTOR PASTOR</v>
          </cell>
          <cell r="G61" t="str">
            <v>GRANADO BARRIENTOS  VICTOR PASTOR</v>
          </cell>
          <cell r="H61" t="str">
            <v>40699503</v>
          </cell>
          <cell r="I61" t="str">
            <v>BCP</v>
          </cell>
          <cell r="J61" t="str">
            <v>193-22161821-0-77</v>
          </cell>
          <cell r="K61" t="str">
            <v>DNI</v>
          </cell>
          <cell r="L61" t="str">
            <v>10406995033 </v>
          </cell>
          <cell r="M61" t="str">
            <v>OPEN MARINA</v>
          </cell>
          <cell r="N61">
            <v>44950</v>
          </cell>
          <cell r="O61">
            <v>210</v>
          </cell>
        </row>
        <row r="62">
          <cell r="A62">
            <v>7100</v>
          </cell>
          <cell r="B62">
            <v>7100</v>
          </cell>
          <cell r="C62" t="str">
            <v>CERO MATRICULA</v>
          </cell>
          <cell r="D62" t="str">
            <v>ACTIVO</v>
          </cell>
          <cell r="E62" t="str">
            <v>Z6V443</v>
          </cell>
          <cell r="F62" t="str">
            <v>PIRES PINEDA YORWIN JOSÉ</v>
          </cell>
          <cell r="G62" t="str">
            <v>PIRES PINEDA YORWIN JOSÉ</v>
          </cell>
          <cell r="H62" t="str">
            <v>007563220</v>
          </cell>
          <cell r="I62" t="str">
            <v>SCOTIABANK</v>
          </cell>
          <cell r="J62">
            <v>6800183862</v>
          </cell>
          <cell r="K62" t="str">
            <v>CE</v>
          </cell>
          <cell r="L62">
            <v>15610479623</v>
          </cell>
          <cell r="M62" t="str">
            <v>JOCKEY PLAZA</v>
          </cell>
          <cell r="N62">
            <v>44950</v>
          </cell>
          <cell r="O62">
            <v>240</v>
          </cell>
        </row>
        <row r="63">
          <cell r="A63">
            <v>7101</v>
          </cell>
          <cell r="B63">
            <v>7101</v>
          </cell>
          <cell r="C63" t="str">
            <v>CERO MATRICULA</v>
          </cell>
          <cell r="D63" t="str">
            <v>ACTIVO</v>
          </cell>
          <cell r="E63" t="str">
            <v>CCN-312</v>
          </cell>
          <cell r="F63" t="str">
            <v>RAMOS GUEVARA LUIS OSCAR</v>
          </cell>
          <cell r="G63" t="str">
            <v>RAMOS GUEVARA LUIS OSCAR</v>
          </cell>
          <cell r="H63" t="str">
            <v>002674405</v>
          </cell>
          <cell r="I63" t="str">
            <v>BBVA</v>
          </cell>
          <cell r="J63" t="str">
            <v>0011-0183-0201-3042-84</v>
          </cell>
          <cell r="K63" t="str">
            <v>CE</v>
          </cell>
          <cell r="L63" t="str">
            <v>15605691738 </v>
          </cell>
          <cell r="M63" t="str">
            <v>JOCKEY PLAZA</v>
          </cell>
          <cell r="N63">
            <v>44971</v>
          </cell>
          <cell r="O63">
            <v>240</v>
          </cell>
        </row>
        <row r="64">
          <cell r="A64">
            <v>7103</v>
          </cell>
          <cell r="B64">
            <v>7103</v>
          </cell>
          <cell r="C64" t="str">
            <v>CERO MATRICULA</v>
          </cell>
          <cell r="D64" t="str">
            <v>ACTIVO</v>
          </cell>
          <cell r="E64" t="str">
            <v>AZS242</v>
          </cell>
          <cell r="F64" t="str">
            <v>PRIETO RAMOS CARLOS ERICK JAIR</v>
          </cell>
          <cell r="G64" t="str">
            <v>PRIETO RAMOS CARLOS ERICK JAIR</v>
          </cell>
          <cell r="H64" t="str">
            <v>44526913</v>
          </cell>
          <cell r="I64" t="str">
            <v>INTERBANK</v>
          </cell>
          <cell r="J64" t="str">
            <v>2643-1087-9589-0</v>
          </cell>
          <cell r="K64" t="str">
            <v>DNI</v>
          </cell>
          <cell r="L64">
            <v>10445269137</v>
          </cell>
          <cell r="M64" t="str">
            <v>JOCKEY PLAZA</v>
          </cell>
          <cell r="N64">
            <v>44958</v>
          </cell>
          <cell r="O64">
            <v>240</v>
          </cell>
        </row>
        <row r="65">
          <cell r="A65">
            <v>7108</v>
          </cell>
          <cell r="B65">
            <v>7108</v>
          </cell>
          <cell r="C65" t="str">
            <v>CERO MATRICULA</v>
          </cell>
          <cell r="D65" t="str">
            <v>ACTIVO</v>
          </cell>
          <cell r="E65">
            <v>0</v>
          </cell>
          <cell r="F65" t="str">
            <v>HUARACC ARTEAGA MARCELO</v>
          </cell>
          <cell r="G65" t="str">
            <v>PENDIENTE</v>
          </cell>
          <cell r="H65" t="str">
            <v>PENDIENTE</v>
          </cell>
          <cell r="I65" t="str">
            <v>PENDIENTE</v>
          </cell>
          <cell r="J65" t="str">
            <v>PENDIENTE</v>
          </cell>
          <cell r="K65" t="str">
            <v>PENDIENTE</v>
          </cell>
          <cell r="L65" t="str">
            <v>PENDIENTE</v>
          </cell>
          <cell r="M65" t="str">
            <v>JOCKEY PLAZA</v>
          </cell>
          <cell r="N65" t="str">
            <v>PENDIENTE</v>
          </cell>
          <cell r="O65">
            <v>240</v>
          </cell>
        </row>
        <row r="66">
          <cell r="A66">
            <v>7109</v>
          </cell>
          <cell r="B66">
            <v>7109</v>
          </cell>
          <cell r="C66" t="str">
            <v>CERO MATRICULA</v>
          </cell>
          <cell r="D66" t="str">
            <v>ACTIVO</v>
          </cell>
          <cell r="E66" t="str">
            <v>BMX496</v>
          </cell>
          <cell r="F66" t="str">
            <v>CCAMA CONDORI XIOMAR PAULO CESAR</v>
          </cell>
          <cell r="G66" t="str">
            <v>CCAMA CONDORI XIOMAR PAULO CESAR</v>
          </cell>
          <cell r="H66" t="str">
            <v>45660545</v>
          </cell>
          <cell r="I66" t="str">
            <v>BCP</v>
          </cell>
          <cell r="J66" t="str">
            <v>191-94567135-0-56</v>
          </cell>
          <cell r="K66" t="str">
            <v>DNI</v>
          </cell>
          <cell r="L66">
            <v>10456605457</v>
          </cell>
          <cell r="M66" t="str">
            <v>JOCKEY PLAZA</v>
          </cell>
          <cell r="N66">
            <v>44965</v>
          </cell>
          <cell r="O66">
            <v>240</v>
          </cell>
        </row>
        <row r="67">
          <cell r="A67">
            <v>7116</v>
          </cell>
          <cell r="B67">
            <v>7116</v>
          </cell>
          <cell r="C67" t="str">
            <v>CERO MATRICULA</v>
          </cell>
          <cell r="D67" t="str">
            <v>ACTIVO</v>
          </cell>
          <cell r="E67" t="str">
            <v>BPI301</v>
          </cell>
          <cell r="F67" t="str">
            <v>MENDOZA RAYMUNDO DANTE DANIEL</v>
          </cell>
          <cell r="G67" t="str">
            <v>YUPANQUI RODRIGUEZ MARICELA</v>
          </cell>
          <cell r="H67">
            <v>464657440</v>
          </cell>
          <cell r="I67" t="str">
            <v>INTERBANK</v>
          </cell>
          <cell r="J67" t="str">
            <v>003-290-013345313817-43</v>
          </cell>
          <cell r="K67" t="str">
            <v>DNI</v>
          </cell>
          <cell r="L67">
            <v>10464657440</v>
          </cell>
          <cell r="M67" t="str">
            <v>JOCKEY PLAZA</v>
          </cell>
          <cell r="N67">
            <v>44984</v>
          </cell>
          <cell r="O67">
            <v>240</v>
          </cell>
        </row>
        <row r="68">
          <cell r="A68">
            <v>7123</v>
          </cell>
          <cell r="B68">
            <v>7123</v>
          </cell>
          <cell r="C68" t="str">
            <v>CERO MATRICULA</v>
          </cell>
          <cell r="D68" t="str">
            <v>ACTIVO</v>
          </cell>
          <cell r="E68">
            <v>0</v>
          </cell>
          <cell r="F68" t="str">
            <v>HUAMAN PEREZ LUIS ALBERTO</v>
          </cell>
          <cell r="G68" t="str">
            <v>HUAMAN PEREZ LUIS ALBERTO</v>
          </cell>
          <cell r="H68" t="str">
            <v>41842044</v>
          </cell>
          <cell r="I68" t="str">
            <v>BCP</v>
          </cell>
          <cell r="J68" t="str">
            <v>19136367055097</v>
          </cell>
          <cell r="K68" t="str">
            <v>DNI</v>
          </cell>
          <cell r="L68">
            <v>10418420443</v>
          </cell>
          <cell r="M68" t="str">
            <v>JOCKEY PLAZA</v>
          </cell>
          <cell r="N68" t="str">
            <v>PENDIENTE</v>
          </cell>
          <cell r="O68">
            <v>240</v>
          </cell>
        </row>
        <row r="69">
          <cell r="A69">
            <v>7127</v>
          </cell>
          <cell r="B69">
            <v>7127</v>
          </cell>
          <cell r="C69" t="str">
            <v>CERO MATRICULA</v>
          </cell>
          <cell r="D69" t="str">
            <v>ACTIVO</v>
          </cell>
          <cell r="E69">
            <v>0</v>
          </cell>
          <cell r="F69" t="str">
            <v>BARZOLA ALTAMIRANO FRANK</v>
          </cell>
          <cell r="G69" t="str">
            <v xml:space="preserve">AYALA RAMOS LUIS ANTONIO </v>
          </cell>
          <cell r="H69" t="str">
            <v>71418213</v>
          </cell>
          <cell r="I69" t="str">
            <v>BCP</v>
          </cell>
          <cell r="J69" t="str">
            <v>19396515529031</v>
          </cell>
          <cell r="K69" t="str">
            <v>DNI</v>
          </cell>
          <cell r="L69">
            <v>10714182132</v>
          </cell>
          <cell r="M69" t="str">
            <v>JOCKEY PLAZA</v>
          </cell>
          <cell r="N69" t="str">
            <v>PENDIENTE</v>
          </cell>
          <cell r="O69">
            <v>240</v>
          </cell>
        </row>
        <row r="70">
          <cell r="A70">
            <v>7129</v>
          </cell>
          <cell r="B70">
            <v>7129</v>
          </cell>
          <cell r="C70" t="str">
            <v>CERO MATRICULA</v>
          </cell>
          <cell r="D70" t="str">
            <v>ACTIVO</v>
          </cell>
          <cell r="E70" t="str">
            <v>PENDIENTE</v>
          </cell>
          <cell r="F70" t="str">
            <v>PENDIENTE</v>
          </cell>
          <cell r="G70" t="str">
            <v>PENDIENTE</v>
          </cell>
          <cell r="H70" t="str">
            <v>PENDIENTE</v>
          </cell>
          <cell r="I70" t="str">
            <v>PENDIENTE</v>
          </cell>
          <cell r="J70" t="str">
            <v>PENDIENTE</v>
          </cell>
          <cell r="K70" t="str">
            <v>PENDIENTE</v>
          </cell>
          <cell r="L70" t="str">
            <v>PENDIENTE</v>
          </cell>
          <cell r="M70" t="str">
            <v>OPEN MARINA</v>
          </cell>
          <cell r="N70">
            <v>45243</v>
          </cell>
          <cell r="O70">
            <v>210</v>
          </cell>
        </row>
        <row r="71">
          <cell r="A71">
            <v>7146</v>
          </cell>
          <cell r="B71">
            <v>7146</v>
          </cell>
          <cell r="C71" t="str">
            <v>CERO MATRICULA</v>
          </cell>
          <cell r="D71" t="str">
            <v>ACTIVO</v>
          </cell>
          <cell r="E71">
            <v>0</v>
          </cell>
          <cell r="F71" t="str">
            <v>GUTIERREZ PALOMINO SILVER WILLAIM</v>
          </cell>
          <cell r="G71" t="str">
            <v>PENDIENTE</v>
          </cell>
          <cell r="H71" t="str">
            <v>PENDIENTE</v>
          </cell>
          <cell r="I71" t="str">
            <v>PENDIENTE</v>
          </cell>
          <cell r="J71" t="str">
            <v>PENDIENTE</v>
          </cell>
          <cell r="K71" t="str">
            <v>PENDIENTE</v>
          </cell>
          <cell r="L71" t="str">
            <v>PENDIENTE</v>
          </cell>
          <cell r="M71" t="str">
            <v>JOCKEY PLAZA</v>
          </cell>
          <cell r="N71" t="str">
            <v>PENDIENTE</v>
          </cell>
          <cell r="O71">
            <v>240</v>
          </cell>
        </row>
        <row r="72">
          <cell r="A72">
            <v>7183</v>
          </cell>
          <cell r="B72">
            <v>7183</v>
          </cell>
          <cell r="C72" t="str">
            <v>CERO MATRICULA</v>
          </cell>
          <cell r="D72" t="str">
            <v>ACTIVO</v>
          </cell>
          <cell r="E72">
            <v>0</v>
          </cell>
          <cell r="F72" t="str">
            <v xml:space="preserve">AYALA RAMOS LUIS ANTONIO </v>
          </cell>
          <cell r="G72" t="str">
            <v xml:space="preserve">AYALA RAMOS LUIS ANTONIO </v>
          </cell>
          <cell r="H72" t="str">
            <v>71418213</v>
          </cell>
          <cell r="I72" t="str">
            <v>BCP</v>
          </cell>
          <cell r="J72" t="str">
            <v>19396515529031</v>
          </cell>
          <cell r="K72" t="str">
            <v>DNI</v>
          </cell>
          <cell r="L72">
            <v>10714182132</v>
          </cell>
          <cell r="M72" t="str">
            <v>JOCKEY PLAZA</v>
          </cell>
          <cell r="N72" t="str">
            <v>PENDIENTE</v>
          </cell>
          <cell r="O72">
            <v>240</v>
          </cell>
        </row>
        <row r="73">
          <cell r="A73">
            <v>7345</v>
          </cell>
          <cell r="B73">
            <v>7345</v>
          </cell>
          <cell r="C73" t="str">
            <v>CERO MATRICULA</v>
          </cell>
          <cell r="D73" t="str">
            <v>ACTIVO</v>
          </cell>
          <cell r="E73">
            <v>0</v>
          </cell>
          <cell r="F73" t="str">
            <v>ROSALES DOMINGUEZ ZENON CIRILO</v>
          </cell>
          <cell r="G73" t="str">
            <v>ROSALES DOMINGUEZ ZENON CIRILO</v>
          </cell>
          <cell r="H73">
            <v>10094773</v>
          </cell>
          <cell r="I73" t="str">
            <v>BCP</v>
          </cell>
          <cell r="J73">
            <v>19435791947080</v>
          </cell>
          <cell r="K73" t="str">
            <v>DNI</v>
          </cell>
          <cell r="L73">
            <v>10100947736</v>
          </cell>
          <cell r="M73" t="str">
            <v>JOCKEY PLAZA</v>
          </cell>
          <cell r="N73" t="str">
            <v>PENDIENTE</v>
          </cell>
          <cell r="O73">
            <v>240</v>
          </cell>
        </row>
        <row r="74">
          <cell r="A74">
            <v>7380</v>
          </cell>
          <cell r="B74">
            <v>7380</v>
          </cell>
          <cell r="C74" t="str">
            <v>CERO MATRICULA</v>
          </cell>
          <cell r="D74" t="str">
            <v>ACTIVO</v>
          </cell>
          <cell r="E74">
            <v>0</v>
          </cell>
          <cell r="F74" t="str">
            <v xml:space="preserve">MAMANI CALDERON CARLOS JHON </v>
          </cell>
          <cell r="G74" t="str">
            <v xml:space="preserve">MAMANI CALDERON CARLOS JHON </v>
          </cell>
          <cell r="H74" t="str">
            <v>07496170</v>
          </cell>
          <cell r="I74" t="str">
            <v>BBVA</v>
          </cell>
          <cell r="J74" t="str">
            <v>0011-0136-97-0200383710</v>
          </cell>
          <cell r="K74" t="str">
            <v>DNI</v>
          </cell>
          <cell r="L74">
            <v>10074961709</v>
          </cell>
          <cell r="M74" t="str">
            <v>JOCKEY PLAZA</v>
          </cell>
          <cell r="N74" t="str">
            <v>PENDIENTE</v>
          </cell>
          <cell r="O74">
            <v>240</v>
          </cell>
        </row>
        <row r="75">
          <cell r="A75">
            <v>7395</v>
          </cell>
          <cell r="B75">
            <v>7395</v>
          </cell>
          <cell r="C75" t="str">
            <v>CERO MATRICULA</v>
          </cell>
          <cell r="D75" t="str">
            <v>ACTIVO</v>
          </cell>
          <cell r="E75">
            <v>0</v>
          </cell>
          <cell r="F75" t="str">
            <v>FARFAN BANCES JOSE MARTIN</v>
          </cell>
          <cell r="G75" t="str">
            <v xml:space="preserve">MONTEJO RIVERA ALBERTO MAXIMO </v>
          </cell>
          <cell r="H75" t="str">
            <v>41294787</v>
          </cell>
          <cell r="I75" t="str">
            <v>BCP</v>
          </cell>
          <cell r="J75" t="str">
            <v>193-34522332-0-41</v>
          </cell>
          <cell r="K75" t="str">
            <v>DNI</v>
          </cell>
          <cell r="L75">
            <v>10412947873</v>
          </cell>
          <cell r="M75" t="str">
            <v>JOCKEY PLAZA</v>
          </cell>
          <cell r="N75" t="str">
            <v>PENDIENTE</v>
          </cell>
          <cell r="O75">
            <v>240</v>
          </cell>
        </row>
        <row r="76">
          <cell r="A76">
            <v>7398</v>
          </cell>
          <cell r="B76">
            <v>7398</v>
          </cell>
          <cell r="C76" t="str">
            <v>CERO MATRICULA</v>
          </cell>
          <cell r="D76" t="str">
            <v>ACTIVO</v>
          </cell>
          <cell r="E76">
            <v>0</v>
          </cell>
          <cell r="F76" t="str">
            <v>ROSALES RUIZ LUIS EDUARDO</v>
          </cell>
          <cell r="G76" t="str">
            <v>ROSALES RUIZ LUIS EDUARDO</v>
          </cell>
          <cell r="H76">
            <v>40551329</v>
          </cell>
          <cell r="I76" t="str">
            <v>BCP</v>
          </cell>
          <cell r="J76">
            <v>19301341706058</v>
          </cell>
          <cell r="K76" t="str">
            <v>DNI</v>
          </cell>
          <cell r="L76">
            <v>10405513299</v>
          </cell>
          <cell r="M76" t="str">
            <v>JOCKEY PLAZA</v>
          </cell>
          <cell r="N76" t="str">
            <v>PENDIENTE</v>
          </cell>
          <cell r="O76">
            <v>240</v>
          </cell>
        </row>
        <row r="77">
          <cell r="A77">
            <v>7402</v>
          </cell>
          <cell r="B77">
            <v>7402</v>
          </cell>
          <cell r="C77" t="str">
            <v>CERO MATRICULA</v>
          </cell>
          <cell r="D77" t="str">
            <v>ACTIVO</v>
          </cell>
          <cell r="E77">
            <v>0</v>
          </cell>
          <cell r="F77" t="str">
            <v>PAREDES HUAMANI BENJAMIN CLODUALDO</v>
          </cell>
          <cell r="G77" t="str">
            <v>PAREDES HUAMANI BENJAMIN CLODUALDO</v>
          </cell>
          <cell r="H77">
            <v>40074632</v>
          </cell>
          <cell r="I77" t="str">
            <v>BCP</v>
          </cell>
          <cell r="J77" t="str">
            <v>19494357683088</v>
          </cell>
          <cell r="K77" t="str">
            <v>DNI</v>
          </cell>
          <cell r="L77">
            <v>10400746325</v>
          </cell>
          <cell r="M77" t="str">
            <v>JOCKEY PLAZA</v>
          </cell>
          <cell r="N77" t="str">
            <v>PENDIENTE</v>
          </cell>
          <cell r="O77">
            <v>240</v>
          </cell>
        </row>
        <row r="78">
          <cell r="A78">
            <v>7417</v>
          </cell>
          <cell r="B78">
            <v>7417</v>
          </cell>
          <cell r="C78" t="str">
            <v>CERO MATRICULA</v>
          </cell>
          <cell r="D78" t="str">
            <v>ACTIVO</v>
          </cell>
          <cell r="E78" t="str">
            <v>AVE056</v>
          </cell>
          <cell r="F78" t="str">
            <v>CERA CUNYA SANTOS GERMAN</v>
          </cell>
          <cell r="G78" t="str">
            <v>SANTOS GERMAN CERA CUNYA</v>
          </cell>
          <cell r="H78" t="str">
            <v>47195736</v>
          </cell>
          <cell r="I78" t="str">
            <v>BCP</v>
          </cell>
          <cell r="J78" t="str">
            <v>19199591926003</v>
          </cell>
          <cell r="K78" t="str">
            <v>DNI</v>
          </cell>
          <cell r="L78" t="str">
            <v>PENDIENTE</v>
          </cell>
          <cell r="M78" t="str">
            <v>JOCKEY PLAZA</v>
          </cell>
          <cell r="N78" t="str">
            <v>PENDIENTE</v>
          </cell>
          <cell r="O78">
            <v>240</v>
          </cell>
        </row>
        <row r="79">
          <cell r="A79">
            <v>7438</v>
          </cell>
          <cell r="B79">
            <v>7438</v>
          </cell>
          <cell r="C79" t="str">
            <v>CERO MATRICULA</v>
          </cell>
          <cell r="D79" t="str">
            <v>ACTIVO</v>
          </cell>
          <cell r="E79">
            <v>0</v>
          </cell>
          <cell r="F79" t="str">
            <v>SEGOVIA ESPINOZA MIGUEL ANGEL</v>
          </cell>
          <cell r="G79" t="str">
            <v>MACEDO SOLIS JANYNA</v>
          </cell>
          <cell r="H79">
            <v>25851550</v>
          </cell>
          <cell r="I79" t="str">
            <v>INTERBANK</v>
          </cell>
          <cell r="J79" t="str">
            <v>0893102551361</v>
          </cell>
          <cell r="K79" t="str">
            <v>DNI</v>
          </cell>
          <cell r="L79">
            <v>10258515507</v>
          </cell>
          <cell r="M79" t="str">
            <v>JOCKEY PLAZA</v>
          </cell>
          <cell r="N79" t="str">
            <v>PENDIENTE</v>
          </cell>
          <cell r="O79">
            <v>240</v>
          </cell>
        </row>
        <row r="80">
          <cell r="A80">
            <v>7474</v>
          </cell>
          <cell r="B80">
            <v>7474</v>
          </cell>
          <cell r="C80" t="str">
            <v>CERO MATRICULA</v>
          </cell>
          <cell r="D80" t="str">
            <v>ACTIVO</v>
          </cell>
          <cell r="E80" t="str">
            <v>AVC609</v>
          </cell>
          <cell r="F80" t="str">
            <v xml:space="preserve">PAHUACHO MEZA EMER DAVID </v>
          </cell>
          <cell r="G80" t="str">
            <v>PAHUACHO MEZA EMER DAVID</v>
          </cell>
          <cell r="H80" t="str">
            <v>45957383</v>
          </cell>
          <cell r="I80" t="str">
            <v>INTERBANK</v>
          </cell>
          <cell r="J80" t="str">
            <v>898-3132376672</v>
          </cell>
          <cell r="K80" t="str">
            <v>DNI</v>
          </cell>
          <cell r="L80">
            <v>10459573831</v>
          </cell>
          <cell r="M80" t="str">
            <v>JOCKEY PLAZA</v>
          </cell>
          <cell r="N80" t="str">
            <v>PENDIENTE</v>
          </cell>
          <cell r="O80">
            <v>240</v>
          </cell>
        </row>
        <row r="81">
          <cell r="A81">
            <v>7494</v>
          </cell>
          <cell r="B81">
            <v>7494</v>
          </cell>
          <cell r="C81" t="str">
            <v>CERO MATRICULA</v>
          </cell>
          <cell r="D81" t="str">
            <v>ACTIVO</v>
          </cell>
          <cell r="E81">
            <v>0</v>
          </cell>
          <cell r="F81" t="str">
            <v>TELLO MIGMA AMADOR</v>
          </cell>
          <cell r="G81" t="str">
            <v>TELLO MIGMA AMADOR</v>
          </cell>
          <cell r="H81" t="str">
            <v>06703186</v>
          </cell>
          <cell r="I81" t="str">
            <v>BCP</v>
          </cell>
          <cell r="J81" t="str">
            <v>19130103300073</v>
          </cell>
          <cell r="K81" t="str">
            <v>DNI</v>
          </cell>
          <cell r="L81">
            <v>10067031861</v>
          </cell>
          <cell r="M81" t="str">
            <v>JOCKEY PLAZA</v>
          </cell>
          <cell r="N81" t="str">
            <v>PENDIENTE</v>
          </cell>
          <cell r="O81">
            <v>240</v>
          </cell>
        </row>
        <row r="82">
          <cell r="A82">
            <v>7517</v>
          </cell>
          <cell r="B82">
            <v>7517</v>
          </cell>
          <cell r="C82" t="str">
            <v>CERO MATRICULA</v>
          </cell>
          <cell r="D82" t="str">
            <v>ACTIVO</v>
          </cell>
          <cell r="E82">
            <v>0</v>
          </cell>
          <cell r="F82" t="str">
            <v>GARAY EFFIO JUAN CARLOS</v>
          </cell>
          <cell r="G82" t="str">
            <v>PENDIENTE</v>
          </cell>
          <cell r="H82" t="str">
            <v>PENDIENTE</v>
          </cell>
          <cell r="I82" t="str">
            <v>PENDIENTE</v>
          </cell>
          <cell r="J82" t="str">
            <v>PENDIENTE</v>
          </cell>
          <cell r="K82" t="str">
            <v>PENDIENTE</v>
          </cell>
          <cell r="L82" t="str">
            <v>PENDIENTE</v>
          </cell>
          <cell r="M82" t="str">
            <v>JOCKEY PLAZA</v>
          </cell>
          <cell r="N82" t="str">
            <v>PENDIENTE</v>
          </cell>
          <cell r="O82">
            <v>240</v>
          </cell>
        </row>
        <row r="83">
          <cell r="A83">
            <v>7520</v>
          </cell>
          <cell r="B83">
            <v>7520</v>
          </cell>
          <cell r="C83" t="str">
            <v>CERO MATRICULA</v>
          </cell>
          <cell r="D83" t="str">
            <v>ACTIVO</v>
          </cell>
          <cell r="E83">
            <v>0</v>
          </cell>
          <cell r="F83" t="str">
            <v xml:space="preserve">SORIANO RAMIREZ HERNAN </v>
          </cell>
          <cell r="G83" t="str">
            <v>SORIANO RAMIREZ HERNAN DAVID</v>
          </cell>
          <cell r="H83">
            <v>40464005</v>
          </cell>
          <cell r="I83" t="str">
            <v>BCP</v>
          </cell>
          <cell r="J83" t="str">
            <v>19438205015023</v>
          </cell>
          <cell r="K83" t="str">
            <v>DNI</v>
          </cell>
          <cell r="L83">
            <v>10404640050</v>
          </cell>
          <cell r="M83" t="str">
            <v>JOCKEY PLAZA</v>
          </cell>
          <cell r="N83" t="str">
            <v>PENDIENTE</v>
          </cell>
          <cell r="O83">
            <v>240</v>
          </cell>
        </row>
        <row r="84">
          <cell r="A84">
            <v>7554</v>
          </cell>
          <cell r="B84">
            <v>7554</v>
          </cell>
          <cell r="C84" t="str">
            <v>CERO MATRICULA</v>
          </cell>
          <cell r="D84" t="str">
            <v>ACTIVO</v>
          </cell>
          <cell r="E84">
            <v>0</v>
          </cell>
          <cell r="F84" t="str">
            <v>RODRIGUEZ RAMOS JOSE PATRICK</v>
          </cell>
          <cell r="G84" t="str">
            <v>RODRIGUEZ RAMOS JOSE PATRICK</v>
          </cell>
          <cell r="H84" t="str">
            <v>25606167</v>
          </cell>
          <cell r="I84" t="str">
            <v>BCP</v>
          </cell>
          <cell r="J84">
            <v>19339003321093</v>
          </cell>
          <cell r="K84" t="str">
            <v>DNI</v>
          </cell>
          <cell r="L84">
            <v>10256061673</v>
          </cell>
          <cell r="M84" t="str">
            <v>JOCKEY PLAZA</v>
          </cell>
          <cell r="N84">
            <v>44886</v>
          </cell>
          <cell r="O84">
            <v>240</v>
          </cell>
        </row>
        <row r="85">
          <cell r="A85">
            <v>7559</v>
          </cell>
          <cell r="B85">
            <v>7559</v>
          </cell>
          <cell r="C85" t="str">
            <v>CERO MATRICULA</v>
          </cell>
          <cell r="D85" t="str">
            <v>ACTIVO</v>
          </cell>
          <cell r="E85">
            <v>0</v>
          </cell>
          <cell r="F85" t="str">
            <v>CAÑARI CASAÑO EDGARDO MIGUEL</v>
          </cell>
          <cell r="G85" t="str">
            <v>JULIO CESAR CAÑARI CASAÑO</v>
          </cell>
          <cell r="H85" t="str">
            <v>46411242</v>
          </cell>
          <cell r="I85" t="str">
            <v>INTERBANK</v>
          </cell>
          <cell r="J85" t="str">
            <v>8983474595112</v>
          </cell>
          <cell r="K85" t="str">
            <v>DNI</v>
          </cell>
          <cell r="L85">
            <v>10464112427</v>
          </cell>
          <cell r="M85" t="str">
            <v>JOCKEY PLAZA</v>
          </cell>
          <cell r="N85" t="str">
            <v>PENDIENTE</v>
          </cell>
          <cell r="O85">
            <v>240</v>
          </cell>
        </row>
        <row r="86">
          <cell r="A86">
            <v>7567</v>
          </cell>
          <cell r="B86">
            <v>7567</v>
          </cell>
          <cell r="C86" t="str">
            <v>CERO MATRICULA</v>
          </cell>
          <cell r="D86" t="str">
            <v>ACTIVO</v>
          </cell>
          <cell r="E86">
            <v>0</v>
          </cell>
          <cell r="F86" t="str">
            <v>FERNANDEZ MATOS WILBER TEODICIO</v>
          </cell>
          <cell r="G86" t="str">
            <v>PENDIENTE</v>
          </cell>
          <cell r="H86" t="str">
            <v>PENDIENTE</v>
          </cell>
          <cell r="I86" t="str">
            <v>PENDIENTE</v>
          </cell>
          <cell r="J86" t="str">
            <v>PENDIENTE</v>
          </cell>
          <cell r="K86" t="str">
            <v>PENDIENTE</v>
          </cell>
          <cell r="L86" t="str">
            <v>PENDIENTE</v>
          </cell>
          <cell r="M86" t="str">
            <v>JOCKEY PLAZA</v>
          </cell>
          <cell r="N86" t="str">
            <v>PENDIENTE</v>
          </cell>
          <cell r="O86">
            <v>240</v>
          </cell>
        </row>
        <row r="87">
          <cell r="A87">
            <v>7577</v>
          </cell>
          <cell r="B87">
            <v>7577</v>
          </cell>
          <cell r="C87" t="str">
            <v>CERO MATRICULA</v>
          </cell>
          <cell r="D87" t="str">
            <v>ACTIVO</v>
          </cell>
          <cell r="E87">
            <v>0</v>
          </cell>
          <cell r="F87" t="str">
            <v>QUISPE ALBERCO LUIS VICENTE</v>
          </cell>
          <cell r="G87" t="str">
            <v>QUISPE ALBERCO LUIS VICENTE</v>
          </cell>
          <cell r="H87" t="str">
            <v>48264577</v>
          </cell>
          <cell r="I87" t="str">
            <v>BCP</v>
          </cell>
          <cell r="J87" t="str">
            <v>19399626022043</v>
          </cell>
          <cell r="K87" t="str">
            <v>DNI</v>
          </cell>
          <cell r="L87">
            <v>10482645777</v>
          </cell>
          <cell r="M87" t="str">
            <v>JOCKEY PLAZA</v>
          </cell>
          <cell r="N87" t="str">
            <v>PENDIENTE</v>
          </cell>
          <cell r="O87">
            <v>240</v>
          </cell>
        </row>
        <row r="88">
          <cell r="A88">
            <v>7578</v>
          </cell>
          <cell r="B88">
            <v>7578</v>
          </cell>
          <cell r="C88" t="str">
            <v>CERO MATRICULA</v>
          </cell>
          <cell r="D88" t="str">
            <v>ACTIVO</v>
          </cell>
          <cell r="E88">
            <v>0</v>
          </cell>
          <cell r="F88" t="str">
            <v>CORILLA ZAVALA YONCARLOS</v>
          </cell>
          <cell r="G88" t="str">
            <v>CORILLA ZAVALA YONCARLOS</v>
          </cell>
          <cell r="H88" t="str">
            <v>45112653</v>
          </cell>
          <cell r="I88" t="str">
            <v>BCP</v>
          </cell>
          <cell r="J88" t="str">
            <v>19136365207031</v>
          </cell>
          <cell r="K88" t="str">
            <v>DNI</v>
          </cell>
          <cell r="L88">
            <v>10451126534</v>
          </cell>
          <cell r="M88" t="str">
            <v>JOCKEY PLAZA</v>
          </cell>
          <cell r="N88" t="str">
            <v>PENDIENTE</v>
          </cell>
          <cell r="O88">
            <v>240</v>
          </cell>
        </row>
        <row r="89">
          <cell r="A89">
            <v>7580</v>
          </cell>
          <cell r="B89">
            <v>7580</v>
          </cell>
          <cell r="C89" t="str">
            <v>CERO MATRICULA</v>
          </cell>
          <cell r="D89" t="str">
            <v>ACTIVO</v>
          </cell>
          <cell r="E89">
            <v>0</v>
          </cell>
          <cell r="F89" t="str">
            <v>NAVARRO VARGAS VLADIMIR RODRIGO</v>
          </cell>
          <cell r="G89" t="str">
            <v>NAVARRO VARGAS VLADIMIR RODRIGO</v>
          </cell>
          <cell r="H89">
            <v>41205242</v>
          </cell>
          <cell r="I89" t="str">
            <v>BCP</v>
          </cell>
          <cell r="J89" t="str">
            <v>19439639924025</v>
          </cell>
          <cell r="K89" t="str">
            <v>DNI</v>
          </cell>
          <cell r="L89">
            <v>10412052426</v>
          </cell>
          <cell r="M89" t="str">
            <v>JOCKEY PLAZA</v>
          </cell>
          <cell r="N89" t="str">
            <v>PENDIENTE</v>
          </cell>
          <cell r="O89">
            <v>240</v>
          </cell>
        </row>
        <row r="90">
          <cell r="A90">
            <v>7581</v>
          </cell>
          <cell r="B90">
            <v>7581</v>
          </cell>
          <cell r="C90" t="str">
            <v>CERO MATRICULA</v>
          </cell>
          <cell r="D90" t="str">
            <v>ACTIVO</v>
          </cell>
          <cell r="E90">
            <v>0</v>
          </cell>
          <cell r="F90" t="str">
            <v>CORONEL CARRANZA JOSE</v>
          </cell>
          <cell r="G90" t="str">
            <v>CORONEL CARRANZA JOSE KLEIDER</v>
          </cell>
          <cell r="H90" t="str">
            <v>47739174</v>
          </cell>
          <cell r="I90" t="str">
            <v>BCP</v>
          </cell>
          <cell r="J90" t="str">
            <v>19133236712035</v>
          </cell>
          <cell r="K90" t="str">
            <v>DNI</v>
          </cell>
          <cell r="L90">
            <v>10477391741</v>
          </cell>
          <cell r="M90" t="str">
            <v>JOCKEY PLAZA</v>
          </cell>
          <cell r="N90" t="str">
            <v>PENDIENTE</v>
          </cell>
          <cell r="O90">
            <v>240</v>
          </cell>
        </row>
        <row r="91">
          <cell r="A91">
            <v>7591</v>
          </cell>
          <cell r="B91">
            <v>7591</v>
          </cell>
          <cell r="C91" t="str">
            <v>CERO MATRICULA</v>
          </cell>
          <cell r="D91" t="str">
            <v>ACTIVO</v>
          </cell>
          <cell r="E91">
            <v>0</v>
          </cell>
          <cell r="F91" t="str">
            <v>ROMERO RODRIGUEZ ORLANDO JAVIER</v>
          </cell>
          <cell r="G91" t="str">
            <v>ROMERO RODRIGUEZ ORLANDO JAVIER</v>
          </cell>
          <cell r="H91" t="str">
            <v>08211755</v>
          </cell>
          <cell r="I91" t="str">
            <v>BCP</v>
          </cell>
          <cell r="J91" t="str">
            <v>193-70706587-0-92</v>
          </cell>
          <cell r="K91" t="str">
            <v>DNI</v>
          </cell>
          <cell r="L91">
            <v>10082117551</v>
          </cell>
          <cell r="M91" t="str">
            <v>JOCKEY PLAZA</v>
          </cell>
          <cell r="N91" t="str">
            <v>PENDIENTE</v>
          </cell>
          <cell r="O91">
            <v>240</v>
          </cell>
        </row>
        <row r="92">
          <cell r="A92">
            <v>7606</v>
          </cell>
          <cell r="B92">
            <v>7606</v>
          </cell>
          <cell r="C92" t="str">
            <v>CERO MATRICULA</v>
          </cell>
          <cell r="D92" t="str">
            <v>ACTIVO</v>
          </cell>
          <cell r="E92">
            <v>0</v>
          </cell>
          <cell r="F92" t="str">
            <v>RICSE PAUCAR VEITER</v>
          </cell>
          <cell r="G92" t="str">
            <v>RICSE PAUCAR VEITER</v>
          </cell>
          <cell r="H92">
            <v>70567778</v>
          </cell>
          <cell r="I92" t="str">
            <v>BCP</v>
          </cell>
          <cell r="J92" t="str">
            <v>19191650405065</v>
          </cell>
          <cell r="K92" t="str">
            <v>DNI</v>
          </cell>
          <cell r="L92">
            <v>10705677781</v>
          </cell>
          <cell r="M92" t="str">
            <v>JOCKEY PLAZA</v>
          </cell>
          <cell r="N92">
            <v>45064</v>
          </cell>
          <cell r="O92">
            <v>240</v>
          </cell>
        </row>
        <row r="93">
          <cell r="A93">
            <v>7608</v>
          </cell>
          <cell r="B93">
            <v>7608</v>
          </cell>
          <cell r="C93" t="str">
            <v>CERO MATRICULA</v>
          </cell>
          <cell r="D93" t="str">
            <v>ACTIVO</v>
          </cell>
          <cell r="E93">
            <v>0</v>
          </cell>
          <cell r="F93" t="str">
            <v>CACERES JESUS RODOLFO</v>
          </cell>
          <cell r="G93" t="str">
            <v>LUIS ANGEL CARIDAD NAVA</v>
          </cell>
          <cell r="H93" t="str">
            <v>003746201</v>
          </cell>
          <cell r="I93" t="str">
            <v>BCP</v>
          </cell>
          <cell r="J93" t="str">
            <v>19394487136049</v>
          </cell>
          <cell r="K93" t="str">
            <v>CE</v>
          </cell>
          <cell r="L93">
            <v>15609655540</v>
          </cell>
          <cell r="M93" t="str">
            <v>JOCKEY PLAZA</v>
          </cell>
          <cell r="N93" t="str">
            <v>PENDIENTE</v>
          </cell>
          <cell r="O93">
            <v>240</v>
          </cell>
        </row>
        <row r="94">
          <cell r="A94">
            <v>7609</v>
          </cell>
          <cell r="B94">
            <v>7609</v>
          </cell>
          <cell r="C94" t="str">
            <v>CERO MATRICULA</v>
          </cell>
          <cell r="D94" t="str">
            <v>ACTIVO</v>
          </cell>
          <cell r="E94">
            <v>0</v>
          </cell>
          <cell r="F94" t="str">
            <v>PARGAS AMARO FRANKLIN SILVESTRE</v>
          </cell>
          <cell r="G94" t="str">
            <v>PARGAS AMARO FRANKLIN SILVESTRE</v>
          </cell>
          <cell r="H94" t="str">
            <v>002526958</v>
          </cell>
          <cell r="I94" t="str">
            <v>BCP</v>
          </cell>
          <cell r="J94" t="str">
            <v>191-90362337086</v>
          </cell>
          <cell r="K94" t="str">
            <v>CE</v>
          </cell>
          <cell r="L94">
            <v>15603832954</v>
          </cell>
          <cell r="M94" t="str">
            <v>JOCKEY PLAZA</v>
          </cell>
          <cell r="N94" t="str">
            <v>PENDIENTE</v>
          </cell>
          <cell r="O94">
            <v>240</v>
          </cell>
        </row>
        <row r="95">
          <cell r="A95">
            <v>7615</v>
          </cell>
          <cell r="B95">
            <v>7615</v>
          </cell>
          <cell r="C95" t="str">
            <v>CERO MATRICULA</v>
          </cell>
          <cell r="D95" t="str">
            <v>ACTIVO</v>
          </cell>
          <cell r="E95">
            <v>0</v>
          </cell>
          <cell r="F95" t="str">
            <v xml:space="preserve">BERRIO PERDOMO JONATHAN LENIN </v>
          </cell>
          <cell r="G95" t="str">
            <v xml:space="preserve">BERRIO PERDOMO JONATHAN LENIN </v>
          </cell>
          <cell r="H95" t="str">
            <v>003220928</v>
          </cell>
          <cell r="I95" t="str">
            <v>BCP</v>
          </cell>
          <cell r="J95" t="str">
            <v>191-00579059-0-06</v>
          </cell>
          <cell r="K95" t="str">
            <v>CE</v>
          </cell>
          <cell r="L95">
            <v>15606516573</v>
          </cell>
          <cell r="M95" t="str">
            <v>JOCKEY PLAZA</v>
          </cell>
          <cell r="N95" t="str">
            <v>PENDIENTE</v>
          </cell>
          <cell r="O95">
            <v>240</v>
          </cell>
        </row>
        <row r="96">
          <cell r="A96">
            <v>7622</v>
          </cell>
          <cell r="B96">
            <v>7622</v>
          </cell>
          <cell r="C96" t="str">
            <v>CERO MATRICULA</v>
          </cell>
          <cell r="D96" t="str">
            <v>ACTIVO</v>
          </cell>
          <cell r="E96" t="str">
            <v>ACG240</v>
          </cell>
          <cell r="F96" t="str">
            <v>ICHPAS VALVERDE CARLOS MIGUEL</v>
          </cell>
          <cell r="G96" t="str">
            <v>ICHPAS VALVERDE CARLOS MIGUEL</v>
          </cell>
          <cell r="H96" t="str">
            <v>07684560</v>
          </cell>
          <cell r="I96" t="str">
            <v>BCP</v>
          </cell>
          <cell r="J96" t="str">
            <v>191-060-988-560-59</v>
          </cell>
          <cell r="K96" t="str">
            <v>DNI</v>
          </cell>
          <cell r="L96">
            <v>10076845609</v>
          </cell>
          <cell r="M96" t="str">
            <v>JOCKEY PLAZA</v>
          </cell>
          <cell r="N96" t="str">
            <v>PENDIENTE</v>
          </cell>
          <cell r="O96">
            <v>240</v>
          </cell>
        </row>
        <row r="97">
          <cell r="A97">
            <v>7627</v>
          </cell>
          <cell r="B97">
            <v>7627</v>
          </cell>
          <cell r="C97" t="str">
            <v>CERO MATRICULA</v>
          </cell>
          <cell r="D97" t="str">
            <v>ACTIVO</v>
          </cell>
          <cell r="E97" t="str">
            <v>BPS043</v>
          </cell>
          <cell r="F97" t="str">
            <v>RAMOS GUZMAN RICARDO JOSE</v>
          </cell>
          <cell r="G97" t="str">
            <v>RAMOS GUZMAN RICARDO JOSE</v>
          </cell>
          <cell r="H97" t="str">
            <v>45480212</v>
          </cell>
          <cell r="I97" t="str">
            <v>BCP</v>
          </cell>
          <cell r="J97" t="str">
            <v>19493478031051</v>
          </cell>
          <cell r="K97" t="str">
            <v>DNI</v>
          </cell>
          <cell r="L97">
            <v>10454802123</v>
          </cell>
          <cell r="M97" t="str">
            <v>OPEN ANGAMOS</v>
          </cell>
          <cell r="N97">
            <v>44935</v>
          </cell>
          <cell r="O97">
            <v>240</v>
          </cell>
        </row>
        <row r="98">
          <cell r="A98">
            <v>7628</v>
          </cell>
          <cell r="B98">
            <v>7628</v>
          </cell>
          <cell r="C98" t="str">
            <v>CERO MATRICULA</v>
          </cell>
          <cell r="D98" t="str">
            <v>ACTIVO</v>
          </cell>
          <cell r="E98">
            <v>0</v>
          </cell>
          <cell r="F98" t="str">
            <v>LEON ORIHUELA PEDRO MIGUEL</v>
          </cell>
          <cell r="G98" t="str">
            <v>LEON ORIHUELA PEDRO MIGUEL</v>
          </cell>
          <cell r="H98" t="str">
            <v>72299407</v>
          </cell>
          <cell r="I98" t="str">
            <v>SCOTIABANK</v>
          </cell>
          <cell r="J98" t="str">
            <v>2000294567</v>
          </cell>
          <cell r="K98" t="str">
            <v>DNI</v>
          </cell>
          <cell r="L98">
            <v>10722994073</v>
          </cell>
          <cell r="M98" t="str">
            <v>JOCKEY PLAZA</v>
          </cell>
          <cell r="N98">
            <v>45292</v>
          </cell>
          <cell r="O98">
            <v>240</v>
          </cell>
        </row>
        <row r="99">
          <cell r="A99">
            <v>7629</v>
          </cell>
          <cell r="B99">
            <v>7629</v>
          </cell>
          <cell r="C99" t="str">
            <v>CERO MATRICULA</v>
          </cell>
          <cell r="D99" t="str">
            <v>ACTIVO</v>
          </cell>
          <cell r="E99" t="str">
            <v>CDS-187</v>
          </cell>
          <cell r="F99" t="str">
            <v>TAPIA MEDRANO JOSE</v>
          </cell>
          <cell r="G99" t="str">
            <v>TAPIA MEDRANO JOSUE RUBEN</v>
          </cell>
          <cell r="H99">
            <v>41369190</v>
          </cell>
          <cell r="I99" t="str">
            <v>INTERBANK</v>
          </cell>
          <cell r="J99" t="str">
            <v>243-3080129172</v>
          </cell>
          <cell r="K99" t="str">
            <v>DNI</v>
          </cell>
          <cell r="L99">
            <v>10413691902</v>
          </cell>
          <cell r="M99" t="str">
            <v>JOCKEY PLAZA</v>
          </cell>
          <cell r="N99">
            <v>44995</v>
          </cell>
          <cell r="O99">
            <v>240</v>
          </cell>
        </row>
        <row r="100">
          <cell r="A100">
            <v>7630</v>
          </cell>
          <cell r="B100">
            <v>7630</v>
          </cell>
          <cell r="C100" t="str">
            <v>CERO MATRICULA</v>
          </cell>
          <cell r="D100" t="str">
            <v>ACTIVO</v>
          </cell>
          <cell r="E100" t="str">
            <v>BYF099</v>
          </cell>
          <cell r="F100" t="str">
            <v>PUJAY OBREGON PABLO</v>
          </cell>
          <cell r="G100" t="str">
            <v>PUJAY OBREGON PABLO</v>
          </cell>
          <cell r="H100" t="str">
            <v>44707481</v>
          </cell>
          <cell r="I100" t="str">
            <v>BCP</v>
          </cell>
          <cell r="J100">
            <v>19196824474096</v>
          </cell>
          <cell r="K100" t="str">
            <v>DNI</v>
          </cell>
          <cell r="L100">
            <v>10447074813</v>
          </cell>
          <cell r="M100" t="str">
            <v>JOCKEY PLAZA</v>
          </cell>
          <cell r="N100">
            <v>45013</v>
          </cell>
          <cell r="O100">
            <v>240</v>
          </cell>
        </row>
        <row r="101">
          <cell r="A101">
            <v>7631</v>
          </cell>
          <cell r="B101">
            <v>7631</v>
          </cell>
          <cell r="C101" t="str">
            <v>CERO MATRICULA</v>
          </cell>
          <cell r="D101" t="str">
            <v>ACTIVO</v>
          </cell>
          <cell r="E101" t="str">
            <v>CDK432</v>
          </cell>
          <cell r="F101" t="str">
            <v>LOPEZ VELASQUEZ PABLO ANTONIO</v>
          </cell>
          <cell r="G101" t="str">
            <v>LOPEZ VELASQUEZ PABLO ANTONIO</v>
          </cell>
          <cell r="H101" t="str">
            <v>46609250</v>
          </cell>
          <cell r="I101" t="str">
            <v>BCP</v>
          </cell>
          <cell r="J101" t="str">
            <v>193-98609191-0-40</v>
          </cell>
          <cell r="K101" t="str">
            <v>DNI</v>
          </cell>
          <cell r="L101">
            <v>10466092504</v>
          </cell>
          <cell r="M101" t="str">
            <v>JOCKEY PLAZA</v>
          </cell>
          <cell r="N101">
            <v>45031</v>
          </cell>
          <cell r="O101">
            <v>240</v>
          </cell>
        </row>
        <row r="102">
          <cell r="A102">
            <v>7632</v>
          </cell>
          <cell r="B102">
            <v>7632</v>
          </cell>
          <cell r="C102" t="str">
            <v>CERO MATRICULA</v>
          </cell>
          <cell r="D102" t="str">
            <v>ACTIVO</v>
          </cell>
          <cell r="E102" t="str">
            <v>CEQ-372</v>
          </cell>
          <cell r="F102" t="str">
            <v>REAÑOS CARRERA JOSE WILMAN</v>
          </cell>
          <cell r="G102" t="str">
            <v>REAÑOS CARRERA JOSE WILMAN</v>
          </cell>
          <cell r="H102" t="str">
            <v>42816290</v>
          </cell>
          <cell r="I102" t="str">
            <v>BBVA</v>
          </cell>
          <cell r="J102" t="str">
            <v xml:space="preserve">0011 0814 0269176542 </v>
          </cell>
          <cell r="K102" t="str">
            <v>DNI</v>
          </cell>
          <cell r="L102">
            <v>10428162906</v>
          </cell>
          <cell r="M102" t="str">
            <v>JOCKEY PLAZA</v>
          </cell>
          <cell r="N102">
            <v>45049</v>
          </cell>
          <cell r="O102">
            <v>240</v>
          </cell>
        </row>
        <row r="103">
          <cell r="A103">
            <v>7633</v>
          </cell>
          <cell r="B103">
            <v>7633</v>
          </cell>
          <cell r="C103" t="str">
            <v>CERO MATRICULA</v>
          </cell>
          <cell r="D103" t="str">
            <v>ACTIVO</v>
          </cell>
          <cell r="E103" t="str">
            <v>F2I678</v>
          </cell>
          <cell r="F103" t="str">
            <v>CASTRO ROSAS ALDO</v>
          </cell>
          <cell r="G103" t="str">
            <v>CASTRO  ROSAS ALDO</v>
          </cell>
          <cell r="H103" t="str">
            <v>42184189</v>
          </cell>
          <cell r="I103" t="str">
            <v>BCP</v>
          </cell>
          <cell r="J103">
            <v>19375053619035</v>
          </cell>
          <cell r="K103" t="str">
            <v>DNI</v>
          </cell>
          <cell r="L103">
            <v>10421841891</v>
          </cell>
          <cell r="M103" t="str">
            <v>JOCKEY PLAZA</v>
          </cell>
          <cell r="N103">
            <v>45056</v>
          </cell>
          <cell r="O103">
            <v>240</v>
          </cell>
        </row>
        <row r="104">
          <cell r="A104">
            <v>7634</v>
          </cell>
          <cell r="B104">
            <v>7634</v>
          </cell>
          <cell r="C104" t="str">
            <v>CERO MATRICULA</v>
          </cell>
          <cell r="D104" t="str">
            <v>ACTIVO</v>
          </cell>
          <cell r="E104" t="str">
            <v>CAW577</v>
          </cell>
          <cell r="F104" t="str">
            <v>TUNQUI SUYO HERNAN</v>
          </cell>
          <cell r="G104" t="str">
            <v>TUNQUI SUYO HERNAN</v>
          </cell>
          <cell r="H104" t="str">
            <v>09692273</v>
          </cell>
          <cell r="I104" t="str">
            <v>INTERBANK</v>
          </cell>
          <cell r="J104" t="str">
            <v>2543126316993</v>
          </cell>
          <cell r="K104" t="str">
            <v>DNI</v>
          </cell>
          <cell r="L104">
            <v>10096922731</v>
          </cell>
          <cell r="M104" t="str">
            <v>JOCKEY PLAZA</v>
          </cell>
          <cell r="N104">
            <v>45073</v>
          </cell>
          <cell r="O104">
            <v>240</v>
          </cell>
        </row>
        <row r="105">
          <cell r="A105">
            <v>7635</v>
          </cell>
          <cell r="B105">
            <v>7635</v>
          </cell>
          <cell r="C105" t="str">
            <v>CERO MATRICULA</v>
          </cell>
          <cell r="D105" t="str">
            <v>ACTIVO</v>
          </cell>
          <cell r="E105" t="str">
            <v>CDR663</v>
          </cell>
          <cell r="F105" t="str">
            <v>CRUZ HUAMAN CELESTINO</v>
          </cell>
          <cell r="G105" t="str">
            <v>CRUZ HUAMAN CELESTINO</v>
          </cell>
          <cell r="H105" t="str">
            <v>40025872</v>
          </cell>
          <cell r="I105" t="str">
            <v>BCP</v>
          </cell>
          <cell r="J105">
            <v>28501635342026</v>
          </cell>
          <cell r="K105" t="str">
            <v>DNI</v>
          </cell>
          <cell r="L105">
            <v>10400258720</v>
          </cell>
          <cell r="M105" t="str">
            <v>JOCKEY PLAZA</v>
          </cell>
          <cell r="N105">
            <v>45086</v>
          </cell>
          <cell r="O105">
            <v>240</v>
          </cell>
        </row>
        <row r="106">
          <cell r="A106">
            <v>7638</v>
          </cell>
          <cell r="B106">
            <v>7638</v>
          </cell>
          <cell r="C106" t="str">
            <v>CERO MATRICULA</v>
          </cell>
          <cell r="D106" t="str">
            <v>ACTIVO</v>
          </cell>
          <cell r="E106" t="str">
            <v>BFN393</v>
          </cell>
          <cell r="F106" t="str">
            <v>CASTRO ROSAS WILDER</v>
          </cell>
          <cell r="G106" t="str">
            <v>CASTRO ROSAS WILDER</v>
          </cell>
          <cell r="H106" t="str">
            <v>10717003</v>
          </cell>
          <cell r="I106" t="str">
            <v>BCP</v>
          </cell>
          <cell r="J106" t="str">
            <v>191-90581767-0-32</v>
          </cell>
          <cell r="K106" t="str">
            <v>DNI</v>
          </cell>
          <cell r="L106">
            <v>10107170036</v>
          </cell>
          <cell r="M106" t="str">
            <v>JOCKEY PLAZA</v>
          </cell>
          <cell r="N106">
            <v>45117</v>
          </cell>
          <cell r="O106">
            <v>240</v>
          </cell>
        </row>
        <row r="107">
          <cell r="A107">
            <v>7640</v>
          </cell>
          <cell r="B107">
            <v>7640</v>
          </cell>
          <cell r="C107" t="str">
            <v>CERO MATRICULA</v>
          </cell>
          <cell r="D107" t="str">
            <v>ACTIVO</v>
          </cell>
          <cell r="E107" t="str">
            <v>CFN089</v>
          </cell>
          <cell r="F107" t="str">
            <v>MONTERO CELIS WINDERBIRD ALEXANDER</v>
          </cell>
          <cell r="G107" t="str">
            <v>MONTERO CELIS WINDERBIRD ALEXANDER</v>
          </cell>
          <cell r="H107" t="str">
            <v>002888171</v>
          </cell>
          <cell r="I107" t="str">
            <v>BCP</v>
          </cell>
          <cell r="J107" t="str">
            <v>194-91122082-0-05</v>
          </cell>
          <cell r="K107" t="str">
            <v>CE</v>
          </cell>
          <cell r="L107">
            <v>15604003111</v>
          </cell>
          <cell r="M107" t="str">
            <v>JOCKEY PLAZA</v>
          </cell>
          <cell r="N107">
            <v>45124</v>
          </cell>
          <cell r="O107">
            <v>240</v>
          </cell>
        </row>
        <row r="108">
          <cell r="A108">
            <v>7641</v>
          </cell>
          <cell r="B108">
            <v>7641</v>
          </cell>
          <cell r="C108" t="str">
            <v>CERO MATRICULA</v>
          </cell>
          <cell r="D108" t="str">
            <v>ACTIVO</v>
          </cell>
          <cell r="E108" t="str">
            <v>Z7F088</v>
          </cell>
          <cell r="F108" t="str">
            <v>OBREGON GAMONAL DIEGO ARMANDO</v>
          </cell>
          <cell r="G108" t="str">
            <v>OBREGON GAMONAL DIEGO ARMANDO</v>
          </cell>
          <cell r="H108" t="str">
            <v>70985105</v>
          </cell>
          <cell r="I108" t="str">
            <v>BCP</v>
          </cell>
          <cell r="J108" t="str">
            <v>191-71475804-0-80</v>
          </cell>
          <cell r="K108" t="str">
            <v>DNI</v>
          </cell>
          <cell r="L108">
            <v>10709851051</v>
          </cell>
          <cell r="M108" t="str">
            <v>JOCKEY PLAZA</v>
          </cell>
          <cell r="N108">
            <v>45124</v>
          </cell>
          <cell r="O108">
            <v>240</v>
          </cell>
        </row>
        <row r="109">
          <cell r="A109">
            <v>7642</v>
          </cell>
          <cell r="B109">
            <v>7642</v>
          </cell>
          <cell r="C109" t="str">
            <v>CERO MATRICULA</v>
          </cell>
          <cell r="D109" t="str">
            <v>ACTIVO</v>
          </cell>
          <cell r="E109" t="str">
            <v>CFU617</v>
          </cell>
          <cell r="F109" t="str">
            <v>AMADOR VEGAS TSCHEICOWSKY JOSE</v>
          </cell>
          <cell r="G109" t="str">
            <v>AMADOR VEGAS TSCHEICOWSKY JOSE</v>
          </cell>
          <cell r="H109" t="str">
            <v>002864567</v>
          </cell>
          <cell r="I109" t="str">
            <v>BCP</v>
          </cell>
          <cell r="J109" t="str">
            <v>193-01479263-0-03</v>
          </cell>
          <cell r="K109" t="str">
            <v>CE</v>
          </cell>
          <cell r="L109">
            <v>15604061081</v>
          </cell>
          <cell r="M109" t="str">
            <v>JOCKEY PLAZA</v>
          </cell>
          <cell r="N109">
            <v>45132</v>
          </cell>
          <cell r="O109">
            <v>240</v>
          </cell>
        </row>
        <row r="110">
          <cell r="A110">
            <v>7643</v>
          </cell>
          <cell r="B110">
            <v>7643</v>
          </cell>
          <cell r="C110" t="str">
            <v>CERO MATRICULA</v>
          </cell>
          <cell r="D110" t="str">
            <v>ACTIVO</v>
          </cell>
          <cell r="E110" t="str">
            <v>CFR317</v>
          </cell>
          <cell r="F110" t="str">
            <v>MARTINEZ ASENJO CRISTIAN MARCELO</v>
          </cell>
          <cell r="G110" t="str">
            <v>MARTINEZ ASENJO CRISTIAN MARCELO</v>
          </cell>
          <cell r="H110" t="str">
            <v>72653399</v>
          </cell>
          <cell r="I110" t="str">
            <v>INTERBANK</v>
          </cell>
          <cell r="J110" t="str">
            <v>898-3361427779</v>
          </cell>
          <cell r="K110" t="str">
            <v>DNI</v>
          </cell>
          <cell r="L110">
            <v>10726533992</v>
          </cell>
          <cell r="M110" t="str">
            <v>JOCKEY PLAZA</v>
          </cell>
          <cell r="N110">
            <v>45132</v>
          </cell>
          <cell r="O110">
            <v>240</v>
          </cell>
        </row>
        <row r="111">
          <cell r="A111">
            <v>7644</v>
          </cell>
          <cell r="B111">
            <v>7644</v>
          </cell>
          <cell r="C111" t="str">
            <v>CERO MATRICULA</v>
          </cell>
          <cell r="D111" t="str">
            <v>ACTIVO</v>
          </cell>
          <cell r="E111" t="str">
            <v xml:space="preserve">BWM065 </v>
          </cell>
          <cell r="F111" t="str">
            <v>GUTARRA GARCIA PERCY</v>
          </cell>
          <cell r="G111" t="str">
            <v>GUTARRA GARCIA PERCY</v>
          </cell>
          <cell r="H111" t="str">
            <v>21289532</v>
          </cell>
          <cell r="I111" t="str">
            <v>BCP</v>
          </cell>
          <cell r="J111" t="str">
            <v>191-03324633-0-14</v>
          </cell>
          <cell r="K111" t="str">
            <v>DNI</v>
          </cell>
          <cell r="L111">
            <v>10212895321</v>
          </cell>
          <cell r="M111" t="str">
            <v>JOCKEY PLAZA</v>
          </cell>
          <cell r="N111">
            <v>45156</v>
          </cell>
          <cell r="O111">
            <v>240</v>
          </cell>
        </row>
        <row r="112">
          <cell r="A112">
            <v>7645</v>
          </cell>
          <cell r="B112">
            <v>7645</v>
          </cell>
          <cell r="C112" t="str">
            <v>CERO MATRICULA</v>
          </cell>
          <cell r="D112" t="str">
            <v>ACTIVO</v>
          </cell>
          <cell r="E112" t="str">
            <v>AWY381</v>
          </cell>
          <cell r="F112" t="str">
            <v>QUISPE SUCASAIRE DAVID</v>
          </cell>
          <cell r="G112" t="str">
            <v>QUISPE SUCASAIRE DAVID</v>
          </cell>
          <cell r="H112" t="str">
            <v>46699431</v>
          </cell>
          <cell r="I112" t="str">
            <v>BCP</v>
          </cell>
          <cell r="J112" t="str">
            <v>193-06656192-0-24</v>
          </cell>
          <cell r="K112" t="str">
            <v>DNI</v>
          </cell>
          <cell r="L112" t="str">
            <v>PENDIENTE</v>
          </cell>
          <cell r="M112" t="str">
            <v>OPEN MARINA</v>
          </cell>
          <cell r="N112">
            <v>45163</v>
          </cell>
          <cell r="O112">
            <v>210</v>
          </cell>
        </row>
        <row r="113">
          <cell r="A113">
            <v>7646</v>
          </cell>
          <cell r="B113">
            <v>7646</v>
          </cell>
          <cell r="C113" t="str">
            <v>CERO MATRICULA</v>
          </cell>
          <cell r="D113" t="str">
            <v>ACTIVO</v>
          </cell>
          <cell r="E113" t="str">
            <v>ALE657</v>
          </cell>
          <cell r="F113" t="str">
            <v>AYALA COTRINA JOSE</v>
          </cell>
          <cell r="G113" t="str">
            <v>AYALA COTRINA JOSE</v>
          </cell>
          <cell r="H113" t="str">
            <v>42923128</v>
          </cell>
          <cell r="I113" t="str">
            <v>BCP</v>
          </cell>
          <cell r="J113" t="str">
            <v>191-91732684074</v>
          </cell>
          <cell r="K113" t="str">
            <v>DNI</v>
          </cell>
          <cell r="L113">
            <v>10429231286</v>
          </cell>
          <cell r="M113" t="str">
            <v>JOCKEY PLAZA</v>
          </cell>
          <cell r="N113" t="str">
            <v>PENDIENTE</v>
          </cell>
          <cell r="O113">
            <v>240</v>
          </cell>
        </row>
        <row r="114">
          <cell r="A114">
            <v>8001</v>
          </cell>
          <cell r="B114">
            <v>8001</v>
          </cell>
          <cell r="C114" t="str">
            <v>CERO MATRICULA</v>
          </cell>
          <cell r="D114" t="str">
            <v>ACTIVO</v>
          </cell>
          <cell r="E114" t="str">
            <v>BML210</v>
          </cell>
          <cell r="F114" t="str">
            <v>PERDOMO GIL YURVANY ASLEI</v>
          </cell>
          <cell r="G114" t="str">
            <v>PERDOMO GIL YURVANY ASLEI</v>
          </cell>
          <cell r="H114" t="str">
            <v>005356645</v>
          </cell>
          <cell r="I114" t="str">
            <v>BCP</v>
          </cell>
          <cell r="J114" t="str">
            <v>191-96460183-0-26</v>
          </cell>
          <cell r="K114" t="str">
            <v>CE</v>
          </cell>
          <cell r="L114">
            <v>15609857886</v>
          </cell>
          <cell r="M114" t="str">
            <v>JOCKEY PLAZA</v>
          </cell>
          <cell r="N114">
            <v>45117</v>
          </cell>
          <cell r="O114">
            <v>240</v>
          </cell>
        </row>
        <row r="115">
          <cell r="A115">
            <v>8114</v>
          </cell>
          <cell r="B115">
            <v>8114</v>
          </cell>
          <cell r="C115" t="str">
            <v>CERO MATRICULA</v>
          </cell>
          <cell r="D115" t="str">
            <v>ACTIVO</v>
          </cell>
          <cell r="E115" t="str">
            <v>1863XB</v>
          </cell>
          <cell r="F115" t="str">
            <v>ROMAN FRIAS JOEL RAMON</v>
          </cell>
          <cell r="G115" t="str">
            <v>ROMAN FRIAS JOEL RAMON</v>
          </cell>
          <cell r="H115" t="str">
            <v>005558693</v>
          </cell>
          <cell r="I115" t="str">
            <v>BCP</v>
          </cell>
          <cell r="J115" t="str">
            <v>191-70878497-0-38</v>
          </cell>
          <cell r="K115" t="str">
            <v>CE</v>
          </cell>
          <cell r="L115">
            <v>15609855999</v>
          </cell>
          <cell r="M115" t="str">
            <v>JOCKEY PLAZA</v>
          </cell>
          <cell r="N115">
            <v>45103</v>
          </cell>
          <cell r="O115">
            <v>240</v>
          </cell>
        </row>
        <row r="116">
          <cell r="A116">
            <v>9001</v>
          </cell>
          <cell r="B116">
            <v>9001</v>
          </cell>
          <cell r="C116" t="str">
            <v>CERO MATRICULA</v>
          </cell>
          <cell r="D116" t="str">
            <v>ACTIVO</v>
          </cell>
          <cell r="E116" t="str">
            <v>PENDIENTE</v>
          </cell>
          <cell r="F116" t="str">
            <v>PENDIENTE</v>
          </cell>
          <cell r="G116" t="str">
            <v>PENDIENTE</v>
          </cell>
          <cell r="H116" t="str">
            <v>PENDIENTE</v>
          </cell>
          <cell r="I116" t="str">
            <v>PENDIENTE</v>
          </cell>
          <cell r="J116" t="str">
            <v>PENDIENTE</v>
          </cell>
          <cell r="K116" t="str">
            <v>PENDIENTE</v>
          </cell>
          <cell r="L116" t="str">
            <v>PENDIENTE</v>
          </cell>
          <cell r="M116" t="str">
            <v>OPEN MARINA</v>
          </cell>
          <cell r="N116">
            <v>45187</v>
          </cell>
          <cell r="O116">
            <v>210</v>
          </cell>
        </row>
        <row r="117">
          <cell r="A117">
            <v>9019</v>
          </cell>
          <cell r="B117">
            <v>9019</v>
          </cell>
          <cell r="C117" t="str">
            <v>CERO MATRICULA</v>
          </cell>
          <cell r="D117" t="str">
            <v>ACTIVO</v>
          </cell>
          <cell r="E117" t="str">
            <v>PENDIENTE</v>
          </cell>
          <cell r="F117" t="str">
            <v>PENDIENTE</v>
          </cell>
          <cell r="G117" t="str">
            <v>PENDIENTE</v>
          </cell>
          <cell r="H117" t="str">
            <v>PENDIENTE</v>
          </cell>
          <cell r="I117" t="str">
            <v>PENDIENTE</v>
          </cell>
          <cell r="J117" t="str">
            <v>PENDIENTE</v>
          </cell>
          <cell r="K117" t="str">
            <v>PENDIENTE</v>
          </cell>
          <cell r="L117" t="str">
            <v>PENDIENTE</v>
          </cell>
          <cell r="M117" t="str">
            <v>OPEN MARINA</v>
          </cell>
          <cell r="N117">
            <v>45264</v>
          </cell>
          <cell r="O117">
            <v>210</v>
          </cell>
        </row>
        <row r="118">
          <cell r="A118">
            <v>9030</v>
          </cell>
          <cell r="B118">
            <v>9030</v>
          </cell>
          <cell r="C118" t="str">
            <v>CERO MATRICULA</v>
          </cell>
          <cell r="D118" t="str">
            <v>ACTIVO</v>
          </cell>
          <cell r="F118" t="str">
            <v>LOPEZ ROJAS JHOREL ALEJANDRO</v>
          </cell>
          <cell r="G118" t="str">
            <v>LOPEZ ROJAS JHOREL ALEJANDRO</v>
          </cell>
          <cell r="H118" t="str">
            <v>74827532</v>
          </cell>
          <cell r="I118" t="str">
            <v>INTERBANK</v>
          </cell>
          <cell r="J118" t="str">
            <v>2003152480038</v>
          </cell>
          <cell r="K118" t="str">
            <v>DNI</v>
          </cell>
          <cell r="L118">
            <v>10748275326</v>
          </cell>
          <cell r="M118" t="str">
            <v>OPEN MARINA</v>
          </cell>
          <cell r="N118">
            <v>45264</v>
          </cell>
          <cell r="O118">
            <v>210</v>
          </cell>
        </row>
        <row r="119">
          <cell r="A119">
            <v>9033</v>
          </cell>
          <cell r="B119">
            <v>9033</v>
          </cell>
          <cell r="C119" t="str">
            <v>CERO MATRICULA</v>
          </cell>
          <cell r="D119" t="str">
            <v>ACTIVO</v>
          </cell>
          <cell r="E119" t="str">
            <v>BRC363</v>
          </cell>
          <cell r="F119" t="str">
            <v>Rosser Juárez Palomino</v>
          </cell>
          <cell r="G119" t="str">
            <v>ALBERTO MAXIMO MONTEJO RIVERA</v>
          </cell>
          <cell r="H119" t="str">
            <v>41294787</v>
          </cell>
          <cell r="I119" t="str">
            <v>BCP</v>
          </cell>
          <cell r="J119" t="str">
            <v>19334522332041</v>
          </cell>
          <cell r="K119" t="str">
            <v>DNI</v>
          </cell>
          <cell r="L119">
            <v>10412947873</v>
          </cell>
          <cell r="M119" t="str">
            <v>JOCKEY PLAZA</v>
          </cell>
          <cell r="N119">
            <v>45307</v>
          </cell>
          <cell r="O119">
            <v>240</v>
          </cell>
        </row>
        <row r="120">
          <cell r="A120">
            <v>9034</v>
          </cell>
          <cell r="B120">
            <v>9034</v>
          </cell>
          <cell r="C120" t="str">
            <v>CERO MATRICULA</v>
          </cell>
          <cell r="D120" t="str">
            <v>ACTIVO</v>
          </cell>
          <cell r="E120" t="str">
            <v>CFP365</v>
          </cell>
          <cell r="F120" t="str">
            <v xml:space="preserve">Linares Quispe Serbat </v>
          </cell>
          <cell r="G120" t="str">
            <v xml:space="preserve">Linares Quispe Serbat </v>
          </cell>
          <cell r="H120" t="str">
            <v>07877661</v>
          </cell>
          <cell r="I120" t="str">
            <v>BCP</v>
          </cell>
          <cell r="J120">
            <v>19370356406075</v>
          </cell>
          <cell r="K120" t="str">
            <v>DNI</v>
          </cell>
          <cell r="L120">
            <v>10078776612</v>
          </cell>
          <cell r="M120" t="str">
            <v>JOCKEY PLAZA</v>
          </cell>
          <cell r="N120">
            <v>45334</v>
          </cell>
          <cell r="O120">
            <v>240</v>
          </cell>
        </row>
        <row r="121">
          <cell r="A121">
            <v>9036</v>
          </cell>
          <cell r="B121">
            <v>9036</v>
          </cell>
          <cell r="C121" t="str">
            <v>CERO MATRICULA</v>
          </cell>
          <cell r="D121" t="str">
            <v>ACTIVO</v>
          </cell>
          <cell r="F121" t="str">
            <v>Fernandez Esteves ANGEL CHESTERFER</v>
          </cell>
          <cell r="G121" t="str">
            <v>Fernandez Esteves ANGEL CHESTERFER</v>
          </cell>
          <cell r="H121">
            <v>44089714</v>
          </cell>
          <cell r="I121" t="str">
            <v>BCP</v>
          </cell>
          <cell r="J121" t="str">
            <v>19177540344078</v>
          </cell>
          <cell r="K121" t="str">
            <v>DNI</v>
          </cell>
          <cell r="L121" t="str">
            <v>10440897148 </v>
          </cell>
          <cell r="M121" t="str">
            <v>JOCKEY PLAZA</v>
          </cell>
          <cell r="N121">
            <v>45341</v>
          </cell>
          <cell r="O121">
            <v>240</v>
          </cell>
        </row>
        <row r="122">
          <cell r="A122">
            <v>9039</v>
          </cell>
          <cell r="B122">
            <v>9039</v>
          </cell>
          <cell r="C122" t="str">
            <v>CERO MATRICULA</v>
          </cell>
          <cell r="D122" t="str">
            <v>ACTIVO</v>
          </cell>
          <cell r="F122" t="str">
            <v>Marcatoma Alache Marco Antonio</v>
          </cell>
          <cell r="G122" t="str">
            <v>Marcatoma Alache Marco Antonio</v>
          </cell>
          <cell r="H122">
            <v>75606558</v>
          </cell>
          <cell r="I122" t="str">
            <v>INTERBANK</v>
          </cell>
          <cell r="J122" t="str">
            <v>3303078896903</v>
          </cell>
          <cell r="K122" t="str">
            <v>DNI</v>
          </cell>
          <cell r="L122">
            <v>10756065586</v>
          </cell>
          <cell r="M122" t="str">
            <v>JOCKEY PLAZA</v>
          </cell>
          <cell r="N122">
            <v>45341</v>
          </cell>
          <cell r="O122">
            <v>240</v>
          </cell>
        </row>
        <row r="123">
          <cell r="A123">
            <v>9050</v>
          </cell>
          <cell r="B123">
            <v>9050</v>
          </cell>
          <cell r="C123" t="str">
            <v>CERO MATRICULA</v>
          </cell>
          <cell r="D123" t="str">
            <v>ACTIVO</v>
          </cell>
          <cell r="E123" t="str">
            <v>Avv691</v>
          </cell>
          <cell r="F123" t="str">
            <v>Nayra Mijahuanca Florentino</v>
          </cell>
          <cell r="G123" t="str">
            <v>Nayra Mijahuanca Florentino</v>
          </cell>
          <cell r="H123" t="str">
            <v>47177986</v>
          </cell>
          <cell r="I123" t="str">
            <v>BCP</v>
          </cell>
          <cell r="J123" t="str">
            <v>19438802428070</v>
          </cell>
          <cell r="K123" t="str">
            <v>DNI</v>
          </cell>
          <cell r="L123">
            <v>10471779861</v>
          </cell>
          <cell r="M123" t="str">
            <v>JOCKEY PLAZA</v>
          </cell>
          <cell r="N123">
            <v>45654</v>
          </cell>
          <cell r="O123">
            <v>240</v>
          </cell>
        </row>
        <row r="124">
          <cell r="A124">
            <v>9100</v>
          </cell>
          <cell r="B124">
            <v>9100</v>
          </cell>
          <cell r="C124" t="str">
            <v>CERO MATRICULA</v>
          </cell>
          <cell r="D124" t="str">
            <v>ACTIVO</v>
          </cell>
          <cell r="E124" t="str">
            <v>PENDIENTE</v>
          </cell>
          <cell r="F124" t="str">
            <v>PENDIENTE</v>
          </cell>
          <cell r="G124" t="str">
            <v>PENDIENTE</v>
          </cell>
          <cell r="H124" t="str">
            <v>PENDIENTE</v>
          </cell>
          <cell r="I124" t="str">
            <v>PENDIENTE</v>
          </cell>
          <cell r="J124" t="str">
            <v>PENDIENTE</v>
          </cell>
          <cell r="K124" t="str">
            <v>PENDIENTE</v>
          </cell>
          <cell r="L124" t="str">
            <v>PENDIENTE</v>
          </cell>
          <cell r="M124" t="str">
            <v>OPEN MARINA</v>
          </cell>
          <cell r="N124">
            <v>45232</v>
          </cell>
          <cell r="O124">
            <v>210</v>
          </cell>
        </row>
        <row r="125">
          <cell r="A125">
            <v>9110</v>
          </cell>
          <cell r="B125">
            <v>9110</v>
          </cell>
          <cell r="C125" t="str">
            <v>CERO MATRICULA</v>
          </cell>
          <cell r="D125" t="str">
            <v>ACTIVO</v>
          </cell>
          <cell r="E125" t="str">
            <v>CJI376</v>
          </cell>
          <cell r="F125" t="str">
            <v>COTERA ESPINOZA ROGER GUSTAVO</v>
          </cell>
          <cell r="G125" t="str">
            <v>MELANIE ZENITH CHAMBI DÍAZ</v>
          </cell>
          <cell r="H125" t="str">
            <v>46624401</v>
          </cell>
          <cell r="I125" t="str">
            <v>BCP</v>
          </cell>
          <cell r="J125" t="str">
            <v>1919232452089</v>
          </cell>
          <cell r="K125" t="str">
            <v>DNI</v>
          </cell>
          <cell r="L125">
            <v>10466244011</v>
          </cell>
          <cell r="M125" t="str">
            <v>JOCKEY PLAZA</v>
          </cell>
          <cell r="N125">
            <v>45325</v>
          </cell>
          <cell r="O125">
            <v>240</v>
          </cell>
        </row>
        <row r="126">
          <cell r="A126">
            <v>9120</v>
          </cell>
          <cell r="B126">
            <v>9120</v>
          </cell>
          <cell r="C126" t="str">
            <v>CERO MATRICULA</v>
          </cell>
          <cell r="D126" t="str">
            <v>ACTIVO</v>
          </cell>
          <cell r="E126" t="str">
            <v>BZW110</v>
          </cell>
          <cell r="F126" t="str">
            <v>ROMAN PENALILLO JUAN PAULO ROBERTO</v>
          </cell>
          <cell r="G126" t="str">
            <v>ROMAN PENALILLO JUAN PAULO ROBERTO</v>
          </cell>
          <cell r="H126" t="str">
            <v>41708794</v>
          </cell>
          <cell r="I126" t="str">
            <v>BCP</v>
          </cell>
          <cell r="J126" t="str">
            <v>19176621949006</v>
          </cell>
          <cell r="K126" t="str">
            <v>DNI</v>
          </cell>
          <cell r="L126">
            <v>10417087945</v>
          </cell>
          <cell r="M126" t="str">
            <v>JOCKEY PLAZA</v>
          </cell>
          <cell r="N126">
            <v>45390</v>
          </cell>
          <cell r="O126">
            <v>240</v>
          </cell>
        </row>
        <row r="127">
          <cell r="A127">
            <v>9152</v>
          </cell>
          <cell r="B127">
            <v>9152</v>
          </cell>
          <cell r="C127" t="str">
            <v>CERO MATRICULA</v>
          </cell>
          <cell r="D127" t="str">
            <v>ACTIVO</v>
          </cell>
          <cell r="F127" t="str">
            <v>BALVIN AQUINO MARCO JUNIOR</v>
          </cell>
          <cell r="G127" t="str">
            <v>BALVIN AQUINO MARCO JUNIOR</v>
          </cell>
          <cell r="H127" t="str">
            <v>43866425</v>
          </cell>
          <cell r="I127" t="str">
            <v>BCP</v>
          </cell>
          <cell r="J127">
            <v>19374634470051</v>
          </cell>
          <cell r="K127" t="str">
            <v>DNI</v>
          </cell>
          <cell r="L127">
            <v>10438664250</v>
          </cell>
          <cell r="M127" t="str">
            <v>JOCKEY PLAZA</v>
          </cell>
          <cell r="N127">
            <v>45348</v>
          </cell>
          <cell r="O127">
            <v>240</v>
          </cell>
        </row>
        <row r="128">
          <cell r="A128">
            <v>9219</v>
          </cell>
          <cell r="B128">
            <v>9219</v>
          </cell>
          <cell r="C128" t="str">
            <v>CERO MATRICULA</v>
          </cell>
          <cell r="D128" t="str">
            <v>ACTIVO</v>
          </cell>
          <cell r="E128" t="str">
            <v>PENDIENTE</v>
          </cell>
          <cell r="F128" t="str">
            <v>PENDIENTE</v>
          </cell>
          <cell r="G128" t="str">
            <v>PENDIENTE</v>
          </cell>
          <cell r="H128" t="str">
            <v>PENDIENTE</v>
          </cell>
          <cell r="I128" t="str">
            <v>PENDIENTE</v>
          </cell>
          <cell r="J128" t="str">
            <v>PENDIENTE</v>
          </cell>
          <cell r="K128" t="str">
            <v>PENDIENTE</v>
          </cell>
          <cell r="L128" t="str">
            <v>PENDIENTE</v>
          </cell>
          <cell r="M128" t="str">
            <v>OPEN MARINA</v>
          </cell>
          <cell r="N128">
            <v>45402</v>
          </cell>
          <cell r="O128">
            <v>210</v>
          </cell>
        </row>
        <row r="129">
          <cell r="A129">
            <v>9251</v>
          </cell>
          <cell r="B129">
            <v>9251</v>
          </cell>
          <cell r="C129" t="str">
            <v>CERO MATRICULA</v>
          </cell>
          <cell r="D129" t="str">
            <v>ACTIVO</v>
          </cell>
          <cell r="E129">
            <v>0</v>
          </cell>
          <cell r="F129" t="str">
            <v>VARGAS BAUTISTA CRHISTIAN JEAN CARLOS</v>
          </cell>
          <cell r="G129" t="str">
            <v>VARGAS BAUTISTA CRHISTIAN JEAN CARLOS</v>
          </cell>
          <cell r="H129">
            <v>42800507</v>
          </cell>
          <cell r="I129" t="str">
            <v>BCP</v>
          </cell>
          <cell r="J129" t="str">
            <v>19396881353050</v>
          </cell>
          <cell r="K129" t="str">
            <v>DNI</v>
          </cell>
          <cell r="L129">
            <v>10428005070</v>
          </cell>
          <cell r="M129" t="str">
            <v>OPEN ANGAMOS</v>
          </cell>
          <cell r="N129" t="str">
            <v>PENDIENTE</v>
          </cell>
          <cell r="O129">
            <v>240</v>
          </cell>
        </row>
        <row r="130">
          <cell r="A130">
            <v>9254</v>
          </cell>
          <cell r="B130">
            <v>9254</v>
          </cell>
          <cell r="C130" t="str">
            <v>CERO MATRICULA</v>
          </cell>
          <cell r="D130" t="str">
            <v>ACTIVO</v>
          </cell>
          <cell r="E130">
            <v>0</v>
          </cell>
          <cell r="F130" t="str">
            <v>RAMIREZ LOPEZ JUAN CARLOS</v>
          </cell>
          <cell r="G130" t="str">
            <v>RAMIREZ LOPEZ JUAN CARLOS</v>
          </cell>
          <cell r="H130">
            <v>41499693</v>
          </cell>
          <cell r="I130" t="str">
            <v>BBVA</v>
          </cell>
          <cell r="J130" t="str">
            <v>0011-0152-0200562183</v>
          </cell>
          <cell r="K130" t="str">
            <v>DNI</v>
          </cell>
          <cell r="L130">
            <v>10414996936</v>
          </cell>
          <cell r="M130" t="str">
            <v>OPEN ANGAMOS</v>
          </cell>
          <cell r="N130" t="str">
            <v>PENDIENTE</v>
          </cell>
          <cell r="O130">
            <v>240</v>
          </cell>
        </row>
        <row r="131">
          <cell r="A131">
            <v>9259</v>
          </cell>
          <cell r="B131">
            <v>9259</v>
          </cell>
          <cell r="C131" t="str">
            <v>CERO MATRICULA</v>
          </cell>
          <cell r="D131" t="str">
            <v>ACTIVO</v>
          </cell>
          <cell r="E131">
            <v>0</v>
          </cell>
          <cell r="F131" t="str">
            <v>PISCO CEOPA MANUEL</v>
          </cell>
          <cell r="G131" t="str">
            <v>PISCO CEOPA MANUEL</v>
          </cell>
          <cell r="H131">
            <v>43747933</v>
          </cell>
          <cell r="I131" t="str">
            <v>BCP</v>
          </cell>
          <cell r="J131" t="str">
            <v>19435588713093</v>
          </cell>
          <cell r="K131" t="str">
            <v>DNI</v>
          </cell>
          <cell r="L131">
            <v>10437479335</v>
          </cell>
          <cell r="M131" t="str">
            <v>JOCKEY PLAZA</v>
          </cell>
          <cell r="N131">
            <v>45761</v>
          </cell>
          <cell r="O131">
            <v>240</v>
          </cell>
        </row>
        <row r="132">
          <cell r="A132">
            <v>9260</v>
          </cell>
          <cell r="B132">
            <v>9260</v>
          </cell>
          <cell r="C132" t="str">
            <v>CERO MATRICULA</v>
          </cell>
          <cell r="D132" t="str">
            <v>ACTIVO</v>
          </cell>
          <cell r="E132" t="str">
            <v>BRS611</v>
          </cell>
          <cell r="F132" t="str">
            <v>ZAVALETA HOYOS PAUL ALEXIS</v>
          </cell>
          <cell r="G132" t="str">
            <v>ZAVALETA HOYOS PAUL ALEXIS</v>
          </cell>
          <cell r="H132" t="str">
            <v>41273409</v>
          </cell>
          <cell r="I132" t="str">
            <v>BBVA</v>
          </cell>
          <cell r="J132" t="str">
            <v>0011-0814-0233765754</v>
          </cell>
          <cell r="K132" t="str">
            <v>DNI</v>
          </cell>
          <cell r="L132">
            <v>10412734098</v>
          </cell>
          <cell r="M132" t="str">
            <v>OPEN ANGAMOS</v>
          </cell>
          <cell r="N132" t="str">
            <v>PENDIENTE</v>
          </cell>
          <cell r="O132">
            <v>240</v>
          </cell>
        </row>
        <row r="133">
          <cell r="A133">
            <v>9261</v>
          </cell>
          <cell r="B133">
            <v>9261</v>
          </cell>
          <cell r="C133" t="str">
            <v>CERO MATRICULA</v>
          </cell>
          <cell r="D133" t="str">
            <v>ACTIVO</v>
          </cell>
          <cell r="E133" t="str">
            <v>CSR592</v>
          </cell>
          <cell r="F133" t="str">
            <v>Molina Rodríguez  Rubén Darío</v>
          </cell>
          <cell r="G133" t="str">
            <v>Molina Rodríguez  Rubén Darío</v>
          </cell>
          <cell r="H133" t="str">
            <v>002812452</v>
          </cell>
          <cell r="I133" t="str">
            <v>BCP</v>
          </cell>
          <cell r="J133" t="str">
            <v>19190779647010</v>
          </cell>
          <cell r="K133" t="str">
            <v>CE</v>
          </cell>
          <cell r="L133">
            <v>15603680933</v>
          </cell>
          <cell r="M133" t="str">
            <v>JOCKEY PLAZA</v>
          </cell>
          <cell r="N133">
            <v>45883.625</v>
          </cell>
          <cell r="O133">
            <v>240</v>
          </cell>
        </row>
        <row r="134">
          <cell r="A134">
            <v>9281</v>
          </cell>
          <cell r="B134">
            <v>9281</v>
          </cell>
          <cell r="C134" t="str">
            <v>CERO MATRICULA</v>
          </cell>
          <cell r="D134" t="str">
            <v>ACTIVO</v>
          </cell>
          <cell r="E134">
            <v>0</v>
          </cell>
          <cell r="F134" t="str">
            <v>PEREZ RODRIGUEZ ISAAC FERNANDO</v>
          </cell>
          <cell r="G134" t="str">
            <v>PEREZ RODRIGUEZ ISAAC FERNANDO</v>
          </cell>
          <cell r="H134">
            <v>10050705</v>
          </cell>
          <cell r="I134" t="str">
            <v>BBVA</v>
          </cell>
          <cell r="J134" t="str">
            <v>0011-0183-0201181239</v>
          </cell>
          <cell r="K134" t="str">
            <v>DNI</v>
          </cell>
          <cell r="L134">
            <v>10100507051</v>
          </cell>
          <cell r="M134" t="str">
            <v>JOCKEY PLAZA</v>
          </cell>
          <cell r="N134">
            <v>45761</v>
          </cell>
          <cell r="O134">
            <v>240</v>
          </cell>
        </row>
        <row r="135">
          <cell r="A135">
            <v>9330</v>
          </cell>
          <cell r="B135">
            <v>9330</v>
          </cell>
          <cell r="C135" t="str">
            <v>CERO MATRICULA</v>
          </cell>
          <cell r="D135" t="str">
            <v>ACTIVO</v>
          </cell>
          <cell r="E135">
            <v>0</v>
          </cell>
          <cell r="F135" t="str">
            <v>ARDILES DUEÑAS OSCAR MARTIN</v>
          </cell>
          <cell r="G135" t="str">
            <v>CASTILLO SANCHEZ GRESIBERT ENRIQUE</v>
          </cell>
          <cell r="H135" t="str">
            <v>002841066</v>
          </cell>
          <cell r="I135" t="str">
            <v>BCP</v>
          </cell>
          <cell r="J135" t="str">
            <v>19190319621038</v>
          </cell>
          <cell r="K135" t="str">
            <v>CE</v>
          </cell>
          <cell r="L135">
            <v>15606048561</v>
          </cell>
          <cell r="M135" t="str">
            <v>OPEN ANGAMOS</v>
          </cell>
          <cell r="N135" t="str">
            <v>PENDIENTE</v>
          </cell>
          <cell r="O135">
            <v>240</v>
          </cell>
        </row>
        <row r="136">
          <cell r="A136">
            <v>9334</v>
          </cell>
          <cell r="B136">
            <v>9334</v>
          </cell>
          <cell r="C136" t="str">
            <v>CERO MATRICULA</v>
          </cell>
          <cell r="D136" t="str">
            <v>ACTIVO</v>
          </cell>
          <cell r="E136" t="str">
            <v>ANC577</v>
          </cell>
          <cell r="F136" t="str">
            <v>BALVIN RUIZ ARMANDO GERMAN</v>
          </cell>
          <cell r="G136" t="str">
            <v>BALVIN RUIZ ARMANDO GERMAN</v>
          </cell>
          <cell r="H136" t="str">
            <v>19995332</v>
          </cell>
          <cell r="I136" t="str">
            <v>BCP</v>
          </cell>
          <cell r="J136" t="str">
            <v>19105378235059</v>
          </cell>
          <cell r="K136" t="str">
            <v>DNI</v>
          </cell>
          <cell r="L136">
            <v>10199953325</v>
          </cell>
          <cell r="M136" t="str">
            <v>JOCKEY PLAZA</v>
          </cell>
          <cell r="N136">
            <v>45565</v>
          </cell>
          <cell r="O136">
            <v>240</v>
          </cell>
        </row>
        <row r="137">
          <cell r="A137">
            <v>9366</v>
          </cell>
          <cell r="B137">
            <v>9366</v>
          </cell>
          <cell r="C137" t="str">
            <v>CERO MATRICULA</v>
          </cell>
          <cell r="D137" t="str">
            <v>ACTIVO</v>
          </cell>
          <cell r="E137" t="str">
            <v>CCJ316</v>
          </cell>
          <cell r="F137" t="str">
            <v>Mandujano Aguilar Williams Alexander</v>
          </cell>
          <cell r="G137" t="str">
            <v>MANDUJANO AGUILAR WILLIAMS ALEXANDER</v>
          </cell>
          <cell r="H137" t="str">
            <v>48142980</v>
          </cell>
          <cell r="I137" t="str">
            <v>BCP</v>
          </cell>
          <cell r="J137" t="str">
            <v>19107412171040</v>
          </cell>
          <cell r="K137" t="str">
            <v>DNI</v>
          </cell>
          <cell r="L137">
            <v>10481429809</v>
          </cell>
          <cell r="M137" t="str">
            <v>JOCKEY PLAZA</v>
          </cell>
          <cell r="N137">
            <v>45482</v>
          </cell>
          <cell r="O137">
            <v>240</v>
          </cell>
        </row>
        <row r="138">
          <cell r="A138">
            <v>9371</v>
          </cell>
          <cell r="B138">
            <v>9371</v>
          </cell>
          <cell r="C138" t="str">
            <v>CERO MATRICULA</v>
          </cell>
          <cell r="D138" t="str">
            <v>ACTIVO</v>
          </cell>
          <cell r="E138" t="str">
            <v>BFK125</v>
          </cell>
          <cell r="F138" t="str">
            <v>Gamboa Huahuachambi Carlos Alfonso</v>
          </cell>
          <cell r="G138" t="str">
            <v>GAMBOA HUAHUACHAMBI CARLOS ALFONSO</v>
          </cell>
          <cell r="H138">
            <v>10085493</v>
          </cell>
          <cell r="I138" t="str">
            <v>BCP</v>
          </cell>
          <cell r="J138" t="str">
            <v>19490281909046</v>
          </cell>
          <cell r="K138" t="str">
            <v>DNI</v>
          </cell>
          <cell r="L138">
            <v>10100854932</v>
          </cell>
          <cell r="M138" t="str">
            <v>JOCKEY PLAZA</v>
          </cell>
          <cell r="N138">
            <v>45484</v>
          </cell>
          <cell r="O138">
            <v>240</v>
          </cell>
        </row>
        <row r="139">
          <cell r="A139">
            <v>9383</v>
          </cell>
          <cell r="B139">
            <v>9383</v>
          </cell>
          <cell r="C139" t="str">
            <v>CERO MATRICULA</v>
          </cell>
          <cell r="D139" t="str">
            <v>ACTIVO</v>
          </cell>
          <cell r="E139" t="str">
            <v>PENDIENTE</v>
          </cell>
          <cell r="F139" t="str">
            <v>PENDIENTE</v>
          </cell>
          <cell r="G139" t="str">
            <v>PENDIENTE</v>
          </cell>
          <cell r="H139" t="str">
            <v>PENDIENTE</v>
          </cell>
          <cell r="I139" t="str">
            <v>PENDIENTE</v>
          </cell>
          <cell r="J139" t="str">
            <v>PENDIENTE</v>
          </cell>
          <cell r="K139" t="str">
            <v>PENDIENTE</v>
          </cell>
          <cell r="L139" t="str">
            <v>PENDIENTE</v>
          </cell>
          <cell r="M139" t="str">
            <v>BELLAVISTA</v>
          </cell>
          <cell r="N139">
            <v>45859</v>
          </cell>
          <cell r="O139">
            <v>90</v>
          </cell>
        </row>
        <row r="140">
          <cell r="A140">
            <v>9387</v>
          </cell>
          <cell r="B140">
            <v>9387</v>
          </cell>
          <cell r="C140" t="str">
            <v>CERO MATRICULA</v>
          </cell>
          <cell r="D140" t="str">
            <v>ACTIVO</v>
          </cell>
          <cell r="E140" t="str">
            <v>PENDIENTE</v>
          </cell>
          <cell r="F140" t="str">
            <v>PENDIENTE</v>
          </cell>
          <cell r="G140" t="str">
            <v>PENDIENTE</v>
          </cell>
          <cell r="H140" t="str">
            <v>PENDIENTE</v>
          </cell>
          <cell r="I140" t="str">
            <v>PENDIENTE</v>
          </cell>
          <cell r="J140" t="str">
            <v>PENDIENTE</v>
          </cell>
          <cell r="K140" t="str">
            <v>PENDIENTE</v>
          </cell>
          <cell r="L140" t="str">
            <v>PENDIENTE</v>
          </cell>
          <cell r="M140" t="str">
            <v>BELLAVISTA</v>
          </cell>
          <cell r="N140">
            <v>45838</v>
          </cell>
          <cell r="O140">
            <v>90</v>
          </cell>
        </row>
        <row r="141">
          <cell r="A141">
            <v>9393</v>
          </cell>
          <cell r="B141">
            <v>9393</v>
          </cell>
          <cell r="C141" t="str">
            <v>CERO MATRICULA</v>
          </cell>
          <cell r="D141" t="str">
            <v>ACTIVO</v>
          </cell>
          <cell r="E141" t="str">
            <v>PENDIENTE</v>
          </cell>
          <cell r="F141" t="str">
            <v>PENDIENTE</v>
          </cell>
          <cell r="G141" t="str">
            <v>PENDIENTE</v>
          </cell>
          <cell r="H141" t="str">
            <v>PENDIENTE</v>
          </cell>
          <cell r="I141" t="str">
            <v>PENDIENTE</v>
          </cell>
          <cell r="J141" t="str">
            <v>PENDIENTE</v>
          </cell>
          <cell r="K141" t="str">
            <v>PENDIENTE</v>
          </cell>
          <cell r="L141" t="str">
            <v>PENDIENTE</v>
          </cell>
          <cell r="M141" t="str">
            <v>BELLAVISTA</v>
          </cell>
          <cell r="N141">
            <v>45614</v>
          </cell>
          <cell r="O141">
            <v>90</v>
          </cell>
        </row>
        <row r="142">
          <cell r="A142">
            <v>9395</v>
          </cell>
          <cell r="B142">
            <v>9395</v>
          </cell>
          <cell r="C142" t="str">
            <v>CERO MATRICULA</v>
          </cell>
          <cell r="D142" t="str">
            <v>ACTIVO</v>
          </cell>
          <cell r="E142" t="str">
            <v>PENDIENTE</v>
          </cell>
          <cell r="F142" t="str">
            <v>PENDIENTE</v>
          </cell>
          <cell r="G142" t="str">
            <v>PENDIENTE</v>
          </cell>
          <cell r="H142" t="str">
            <v>PENDIENTE</v>
          </cell>
          <cell r="I142" t="str">
            <v>PENDIENTE</v>
          </cell>
          <cell r="J142" t="str">
            <v>PENDIENTE</v>
          </cell>
          <cell r="K142" t="str">
            <v>PENDIENTE</v>
          </cell>
          <cell r="L142" t="str">
            <v>PENDIENTE</v>
          </cell>
          <cell r="M142" t="str">
            <v>BELLAVISTA</v>
          </cell>
          <cell r="N142">
            <v>45880</v>
          </cell>
          <cell r="O142">
            <v>90</v>
          </cell>
        </row>
        <row r="143">
          <cell r="A143">
            <v>9402</v>
          </cell>
          <cell r="B143">
            <v>9402</v>
          </cell>
          <cell r="C143" t="str">
            <v>CERO MATRICULA</v>
          </cell>
          <cell r="D143" t="str">
            <v>ACTIVO</v>
          </cell>
          <cell r="E143">
            <v>0</v>
          </cell>
          <cell r="F143" t="str">
            <v>VARGAS BRAVO CARLOS RAUL</v>
          </cell>
          <cell r="G143" t="str">
            <v>VARGAS BRAVO CARLOS RAUL</v>
          </cell>
          <cell r="H143" t="str">
            <v>07499406</v>
          </cell>
          <cell r="I143" t="str">
            <v>BCP</v>
          </cell>
          <cell r="J143" t="str">
            <v>19233167806033</v>
          </cell>
          <cell r="K143" t="str">
            <v>DNI</v>
          </cell>
          <cell r="L143">
            <v>10074994062</v>
          </cell>
          <cell r="M143" t="str">
            <v>OPEN ANGAMOS</v>
          </cell>
          <cell r="N143" t="str">
            <v>PENDIENTE</v>
          </cell>
          <cell r="O143">
            <v>240</v>
          </cell>
        </row>
        <row r="144">
          <cell r="A144">
            <v>9411</v>
          </cell>
          <cell r="B144">
            <v>9411</v>
          </cell>
          <cell r="C144" t="str">
            <v>CERO MATRICULA</v>
          </cell>
          <cell r="D144" t="str">
            <v>ACTIVO</v>
          </cell>
          <cell r="E144">
            <v>0</v>
          </cell>
          <cell r="F144" t="str">
            <v>PAREDES AREVALO ERLES EDUARDO</v>
          </cell>
          <cell r="G144" t="str">
            <v>PAREDES AREVALO ERLES EDUARDO</v>
          </cell>
          <cell r="H144">
            <v>10119401</v>
          </cell>
          <cell r="I144" t="str">
            <v>SCOTIABANK</v>
          </cell>
          <cell r="J144" t="str">
            <v>4020165736</v>
          </cell>
          <cell r="K144" t="str">
            <v>DNI</v>
          </cell>
          <cell r="L144">
            <v>10101194014</v>
          </cell>
          <cell r="M144" t="str">
            <v>JOCKEY PLAZA</v>
          </cell>
          <cell r="N144" t="str">
            <v>PENDIENTE</v>
          </cell>
          <cell r="O144">
            <v>240</v>
          </cell>
        </row>
        <row r="145">
          <cell r="A145">
            <v>9412</v>
          </cell>
          <cell r="B145">
            <v>9412</v>
          </cell>
          <cell r="C145" t="str">
            <v>CERO MATRICULA</v>
          </cell>
          <cell r="D145" t="str">
            <v>ACTIVO</v>
          </cell>
          <cell r="E145" t="str">
            <v xml:space="preserve">BVL193 </v>
          </cell>
          <cell r="F145" t="str">
            <v>AVILA HIDALGO ALVARO ADRIAN FERNANDO</v>
          </cell>
          <cell r="G145" t="str">
            <v>AVILA HIDALGO ALVARO ADRIAN FERNANDO</v>
          </cell>
          <cell r="H145" t="str">
            <v>47145896</v>
          </cell>
          <cell r="I145" t="str">
            <v>BANCO DE LA NACIÓN</v>
          </cell>
          <cell r="J145" t="str">
            <v>018-000-004069186756-04</v>
          </cell>
          <cell r="K145" t="str">
            <v>DNI</v>
          </cell>
          <cell r="L145">
            <v>10471458967</v>
          </cell>
          <cell r="M145" t="str">
            <v>OPEN ANGAMOS</v>
          </cell>
          <cell r="N145">
            <v>44951</v>
          </cell>
          <cell r="O145">
            <v>240</v>
          </cell>
        </row>
        <row r="146">
          <cell r="A146">
            <v>9413</v>
          </cell>
          <cell r="B146">
            <v>9413</v>
          </cell>
          <cell r="C146" t="str">
            <v>CERO MATRICULA</v>
          </cell>
          <cell r="D146" t="str">
            <v>ACTIVO</v>
          </cell>
          <cell r="E146" t="str">
            <v>D0X697</v>
          </cell>
          <cell r="F146" t="str">
            <v>CAVERO MARCELO JOSE LUIS</v>
          </cell>
          <cell r="G146" t="str">
            <v>SUAREZ CRUZ ELIZABETH NATALLI</v>
          </cell>
          <cell r="H146" t="str">
            <v>43326863</v>
          </cell>
          <cell r="I146" t="str">
            <v>BCP</v>
          </cell>
          <cell r="J146" t="str">
            <v>194-39322892-0-91</v>
          </cell>
          <cell r="K146" t="str">
            <v>DNI</v>
          </cell>
          <cell r="L146">
            <v>10433268631</v>
          </cell>
          <cell r="M146" t="str">
            <v>OPEN ANGAMOS</v>
          </cell>
          <cell r="N146">
            <v>44987</v>
          </cell>
          <cell r="O146">
            <v>240</v>
          </cell>
        </row>
        <row r="147">
          <cell r="A147">
            <v>9424</v>
          </cell>
          <cell r="B147">
            <v>9424</v>
          </cell>
          <cell r="C147" t="str">
            <v>CERO MATRICULA</v>
          </cell>
          <cell r="D147" t="str">
            <v>ACTIVO</v>
          </cell>
          <cell r="E147" t="str">
            <v>BLO434</v>
          </cell>
          <cell r="F147" t="str">
            <v>CRUZ HUAMAN FRANCISCO JAVIER</v>
          </cell>
          <cell r="G147" t="str">
            <v>CRUZ HUAMAN FRANCISCO JAVIER</v>
          </cell>
          <cell r="H147" t="str">
            <v>74734411</v>
          </cell>
          <cell r="I147" t="str">
            <v>BCP</v>
          </cell>
          <cell r="J147" t="str">
            <v>19475343115055</v>
          </cell>
          <cell r="K147" t="str">
            <v>DNI</v>
          </cell>
          <cell r="L147">
            <v>10747344111</v>
          </cell>
          <cell r="M147" t="str">
            <v>JOCKEY PLAZA</v>
          </cell>
          <cell r="N147">
            <v>45488</v>
          </cell>
          <cell r="O147">
            <v>240</v>
          </cell>
        </row>
        <row r="148">
          <cell r="A148">
            <v>9428</v>
          </cell>
          <cell r="B148">
            <v>9428</v>
          </cell>
          <cell r="C148" t="str">
            <v>CERO MATRICULA</v>
          </cell>
          <cell r="D148" t="str">
            <v>ACTIVO</v>
          </cell>
          <cell r="E148" t="str">
            <v>CARGA</v>
          </cell>
          <cell r="F148" t="str">
            <v>PENDIENTE</v>
          </cell>
          <cell r="G148" t="str">
            <v>PENDIENTE</v>
          </cell>
          <cell r="H148" t="str">
            <v>PENDIENTE</v>
          </cell>
          <cell r="I148" t="str">
            <v>PENDIENTE</v>
          </cell>
          <cell r="J148" t="str">
            <v>PENDIENTE</v>
          </cell>
          <cell r="K148" t="str">
            <v>PENDIENTE</v>
          </cell>
          <cell r="L148" t="str">
            <v>PENDIENTE</v>
          </cell>
          <cell r="M148" t="str">
            <v>OPEN MARINA</v>
          </cell>
          <cell r="N148">
            <v>45495</v>
          </cell>
          <cell r="O148">
            <v>210</v>
          </cell>
        </row>
        <row r="149">
          <cell r="A149">
            <v>9492</v>
          </cell>
          <cell r="B149">
            <v>9492</v>
          </cell>
          <cell r="C149" t="str">
            <v>CERO MATRICULA</v>
          </cell>
          <cell r="D149" t="str">
            <v>ACTIVO</v>
          </cell>
          <cell r="E149" t="str">
            <v>PENDIENTE</v>
          </cell>
          <cell r="F149" t="str">
            <v>PENDIENTE</v>
          </cell>
          <cell r="G149" t="str">
            <v>PENDIENTE</v>
          </cell>
          <cell r="H149" t="str">
            <v>PENDIENTE</v>
          </cell>
          <cell r="I149" t="str">
            <v>PENDIENTE</v>
          </cell>
          <cell r="J149" t="str">
            <v>PENDIENTE</v>
          </cell>
          <cell r="K149" t="str">
            <v>PENDIENTE</v>
          </cell>
          <cell r="L149" t="str">
            <v>PENDIENTE</v>
          </cell>
          <cell r="M149" t="str">
            <v>BELLAVISTA</v>
          </cell>
          <cell r="N149">
            <v>45838</v>
          </cell>
          <cell r="O149">
            <v>90</v>
          </cell>
        </row>
        <row r="150">
          <cell r="A150">
            <v>9496</v>
          </cell>
          <cell r="B150">
            <v>9496</v>
          </cell>
          <cell r="C150" t="str">
            <v>CERO MATRICULA</v>
          </cell>
          <cell r="D150" t="str">
            <v>ACTIVO</v>
          </cell>
          <cell r="E150" t="str">
            <v>PENDIENTE</v>
          </cell>
          <cell r="F150" t="str">
            <v>PENDIENTE</v>
          </cell>
          <cell r="G150" t="str">
            <v>PENDIENTE</v>
          </cell>
          <cell r="H150" t="str">
            <v>PENDIENTE</v>
          </cell>
          <cell r="I150" t="str">
            <v>PENDIENTE</v>
          </cell>
          <cell r="J150" t="str">
            <v>PENDIENTE</v>
          </cell>
          <cell r="K150" t="str">
            <v>PENDIENTE</v>
          </cell>
          <cell r="L150" t="str">
            <v>PENDIENTE</v>
          </cell>
          <cell r="M150" t="str">
            <v>OPEN MARINA</v>
          </cell>
          <cell r="N150">
            <v>45495</v>
          </cell>
          <cell r="O150">
            <v>210</v>
          </cell>
        </row>
        <row r="151">
          <cell r="A151">
            <v>9502</v>
          </cell>
          <cell r="B151">
            <v>9502</v>
          </cell>
          <cell r="C151" t="str">
            <v>CERO MATRICULA</v>
          </cell>
          <cell r="D151" t="str">
            <v>ACTIVO</v>
          </cell>
          <cell r="E151">
            <v>0</v>
          </cell>
          <cell r="F151" t="str">
            <v>ERAZO SENDER HAROLD</v>
          </cell>
          <cell r="G151" t="str">
            <v>ERAZO SENDER HAROLD</v>
          </cell>
          <cell r="H151">
            <v>43297033</v>
          </cell>
          <cell r="I151" t="str">
            <v>BBVA</v>
          </cell>
          <cell r="J151" t="str">
            <v>0011-0093-0200052053</v>
          </cell>
          <cell r="K151" t="str">
            <v>DNI</v>
          </cell>
          <cell r="L151">
            <v>10432970332</v>
          </cell>
          <cell r="M151" t="str">
            <v>OPEN MARINA</v>
          </cell>
          <cell r="N151" t="str">
            <v>PENDIENTE</v>
          </cell>
          <cell r="O151">
            <v>210</v>
          </cell>
        </row>
        <row r="152">
          <cell r="A152">
            <v>9503</v>
          </cell>
          <cell r="B152">
            <v>9503</v>
          </cell>
          <cell r="C152" t="str">
            <v>CERO MATRICULA</v>
          </cell>
          <cell r="D152" t="str">
            <v>ACTIVO</v>
          </cell>
          <cell r="E152">
            <v>0</v>
          </cell>
          <cell r="F152" t="str">
            <v>MOSCOL NAMUCHE SERGIO</v>
          </cell>
          <cell r="G152" t="str">
            <v>PENDIENTE</v>
          </cell>
          <cell r="H152" t="str">
            <v>PENDIENTE</v>
          </cell>
          <cell r="I152" t="str">
            <v>PENDIENTE</v>
          </cell>
          <cell r="J152" t="str">
            <v>PENDIENTE</v>
          </cell>
          <cell r="K152" t="str">
            <v>PENDIENTE</v>
          </cell>
          <cell r="L152" t="str">
            <v>PENDIENTE</v>
          </cell>
          <cell r="M152" t="str">
            <v>OPEN MARINA</v>
          </cell>
          <cell r="N152" t="str">
            <v>PENDIENTE</v>
          </cell>
          <cell r="O152">
            <v>210</v>
          </cell>
        </row>
        <row r="153">
          <cell r="A153">
            <v>9524</v>
          </cell>
          <cell r="B153">
            <v>9524</v>
          </cell>
          <cell r="C153" t="str">
            <v>CERO MATRICULA</v>
          </cell>
          <cell r="D153" t="str">
            <v>ACTIVO</v>
          </cell>
          <cell r="E153">
            <v>0</v>
          </cell>
          <cell r="F153" t="str">
            <v>SALAS VALENCIA FORTUNATO</v>
          </cell>
          <cell r="G153" t="str">
            <v>PENDIENTE</v>
          </cell>
          <cell r="H153" t="str">
            <v>PENDIENTE</v>
          </cell>
          <cell r="I153" t="str">
            <v>PENDIENTE</v>
          </cell>
          <cell r="J153" t="str">
            <v>PENDIENTE</v>
          </cell>
          <cell r="K153" t="str">
            <v>PENDIENTE</v>
          </cell>
          <cell r="L153" t="str">
            <v>PENDIENTE</v>
          </cell>
          <cell r="M153" t="str">
            <v>OPEN MARINA</v>
          </cell>
          <cell r="N153" t="str">
            <v>PENDIENTE</v>
          </cell>
          <cell r="O153">
            <v>210</v>
          </cell>
        </row>
        <row r="154">
          <cell r="A154">
            <v>9530</v>
          </cell>
          <cell r="B154">
            <v>9530</v>
          </cell>
          <cell r="C154" t="str">
            <v>CERO MATRICULA</v>
          </cell>
          <cell r="D154" t="str">
            <v>ACTIVO</v>
          </cell>
          <cell r="E154">
            <v>0</v>
          </cell>
          <cell r="F154" t="str">
            <v xml:space="preserve">RUSCA COTRINA CESAR ALFREDO </v>
          </cell>
          <cell r="G154" t="str">
            <v xml:space="preserve">RUSCA COTRINA CESAR ALFREDO </v>
          </cell>
          <cell r="H154" t="str">
            <v>25845693</v>
          </cell>
          <cell r="I154" t="str">
            <v>INTERBANK</v>
          </cell>
          <cell r="J154" t="str">
            <v>898-324801214-7</v>
          </cell>
          <cell r="K154" t="str">
            <v>DNI</v>
          </cell>
          <cell r="L154">
            <v>10258456934</v>
          </cell>
          <cell r="M154" t="str">
            <v>OPEN MARINA</v>
          </cell>
          <cell r="N154" t="str">
            <v>PENDIENTE</v>
          </cell>
          <cell r="O154">
            <v>210</v>
          </cell>
        </row>
        <row r="155">
          <cell r="A155">
            <v>9532</v>
          </cell>
          <cell r="B155">
            <v>9532</v>
          </cell>
          <cell r="C155" t="str">
            <v>CERO MATRICULA</v>
          </cell>
          <cell r="D155" t="str">
            <v>ACTIVO</v>
          </cell>
          <cell r="E155">
            <v>0</v>
          </cell>
          <cell r="F155" t="str">
            <v>QUISPE. MERINO MIGUEL</v>
          </cell>
          <cell r="G155" t="str">
            <v>PENDIENTE</v>
          </cell>
          <cell r="H155" t="str">
            <v>PENDIENTE</v>
          </cell>
          <cell r="I155" t="str">
            <v>PENDIENTE</v>
          </cell>
          <cell r="J155" t="str">
            <v>PENDIENTE</v>
          </cell>
          <cell r="K155" t="str">
            <v>PENDIENTE</v>
          </cell>
          <cell r="L155" t="str">
            <v>PENDIENTE</v>
          </cell>
          <cell r="M155" t="str">
            <v>OPEN MARINA</v>
          </cell>
          <cell r="N155" t="str">
            <v>PENDIENTE</v>
          </cell>
          <cell r="O155">
            <v>210</v>
          </cell>
        </row>
        <row r="156">
          <cell r="A156">
            <v>9533</v>
          </cell>
          <cell r="B156">
            <v>9533</v>
          </cell>
          <cell r="C156" t="str">
            <v>CERO MATRICULA</v>
          </cell>
          <cell r="D156" t="str">
            <v>ACTIVO</v>
          </cell>
          <cell r="E156">
            <v>0</v>
          </cell>
          <cell r="F156" t="str">
            <v>SILVA CALDERON CARLOS ROBERTO</v>
          </cell>
          <cell r="G156" t="str">
            <v>PENDIENTE</v>
          </cell>
          <cell r="H156" t="str">
            <v>PENDIENTE</v>
          </cell>
          <cell r="I156" t="str">
            <v>PENDIENTE</v>
          </cell>
          <cell r="J156" t="str">
            <v>PENDIENTE</v>
          </cell>
          <cell r="K156" t="str">
            <v>PENDIENTE</v>
          </cell>
          <cell r="L156" t="str">
            <v>PENDIENTE</v>
          </cell>
          <cell r="M156" t="str">
            <v>OPEN MARINA</v>
          </cell>
          <cell r="N156" t="str">
            <v>PENDIENTE</v>
          </cell>
          <cell r="O156">
            <v>210</v>
          </cell>
        </row>
        <row r="157">
          <cell r="A157">
            <v>9535</v>
          </cell>
          <cell r="B157">
            <v>9535</v>
          </cell>
          <cell r="C157" t="str">
            <v>CERO MATRICULA</v>
          </cell>
          <cell r="D157" t="str">
            <v>ACTIVO</v>
          </cell>
          <cell r="E157">
            <v>0</v>
          </cell>
          <cell r="F157" t="str">
            <v>GONZALEZ PERALTA EDISON</v>
          </cell>
          <cell r="G157" t="str">
            <v>PENDIENTE</v>
          </cell>
          <cell r="H157" t="str">
            <v>PENDIENTE</v>
          </cell>
          <cell r="I157" t="str">
            <v>PENDIENTE</v>
          </cell>
          <cell r="J157" t="str">
            <v>PENDIENTE</v>
          </cell>
          <cell r="K157" t="str">
            <v>PENDIENTE</v>
          </cell>
          <cell r="L157" t="str">
            <v>PENDIENTE</v>
          </cell>
          <cell r="M157" t="str">
            <v>OPEN MARINA</v>
          </cell>
          <cell r="N157" t="str">
            <v>PENDIENTE</v>
          </cell>
          <cell r="O157">
            <v>210</v>
          </cell>
        </row>
        <row r="158">
          <cell r="A158">
            <v>9536</v>
          </cell>
          <cell r="B158">
            <v>9536</v>
          </cell>
          <cell r="C158" t="str">
            <v>CERO MATRICULA</v>
          </cell>
          <cell r="D158" t="str">
            <v>ACTIVO</v>
          </cell>
          <cell r="E158">
            <v>0</v>
          </cell>
          <cell r="F158" t="str">
            <v>CAMUS DUEÑAS RICHARD</v>
          </cell>
          <cell r="G158" t="str">
            <v>PENDIENTE</v>
          </cell>
          <cell r="H158" t="str">
            <v>PENDIENTE</v>
          </cell>
          <cell r="I158" t="str">
            <v>PENDIENTE</v>
          </cell>
          <cell r="J158" t="str">
            <v>PENDIENTE</v>
          </cell>
          <cell r="K158" t="str">
            <v>PENDIENTE</v>
          </cell>
          <cell r="L158" t="str">
            <v>PENDIENTE</v>
          </cell>
          <cell r="M158" t="str">
            <v>OPEN MARINA</v>
          </cell>
          <cell r="N158" t="str">
            <v>PENDIENTE</v>
          </cell>
          <cell r="O158">
            <v>210</v>
          </cell>
        </row>
        <row r="159">
          <cell r="A159">
            <v>9537</v>
          </cell>
          <cell r="B159">
            <v>9537</v>
          </cell>
          <cell r="C159" t="str">
            <v>CERO MATRICULA</v>
          </cell>
          <cell r="D159" t="str">
            <v>ACTIVO</v>
          </cell>
          <cell r="E159">
            <v>0</v>
          </cell>
          <cell r="F159" t="str">
            <v>TELLO FERNANDEZ JONATHAN</v>
          </cell>
          <cell r="G159" t="str">
            <v>GOYCOCHEA SANTOS DIANA</v>
          </cell>
          <cell r="H159">
            <v>71578204</v>
          </cell>
          <cell r="I159" t="str">
            <v>BBVA</v>
          </cell>
          <cell r="J159" t="str">
            <v>001108140225843290</v>
          </cell>
          <cell r="K159" t="str">
            <v>DNI</v>
          </cell>
          <cell r="L159">
            <v>10715782044</v>
          </cell>
          <cell r="M159" t="str">
            <v>OPEN MARINA</v>
          </cell>
          <cell r="N159" t="str">
            <v>PENDIENTE</v>
          </cell>
          <cell r="O159">
            <v>210</v>
          </cell>
        </row>
        <row r="160">
          <cell r="A160">
            <v>9543</v>
          </cell>
          <cell r="B160">
            <v>9543</v>
          </cell>
          <cell r="C160" t="str">
            <v>CERO MATRICULA</v>
          </cell>
          <cell r="D160" t="str">
            <v>ACTIVO</v>
          </cell>
          <cell r="E160">
            <v>0</v>
          </cell>
          <cell r="F160" t="str">
            <v>AYALA SALAZAR ALEJANDRO</v>
          </cell>
          <cell r="G160" t="str">
            <v>AYALA SALAZAR ALEJANDRO</v>
          </cell>
          <cell r="H160">
            <v>41944007</v>
          </cell>
          <cell r="I160" t="str">
            <v>BCP</v>
          </cell>
          <cell r="J160" t="str">
            <v>19125895935008</v>
          </cell>
          <cell r="K160" t="str">
            <v>DNI</v>
          </cell>
          <cell r="L160">
            <v>10419440073</v>
          </cell>
          <cell r="M160" t="str">
            <v>JOCKEY PLAZA</v>
          </cell>
          <cell r="N160" t="str">
            <v>PENDIENTE</v>
          </cell>
          <cell r="O160">
            <v>240</v>
          </cell>
        </row>
        <row r="161">
          <cell r="A161">
            <v>9544</v>
          </cell>
          <cell r="B161">
            <v>9544</v>
          </cell>
          <cell r="C161" t="str">
            <v>CERO MATRICULA</v>
          </cell>
          <cell r="D161" t="str">
            <v>ACTIVO</v>
          </cell>
          <cell r="E161">
            <v>0</v>
          </cell>
          <cell r="F161" t="str">
            <v>LA TORRE GOMEZ WALTER</v>
          </cell>
          <cell r="G161" t="str">
            <v>ERAZO SENDER HAROLD</v>
          </cell>
          <cell r="H161" t="str">
            <v>43297033</v>
          </cell>
          <cell r="I161" t="str">
            <v>BBVA</v>
          </cell>
          <cell r="J161" t="str">
            <v>0011-0093-02-00052053</v>
          </cell>
          <cell r="K161" t="str">
            <v>DNI</v>
          </cell>
          <cell r="L161">
            <v>10432970332</v>
          </cell>
          <cell r="M161" t="str">
            <v>OPEN MARINA</v>
          </cell>
          <cell r="N161" t="str">
            <v>PENDIENTE</v>
          </cell>
          <cell r="O161">
            <v>210</v>
          </cell>
        </row>
        <row r="162">
          <cell r="A162">
            <v>9546</v>
          </cell>
          <cell r="B162">
            <v>9546</v>
          </cell>
          <cell r="C162" t="str">
            <v>CERO MATRICULA</v>
          </cell>
          <cell r="D162" t="str">
            <v>ACTIVO</v>
          </cell>
          <cell r="E162">
            <v>0</v>
          </cell>
          <cell r="F162" t="str">
            <v>JIMENEZ HERRERA HUMBERTO</v>
          </cell>
          <cell r="G162" t="str">
            <v>PENDIENTE</v>
          </cell>
          <cell r="H162" t="str">
            <v>PENDIENTE</v>
          </cell>
          <cell r="I162" t="str">
            <v>PENDIENTE</v>
          </cell>
          <cell r="J162" t="str">
            <v>PENDIENTE</v>
          </cell>
          <cell r="K162" t="str">
            <v>PENDIENTE</v>
          </cell>
          <cell r="L162" t="str">
            <v>PENDIENTE</v>
          </cell>
          <cell r="M162" t="str">
            <v>OPEN MARINA</v>
          </cell>
          <cell r="N162" t="str">
            <v>PENDIENTE</v>
          </cell>
          <cell r="O162">
            <v>210</v>
          </cell>
        </row>
        <row r="163">
          <cell r="A163">
            <v>9549</v>
          </cell>
          <cell r="B163">
            <v>9549</v>
          </cell>
          <cell r="C163" t="str">
            <v>CERO MATRICULA</v>
          </cell>
          <cell r="D163" t="str">
            <v>ACTIVO</v>
          </cell>
          <cell r="E163">
            <v>0</v>
          </cell>
          <cell r="F163" t="str">
            <v>SILVA MEJIA NOEL EBEL</v>
          </cell>
          <cell r="G163" t="str">
            <v>SILVA MEJIA NOEL EBEL</v>
          </cell>
          <cell r="H163">
            <v>75706658</v>
          </cell>
          <cell r="I163" t="str">
            <v>BCP</v>
          </cell>
          <cell r="J163" t="str">
            <v>191-37240430-0-95</v>
          </cell>
          <cell r="K163" t="str">
            <v>DNI</v>
          </cell>
          <cell r="L163">
            <v>10757066586</v>
          </cell>
          <cell r="M163" t="str">
            <v>OPEN MARINA</v>
          </cell>
          <cell r="N163" t="str">
            <v>PENDIENTE</v>
          </cell>
          <cell r="O163">
            <v>210</v>
          </cell>
        </row>
        <row r="164">
          <cell r="A164">
            <v>9556</v>
          </cell>
          <cell r="B164">
            <v>9556</v>
          </cell>
          <cell r="C164" t="str">
            <v>CERO MATRICULA</v>
          </cell>
          <cell r="D164" t="str">
            <v>ACTIVO</v>
          </cell>
          <cell r="E164">
            <v>0</v>
          </cell>
          <cell r="F164" t="str">
            <v>ALCARRAZ GUTIERREZ MARCO ANTONIO</v>
          </cell>
          <cell r="G164" t="str">
            <v>ALCARRAZ GUTIERREZ MARCO ANTONIO</v>
          </cell>
          <cell r="H164" t="str">
            <v>25786976</v>
          </cell>
          <cell r="I164" t="str">
            <v>BBVA</v>
          </cell>
          <cell r="J164" t="str">
            <v>001104800200358814</v>
          </cell>
          <cell r="K164" t="str">
            <v>DNI</v>
          </cell>
          <cell r="L164">
            <v>10257869763</v>
          </cell>
          <cell r="M164" t="str">
            <v>OPEN MARINA</v>
          </cell>
          <cell r="N164" t="str">
            <v>PENDIENTE</v>
          </cell>
          <cell r="O164">
            <v>210</v>
          </cell>
        </row>
        <row r="165">
          <cell r="A165">
            <v>9586</v>
          </cell>
          <cell r="B165">
            <v>9586</v>
          </cell>
          <cell r="C165" t="str">
            <v>CERO MATRICULA</v>
          </cell>
          <cell r="D165" t="str">
            <v>ACTIVO</v>
          </cell>
          <cell r="E165">
            <v>0</v>
          </cell>
          <cell r="F165" t="str">
            <v>SULLE MENDOZA LUIS ALBERTO</v>
          </cell>
          <cell r="G165" t="str">
            <v>PENDIENTE</v>
          </cell>
          <cell r="H165" t="str">
            <v>PENDIENTE</v>
          </cell>
          <cell r="I165" t="str">
            <v>PENDIENTE</v>
          </cell>
          <cell r="J165" t="str">
            <v>PENDIENTE</v>
          </cell>
          <cell r="K165" t="str">
            <v>PENDIENTE</v>
          </cell>
          <cell r="L165" t="str">
            <v>PENDIENTE</v>
          </cell>
          <cell r="M165" t="str">
            <v>OPEN MARINA</v>
          </cell>
          <cell r="N165" t="str">
            <v>PENDIENTE</v>
          </cell>
          <cell r="O165">
            <v>210</v>
          </cell>
        </row>
        <row r="166">
          <cell r="A166">
            <v>9594</v>
          </cell>
          <cell r="B166">
            <v>9594</v>
          </cell>
          <cell r="C166" t="str">
            <v>CERO MATRICULA</v>
          </cell>
          <cell r="D166" t="str">
            <v>ACTIVO</v>
          </cell>
          <cell r="E166">
            <v>0</v>
          </cell>
          <cell r="F166" t="str">
            <v>QUISPE MAMANI DIEGO</v>
          </cell>
          <cell r="G166" t="str">
            <v>PENDIENTE</v>
          </cell>
          <cell r="H166" t="str">
            <v>PENDIENTE</v>
          </cell>
          <cell r="I166" t="str">
            <v>PENDIENTE</v>
          </cell>
          <cell r="J166" t="str">
            <v>PENDIENTE</v>
          </cell>
          <cell r="K166" t="str">
            <v>PENDIENTE</v>
          </cell>
          <cell r="L166" t="str">
            <v>PENDIENTE</v>
          </cell>
          <cell r="M166" t="str">
            <v>OPEN MARINA</v>
          </cell>
          <cell r="N166" t="str">
            <v>PENDIENTE</v>
          </cell>
          <cell r="O166">
            <v>210</v>
          </cell>
        </row>
        <row r="167">
          <cell r="A167">
            <v>9595</v>
          </cell>
          <cell r="B167">
            <v>9595</v>
          </cell>
          <cell r="C167" t="str">
            <v>CERO MATRICULA</v>
          </cell>
          <cell r="D167" t="str">
            <v>ACTIVO</v>
          </cell>
          <cell r="E167">
            <v>0</v>
          </cell>
          <cell r="F167" t="str">
            <v>LA CRUZ MONTEGGHIRFO PABLO</v>
          </cell>
          <cell r="G167" t="str">
            <v>PENDIENTE</v>
          </cell>
          <cell r="H167" t="str">
            <v>PENDIENTE</v>
          </cell>
          <cell r="I167" t="str">
            <v>PENDIENTE</v>
          </cell>
          <cell r="J167" t="str">
            <v>PENDIENTE</v>
          </cell>
          <cell r="K167" t="str">
            <v>PENDIENTE</v>
          </cell>
          <cell r="L167">
            <v>15563317784</v>
          </cell>
          <cell r="M167" t="str">
            <v>OPEN MARINA</v>
          </cell>
          <cell r="N167" t="str">
            <v>PENDIENTE</v>
          </cell>
          <cell r="O167">
            <v>210</v>
          </cell>
        </row>
        <row r="168">
          <cell r="A168">
            <v>9601</v>
          </cell>
          <cell r="B168">
            <v>9601</v>
          </cell>
          <cell r="C168" t="str">
            <v>CERO MATRICULA</v>
          </cell>
          <cell r="D168" t="str">
            <v>ACTIVO</v>
          </cell>
          <cell r="E168" t="str">
            <v xml:space="preserve">CBY529 </v>
          </cell>
          <cell r="F168" t="str">
            <v>CUEVA ROSALES ARTURO MANUEL</v>
          </cell>
          <cell r="G168" t="str">
            <v>ROSALES TIRADO MIRIAM YANANTI</v>
          </cell>
          <cell r="H168" t="str">
            <v>09610597</v>
          </cell>
          <cell r="I168" t="str">
            <v>BCP</v>
          </cell>
          <cell r="J168" t="str">
            <v>191-95205920094</v>
          </cell>
          <cell r="K168" t="str">
            <v xml:space="preserve">DNI </v>
          </cell>
          <cell r="L168">
            <v>10096105971</v>
          </cell>
          <cell r="M168" t="str">
            <v>OPEN MARINA</v>
          </cell>
          <cell r="N168">
            <v>44895</v>
          </cell>
          <cell r="O168">
            <v>210</v>
          </cell>
        </row>
        <row r="169">
          <cell r="A169">
            <v>9602</v>
          </cell>
          <cell r="B169">
            <v>9602</v>
          </cell>
          <cell r="C169" t="str">
            <v>CERO MATRICULA</v>
          </cell>
          <cell r="D169" t="str">
            <v>ACTIVO</v>
          </cell>
          <cell r="E169" t="str">
            <v>AWE235</v>
          </cell>
          <cell r="F169" t="str">
            <v>YALAN REYES OMAR DAVID</v>
          </cell>
          <cell r="G169" t="str">
            <v>YALAN REYES OMAR DAVID</v>
          </cell>
          <cell r="H169" t="str">
            <v>40307044</v>
          </cell>
          <cell r="I169" t="str">
            <v>BBVA</v>
          </cell>
          <cell r="J169" t="str">
            <v>0011-0141-0200523374</v>
          </cell>
          <cell r="K169" t="str">
            <v xml:space="preserve">DNI </v>
          </cell>
          <cell r="L169">
            <v>10403070446</v>
          </cell>
          <cell r="M169" t="str">
            <v>OPEN MARINA</v>
          </cell>
          <cell r="N169">
            <v>44910</v>
          </cell>
          <cell r="O169">
            <v>210</v>
          </cell>
        </row>
        <row r="170">
          <cell r="A170">
            <v>9603</v>
          </cell>
          <cell r="B170">
            <v>9603</v>
          </cell>
          <cell r="C170" t="str">
            <v>CERO MATRICULA</v>
          </cell>
          <cell r="D170" t="str">
            <v>ACTIVO</v>
          </cell>
          <cell r="E170" t="str">
            <v>M5H080</v>
          </cell>
          <cell r="F170" t="str">
            <v>CONTRERAS URIBE JESÚS OSWALDO</v>
          </cell>
          <cell r="G170" t="str">
            <v>HUAMANI CAQUIAMARCA NADIA</v>
          </cell>
          <cell r="H170" t="str">
            <v>47250245</v>
          </cell>
          <cell r="I170" t="str">
            <v>SCOTIABANK</v>
          </cell>
          <cell r="J170" t="str">
            <v>013-0792856</v>
          </cell>
          <cell r="K170" t="str">
            <v>DNI</v>
          </cell>
          <cell r="L170">
            <v>10472502455</v>
          </cell>
          <cell r="M170" t="str">
            <v>OPEN MARINA</v>
          </cell>
          <cell r="N170">
            <v>44932</v>
          </cell>
          <cell r="O170">
            <v>210</v>
          </cell>
        </row>
        <row r="171">
          <cell r="A171">
            <v>9604</v>
          </cell>
          <cell r="B171">
            <v>9604</v>
          </cell>
          <cell r="C171" t="str">
            <v>CERO MATRICULA</v>
          </cell>
          <cell r="D171" t="str">
            <v>ACTIVO</v>
          </cell>
          <cell r="F171" t="str">
            <v>AYALA SALAZAR DANNY DANIEL</v>
          </cell>
          <cell r="G171" t="str">
            <v>AYALA SALAZAR DANNY DANIEL</v>
          </cell>
          <cell r="H171" t="str">
            <v>43542970</v>
          </cell>
          <cell r="I171" t="str">
            <v>BCP</v>
          </cell>
          <cell r="J171" t="str">
            <v>1943288471077</v>
          </cell>
          <cell r="K171" t="str">
            <v>DNI</v>
          </cell>
          <cell r="L171">
            <v>10435429705</v>
          </cell>
          <cell r="M171" t="str">
            <v>JOCKEY PLAZA</v>
          </cell>
          <cell r="N171">
            <v>45516</v>
          </cell>
          <cell r="O171">
            <v>240</v>
          </cell>
        </row>
        <row r="172">
          <cell r="A172">
            <v>9625</v>
          </cell>
          <cell r="B172">
            <v>9625</v>
          </cell>
          <cell r="C172" t="str">
            <v>CERO MATRICULA</v>
          </cell>
          <cell r="D172" t="str">
            <v>ACTIVO</v>
          </cell>
          <cell r="E172" t="str">
            <v>BKZ371</v>
          </cell>
          <cell r="F172" t="str">
            <v>Roncal Munarez ROBERT RIVENTON</v>
          </cell>
          <cell r="G172" t="str">
            <v>RONCAL MUNAREZ ROBERT RIVENTON</v>
          </cell>
          <cell r="H172" t="str">
            <v>80466198</v>
          </cell>
          <cell r="I172" t="str">
            <v>BCP</v>
          </cell>
          <cell r="J172" t="str">
            <v>19406013632075</v>
          </cell>
          <cell r="K172" t="str">
            <v>DNI</v>
          </cell>
          <cell r="L172">
            <v>10804661986</v>
          </cell>
          <cell r="M172" t="str">
            <v>JOCKEY PLAZA</v>
          </cell>
          <cell r="N172">
            <v>45532</v>
          </cell>
          <cell r="O172">
            <v>240</v>
          </cell>
        </row>
        <row r="173">
          <cell r="A173">
            <v>9652</v>
          </cell>
          <cell r="B173">
            <v>9652</v>
          </cell>
          <cell r="C173" t="str">
            <v>CERO MATRICULA</v>
          </cell>
          <cell r="D173" t="str">
            <v>ACTIVO</v>
          </cell>
          <cell r="E173">
            <v>0</v>
          </cell>
          <cell r="F173" t="str">
            <v xml:space="preserve">MATIENZO ASCENCIOS LUIS MARTIN </v>
          </cell>
          <cell r="G173" t="str">
            <v>AVALOS IBARGUEN GAUDY MERCEDES</v>
          </cell>
          <cell r="H173" t="str">
            <v>40826352</v>
          </cell>
          <cell r="I173" t="str">
            <v>BCP</v>
          </cell>
          <cell r="J173" t="str">
            <v>19290819782050</v>
          </cell>
          <cell r="K173" t="str">
            <v>DNI</v>
          </cell>
          <cell r="L173">
            <v>10408263528</v>
          </cell>
          <cell r="M173" t="str">
            <v>OPEN MARINA</v>
          </cell>
          <cell r="N173" t="str">
            <v>PENDIENTE</v>
          </cell>
          <cell r="O173">
            <v>210</v>
          </cell>
        </row>
        <row r="174">
          <cell r="A174">
            <v>9655</v>
          </cell>
          <cell r="B174">
            <v>9655</v>
          </cell>
          <cell r="C174" t="str">
            <v>CERO MATRICULA</v>
          </cell>
          <cell r="D174" t="str">
            <v>ACTIVO</v>
          </cell>
          <cell r="E174" t="str">
            <v>BAQ117</v>
          </cell>
          <cell r="F174" t="str">
            <v>CUEVA PEREYRA JUAN CARLOS</v>
          </cell>
          <cell r="G174" t="str">
            <v>CUEVA PEREYRA JUAN CARLOS</v>
          </cell>
          <cell r="H174" t="str">
            <v>09674318</v>
          </cell>
          <cell r="I174" t="str">
            <v>BCP</v>
          </cell>
          <cell r="J174" t="str">
            <v>515-4151273-06-9</v>
          </cell>
          <cell r="K174" t="str">
            <v>DNI</v>
          </cell>
          <cell r="L174">
            <v>10096743187</v>
          </cell>
          <cell r="M174" t="str">
            <v>OPEN MARINA</v>
          </cell>
          <cell r="N174">
            <v>45002</v>
          </cell>
          <cell r="O174">
            <v>210</v>
          </cell>
        </row>
        <row r="175">
          <cell r="A175">
            <v>9666</v>
          </cell>
          <cell r="B175">
            <v>9666</v>
          </cell>
          <cell r="C175" t="str">
            <v>CERO MATRICULA</v>
          </cell>
          <cell r="D175" t="str">
            <v>ACTIVO</v>
          </cell>
          <cell r="E175">
            <v>0</v>
          </cell>
          <cell r="F175" t="str">
            <v xml:space="preserve">LOPEZ MENDOZA MARTIN </v>
          </cell>
          <cell r="G175" t="str">
            <v>LOPEZ MENDOZA MARTIN ALFREDO</v>
          </cell>
          <cell r="H175" t="str">
            <v>22298203</v>
          </cell>
          <cell r="I175" t="str">
            <v>BBVA</v>
          </cell>
          <cell r="J175" t="str">
            <v>001108140205476216</v>
          </cell>
          <cell r="K175" t="str">
            <v>DNI</v>
          </cell>
          <cell r="L175">
            <v>10222982036</v>
          </cell>
          <cell r="M175" t="str">
            <v>BELLAVISTA</v>
          </cell>
          <cell r="N175" t="str">
            <v>PENDIENTE</v>
          </cell>
          <cell r="O175">
            <v>90</v>
          </cell>
        </row>
        <row r="176">
          <cell r="A176">
            <v>9731</v>
          </cell>
          <cell r="B176">
            <v>9731</v>
          </cell>
          <cell r="C176" t="str">
            <v>CERO MATRICULA</v>
          </cell>
          <cell r="D176" t="str">
            <v>ACTIVO</v>
          </cell>
          <cell r="E176">
            <v>0</v>
          </cell>
          <cell r="F176" t="str">
            <v>ROJAS MESIA MANUEL WIGBERTO</v>
          </cell>
          <cell r="G176" t="str">
            <v>ROJAS MESIA MANUEL WIGBERTO</v>
          </cell>
          <cell r="H176">
            <v>40269880</v>
          </cell>
          <cell r="I176" t="str">
            <v>BCP</v>
          </cell>
          <cell r="J176" t="str">
            <v>19238538933013</v>
          </cell>
          <cell r="K176" t="str">
            <v>DNI</v>
          </cell>
          <cell r="L176">
            <v>10402698808</v>
          </cell>
          <cell r="M176" t="str">
            <v>OPEN MARINA</v>
          </cell>
          <cell r="N176" t="str">
            <v>PENDIENTE</v>
          </cell>
          <cell r="O176">
            <v>210</v>
          </cell>
        </row>
        <row r="177">
          <cell r="A177">
            <v>9733</v>
          </cell>
          <cell r="B177">
            <v>9733</v>
          </cell>
          <cell r="C177" t="str">
            <v>CERO MATRICULA</v>
          </cell>
          <cell r="D177" t="str">
            <v>ACTIVO</v>
          </cell>
          <cell r="E177">
            <v>0</v>
          </cell>
          <cell r="F177" t="str">
            <v>LEVITA POLO JOSE FRANCISCO</v>
          </cell>
          <cell r="G177" t="str">
            <v>PENDIENTE</v>
          </cell>
          <cell r="H177" t="str">
            <v>PENDIENTE</v>
          </cell>
          <cell r="I177" t="str">
            <v>PENDIENTE</v>
          </cell>
          <cell r="J177" t="str">
            <v>PENDIENTE</v>
          </cell>
          <cell r="K177" t="str">
            <v>PENDIENTE</v>
          </cell>
          <cell r="L177" t="str">
            <v>PENDIENTE</v>
          </cell>
          <cell r="M177" t="str">
            <v>OPEN MARINA</v>
          </cell>
          <cell r="N177" t="str">
            <v>PENDIENTE</v>
          </cell>
          <cell r="O177">
            <v>210</v>
          </cell>
        </row>
        <row r="178">
          <cell r="A178">
            <v>9756</v>
          </cell>
          <cell r="B178">
            <v>9756</v>
          </cell>
          <cell r="C178" t="str">
            <v>CERO MATRICULA</v>
          </cell>
          <cell r="D178" t="str">
            <v>ACTIVO</v>
          </cell>
          <cell r="E178" t="str">
            <v>BYC426</v>
          </cell>
          <cell r="F178" t="str">
            <v>ARIAS RAMOS YOSMER JOSE</v>
          </cell>
          <cell r="G178" t="str">
            <v>ARIAS RAMOS YOSMER JOSE</v>
          </cell>
          <cell r="H178" t="str">
            <v>003581275</v>
          </cell>
          <cell r="I178" t="str">
            <v>INTERBANK</v>
          </cell>
          <cell r="J178" t="str">
            <v>3453-279416388</v>
          </cell>
          <cell r="K178" t="str">
            <v>CE</v>
          </cell>
          <cell r="L178">
            <v>15606474480</v>
          </cell>
          <cell r="M178" t="str">
            <v>OPEN MARINA</v>
          </cell>
          <cell r="N178">
            <v>45105</v>
          </cell>
          <cell r="O178">
            <v>210</v>
          </cell>
        </row>
        <row r="179">
          <cell r="A179">
            <v>9757</v>
          </cell>
          <cell r="B179">
            <v>9757</v>
          </cell>
          <cell r="C179" t="str">
            <v>CERO MATRICULA</v>
          </cell>
          <cell r="D179" t="str">
            <v>ACTIVO</v>
          </cell>
          <cell r="E179" t="str">
            <v>C3S190</v>
          </cell>
          <cell r="F179" t="str">
            <v>GUTIERREZ LEVITA SAUL YURI</v>
          </cell>
          <cell r="G179" t="str">
            <v>GUTIERREZ LEVITA SAUL YURI</v>
          </cell>
          <cell r="H179" t="str">
            <v>74159166</v>
          </cell>
          <cell r="I179" t="str">
            <v>BBVA</v>
          </cell>
          <cell r="J179" t="str">
            <v>0011-0200-0201824416</v>
          </cell>
          <cell r="K179" t="str">
            <v>DNI</v>
          </cell>
          <cell r="L179">
            <v>10741591664</v>
          </cell>
          <cell r="M179" t="str">
            <v>OPEN MARINA</v>
          </cell>
          <cell r="N179">
            <v>44893</v>
          </cell>
          <cell r="O179">
            <v>210</v>
          </cell>
        </row>
        <row r="180">
          <cell r="A180">
            <v>9759</v>
          </cell>
          <cell r="B180">
            <v>9759</v>
          </cell>
          <cell r="C180" t="str">
            <v>CERO MATRICULA</v>
          </cell>
          <cell r="D180" t="str">
            <v>ACTIVO</v>
          </cell>
          <cell r="E180" t="str">
            <v>C3T539</v>
          </cell>
          <cell r="F180" t="str">
            <v>BAUTISTA COAQUIRA ELVIS</v>
          </cell>
          <cell r="G180" t="str">
            <v>ROGER SALVADOR BEJARANO</v>
          </cell>
          <cell r="H180" t="str">
            <v>09646153</v>
          </cell>
          <cell r="I180" t="str">
            <v>BCP</v>
          </cell>
          <cell r="J180" t="str">
            <v>19398620170031</v>
          </cell>
          <cell r="K180" t="str">
            <v>DNI</v>
          </cell>
          <cell r="L180">
            <v>10096461530</v>
          </cell>
          <cell r="M180" t="str">
            <v>OPEN MARINA</v>
          </cell>
          <cell r="N180">
            <v>45013</v>
          </cell>
          <cell r="O180">
            <v>210</v>
          </cell>
        </row>
        <row r="181">
          <cell r="A181">
            <v>9761</v>
          </cell>
          <cell r="B181">
            <v>9761</v>
          </cell>
          <cell r="C181" t="str">
            <v>CERO MATRICULA</v>
          </cell>
          <cell r="D181" t="str">
            <v>ACTIVO</v>
          </cell>
          <cell r="E181" t="str">
            <v>ATJ016</v>
          </cell>
          <cell r="F181" t="str">
            <v>AYALA SALAZAR EDUARDO</v>
          </cell>
          <cell r="G181" t="str">
            <v>Araceli Lisset Cerna Cruz</v>
          </cell>
          <cell r="H181" t="str">
            <v>75898687</v>
          </cell>
          <cell r="I181" t="str">
            <v>BCP</v>
          </cell>
          <cell r="J181">
            <v>19211809033014</v>
          </cell>
          <cell r="K181" t="str">
            <v>DNI</v>
          </cell>
          <cell r="L181">
            <v>10758986875</v>
          </cell>
          <cell r="M181" t="str">
            <v>JOCKEY PLAZA</v>
          </cell>
          <cell r="N181">
            <v>45094</v>
          </cell>
          <cell r="O181">
            <v>240</v>
          </cell>
        </row>
        <row r="182">
          <cell r="A182">
            <v>9762</v>
          </cell>
          <cell r="B182">
            <v>9762</v>
          </cell>
          <cell r="C182" t="str">
            <v>CERO MATRICULA</v>
          </cell>
          <cell r="D182" t="str">
            <v>ACTIVO</v>
          </cell>
          <cell r="E182" t="str">
            <v>A3N156</v>
          </cell>
          <cell r="F182" t="str">
            <v>MARTINEZ MIRANDA ERNESTO RAFAEL</v>
          </cell>
          <cell r="G182" t="str">
            <v>MARTINEZ MIRANDA ERNESTO RAFAEL</v>
          </cell>
          <cell r="H182" t="str">
            <v>001445016</v>
          </cell>
          <cell r="I182" t="str">
            <v>BCP</v>
          </cell>
          <cell r="J182" t="str">
            <v>191-97486572082</v>
          </cell>
          <cell r="K182" t="str">
            <v>CPP</v>
          </cell>
          <cell r="L182">
            <v>15605801461</v>
          </cell>
          <cell r="M182" t="str">
            <v>OPEN MARINA</v>
          </cell>
          <cell r="N182">
            <v>45097</v>
          </cell>
          <cell r="O182">
            <v>210</v>
          </cell>
        </row>
        <row r="183">
          <cell r="A183">
            <v>9797</v>
          </cell>
          <cell r="B183">
            <v>9797</v>
          </cell>
          <cell r="C183" t="str">
            <v>CERO MATRICULA</v>
          </cell>
          <cell r="D183" t="str">
            <v>ACTIVO</v>
          </cell>
          <cell r="E183" t="str">
            <v>PENDIENTE</v>
          </cell>
          <cell r="F183" t="str">
            <v>PENDIENTE</v>
          </cell>
          <cell r="G183" t="str">
            <v>PENDIENTE</v>
          </cell>
          <cell r="H183" t="str">
            <v>PENDIENTE</v>
          </cell>
          <cell r="I183" t="str">
            <v>PENDIENTE</v>
          </cell>
          <cell r="J183" t="str">
            <v>PENDIENTE</v>
          </cell>
          <cell r="K183" t="str">
            <v>PENDIENTE</v>
          </cell>
          <cell r="L183" t="str">
            <v>PENDIENTE</v>
          </cell>
          <cell r="M183" t="str">
            <v>BELLAVISTA</v>
          </cell>
          <cell r="N183">
            <v>45874</v>
          </cell>
          <cell r="O183">
            <v>90</v>
          </cell>
        </row>
        <row r="184">
          <cell r="A184">
            <v>9802</v>
          </cell>
          <cell r="B184">
            <v>9802</v>
          </cell>
          <cell r="C184" t="str">
            <v>CERO MATRICULA</v>
          </cell>
          <cell r="D184" t="str">
            <v>ACTIVO</v>
          </cell>
          <cell r="E184" t="str">
            <v>ClZ380</v>
          </cell>
          <cell r="F184" t="str">
            <v>Montero Salazar Carlos antonio</v>
          </cell>
          <cell r="G184" t="str">
            <v xml:space="preserve"> MONTERO SALAZAR CARLOS ANTONIO</v>
          </cell>
          <cell r="H184" t="str">
            <v>003301505</v>
          </cell>
          <cell r="I184" t="str">
            <v>BCP</v>
          </cell>
          <cell r="J184" t="str">
            <v>19399113339082</v>
          </cell>
          <cell r="K184" t="str">
            <v>CE</v>
          </cell>
          <cell r="L184">
            <v>15605601283</v>
          </cell>
          <cell r="M184" t="str">
            <v>JOCKEY PLAZA</v>
          </cell>
          <cell r="N184">
            <v>45642</v>
          </cell>
          <cell r="O184">
            <v>240</v>
          </cell>
        </row>
        <row r="185">
          <cell r="A185">
            <v>9809</v>
          </cell>
          <cell r="B185">
            <v>9809</v>
          </cell>
          <cell r="C185" t="str">
            <v>CERO MATRICULA</v>
          </cell>
          <cell r="D185" t="str">
            <v>ACTIVO</v>
          </cell>
          <cell r="E185" t="str">
            <v>BMI616</v>
          </cell>
          <cell r="F185" t="str">
            <v>SEDANO PARIONA JOSÉ ALFREDO</v>
          </cell>
          <cell r="G185" t="str">
            <v>SEDANO PARIONA JOSE ALFREDO</v>
          </cell>
          <cell r="H185" t="str">
            <v>46770497</v>
          </cell>
          <cell r="I185" t="str">
            <v>BCP</v>
          </cell>
          <cell r="J185" t="str">
            <v>19370493844001</v>
          </cell>
          <cell r="K185" t="str">
            <v>DNI</v>
          </cell>
          <cell r="L185">
            <v>10467704970</v>
          </cell>
          <cell r="M185" t="str">
            <v>JOCKEY PLAZA</v>
          </cell>
          <cell r="N185">
            <v>45586</v>
          </cell>
          <cell r="O185">
            <v>240</v>
          </cell>
        </row>
        <row r="186">
          <cell r="A186">
            <v>9885</v>
          </cell>
          <cell r="B186">
            <v>9885</v>
          </cell>
          <cell r="C186" t="str">
            <v>CERO MATRICULA</v>
          </cell>
          <cell r="D186" t="str">
            <v>ACTIVO</v>
          </cell>
          <cell r="E186" t="str">
            <v>Bpb228</v>
          </cell>
          <cell r="F186" t="str">
            <v>RAMIREZ ANYARIN GUSTAVO ADOLFO</v>
          </cell>
          <cell r="G186" t="str">
            <v>RAMIREZ ANYARIN GUSTAVO ADOLFO</v>
          </cell>
          <cell r="H186" t="str">
            <v>42646464</v>
          </cell>
          <cell r="I186" t="str">
            <v>BCP</v>
          </cell>
          <cell r="J186" t="str">
            <v>19402821500099</v>
          </cell>
          <cell r="K186" t="str">
            <v>DNI</v>
          </cell>
          <cell r="L186">
            <v>10426464646</v>
          </cell>
          <cell r="M186" t="str">
            <v>JOCKEY PLAZA</v>
          </cell>
          <cell r="N186">
            <v>45607</v>
          </cell>
          <cell r="O186">
            <v>240</v>
          </cell>
        </row>
        <row r="187">
          <cell r="A187">
            <v>9888</v>
          </cell>
          <cell r="B187">
            <v>9888</v>
          </cell>
          <cell r="C187" t="str">
            <v>CERO MATRICULA</v>
          </cell>
          <cell r="D187" t="str">
            <v>ACTIVO</v>
          </cell>
          <cell r="E187" t="str">
            <v>CNN643</v>
          </cell>
          <cell r="F187" t="str">
            <v>CARMONA ROJAS DARWIN JOSUE</v>
          </cell>
          <cell r="G187" t="str">
            <v>CARMONA ROJAS DARWIN JOSUE</v>
          </cell>
          <cell r="H187" t="str">
            <v>004994020</v>
          </cell>
          <cell r="I187" t="str">
            <v>INTERBANK</v>
          </cell>
          <cell r="J187" t="str">
            <v>2053286124724</v>
          </cell>
          <cell r="K187" t="str">
            <v>CE</v>
          </cell>
          <cell r="L187">
            <v>15606547762</v>
          </cell>
          <cell r="M187" t="str">
            <v>OPEN MARINA</v>
          </cell>
          <cell r="N187">
            <v>45621</v>
          </cell>
          <cell r="O187">
            <v>210</v>
          </cell>
        </row>
        <row r="188">
          <cell r="A188">
            <v>9889</v>
          </cell>
          <cell r="B188">
            <v>9889</v>
          </cell>
          <cell r="C188" t="str">
            <v>CERO MATRICULA</v>
          </cell>
          <cell r="D188" t="str">
            <v>ACTIVO</v>
          </cell>
          <cell r="E188" t="str">
            <v>CNN643</v>
          </cell>
          <cell r="F188" t="str">
            <v>CANAVAL BAHAMONDE HUGO SANTIAGO</v>
          </cell>
          <cell r="G188" t="str">
            <v>CANAVAL BAHAMONDE HUGO SANTIAGO</v>
          </cell>
          <cell r="H188" t="str">
            <v>25666248</v>
          </cell>
          <cell r="I188" t="str">
            <v>BBVA</v>
          </cell>
          <cell r="J188" t="str">
            <v>001101021502008047</v>
          </cell>
          <cell r="K188" t="str">
            <v>DNI</v>
          </cell>
          <cell r="L188">
            <v>10256662481</v>
          </cell>
          <cell r="M188" t="str">
            <v>OPEN MARINA</v>
          </cell>
          <cell r="N188">
            <v>45614</v>
          </cell>
          <cell r="O188">
            <v>210</v>
          </cell>
        </row>
        <row r="189">
          <cell r="A189">
            <v>9902</v>
          </cell>
          <cell r="B189">
            <v>9902</v>
          </cell>
          <cell r="C189" t="str">
            <v>CERO MATRICULA</v>
          </cell>
          <cell r="D189" t="str">
            <v>ACTIVO</v>
          </cell>
          <cell r="E189" t="str">
            <v>BXU599</v>
          </cell>
          <cell r="F189" t="str">
            <v>TAVERA CHACON JONATHAN</v>
          </cell>
          <cell r="G189" t="str">
            <v>TAVERA CHACON JONATHAN</v>
          </cell>
          <cell r="H189" t="str">
            <v>43721931</v>
          </cell>
          <cell r="I189" t="str">
            <v>BCP</v>
          </cell>
          <cell r="J189" t="str">
            <v>19371222008021</v>
          </cell>
          <cell r="K189" t="str">
            <v>DNI</v>
          </cell>
          <cell r="L189">
            <v>10437219317</v>
          </cell>
          <cell r="M189" t="str">
            <v>JOCKEY PLAZA</v>
          </cell>
          <cell r="N189">
            <v>45621</v>
          </cell>
          <cell r="O189">
            <v>240</v>
          </cell>
        </row>
        <row r="190">
          <cell r="A190">
            <v>9909</v>
          </cell>
          <cell r="B190">
            <v>9909</v>
          </cell>
          <cell r="C190" t="str">
            <v>CERO MATRICULA</v>
          </cell>
          <cell r="D190" t="str">
            <v>ACTIVO</v>
          </cell>
          <cell r="E190" t="str">
            <v>PENDIENTE</v>
          </cell>
          <cell r="F190" t="str">
            <v>PENDIENTE</v>
          </cell>
          <cell r="G190" t="str">
            <v>PENDIENTE</v>
          </cell>
          <cell r="H190" t="str">
            <v>PENDIENTE</v>
          </cell>
          <cell r="I190" t="str">
            <v>PENDIENTE</v>
          </cell>
          <cell r="J190" t="str">
            <v>PENDIENTE</v>
          </cell>
          <cell r="K190" t="str">
            <v>PENDIENTE</v>
          </cell>
          <cell r="L190" t="str">
            <v>PENDIENTE</v>
          </cell>
          <cell r="M190" t="str">
            <v>OPEN MARINA</v>
          </cell>
          <cell r="N190">
            <v>45628</v>
          </cell>
          <cell r="O190">
            <v>210</v>
          </cell>
        </row>
        <row r="191">
          <cell r="A191">
            <v>9985</v>
          </cell>
          <cell r="B191">
            <v>9985</v>
          </cell>
          <cell r="C191" t="str">
            <v>CERO MATRICULA</v>
          </cell>
          <cell r="D191" t="str">
            <v>ACTIVO</v>
          </cell>
          <cell r="F191" t="str">
            <v>ZAVALA ROJAS JOSEPH</v>
          </cell>
          <cell r="G191" t="str">
            <v>ZAVALA ROJAS JOSEPH CHRISTIAN</v>
          </cell>
          <cell r="H191" t="str">
            <v>43271718</v>
          </cell>
          <cell r="I191" t="str">
            <v>BCP</v>
          </cell>
          <cell r="J191">
            <v>19220885074032</v>
          </cell>
          <cell r="K191" t="str">
            <v>DNI</v>
          </cell>
          <cell r="L191">
            <v>10432717181</v>
          </cell>
          <cell r="M191" t="str">
            <v>OPEN MARINA</v>
          </cell>
          <cell r="N191">
            <v>45705</v>
          </cell>
          <cell r="O191">
            <v>210</v>
          </cell>
        </row>
        <row r="192">
          <cell r="A192">
            <v>9994</v>
          </cell>
          <cell r="B192">
            <v>9994</v>
          </cell>
          <cell r="C192" t="str">
            <v>CERO MATRICULA</v>
          </cell>
          <cell r="D192" t="str">
            <v>ACTIVO</v>
          </cell>
          <cell r="E192" t="str">
            <v>PENDIENTE</v>
          </cell>
          <cell r="F192" t="str">
            <v>PENDIENTE</v>
          </cell>
          <cell r="G192" t="str">
            <v>PENDIENTE</v>
          </cell>
          <cell r="H192" t="str">
            <v>PENDIENTE</v>
          </cell>
          <cell r="I192" t="str">
            <v>PENDIENTE</v>
          </cell>
          <cell r="J192" t="str">
            <v>PENDIENTE</v>
          </cell>
          <cell r="K192" t="str">
            <v>PENDIENTE</v>
          </cell>
          <cell r="L192" t="str">
            <v>PENDIENTE</v>
          </cell>
          <cell r="M192" t="str">
            <v>JOCKEY PLAZA</v>
          </cell>
          <cell r="N192">
            <v>45320</v>
          </cell>
          <cell r="O192">
            <v>240</v>
          </cell>
        </row>
        <row r="193">
          <cell r="A193">
            <v>3867</v>
          </cell>
          <cell r="B193">
            <v>3867</v>
          </cell>
          <cell r="C193" t="str">
            <v>CERO MATRICULA</v>
          </cell>
          <cell r="D193" t="str">
            <v>ACTIVO</v>
          </cell>
          <cell r="E193" t="str">
            <v>CPJ593</v>
          </cell>
          <cell r="F193" t="str">
            <v xml:space="preserve">Chagua Landa Antonio Florencio </v>
          </cell>
          <cell r="G193" t="str">
            <v xml:space="preserve">Chagua Landa Antonio Florencio </v>
          </cell>
          <cell r="H193" t="str">
            <v>06563646</v>
          </cell>
          <cell r="I193" t="str">
            <v>BCP</v>
          </cell>
          <cell r="J193" t="str">
            <v>19192115796056</v>
          </cell>
          <cell r="K193" t="str">
            <v>DNI</v>
          </cell>
          <cell r="L193">
            <v>10065636463</v>
          </cell>
          <cell r="M193" t="str">
            <v>JOCKEY PLAZA</v>
          </cell>
          <cell r="N193">
            <v>45919</v>
          </cell>
          <cell r="O193">
            <v>240</v>
          </cell>
        </row>
        <row r="194">
          <cell r="A194">
            <v>9789</v>
          </cell>
          <cell r="B194">
            <v>9789</v>
          </cell>
          <cell r="C194" t="str">
            <v>CERO MATRICULA</v>
          </cell>
          <cell r="D194" t="str">
            <v>ACTIVO</v>
          </cell>
          <cell r="E194" t="str">
            <v>CEC394</v>
          </cell>
          <cell r="F194" t="str">
            <v>Bonifacio Migo Jusber Sandy</v>
          </cell>
          <cell r="G194" t="str">
            <v>BONIFACIO MIGO JUSBER SANDY</v>
          </cell>
          <cell r="H194" t="str">
            <v>70575868</v>
          </cell>
          <cell r="I194" t="str">
            <v>BCP</v>
          </cell>
          <cell r="J194" t="str">
            <v>19179599062090</v>
          </cell>
          <cell r="K194" t="str">
            <v>DNI</v>
          </cell>
          <cell r="L194">
            <v>10705758684</v>
          </cell>
          <cell r="M194" t="str">
            <v>BELLAVISTA</v>
          </cell>
          <cell r="N194">
            <v>45580.416666666664</v>
          </cell>
          <cell r="O194">
            <v>90</v>
          </cell>
        </row>
        <row r="195">
          <cell r="A195">
            <v>7060</v>
          </cell>
          <cell r="B195">
            <v>7060</v>
          </cell>
          <cell r="C195" t="str">
            <v>CERO MATRICULA</v>
          </cell>
          <cell r="D195" t="str">
            <v>ACTIVO</v>
          </cell>
          <cell r="E195">
            <v>0</v>
          </cell>
          <cell r="F195" t="str">
            <v>FRÍAS JIMMY ENDER</v>
          </cell>
          <cell r="G195" t="str">
            <v>FRÍAS JIMMY ENDER</v>
          </cell>
          <cell r="H195" t="str">
            <v>005157292</v>
          </cell>
          <cell r="I195" t="str">
            <v>BCP</v>
          </cell>
          <cell r="J195" t="str">
            <v>191-70705607-0-03</v>
          </cell>
          <cell r="K195" t="str">
            <v>CE</v>
          </cell>
          <cell r="L195">
            <v>15610214328</v>
          </cell>
          <cell r="M195" t="str">
            <v>JOCKEY PLAZA</v>
          </cell>
          <cell r="N195">
            <v>45930</v>
          </cell>
          <cell r="O195">
            <v>240</v>
          </cell>
        </row>
        <row r="196">
          <cell r="A196">
            <v>9887</v>
          </cell>
          <cell r="B196">
            <v>9887</v>
          </cell>
          <cell r="C196" t="str">
            <v>CERO MATRICULA</v>
          </cell>
          <cell r="D196" t="str">
            <v>ACTIVO</v>
          </cell>
          <cell r="E196" t="str">
            <v>CPB035</v>
          </cell>
          <cell r="F196" t="str">
            <v>Arica López Cesar Augusto</v>
          </cell>
          <cell r="G196" t="str">
            <v>LOGISTICA NAVAL ALC S.A.C</v>
          </cell>
          <cell r="H196" t="str">
            <v>20602458386</v>
          </cell>
          <cell r="I196" t="str">
            <v>BBVA</v>
          </cell>
          <cell r="J196" t="str">
            <v>011 162 000200897392 53</v>
          </cell>
          <cell r="K196" t="str">
            <v>RUC</v>
          </cell>
          <cell r="L196">
            <v>20602458386</v>
          </cell>
          <cell r="M196" t="str">
            <v>BELLAVISTA</v>
          </cell>
          <cell r="N196">
            <v>45617.125</v>
          </cell>
          <cell r="O196">
            <v>90</v>
          </cell>
        </row>
        <row r="197">
          <cell r="A197">
            <v>9849</v>
          </cell>
          <cell r="B197">
            <v>9849</v>
          </cell>
          <cell r="C197" t="str">
            <v>CERO MATRICULA</v>
          </cell>
          <cell r="D197" t="str">
            <v>ACTIVO</v>
          </cell>
          <cell r="E197" t="str">
            <v>BMY595</v>
          </cell>
          <cell r="F197" t="str">
            <v xml:space="preserve">Palacios Salguero Karlo Erich </v>
          </cell>
          <cell r="G197" t="str">
            <v>PALACIOS SALGUERO KARLO ERICH</v>
          </cell>
          <cell r="H197" t="str">
            <v>08164839</v>
          </cell>
          <cell r="I197" t="str">
            <v>BCP</v>
          </cell>
          <cell r="J197" t="str">
            <v>19232374754070</v>
          </cell>
          <cell r="K197" t="str">
            <v>DNI</v>
          </cell>
          <cell r="L197">
            <v>10081648391</v>
          </cell>
          <cell r="M197" t="str">
            <v>BELLAVISTA</v>
          </cell>
          <cell r="N197">
            <v>45615.416666666664</v>
          </cell>
          <cell r="O197">
            <v>90</v>
          </cell>
        </row>
        <row r="198">
          <cell r="A198">
            <v>3957</v>
          </cell>
          <cell r="B198">
            <v>3957</v>
          </cell>
          <cell r="C198" t="str">
            <v>CERO MATRICULA</v>
          </cell>
          <cell r="D198" t="str">
            <v>ACTIVO</v>
          </cell>
          <cell r="E198" t="str">
            <v>CUW011</v>
          </cell>
          <cell r="F198" t="str">
            <v>Ramos Lescano Jesus Eduardo</v>
          </cell>
          <cell r="G198" t="str">
            <v>Ramos Lescano Jesus Eduardo</v>
          </cell>
          <cell r="H198" t="str">
            <v>75409076</v>
          </cell>
          <cell r="I198" t="str">
            <v>BBVA</v>
          </cell>
          <cell r="J198" t="str">
            <v>001108140258891622</v>
          </cell>
          <cell r="K198" t="str">
            <v>DNI</v>
          </cell>
          <cell r="L198">
            <v>10754090761</v>
          </cell>
          <cell r="M198" t="str">
            <v>JOCKEY PLAZA</v>
          </cell>
          <cell r="N198">
            <v>45957</v>
          </cell>
          <cell r="O198">
            <v>240</v>
          </cell>
        </row>
        <row r="199">
          <cell r="A199">
            <v>3959</v>
          </cell>
          <cell r="B199">
            <v>3959</v>
          </cell>
          <cell r="C199" t="str">
            <v>CERO MATRICULA</v>
          </cell>
          <cell r="D199" t="str">
            <v>ACTIVO</v>
          </cell>
          <cell r="E199" t="str">
            <v>CUV084</v>
          </cell>
          <cell r="F199" t="str">
            <v>Chumbirayco Materco Lincold Francisco</v>
          </cell>
          <cell r="G199" t="str">
            <v xml:space="preserve">Narciso Brañez Lissy Rosa </v>
          </cell>
          <cell r="H199" t="str">
            <v>43019417</v>
          </cell>
          <cell r="I199" t="str">
            <v>BCP</v>
          </cell>
          <cell r="J199" t="str">
            <v>19105437069087</v>
          </cell>
          <cell r="K199" t="str">
            <v>DNI</v>
          </cell>
          <cell r="L199">
            <v>10430194173</v>
          </cell>
          <cell r="M199" t="str">
            <v>JOCKEY PLAZA</v>
          </cell>
          <cell r="N199">
            <v>45958</v>
          </cell>
          <cell r="O199">
            <v>240</v>
          </cell>
        </row>
        <row r="200">
          <cell r="A200">
            <v>3975</v>
          </cell>
          <cell r="B200">
            <v>3975</v>
          </cell>
          <cell r="C200" t="str">
            <v>CERO MATRICULA</v>
          </cell>
          <cell r="D200" t="str">
            <v>ACTIVO</v>
          </cell>
          <cell r="E200" t="str">
            <v>CDG106</v>
          </cell>
          <cell r="F200" t="str">
            <v>Mamani Gil Hernan</v>
          </cell>
          <cell r="G200" t="str">
            <v>Mamani Gil Hernan</v>
          </cell>
          <cell r="H200" t="str">
            <v>70136363</v>
          </cell>
          <cell r="I200" t="str">
            <v>BCP</v>
          </cell>
          <cell r="J200" t="str">
            <v>19497600961027</v>
          </cell>
          <cell r="K200" t="str">
            <v>DNI</v>
          </cell>
          <cell r="L200">
            <v>10701363634</v>
          </cell>
          <cell r="M200" t="str">
            <v>JOCKEY PLAZA</v>
          </cell>
          <cell r="N200">
            <v>45964</v>
          </cell>
          <cell r="O200">
            <v>240</v>
          </cell>
        </row>
        <row r="201">
          <cell r="A201">
            <v>3996</v>
          </cell>
          <cell r="B201">
            <v>3996</v>
          </cell>
          <cell r="C201" t="str">
            <v>CERO MATRICULA</v>
          </cell>
          <cell r="D201" t="str">
            <v>ACTIVO</v>
          </cell>
          <cell r="F201" t="str">
            <v>BRICEÑO DIAZ HECTOR JOSE</v>
          </cell>
          <cell r="G201" t="str">
            <v>LEON PEÑA MAGALY</v>
          </cell>
          <cell r="H201" t="str">
            <v>41042839</v>
          </cell>
          <cell r="I201" t="str">
            <v>BCP</v>
          </cell>
          <cell r="J201" t="str">
            <v>19439903638003</v>
          </cell>
          <cell r="K201" t="str">
            <v>DNI</v>
          </cell>
          <cell r="L201">
            <v>10410428399</v>
          </cell>
          <cell r="M201" t="str">
            <v>JOCKEY PLAZA</v>
          </cell>
          <cell r="N201">
            <v>45972</v>
          </cell>
          <cell r="O201">
            <v>240</v>
          </cell>
        </row>
        <row r="202">
          <cell r="A202">
            <v>9405</v>
          </cell>
          <cell r="B202">
            <v>9405</v>
          </cell>
          <cell r="C202" t="str">
            <v>CERO MATRICULA</v>
          </cell>
          <cell r="D202" t="str">
            <v>ACTIVO</v>
          </cell>
          <cell r="F202" t="str">
            <v>ESCARATE CARRIÓN JAVIER</v>
          </cell>
          <cell r="G202" t="str">
            <v>PENDIENTE</v>
          </cell>
          <cell r="H202" t="str">
            <v>PENDIENTE</v>
          </cell>
          <cell r="I202" t="str">
            <v>PENDIENTE</v>
          </cell>
          <cell r="J202" t="str">
            <v>PENDIENTE</v>
          </cell>
          <cell r="K202" t="str">
            <v>PENDIENTE</v>
          </cell>
          <cell r="L202" t="str">
            <v>PENDIENTE</v>
          </cell>
          <cell r="M202" t="str">
            <v>BELLAVISTA</v>
          </cell>
          <cell r="N202">
            <v>45985</v>
          </cell>
          <cell r="O202">
            <v>90</v>
          </cell>
        </row>
        <row r="203">
          <cell r="A203">
            <v>4058</v>
          </cell>
          <cell r="B203">
            <v>4058</v>
          </cell>
          <cell r="C203" t="str">
            <v>CERO MATRICULA</v>
          </cell>
          <cell r="D203" t="str">
            <v>ACTIVO</v>
          </cell>
          <cell r="E203" t="str">
            <v>CTV236</v>
          </cell>
          <cell r="F203" t="str">
            <v>Espinoza Quispe Omar Rubén</v>
          </cell>
          <cell r="G203" t="str">
            <v>Espinoza Quispe Omar Rubén</v>
          </cell>
          <cell r="H203" t="str">
            <v>07508646</v>
          </cell>
          <cell r="I203" t="str">
            <v>BCP</v>
          </cell>
          <cell r="J203" t="str">
            <v>19197757429075</v>
          </cell>
          <cell r="K203" t="str">
            <v>DNI</v>
          </cell>
          <cell r="L203">
            <v>10075086461</v>
          </cell>
          <cell r="M203" t="str">
            <v>JOCKEY PLAZA</v>
          </cell>
          <cell r="N203">
            <v>45993</v>
          </cell>
          <cell r="O203">
            <v>240</v>
          </cell>
        </row>
        <row r="204">
          <cell r="A204">
            <v>4075</v>
          </cell>
          <cell r="B204">
            <v>4075</v>
          </cell>
          <cell r="C204" t="str">
            <v>CERO MATRICULA</v>
          </cell>
          <cell r="D204" t="str">
            <v>ACTIVO</v>
          </cell>
          <cell r="F204" t="str">
            <v>Correa Peña Pedro</v>
          </cell>
          <cell r="G204" t="str">
            <v xml:space="preserve">ALEXANDRA NICOLE CORREA CORRALES </v>
          </cell>
          <cell r="H204" t="str">
            <v>71241990</v>
          </cell>
          <cell r="I204" t="str">
            <v>BCP</v>
          </cell>
          <cell r="J204" t="str">
            <v>19370678697020</v>
          </cell>
          <cell r="K204" t="str">
            <v>DNI</v>
          </cell>
          <cell r="L204">
            <v>10712419909</v>
          </cell>
          <cell r="M204" t="str">
            <v>JOCKEY PLAZA</v>
          </cell>
          <cell r="N204">
            <v>46002</v>
          </cell>
          <cell r="O204">
            <v>240</v>
          </cell>
        </row>
        <row r="205">
          <cell r="A205">
            <v>3554</v>
          </cell>
          <cell r="B205">
            <v>3554</v>
          </cell>
          <cell r="C205" t="str">
            <v>CERO MATRICULA</v>
          </cell>
          <cell r="D205" t="str">
            <v>ACTIVO</v>
          </cell>
          <cell r="E205" t="str">
            <v>CLW188</v>
          </cell>
          <cell r="F205" t="str">
            <v>Navas Rodríguez Laura Josefina</v>
          </cell>
          <cell r="G205" t="str">
            <v>Navas Rodriguez Laura Josefina</v>
          </cell>
          <cell r="H205" t="str">
            <v>003590642</v>
          </cell>
          <cell r="I205" t="str">
            <v>BCP</v>
          </cell>
          <cell r="J205" t="str">
            <v>19191811042024</v>
          </cell>
          <cell r="K205" t="str">
            <v>CE</v>
          </cell>
          <cell r="L205">
            <v>15604322330</v>
          </cell>
          <cell r="M205" t="str">
            <v>JOCKEY PLAZA</v>
          </cell>
          <cell r="N205">
            <v>45818.083333333336</v>
          </cell>
          <cell r="O205">
            <v>240</v>
          </cell>
        </row>
        <row r="206">
          <cell r="A206">
            <v>9172</v>
          </cell>
          <cell r="B206">
            <v>9172</v>
          </cell>
          <cell r="C206" t="str">
            <v>CERO MATRICULA</v>
          </cell>
          <cell r="D206" t="str">
            <v>ACTIVO</v>
          </cell>
          <cell r="E206" t="str">
            <v>CCN286</v>
          </cell>
          <cell r="F206" t="str">
            <v>CHAVEZ HONORIO JOSHUAR ANDERSSON</v>
          </cell>
          <cell r="G206" t="str">
            <v>CHAVEZ HONORIO JOSHUAR ANDERSSON</v>
          </cell>
          <cell r="H206" t="str">
            <v>71337443</v>
          </cell>
          <cell r="I206" t="str">
            <v>BCP</v>
          </cell>
          <cell r="J206" t="str">
            <v>19194751757043</v>
          </cell>
          <cell r="K206" t="str">
            <v>DNI</v>
          </cell>
          <cell r="L206">
            <v>10713374437</v>
          </cell>
          <cell r="M206" t="str">
            <v>JOCKEY PLAZA</v>
          </cell>
          <cell r="N206">
            <v>45400</v>
          </cell>
          <cell r="O206">
            <v>240</v>
          </cell>
        </row>
        <row r="207">
          <cell r="A207">
            <v>9953</v>
          </cell>
          <cell r="B207">
            <v>9953</v>
          </cell>
          <cell r="C207" t="str">
            <v>CERO MATRICULA</v>
          </cell>
          <cell r="D207" t="str">
            <v>ACTIVO</v>
          </cell>
          <cell r="E207" t="str">
            <v>CMV104</v>
          </cell>
          <cell r="F207" t="str">
            <v>RIVAS TRUJILLO CRISTOPHER JOSAFAT</v>
          </cell>
          <cell r="G207" t="str">
            <v>RIVAS TRUJILLO CRISTOPHER JOSAFAT</v>
          </cell>
          <cell r="H207">
            <v>46836573</v>
          </cell>
          <cell r="I207" t="str">
            <v>BBVA</v>
          </cell>
          <cell r="J207" t="str">
            <v>001108140204686314</v>
          </cell>
          <cell r="K207" t="str">
            <v>DNI</v>
          </cell>
          <cell r="L207">
            <v>10468365737</v>
          </cell>
          <cell r="M207" t="str">
            <v>BELLAVISTA</v>
          </cell>
          <cell r="N207">
            <v>46021</v>
          </cell>
          <cell r="O207">
            <v>90</v>
          </cell>
        </row>
        <row r="208">
          <cell r="A208">
            <v>4087</v>
          </cell>
          <cell r="B208">
            <v>4087</v>
          </cell>
          <cell r="C208" t="str">
            <v>CERO MATRICULA</v>
          </cell>
          <cell r="D208" t="str">
            <v>ACTIVO</v>
          </cell>
          <cell r="E208" t="str">
            <v>CVM672</v>
          </cell>
          <cell r="F208" t="str">
            <v>Brito Calzadilla Javier Alexander</v>
          </cell>
          <cell r="G208" t="str">
            <v>Brito Calzadilla Javier Alexander</v>
          </cell>
          <cell r="H208" t="str">
            <v>007221422</v>
          </cell>
          <cell r="I208" t="str">
            <v>BCP</v>
          </cell>
          <cell r="J208" t="str">
            <v>19198497887012</v>
          </cell>
          <cell r="K208" t="str">
            <v>CARNET DE EXTRANJERÍA</v>
          </cell>
          <cell r="L208">
            <v>15614042769</v>
          </cell>
          <cell r="M208" t="str">
            <v>JOCKEY PLAZA</v>
          </cell>
          <cell r="N208">
            <v>46013</v>
          </cell>
          <cell r="O208">
            <v>240</v>
          </cell>
        </row>
        <row r="209">
          <cell r="A209">
            <v>4088</v>
          </cell>
          <cell r="B209">
            <v>4088</v>
          </cell>
          <cell r="C209" t="str">
            <v>CERO MATRICULA</v>
          </cell>
          <cell r="D209" t="str">
            <v>ACTIVO</v>
          </cell>
          <cell r="E209" t="str">
            <v>CRM171</v>
          </cell>
          <cell r="F209" t="str">
            <v>Portillo Clara Yepdyn Enmanuel</v>
          </cell>
          <cell r="G209" t="str">
            <v>Portillo Clara Yepdyn Enmanuel</v>
          </cell>
          <cell r="H209" t="str">
            <v>007080284</v>
          </cell>
          <cell r="I209" t="str">
            <v>BCP</v>
          </cell>
          <cell r="J209" t="str">
            <v>19197269678097</v>
          </cell>
          <cell r="K209" t="str">
            <v>CARNET DE EXTRANJERÍA</v>
          </cell>
          <cell r="L209">
            <v>15615154633</v>
          </cell>
          <cell r="M209" t="str">
            <v>JOCKEY PLAZA</v>
          </cell>
          <cell r="N209">
            <v>46013</v>
          </cell>
          <cell r="O209">
            <v>240</v>
          </cell>
        </row>
        <row r="210">
          <cell r="A210">
            <v>3746</v>
          </cell>
          <cell r="B210">
            <v>3746</v>
          </cell>
          <cell r="C210" t="str">
            <v>CERO MATRICULA</v>
          </cell>
          <cell r="D210" t="str">
            <v>ACTIVO</v>
          </cell>
          <cell r="E210" t="str">
            <v>CNN459</v>
          </cell>
          <cell r="F210" t="str">
            <v>Chaurel Paredes Dobban Daniel</v>
          </cell>
          <cell r="G210" t="str">
            <v>Chaurel Paredes Dobban Daniel</v>
          </cell>
          <cell r="H210" t="str">
            <v>002105501</v>
          </cell>
          <cell r="I210" t="str">
            <v>INTERBANK</v>
          </cell>
          <cell r="J210" t="str">
            <v>4393368952106</v>
          </cell>
          <cell r="K210" t="str">
            <v>CE</v>
          </cell>
          <cell r="L210">
            <v>15603513263</v>
          </cell>
          <cell r="M210" t="str">
            <v>JOCKEY PLAZA</v>
          </cell>
          <cell r="N210">
            <v>45881.375</v>
          </cell>
          <cell r="O210">
            <v>240</v>
          </cell>
        </row>
        <row r="211">
          <cell r="A211">
            <v>1857</v>
          </cell>
          <cell r="B211">
            <v>1857</v>
          </cell>
          <cell r="C211" t="str">
            <v>CERO MATRICULA</v>
          </cell>
          <cell r="D211" t="str">
            <v>ACTIVO</v>
          </cell>
          <cell r="E211" t="str">
            <v>CNX224</v>
          </cell>
          <cell r="F211" t="str">
            <v>Torres Flores Danny Joseph</v>
          </cell>
          <cell r="G211" t="str">
            <v>TRIGOSO SANCHEZ JORGE ENRIQUE</v>
          </cell>
          <cell r="H211">
            <v>45989133</v>
          </cell>
          <cell r="I211" t="str">
            <v>BCP</v>
          </cell>
          <cell r="J211" t="str">
            <v>44077060141049</v>
          </cell>
          <cell r="K211" t="str">
            <v>DNI</v>
          </cell>
          <cell r="L211">
            <v>10459891337</v>
          </cell>
          <cell r="M211" t="str">
            <v>BELLAVISTA</v>
          </cell>
          <cell r="N211">
            <v>45736.416666666664</v>
          </cell>
          <cell r="O211">
            <v>90</v>
          </cell>
        </row>
        <row r="212">
          <cell r="A212">
            <v>4124</v>
          </cell>
          <cell r="B212">
            <v>4124</v>
          </cell>
          <cell r="C212" t="str">
            <v>CERO MATRICULA</v>
          </cell>
          <cell r="D212" t="str">
            <v>ACTIVO</v>
          </cell>
          <cell r="E212" t="str">
            <v>CVO040</v>
          </cell>
          <cell r="F212" t="str">
            <v>Rocha Guzman Yauli</v>
          </cell>
          <cell r="G212" t="str">
            <v>Rocha Guzman Yauli</v>
          </cell>
          <cell r="H212" t="str">
            <v>43298908</v>
          </cell>
          <cell r="I212" t="str">
            <v>BCP</v>
          </cell>
          <cell r="J212" t="str">
            <v>19126260055007</v>
          </cell>
          <cell r="K212" t="str">
            <v>DNI</v>
          </cell>
          <cell r="L212">
            <v>10432989084</v>
          </cell>
          <cell r="M212" t="str">
            <v>BELLAVISTA</v>
          </cell>
          <cell r="N212">
            <v>46028</v>
          </cell>
          <cell r="O212">
            <v>90</v>
          </cell>
        </row>
        <row r="213">
          <cell r="A213">
            <v>9685</v>
          </cell>
          <cell r="B213">
            <v>9685</v>
          </cell>
          <cell r="C213" t="str">
            <v>CERO MATRICULA</v>
          </cell>
          <cell r="D213" t="str">
            <v>ACTIVO</v>
          </cell>
          <cell r="E213" t="str">
            <v>BYY393</v>
          </cell>
          <cell r="F213" t="str">
            <v>Espinoza Neyra Luis Enrique</v>
          </cell>
          <cell r="G213" t="str">
            <v>ESPINOZA NEYRA LUIS ENRIQUE</v>
          </cell>
          <cell r="H213" t="str">
            <v>09904951</v>
          </cell>
          <cell r="I213" t="str">
            <v>BCP</v>
          </cell>
          <cell r="J213" t="str">
            <v>19171055618050</v>
          </cell>
          <cell r="K213" t="str">
            <v>DNI</v>
          </cell>
          <cell r="L213">
            <v>10099049516</v>
          </cell>
          <cell r="M213" t="str">
            <v>BELLAVISTA</v>
          </cell>
          <cell r="N213">
            <v>45552</v>
          </cell>
          <cell r="O213">
            <v>90</v>
          </cell>
        </row>
        <row r="214">
          <cell r="A214">
            <v>3583</v>
          </cell>
          <cell r="B214">
            <v>3583</v>
          </cell>
          <cell r="C214" t="str">
            <v>CERO MATRICULA</v>
          </cell>
          <cell r="D214" t="str">
            <v>ACTIVO</v>
          </cell>
          <cell r="M214" t="str">
            <v>BELLAVISTA</v>
          </cell>
          <cell r="N214">
            <v>46028</v>
          </cell>
          <cell r="O214">
            <v>90</v>
          </cell>
        </row>
        <row r="215">
          <cell r="A215">
            <v>4161</v>
          </cell>
          <cell r="B215">
            <v>4161</v>
          </cell>
          <cell r="C215" t="str">
            <v>CERO MATRICULA</v>
          </cell>
          <cell r="D215" t="str">
            <v>ACTIVO</v>
          </cell>
          <cell r="E215" t="str">
            <v>Z8A004</v>
          </cell>
          <cell r="F215" t="str">
            <v>Teran Torres Giovanni Enrique</v>
          </cell>
          <cell r="G215" t="str">
            <v>Teran Torres Giovanni Enrique</v>
          </cell>
          <cell r="H215" t="str">
            <v>005128952</v>
          </cell>
          <cell r="I215" t="str">
            <v>BCP</v>
          </cell>
          <cell r="J215" t="str">
            <v>19306712134032</v>
          </cell>
          <cell r="K215" t="str">
            <v>CE</v>
          </cell>
          <cell r="L215">
            <v>15608927309</v>
          </cell>
          <cell r="M215" t="str">
            <v>JOCKEY PLAZA</v>
          </cell>
          <cell r="N215">
            <v>46048</v>
          </cell>
          <cell r="O215">
            <v>240</v>
          </cell>
        </row>
        <row r="216">
          <cell r="A216">
            <v>9390</v>
          </cell>
          <cell r="B216">
            <v>9390</v>
          </cell>
          <cell r="C216" t="str">
            <v>CERO MATRICULA</v>
          </cell>
          <cell r="D216" t="str">
            <v>ACTIVO</v>
          </cell>
          <cell r="E216" t="str">
            <v>PENDIENTE</v>
          </cell>
          <cell r="F216" t="str">
            <v>PENDIENTE</v>
          </cell>
          <cell r="G216" t="str">
            <v>PENDIENTE</v>
          </cell>
          <cell r="H216" t="str">
            <v>PENDIENTE</v>
          </cell>
          <cell r="I216" t="str">
            <v>PENDIENTE</v>
          </cell>
          <cell r="J216" t="str">
            <v>PENDIENTE</v>
          </cell>
          <cell r="K216" t="str">
            <v>PENDIENTE</v>
          </cell>
          <cell r="L216" t="str">
            <v>PENDIENTE</v>
          </cell>
          <cell r="M216" t="str">
            <v>BELLAVISTA</v>
          </cell>
          <cell r="N216">
            <v>46048</v>
          </cell>
          <cell r="O216">
            <v>90</v>
          </cell>
        </row>
        <row r="217">
          <cell r="A217">
            <v>9417</v>
          </cell>
          <cell r="B217">
            <v>9417</v>
          </cell>
          <cell r="C217" t="str">
            <v>CERO MATRICULA</v>
          </cell>
          <cell r="D217" t="str">
            <v>ACTIVO</v>
          </cell>
          <cell r="E217" t="str">
            <v>PENDIENTE</v>
          </cell>
          <cell r="F217" t="str">
            <v>PENDIENTE</v>
          </cell>
          <cell r="G217" t="str">
            <v>PENDIENTE</v>
          </cell>
          <cell r="H217" t="str">
            <v>PENDIENTE</v>
          </cell>
          <cell r="I217" t="str">
            <v>PENDIENTE</v>
          </cell>
          <cell r="J217" t="str">
            <v>PENDIENTE</v>
          </cell>
          <cell r="K217" t="str">
            <v>PENDIENTE</v>
          </cell>
          <cell r="L217" t="str">
            <v>PENDIENTE</v>
          </cell>
          <cell r="M217" t="str">
            <v>BELLAVISTA</v>
          </cell>
          <cell r="N217">
            <v>46048</v>
          </cell>
          <cell r="O217">
            <v>90</v>
          </cell>
        </row>
        <row r="218">
          <cell r="A218">
            <v>9388</v>
          </cell>
          <cell r="B218">
            <v>9388</v>
          </cell>
          <cell r="C218" t="str">
            <v>CERO MATRICULA</v>
          </cell>
          <cell r="D218" t="str">
            <v>ACTIVO</v>
          </cell>
          <cell r="E218" t="str">
            <v>PENDIENTE</v>
          </cell>
          <cell r="F218" t="str">
            <v>PENDIENTE</v>
          </cell>
          <cell r="G218" t="str">
            <v>PENDIENTE</v>
          </cell>
          <cell r="H218" t="str">
            <v>PENDIENTE</v>
          </cell>
          <cell r="I218" t="str">
            <v>PENDIENTE</v>
          </cell>
          <cell r="J218" t="str">
            <v>PENDIENTE</v>
          </cell>
          <cell r="K218" t="str">
            <v>PENDIENTE</v>
          </cell>
          <cell r="L218" t="str">
            <v>PENDIENTE</v>
          </cell>
          <cell r="M218" t="str">
            <v>BELLAVISTA</v>
          </cell>
          <cell r="N218">
            <v>46048</v>
          </cell>
          <cell r="O218">
            <v>90</v>
          </cell>
        </row>
        <row r="219">
          <cell r="A219">
            <v>9407</v>
          </cell>
          <cell r="B219">
            <v>9407</v>
          </cell>
          <cell r="C219" t="str">
            <v>CERO MATRICULA</v>
          </cell>
          <cell r="D219" t="str">
            <v>ACTIVO</v>
          </cell>
          <cell r="E219" t="str">
            <v>PENDIENTE</v>
          </cell>
          <cell r="F219" t="str">
            <v>PENDIENTE</v>
          </cell>
          <cell r="G219" t="str">
            <v>PENDIENTE</v>
          </cell>
          <cell r="H219" t="str">
            <v>PENDIENTE</v>
          </cell>
          <cell r="I219" t="str">
            <v>PENDIENTE</v>
          </cell>
          <cell r="J219" t="str">
            <v>PENDIENTE</v>
          </cell>
          <cell r="K219" t="str">
            <v>PENDIENTE</v>
          </cell>
          <cell r="L219" t="str">
            <v>PENDIENTE</v>
          </cell>
          <cell r="M219" t="str">
            <v>BELLAVISTA</v>
          </cell>
          <cell r="N219">
            <v>46048</v>
          </cell>
          <cell r="O219">
            <v>90</v>
          </cell>
        </row>
        <row r="220">
          <cell r="A220">
            <v>9394</v>
          </cell>
          <cell r="B220">
            <v>9394</v>
          </cell>
          <cell r="C220" t="str">
            <v>CERO MATRICULA</v>
          </cell>
          <cell r="D220" t="str">
            <v>ACTIVO</v>
          </cell>
          <cell r="E220" t="str">
            <v>PENDIENTE</v>
          </cell>
          <cell r="F220" t="str">
            <v>PENDIENTE</v>
          </cell>
          <cell r="G220" t="str">
            <v>PENDIENTE</v>
          </cell>
          <cell r="H220" t="str">
            <v>PENDIENTE</v>
          </cell>
          <cell r="I220" t="str">
            <v>PENDIENTE</v>
          </cell>
          <cell r="J220" t="str">
            <v>PENDIENTE</v>
          </cell>
          <cell r="K220" t="str">
            <v>PENDIENTE</v>
          </cell>
          <cell r="L220" t="str">
            <v>PENDIENTE</v>
          </cell>
          <cell r="M220" t="str">
            <v>BELLAVISTA</v>
          </cell>
          <cell r="N220">
            <v>46048</v>
          </cell>
          <cell r="O220">
            <v>90</v>
          </cell>
        </row>
        <row r="221">
          <cell r="A221">
            <v>9391</v>
          </cell>
          <cell r="B221">
            <v>9391</v>
          </cell>
          <cell r="C221" t="str">
            <v>CERO MATRICULA</v>
          </cell>
          <cell r="D221" t="str">
            <v>ACTIVO</v>
          </cell>
          <cell r="E221" t="str">
            <v>PENDIENTE</v>
          </cell>
          <cell r="F221" t="str">
            <v>PENDIENTE</v>
          </cell>
          <cell r="G221" t="str">
            <v>PENDIENTE</v>
          </cell>
          <cell r="H221" t="str">
            <v>PENDIENTE</v>
          </cell>
          <cell r="I221" t="str">
            <v>PENDIENTE</v>
          </cell>
          <cell r="J221" t="str">
            <v>PENDIENTE</v>
          </cell>
          <cell r="K221" t="str">
            <v>PENDIENTE</v>
          </cell>
          <cell r="L221" t="str">
            <v>PENDIENTE</v>
          </cell>
          <cell r="M221" t="str">
            <v>BELLAVISTA</v>
          </cell>
          <cell r="N221">
            <v>46048</v>
          </cell>
          <cell r="O221">
            <v>90</v>
          </cell>
        </row>
        <row r="222">
          <cell r="A222">
            <v>9418</v>
          </cell>
          <cell r="B222">
            <v>9418</v>
          </cell>
          <cell r="C222" t="str">
            <v>CERO MATRICULA</v>
          </cell>
          <cell r="D222" t="str">
            <v>ACTIVO</v>
          </cell>
          <cell r="E222" t="str">
            <v>PENDIENTE</v>
          </cell>
          <cell r="F222" t="str">
            <v>PENDIENTE</v>
          </cell>
          <cell r="G222" t="str">
            <v>PENDIENTE</v>
          </cell>
          <cell r="H222" t="str">
            <v>PENDIENTE</v>
          </cell>
          <cell r="I222" t="str">
            <v>PENDIENTE</v>
          </cell>
          <cell r="J222" t="str">
            <v>PENDIENTE</v>
          </cell>
          <cell r="K222" t="str">
            <v>PENDIENTE</v>
          </cell>
          <cell r="L222" t="str">
            <v>PENDIENTE</v>
          </cell>
          <cell r="M222" t="str">
            <v>BELLAVISTA</v>
          </cell>
          <cell r="N222">
            <v>46048</v>
          </cell>
          <cell r="O222">
            <v>90</v>
          </cell>
        </row>
        <row r="223">
          <cell r="A223">
            <v>1089</v>
          </cell>
          <cell r="B223">
            <v>1089</v>
          </cell>
          <cell r="C223" t="str">
            <v>CERO MATRICULA</v>
          </cell>
          <cell r="D223" t="str">
            <v>ACTIVO</v>
          </cell>
          <cell r="E223" t="str">
            <v>PENDIENTE</v>
          </cell>
          <cell r="F223" t="str">
            <v>PENDIENTE</v>
          </cell>
          <cell r="G223" t="str">
            <v>PENDIENTE</v>
          </cell>
          <cell r="H223" t="str">
            <v>PENDIENTE</v>
          </cell>
          <cell r="I223" t="str">
            <v>PENDIENTE</v>
          </cell>
          <cell r="J223" t="str">
            <v>PENDIENTE</v>
          </cell>
          <cell r="K223" t="str">
            <v>PENDIENTE</v>
          </cell>
          <cell r="L223" t="str">
            <v>PENDIENTE</v>
          </cell>
          <cell r="M223" t="str">
            <v>BELLAVISTA</v>
          </cell>
          <cell r="N223">
            <v>46048</v>
          </cell>
          <cell r="O223">
            <v>90</v>
          </cell>
        </row>
        <row r="224">
          <cell r="A224">
            <v>9678</v>
          </cell>
          <cell r="B224">
            <v>9678</v>
          </cell>
          <cell r="C224" t="str">
            <v>CERO MATRICULA</v>
          </cell>
          <cell r="D224" t="str">
            <v>ACTIVO</v>
          </cell>
          <cell r="E224" t="str">
            <v>PENDIENTE</v>
          </cell>
          <cell r="F224" t="str">
            <v>PENDIENTE</v>
          </cell>
          <cell r="G224" t="str">
            <v>PENDIENTE</v>
          </cell>
          <cell r="H224" t="str">
            <v>PENDIENTE</v>
          </cell>
          <cell r="I224" t="str">
            <v>PENDIENTE</v>
          </cell>
          <cell r="J224" t="str">
            <v>PENDIENTE</v>
          </cell>
          <cell r="K224" t="str">
            <v>PENDIENTE</v>
          </cell>
          <cell r="L224" t="str">
            <v>PENDIENTE</v>
          </cell>
          <cell r="M224" t="str">
            <v>BELLAVISTA</v>
          </cell>
          <cell r="N224">
            <v>46048</v>
          </cell>
          <cell r="O224">
            <v>90</v>
          </cell>
        </row>
        <row r="225">
          <cell r="A225">
            <v>9384</v>
          </cell>
          <cell r="B225">
            <v>9384</v>
          </cell>
          <cell r="C225" t="str">
            <v>CERO MATRICULA</v>
          </cell>
          <cell r="D225" t="str">
            <v>ACTIVO</v>
          </cell>
          <cell r="E225" t="str">
            <v>PENDIENTE</v>
          </cell>
          <cell r="F225" t="str">
            <v>PENDIENTE</v>
          </cell>
          <cell r="G225" t="str">
            <v>PENDIENTE</v>
          </cell>
          <cell r="H225" t="str">
            <v>PENDIENTE</v>
          </cell>
          <cell r="I225" t="str">
            <v>PENDIENTE</v>
          </cell>
          <cell r="J225" t="str">
            <v>PENDIENTE</v>
          </cell>
          <cell r="K225" t="str">
            <v>PENDIENTE</v>
          </cell>
          <cell r="L225" t="str">
            <v>PENDIENTE</v>
          </cell>
          <cell r="M225" t="str">
            <v>BELLAVISTA</v>
          </cell>
          <cell r="N225">
            <v>46048</v>
          </cell>
          <cell r="O225">
            <v>90</v>
          </cell>
        </row>
        <row r="226">
          <cell r="A226">
            <v>9493</v>
          </cell>
          <cell r="B226">
            <v>9493</v>
          </cell>
          <cell r="C226" t="str">
            <v>CERO MATRICULA</v>
          </cell>
          <cell r="D226" t="str">
            <v>ACTIVO</v>
          </cell>
          <cell r="E226" t="str">
            <v>PENDIENTE</v>
          </cell>
          <cell r="F226" t="str">
            <v>PENDIENTE</v>
          </cell>
          <cell r="G226" t="str">
            <v>PENDIENTE</v>
          </cell>
          <cell r="H226" t="str">
            <v>PENDIENTE</v>
          </cell>
          <cell r="I226" t="str">
            <v>PENDIENTE</v>
          </cell>
          <cell r="J226" t="str">
            <v>PENDIENTE</v>
          </cell>
          <cell r="K226" t="str">
            <v>PENDIENTE</v>
          </cell>
          <cell r="L226" t="str">
            <v>PENDIENTE</v>
          </cell>
          <cell r="M226" t="str">
            <v>BELLAVISTA</v>
          </cell>
          <cell r="N226">
            <v>46048</v>
          </cell>
          <cell r="O226">
            <v>90</v>
          </cell>
        </row>
        <row r="227">
          <cell r="A227">
            <v>9947</v>
          </cell>
          <cell r="B227">
            <v>9947</v>
          </cell>
          <cell r="C227" t="str">
            <v>CERO MATRICULA</v>
          </cell>
          <cell r="D227" t="str">
            <v>ACTIVO</v>
          </cell>
          <cell r="E227" t="str">
            <v>PENDIENTE</v>
          </cell>
          <cell r="F227" t="str">
            <v>PENDIENTE</v>
          </cell>
          <cell r="G227" t="str">
            <v>PENDIENTE</v>
          </cell>
          <cell r="H227" t="str">
            <v>PENDIENTE</v>
          </cell>
          <cell r="I227" t="str">
            <v>PENDIENTE</v>
          </cell>
          <cell r="J227" t="str">
            <v>PENDIENTE</v>
          </cell>
          <cell r="K227" t="str">
            <v>PENDIENTE</v>
          </cell>
          <cell r="L227" t="str">
            <v>PENDIENTE</v>
          </cell>
          <cell r="M227" t="str">
            <v>BELLAVISTA</v>
          </cell>
          <cell r="N227">
            <v>46048</v>
          </cell>
          <cell r="O227">
            <v>90</v>
          </cell>
        </row>
        <row r="228">
          <cell r="A228">
            <v>136</v>
          </cell>
          <cell r="B228">
            <v>136</v>
          </cell>
          <cell r="C228" t="str">
            <v>CERO MATRICULA</v>
          </cell>
          <cell r="D228" t="str">
            <v>ACTIVO</v>
          </cell>
          <cell r="E228" t="str">
            <v>PENDIENTE</v>
          </cell>
          <cell r="F228" t="str">
            <v>PENDIENTE</v>
          </cell>
          <cell r="G228" t="str">
            <v>PENDIENTE</v>
          </cell>
          <cell r="H228" t="str">
            <v>PENDIENTE</v>
          </cell>
          <cell r="I228" t="str">
            <v>PENDIENTE</v>
          </cell>
          <cell r="J228" t="str">
            <v>PENDIENTE</v>
          </cell>
          <cell r="K228" t="str">
            <v>PENDIENTE</v>
          </cell>
          <cell r="L228" t="str">
            <v>PENDIENTE</v>
          </cell>
          <cell r="M228" t="str">
            <v>BELLAVISTA</v>
          </cell>
          <cell r="N228">
            <v>46048</v>
          </cell>
          <cell r="O228">
            <v>90</v>
          </cell>
        </row>
        <row r="229">
          <cell r="A229">
            <v>9529</v>
          </cell>
          <cell r="B229">
            <v>9529</v>
          </cell>
          <cell r="C229" t="str">
            <v>CERO MATRICULA</v>
          </cell>
          <cell r="D229" t="str">
            <v>ACTIVO</v>
          </cell>
          <cell r="E229" t="str">
            <v>PENDIENTE</v>
          </cell>
          <cell r="F229" t="str">
            <v>PENDIENTE</v>
          </cell>
          <cell r="G229" t="str">
            <v>PENDIENTE</v>
          </cell>
          <cell r="H229" t="str">
            <v>PENDIENTE</v>
          </cell>
          <cell r="I229" t="str">
            <v>PENDIENTE</v>
          </cell>
          <cell r="J229" t="str">
            <v>PENDIENTE</v>
          </cell>
          <cell r="K229" t="str">
            <v>PENDIENTE</v>
          </cell>
          <cell r="L229" t="str">
            <v>PENDIENTE</v>
          </cell>
          <cell r="M229" t="str">
            <v>BELLAVISTA</v>
          </cell>
          <cell r="N229">
            <v>46048</v>
          </cell>
          <cell r="O229">
            <v>90</v>
          </cell>
        </row>
        <row r="230">
          <cell r="A230">
            <v>9444</v>
          </cell>
          <cell r="B230">
            <v>9444</v>
          </cell>
          <cell r="C230" t="str">
            <v>CERO MATRICULA</v>
          </cell>
          <cell r="D230" t="str">
            <v>ACTIVO</v>
          </cell>
          <cell r="E230" t="str">
            <v>PENDIENTE</v>
          </cell>
          <cell r="F230" t="str">
            <v>PENDIENTE</v>
          </cell>
          <cell r="G230" t="str">
            <v>PENDIENTE</v>
          </cell>
          <cell r="H230" t="str">
            <v>PENDIENTE</v>
          </cell>
          <cell r="I230" t="str">
            <v>PENDIENTE</v>
          </cell>
          <cell r="J230" t="str">
            <v>PENDIENTE</v>
          </cell>
          <cell r="K230" t="str">
            <v>PENDIENTE</v>
          </cell>
          <cell r="L230" t="str">
            <v>PENDIENTE</v>
          </cell>
          <cell r="M230" t="str">
            <v>BELLAVISTA</v>
          </cell>
          <cell r="N230">
            <v>46048</v>
          </cell>
          <cell r="O230">
            <v>90</v>
          </cell>
        </row>
        <row r="231">
          <cell r="A231">
            <v>9409</v>
          </cell>
          <cell r="B231">
            <v>9409</v>
          </cell>
          <cell r="C231" t="str">
            <v>CERO MATRICULA</v>
          </cell>
          <cell r="D231" t="str">
            <v>ACTIVO</v>
          </cell>
          <cell r="E231" t="str">
            <v>PENDIENTE</v>
          </cell>
          <cell r="F231" t="str">
            <v>PENDIENTE</v>
          </cell>
          <cell r="G231" t="str">
            <v>PENDIENTE</v>
          </cell>
          <cell r="H231" t="str">
            <v>PENDIENTE</v>
          </cell>
          <cell r="I231" t="str">
            <v>PENDIENTE</v>
          </cell>
          <cell r="J231" t="str">
            <v>PENDIENTE</v>
          </cell>
          <cell r="K231" t="str">
            <v>PENDIENTE</v>
          </cell>
          <cell r="L231" t="str">
            <v>PENDIENTE</v>
          </cell>
          <cell r="M231" t="str">
            <v>BELLAVISTA</v>
          </cell>
          <cell r="N231">
            <v>46048</v>
          </cell>
          <cell r="O231">
            <v>90</v>
          </cell>
        </row>
        <row r="232">
          <cell r="A232">
            <v>9406</v>
          </cell>
          <cell r="B232">
            <v>9406</v>
          </cell>
          <cell r="C232" t="str">
            <v>CERO MATRICULA</v>
          </cell>
          <cell r="D232" t="str">
            <v>ACTIVO</v>
          </cell>
          <cell r="E232" t="str">
            <v>PENDIENTE</v>
          </cell>
          <cell r="F232" t="str">
            <v>PENDIENTE</v>
          </cell>
          <cell r="G232" t="str">
            <v>PENDIENTE</v>
          </cell>
          <cell r="H232" t="str">
            <v>PENDIENTE</v>
          </cell>
          <cell r="I232" t="str">
            <v>PENDIENTE</v>
          </cell>
          <cell r="J232" t="str">
            <v>PENDIENTE</v>
          </cell>
          <cell r="K232" t="str">
            <v>PENDIENTE</v>
          </cell>
          <cell r="L232" t="str">
            <v>PENDIENTE</v>
          </cell>
          <cell r="M232" t="str">
            <v>BELLAVISTA</v>
          </cell>
          <cell r="N232">
            <v>46048</v>
          </cell>
          <cell r="O232">
            <v>90</v>
          </cell>
        </row>
        <row r="233">
          <cell r="A233">
            <v>1539</v>
          </cell>
          <cell r="B233">
            <v>1539</v>
          </cell>
          <cell r="C233" t="str">
            <v>CERO MATRICULA</v>
          </cell>
          <cell r="D233" t="str">
            <v>ACTIVO</v>
          </cell>
          <cell r="E233" t="str">
            <v>PENDIENTE</v>
          </cell>
          <cell r="F233" t="str">
            <v>PENDIENTE</v>
          </cell>
          <cell r="G233" t="str">
            <v>PENDIENTE</v>
          </cell>
          <cell r="H233" t="str">
            <v>PENDIENTE</v>
          </cell>
          <cell r="I233" t="str">
            <v>PENDIENTE</v>
          </cell>
          <cell r="J233" t="str">
            <v>PENDIENTE</v>
          </cell>
          <cell r="K233" t="str">
            <v>PENDIENTE</v>
          </cell>
          <cell r="L233" t="str">
            <v>PENDIENTE</v>
          </cell>
          <cell r="M233" t="str">
            <v>BELLAVISTA</v>
          </cell>
          <cell r="N233">
            <v>46048</v>
          </cell>
          <cell r="O233">
            <v>90</v>
          </cell>
        </row>
        <row r="234">
          <cell r="A234">
            <v>9404</v>
          </cell>
          <cell r="B234">
            <v>9404</v>
          </cell>
          <cell r="C234" t="str">
            <v>CERO MATRICULA</v>
          </cell>
          <cell r="D234" t="str">
            <v>ACTIVO</v>
          </cell>
          <cell r="E234" t="str">
            <v>PENDIENTE</v>
          </cell>
          <cell r="F234" t="str">
            <v>PENDIENTE</v>
          </cell>
          <cell r="G234" t="str">
            <v>PENDIENTE</v>
          </cell>
          <cell r="H234" t="str">
            <v>PENDIENTE</v>
          </cell>
          <cell r="I234" t="str">
            <v>PENDIENTE</v>
          </cell>
          <cell r="J234" t="str">
            <v>PENDIENTE</v>
          </cell>
          <cell r="K234" t="str">
            <v>PENDIENTE</v>
          </cell>
          <cell r="L234" t="str">
            <v>PENDIENTE</v>
          </cell>
          <cell r="M234" t="str">
            <v>BELLAVISTA</v>
          </cell>
          <cell r="N234">
            <v>46048</v>
          </cell>
          <cell r="O234">
            <v>90</v>
          </cell>
        </row>
        <row r="235">
          <cell r="A235">
            <v>9572</v>
          </cell>
          <cell r="B235">
            <v>9572</v>
          </cell>
          <cell r="C235" t="str">
            <v>CERO MATRICULA</v>
          </cell>
          <cell r="D235" t="str">
            <v>ACTIVO</v>
          </cell>
          <cell r="E235" t="str">
            <v>PENDIENTE</v>
          </cell>
          <cell r="F235" t="str">
            <v>PENDIENTE</v>
          </cell>
          <cell r="G235" t="str">
            <v>PENDIENTE</v>
          </cell>
          <cell r="H235" t="str">
            <v>PENDIENTE</v>
          </cell>
          <cell r="I235" t="str">
            <v>PENDIENTE</v>
          </cell>
          <cell r="J235" t="str">
            <v>PENDIENTE</v>
          </cell>
          <cell r="K235" t="str">
            <v>PENDIENTE</v>
          </cell>
          <cell r="L235" t="str">
            <v>PENDIENTE</v>
          </cell>
          <cell r="M235" t="str">
            <v>BELLAVISTA</v>
          </cell>
          <cell r="N235">
            <v>46048</v>
          </cell>
          <cell r="O235">
            <v>90</v>
          </cell>
        </row>
        <row r="236">
          <cell r="A236">
            <v>9445</v>
          </cell>
          <cell r="B236">
            <v>9445</v>
          </cell>
          <cell r="C236" t="str">
            <v>CERO MATRICULA</v>
          </cell>
          <cell r="D236" t="str">
            <v>ACTIVO</v>
          </cell>
          <cell r="E236" t="str">
            <v>PENDIENTE</v>
          </cell>
          <cell r="F236" t="str">
            <v>PENDIENTE</v>
          </cell>
          <cell r="G236" t="str">
            <v>PENDIENTE</v>
          </cell>
          <cell r="H236" t="str">
            <v>PENDIENTE</v>
          </cell>
          <cell r="I236" t="str">
            <v>PENDIENTE</v>
          </cell>
          <cell r="J236" t="str">
            <v>PENDIENTE</v>
          </cell>
          <cell r="K236" t="str">
            <v>PENDIENTE</v>
          </cell>
          <cell r="L236" t="str">
            <v>PENDIENTE</v>
          </cell>
          <cell r="M236" t="str">
            <v>BELLAVISTA</v>
          </cell>
          <cell r="N236">
            <v>46048</v>
          </cell>
          <cell r="O236">
            <v>90</v>
          </cell>
        </row>
        <row r="237">
          <cell r="A237">
            <v>9447</v>
          </cell>
          <cell r="B237">
            <v>9447</v>
          </cell>
          <cell r="C237" t="str">
            <v>CERO MATRICULA</v>
          </cell>
          <cell r="D237" t="str">
            <v>ACTIVO</v>
          </cell>
          <cell r="E237" t="str">
            <v>PENDIENTE</v>
          </cell>
          <cell r="F237" t="str">
            <v>PENDIENTE</v>
          </cell>
          <cell r="G237" t="str">
            <v>PENDIENTE</v>
          </cell>
          <cell r="H237" t="str">
            <v>PENDIENTE</v>
          </cell>
          <cell r="I237" t="str">
            <v>PENDIENTE</v>
          </cell>
          <cell r="J237" t="str">
            <v>PENDIENTE</v>
          </cell>
          <cell r="K237" t="str">
            <v>PENDIENTE</v>
          </cell>
          <cell r="L237" t="str">
            <v>PENDIENTE</v>
          </cell>
          <cell r="M237" t="str">
            <v>BELLAVISTA</v>
          </cell>
          <cell r="N237">
            <v>46048</v>
          </cell>
          <cell r="O237">
            <v>90</v>
          </cell>
        </row>
        <row r="238">
          <cell r="A238">
            <v>9408</v>
          </cell>
          <cell r="B238">
            <v>9408</v>
          </cell>
          <cell r="C238" t="str">
            <v>CERO MATRICULA</v>
          </cell>
          <cell r="D238" t="str">
            <v>ACTIVO</v>
          </cell>
          <cell r="E238" t="str">
            <v>PENDIENTE</v>
          </cell>
          <cell r="F238" t="str">
            <v>PENDIENTE</v>
          </cell>
          <cell r="G238" t="str">
            <v>PENDIENTE</v>
          </cell>
          <cell r="H238" t="str">
            <v>PENDIENTE</v>
          </cell>
          <cell r="I238" t="str">
            <v>PENDIENTE</v>
          </cell>
          <cell r="J238" t="str">
            <v>PENDIENTE</v>
          </cell>
          <cell r="K238" t="str">
            <v>PENDIENTE</v>
          </cell>
          <cell r="L238" t="str">
            <v>PENDIENTE</v>
          </cell>
          <cell r="M238" t="str">
            <v>BELLAVISTA</v>
          </cell>
          <cell r="N238">
            <v>46048</v>
          </cell>
          <cell r="O238">
            <v>90</v>
          </cell>
        </row>
        <row r="239">
          <cell r="A239">
            <v>9410</v>
          </cell>
          <cell r="B239">
            <v>9410</v>
          </cell>
          <cell r="C239" t="str">
            <v>CERO MATRICULA</v>
          </cell>
          <cell r="D239" t="str">
            <v>ACTIVO</v>
          </cell>
          <cell r="E239" t="str">
            <v>PENDIENTE</v>
          </cell>
          <cell r="F239" t="str">
            <v>PENDIENTE</v>
          </cell>
          <cell r="G239" t="str">
            <v>PENDIENTE</v>
          </cell>
          <cell r="H239" t="str">
            <v>PENDIENTE</v>
          </cell>
          <cell r="I239" t="str">
            <v>PENDIENTE</v>
          </cell>
          <cell r="J239" t="str">
            <v>PENDIENTE</v>
          </cell>
          <cell r="K239" t="str">
            <v>PENDIENTE</v>
          </cell>
          <cell r="L239" t="str">
            <v>PENDIENTE</v>
          </cell>
          <cell r="M239" t="str">
            <v>BELLAVISTA</v>
          </cell>
          <cell r="N239">
            <v>46048</v>
          </cell>
          <cell r="O239">
            <v>90</v>
          </cell>
        </row>
        <row r="240">
          <cell r="A240">
            <v>9494</v>
          </cell>
          <cell r="B240">
            <v>9494</v>
          </cell>
          <cell r="C240" t="str">
            <v>CERO MATRICULA</v>
          </cell>
          <cell r="D240" t="str">
            <v>ACTIVO</v>
          </cell>
          <cell r="E240" t="str">
            <v>PENDIENTE</v>
          </cell>
          <cell r="F240" t="str">
            <v>PENDIENTE</v>
          </cell>
          <cell r="G240" t="str">
            <v>PENDIENTE</v>
          </cell>
          <cell r="H240" t="str">
            <v>PENDIENTE</v>
          </cell>
          <cell r="I240" t="str">
            <v>PENDIENTE</v>
          </cell>
          <cell r="J240" t="str">
            <v>PENDIENTE</v>
          </cell>
          <cell r="K240" t="str">
            <v>PENDIENTE</v>
          </cell>
          <cell r="L240" t="str">
            <v>PENDIENTE</v>
          </cell>
          <cell r="M240" t="str">
            <v>BELLAVISTA</v>
          </cell>
          <cell r="N240">
            <v>46048</v>
          </cell>
          <cell r="O240">
            <v>90</v>
          </cell>
        </row>
        <row r="241">
          <cell r="A241">
            <v>7574</v>
          </cell>
          <cell r="B241">
            <v>7574</v>
          </cell>
          <cell r="C241" t="str">
            <v>CERO MATRICULA</v>
          </cell>
          <cell r="D241" t="str">
            <v>ACTIVO</v>
          </cell>
          <cell r="E241" t="str">
            <v>ATT180</v>
          </cell>
          <cell r="F241" t="str">
            <v>Mendieta Soria Jorge Eduardo</v>
          </cell>
          <cell r="G241" t="str">
            <v>Mendieta Soria Jorge Eduardo</v>
          </cell>
          <cell r="H241" t="str">
            <v>40085131</v>
          </cell>
          <cell r="I241" t="str">
            <v>BCP</v>
          </cell>
          <cell r="J241" t="str">
            <v>19414304288074</v>
          </cell>
          <cell r="K241" t="str">
            <v>DNI</v>
          </cell>
          <cell r="L241">
            <v>10400851315</v>
          </cell>
          <cell r="M241" t="str">
            <v>JOCKEY PLAZA</v>
          </cell>
          <cell r="N241">
            <v>46059</v>
          </cell>
          <cell r="O241">
            <v>240</v>
          </cell>
        </row>
        <row r="242">
          <cell r="A242">
            <v>7384</v>
          </cell>
          <cell r="B242">
            <v>7384</v>
          </cell>
          <cell r="C242" t="str">
            <v>CERO MATRICULA</v>
          </cell>
          <cell r="D242" t="str">
            <v>ACTIVO</v>
          </cell>
          <cell r="E242" t="str">
            <v>AWV166</v>
          </cell>
          <cell r="F242" t="str">
            <v>VALENCIA MORALES NELSON JAIME</v>
          </cell>
          <cell r="G242" t="str">
            <v>VALENCIA MORALES NELSON JAIME</v>
          </cell>
          <cell r="H242" t="str">
            <v>07670019</v>
          </cell>
          <cell r="I242" t="str">
            <v>BCP</v>
          </cell>
          <cell r="J242" t="str">
            <v>19179291067085</v>
          </cell>
          <cell r="K242" t="str">
            <v>DNI</v>
          </cell>
          <cell r="L242">
            <v>10076700198</v>
          </cell>
          <cell r="M242" t="str">
            <v>JOCKEY PLAZA</v>
          </cell>
          <cell r="N242">
            <v>46055</v>
          </cell>
          <cell r="O242">
            <v>240</v>
          </cell>
        </row>
        <row r="243">
          <cell r="A243">
            <v>9386</v>
          </cell>
          <cell r="B243">
            <v>9386</v>
          </cell>
          <cell r="C243" t="str">
            <v>CERO MATRICULA</v>
          </cell>
          <cell r="D243" t="str">
            <v>ACTIVO</v>
          </cell>
          <cell r="E243" t="str">
            <v>PENDIENTE</v>
          </cell>
          <cell r="F243" t="str">
            <v>PENDIENTE</v>
          </cell>
          <cell r="G243" t="str">
            <v>PENDIENTE</v>
          </cell>
          <cell r="H243" t="str">
            <v>PENDIENTE</v>
          </cell>
          <cell r="I243" t="str">
            <v>PENDIENTE</v>
          </cell>
          <cell r="J243" t="str">
            <v>PENDIENTE</v>
          </cell>
          <cell r="K243" t="str">
            <v>PENDIENTE</v>
          </cell>
          <cell r="L243" t="str">
            <v>PENDIENTE</v>
          </cell>
          <cell r="M243" t="str">
            <v>BELLAVISTA</v>
          </cell>
          <cell r="N243">
            <v>46062</v>
          </cell>
          <cell r="O243">
            <v>90</v>
          </cell>
        </row>
        <row r="244">
          <cell r="A244">
            <v>4292</v>
          </cell>
          <cell r="B244">
            <v>4292</v>
          </cell>
          <cell r="C244" t="str">
            <v>CERO MATRICULA</v>
          </cell>
          <cell r="D244" t="str">
            <v>ACTIVO</v>
          </cell>
          <cell r="E244" t="str">
            <v>CJS631</v>
          </cell>
          <cell r="F244" t="str">
            <v>Artigas Bencomo Franklin</v>
          </cell>
          <cell r="G244" t="str">
            <v>Artigas Bencomo Franklin</v>
          </cell>
          <cell r="H244" t="str">
            <v>003270772</v>
          </cell>
          <cell r="I244" t="str">
            <v>BCP</v>
          </cell>
          <cell r="J244" t="str">
            <v>19492714392098</v>
          </cell>
          <cell r="K244" t="str">
            <v>CE</v>
          </cell>
          <cell r="L244">
            <v>15604153953</v>
          </cell>
          <cell r="M244" t="str">
            <v>JOCKEY PLAZA</v>
          </cell>
          <cell r="N244">
            <v>46079</v>
          </cell>
          <cell r="O244">
            <v>240</v>
          </cell>
        </row>
        <row r="245">
          <cell r="A245">
            <v>9443</v>
          </cell>
          <cell r="B245">
            <v>9443</v>
          </cell>
          <cell r="C245" t="str">
            <v>CERO MATRICULA</v>
          </cell>
          <cell r="D245" t="str">
            <v>ACTIVO</v>
          </cell>
          <cell r="E245" t="str">
            <v>CDM620</v>
          </cell>
          <cell r="F245" t="str">
            <v>HERNANDEZ CASTILLO LEONARDO DAVID</v>
          </cell>
          <cell r="G245" t="str">
            <v>HERNANDEZ CASTILLO LEONARDO DAVID</v>
          </cell>
          <cell r="H245" t="str">
            <v>004770762</v>
          </cell>
          <cell r="I245" t="str">
            <v>BCP</v>
          </cell>
          <cell r="J245" t="str">
            <v>19195162512048</v>
          </cell>
          <cell r="K245" t="str">
            <v>CE</v>
          </cell>
          <cell r="L245">
            <v>15605597430</v>
          </cell>
          <cell r="M245" t="str">
            <v>JOCKEY PLAZA</v>
          </cell>
          <cell r="N245">
            <v>45496</v>
          </cell>
          <cell r="O245">
            <v>240</v>
          </cell>
        </row>
        <row r="246">
          <cell r="A246">
            <v>9245</v>
          </cell>
          <cell r="B246">
            <v>9245</v>
          </cell>
          <cell r="C246" t="str">
            <v>CERO MATRICULA</v>
          </cell>
          <cell r="D246" t="str">
            <v>ACTIVO</v>
          </cell>
          <cell r="E246" t="str">
            <v>BBC311</v>
          </cell>
          <cell r="F246" t="str">
            <v>Mantari Acosta Luis Alberto</v>
          </cell>
          <cell r="G246" t="str">
            <v>MANTARI ACOSTA LUIS ALBERTO</v>
          </cell>
          <cell r="H246" t="str">
            <v>75338664</v>
          </cell>
          <cell r="I246" t="str">
            <v>BCP</v>
          </cell>
          <cell r="J246" t="str">
            <v>19415421679052</v>
          </cell>
          <cell r="K246" t="str">
            <v>DNI</v>
          </cell>
          <cell r="L246">
            <v>10753386641</v>
          </cell>
          <cell r="M246" t="str">
            <v>JOCKEY PLAZA</v>
          </cell>
          <cell r="N246">
            <v>45447</v>
          </cell>
          <cell r="O246">
            <v>240</v>
          </cell>
        </row>
        <row r="247">
          <cell r="A247">
            <v>3767</v>
          </cell>
          <cell r="B247">
            <v>3767</v>
          </cell>
          <cell r="C247" t="str">
            <v>CERO MATRICULA</v>
          </cell>
          <cell r="D247" t="str">
            <v>ACTIVO</v>
          </cell>
          <cell r="E247" t="str">
            <v>CPW152</v>
          </cell>
          <cell r="F247" t="str">
            <v>Chung Navarro Freddy Ronald</v>
          </cell>
          <cell r="G247" t="str">
            <v>DE LAMA SAAVEDRA PRISCILA SARIAH</v>
          </cell>
          <cell r="H247" t="str">
            <v>46000365</v>
          </cell>
          <cell r="I247" t="str">
            <v>BCP</v>
          </cell>
          <cell r="J247" t="str">
            <v>19297311240080</v>
          </cell>
          <cell r="K247" t="str">
            <v>DNI</v>
          </cell>
          <cell r="L247">
            <v>10460003658</v>
          </cell>
          <cell r="M247" t="str">
            <v>BELLAVISTA</v>
          </cell>
          <cell r="N247">
            <v>45888.375</v>
          </cell>
          <cell r="O247">
            <v>90</v>
          </cell>
        </row>
        <row r="248">
          <cell r="A248">
            <v>4344</v>
          </cell>
          <cell r="B248">
            <v>4344</v>
          </cell>
          <cell r="C248" t="str">
            <v>CERO MATRICULA</v>
          </cell>
          <cell r="D248" t="str">
            <v>ACTIVO</v>
          </cell>
          <cell r="E248" t="str">
            <v>CCO088</v>
          </cell>
          <cell r="F248" t="str">
            <v>Guerra Del Rosario Carlos luis</v>
          </cell>
          <cell r="G248" t="str">
            <v>Guerra Del Rosario Carlos luis</v>
          </cell>
          <cell r="H248" t="str">
            <v>004950158</v>
          </cell>
          <cell r="I248" t="str">
            <v>BCP</v>
          </cell>
          <cell r="J248" t="str">
            <v>19497195006072</v>
          </cell>
          <cell r="K248" t="str">
            <v>CE</v>
          </cell>
          <cell r="L248">
            <v>15607703164</v>
          </cell>
          <cell r="M248" t="str">
            <v>JOCKEY PLAZA</v>
          </cell>
          <cell r="N248">
            <v>46113</v>
          </cell>
          <cell r="O248">
            <v>240</v>
          </cell>
        </row>
        <row r="249">
          <cell r="A249">
            <v>4362</v>
          </cell>
          <cell r="B249">
            <v>4362</v>
          </cell>
          <cell r="C249" t="str">
            <v>CERO MATRICULA</v>
          </cell>
          <cell r="D249" t="str">
            <v>ACTIVO</v>
          </cell>
          <cell r="E249" t="str">
            <v>Vdj385</v>
          </cell>
          <cell r="F249" t="str">
            <v>Torres Chacón Carlos Eduardo</v>
          </cell>
          <cell r="G249" t="str">
            <v>Torres Chacón Carlos Eduardo</v>
          </cell>
          <cell r="H249" t="str">
            <v>003714348</v>
          </cell>
          <cell r="I249" t="str">
            <v>INTERBANK</v>
          </cell>
          <cell r="J249" t="str">
            <v>1573486120449</v>
          </cell>
          <cell r="K249" t="str">
            <v>CE</v>
          </cell>
          <cell r="L249">
            <v>15607360763</v>
          </cell>
          <cell r="M249" t="str">
            <v>JOCKEY PLAZA</v>
          </cell>
          <cell r="N249">
            <v>46121</v>
          </cell>
          <cell r="O249">
            <v>240</v>
          </cell>
        </row>
        <row r="250">
          <cell r="A250">
            <v>9910</v>
          </cell>
          <cell r="B250">
            <v>9910</v>
          </cell>
          <cell r="C250" t="str">
            <v>CERO MATRICULA</v>
          </cell>
          <cell r="D250" t="str">
            <v>ACTIVO</v>
          </cell>
          <cell r="E250" t="str">
            <v>CCR557</v>
          </cell>
          <cell r="F250" t="str">
            <v>Ricse Alejandro Nestor</v>
          </cell>
          <cell r="G250" t="str">
            <v>Ricse Alejandro Nestor</v>
          </cell>
          <cell r="H250">
            <v>73620337</v>
          </cell>
          <cell r="I250" t="str">
            <v>BCP</v>
          </cell>
          <cell r="J250" t="str">
            <v>19170712690057</v>
          </cell>
          <cell r="K250" t="str">
            <v>DNI</v>
          </cell>
          <cell r="L250">
            <v>10736203371</v>
          </cell>
          <cell r="M250" t="str">
            <v>JOCKEY PLAZA</v>
          </cell>
          <cell r="N250">
            <v>46121</v>
          </cell>
          <cell r="O250">
            <v>240</v>
          </cell>
        </row>
        <row r="251">
          <cell r="A251">
            <v>7044</v>
          </cell>
          <cell r="B251">
            <v>7044</v>
          </cell>
          <cell r="C251" t="str">
            <v>CERO MATRICULA</v>
          </cell>
          <cell r="D251" t="str">
            <v>ACTIVO</v>
          </cell>
          <cell r="E251">
            <v>0</v>
          </cell>
          <cell r="F251" t="str">
            <v>SOJO RAMIREZ FERNANDO JOSE</v>
          </cell>
          <cell r="G251" t="str">
            <v>SOJO RAMIREZ FERNANDO JOSE</v>
          </cell>
          <cell r="H251" t="str">
            <v>005357130</v>
          </cell>
          <cell r="I251" t="str">
            <v>BBVA</v>
          </cell>
          <cell r="J251" t="str">
            <v>00110180020046929175</v>
          </cell>
          <cell r="K251" t="str">
            <v>CE</v>
          </cell>
          <cell r="L251">
            <v>15605034311</v>
          </cell>
          <cell r="M251" t="str">
            <v>JOCKEY PLAZA</v>
          </cell>
          <cell r="N251" t="str">
            <v>PENDIENTE</v>
          </cell>
          <cell r="O251">
            <v>240</v>
          </cell>
        </row>
        <row r="252">
          <cell r="A252">
            <v>4463</v>
          </cell>
          <cell r="B252">
            <v>4463</v>
          </cell>
          <cell r="C252" t="str">
            <v>CERO MATRICULA</v>
          </cell>
          <cell r="D252" t="str">
            <v>ACTIVO</v>
          </cell>
          <cell r="E252" t="str">
            <v>CXE193</v>
          </cell>
          <cell r="F252" t="str">
            <v>Pardo Bailetti Jose Aurelio</v>
          </cell>
          <cell r="G252" t="str">
            <v>Pardo Bailetti Jose Aurelio</v>
          </cell>
          <cell r="H252" t="str">
            <v>10723073</v>
          </cell>
          <cell r="I252" t="str">
            <v>INTERBANK</v>
          </cell>
          <cell r="J252" t="str">
            <v>2003129039677</v>
          </cell>
          <cell r="K252" t="str">
            <v>DNI</v>
          </cell>
          <cell r="L252">
            <v>10107230730</v>
          </cell>
          <cell r="M252" t="str">
            <v>BELLAVISTA</v>
          </cell>
          <cell r="N252">
            <v>46170</v>
          </cell>
          <cell r="O252">
            <v>90</v>
          </cell>
        </row>
        <row r="253">
          <cell r="A253">
            <v>9821</v>
          </cell>
          <cell r="B253">
            <v>9821</v>
          </cell>
          <cell r="C253" t="str">
            <v>CERO MATRICULA</v>
          </cell>
          <cell r="D253" t="str">
            <v>ACTIVO</v>
          </cell>
          <cell r="E253" t="str">
            <v>Ccb591</v>
          </cell>
          <cell r="F253" t="str">
            <v>SIFONTES Urbina Benjamin Daniel Isaias</v>
          </cell>
          <cell r="G253" t="str">
            <v>SIFONTES URBINA BENJAMIN DANIEL ISAIAS</v>
          </cell>
          <cell r="H253" t="str">
            <v>001865036</v>
          </cell>
          <cell r="I253" t="str">
            <v>INTERBANK</v>
          </cell>
          <cell r="J253" t="str">
            <v>6453422270162</v>
          </cell>
          <cell r="K253" t="str">
            <v>CE</v>
          </cell>
          <cell r="L253">
            <v>15602348617</v>
          </cell>
          <cell r="M253" t="str">
            <v>JOCKEY PLAZA</v>
          </cell>
          <cell r="N253">
            <v>45589.416666666664</v>
          </cell>
          <cell r="O253">
            <v>240</v>
          </cell>
        </row>
        <row r="254">
          <cell r="A254">
            <v>4334</v>
          </cell>
          <cell r="B254">
            <v>4334</v>
          </cell>
          <cell r="C254" t="str">
            <v>CERO MATRICULA</v>
          </cell>
          <cell r="D254" t="str">
            <v>ACTIVO</v>
          </cell>
          <cell r="E254" t="str">
            <v>ANR 204</v>
          </cell>
          <cell r="F254" t="str">
            <v>Arellano Alvarez Victor Manuel</v>
          </cell>
          <cell r="G254" t="str">
            <v>Arellano Alvarez Victor Manuel</v>
          </cell>
          <cell r="H254">
            <v>7878564</v>
          </cell>
          <cell r="I254" t="str">
            <v>BANBIF</v>
          </cell>
          <cell r="J254" t="str">
            <v xml:space="preserve">008033581700 </v>
          </cell>
          <cell r="K254" t="str">
            <v>DNI</v>
          </cell>
          <cell r="L254">
            <v>10078785646</v>
          </cell>
          <cell r="M254" t="str">
            <v>JOCKEY PLAZA</v>
          </cell>
          <cell r="N254">
            <v>46105</v>
          </cell>
          <cell r="O254">
            <v>240</v>
          </cell>
        </row>
        <row r="255">
          <cell r="A255">
            <v>4412</v>
          </cell>
          <cell r="B255">
            <v>4412</v>
          </cell>
          <cell r="C255" t="str">
            <v>CERO MATRICULA</v>
          </cell>
          <cell r="D255" t="str">
            <v>ACTIVO</v>
          </cell>
          <cell r="E255" t="str">
            <v>CXA472</v>
          </cell>
          <cell r="F255" t="str">
            <v>Alvarado Hernandez Fexil Dahil</v>
          </cell>
          <cell r="G255" t="str">
            <v>Alvarado Hernandez Fexil Dahil</v>
          </cell>
          <cell r="H255" t="str">
            <v>006497122</v>
          </cell>
          <cell r="I255" t="str">
            <v>bbva</v>
          </cell>
          <cell r="J255" t="str">
            <v>0011-0354-0200519723</v>
          </cell>
          <cell r="K255" t="str">
            <v>CE</v>
          </cell>
          <cell r="L255">
            <v>15613591378</v>
          </cell>
          <cell r="M255" t="str">
            <v>JOCKEY PLAZA</v>
          </cell>
          <cell r="N255">
            <v>46150</v>
          </cell>
          <cell r="O255">
            <v>240</v>
          </cell>
        </row>
        <row r="256">
          <cell r="A256">
            <v>9740</v>
          </cell>
          <cell r="B256">
            <v>9740</v>
          </cell>
          <cell r="C256" t="str">
            <v>CERO MATRICULA</v>
          </cell>
          <cell r="D256" t="str">
            <v>ACTIVO</v>
          </cell>
          <cell r="E256" t="str">
            <v>F7M239</v>
          </cell>
          <cell r="F256" t="str">
            <v>Estela Coaricona Jorge Luis</v>
          </cell>
          <cell r="G256" t="str">
            <v>ESTELA COARICONA JORGE LUIS</v>
          </cell>
          <cell r="H256">
            <v>70656687</v>
          </cell>
          <cell r="I256" t="str">
            <v>INTERBANK</v>
          </cell>
          <cell r="J256" t="str">
            <v>8983256451877</v>
          </cell>
          <cell r="K256" t="str">
            <v>DNI</v>
          </cell>
          <cell r="L256">
            <v>10706566878</v>
          </cell>
          <cell r="M256" t="str">
            <v>JOCKEY PLAZA</v>
          </cell>
          <cell r="N256">
            <v>45566.083333333336</v>
          </cell>
          <cell r="O256">
            <v>240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4">
      <sharedItems containsNonDate="0" containsString="0" containsBlank="1"/>
    </cacheField>
    <cacheField name="Fecha_Inicio" numFmtId="164">
      <sharedItems containsNonDate="0" containsString="0" containsBlank="1"/>
    </cacheField>
    <cacheField name="Fecha_Termino" numFmtId="164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2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2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2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2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2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2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2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682" headerRowBorderDxfId="681" tableBorderDxfId="680" totalsRowBorderDxfId="679">
  <autoFilter ref="A1:J73" xr:uid="{735D3412-10A4-4580-8905-5CCDC7AEEB75}"/>
  <tableColumns count="10">
    <tableColumn id="1" xr3:uid="{27E89D9F-7597-4098-ABC6-89235FA66D53}" name="IdServicio" dataDxfId="678"/>
    <tableColumn id="2" xr3:uid="{240AD37B-F7D6-44C3-949F-E36B3A40F477}" name="PlacaAuto" dataDxfId="677"/>
    <tableColumn id="3" xr3:uid="{6FC4FAAB-FEE2-45E9-B6E4-5A65D9EF715D}" name="IdMovil" dataDxfId="676"/>
    <tableColumn id="4" xr3:uid="{86AF94CE-01DC-4559-B719-F7EFAC472E14}" name="FLOTA" dataDxfId="675">
      <calculatedColumnFormula>+VLOOKUP(Tabla43[[#This Row],[IdMovil]],#REF!,2,FALSE)</calculatedColumnFormula>
    </tableColumn>
    <tableColumn id="16" xr3:uid="{8F0D0B3A-7A1E-44F5-A2A2-304A7A32AC6D}" name="REEMBOLSO" dataDxfId="674"/>
    <tableColumn id="5" xr3:uid="{2BDDFE83-5C2A-4C6F-BDF9-82A37F0E5CFE}" name="Fecha_Servicio" dataDxfId="673"/>
    <tableColumn id="6" xr3:uid="{7FA5AD9A-9B02-4C4F-AF14-60843373B322}" name="Fecha_Inicio" dataDxfId="672"/>
    <tableColumn id="7" xr3:uid="{D82072DC-AC71-462D-8B70-4815D9899E20}" name="Fecha_Termino" dataDxfId="671"/>
    <tableColumn id="8" xr3:uid="{4D6E837F-CEF9-4C48-AD19-A4967D2B57DF}" name="Total_Peaje" dataDxfId="670"/>
    <tableColumn id="12" xr3:uid="{3ACD2D56-B4A0-452B-A79D-D30618105BAB}" name="DescTipoPago" dataDxfId="6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5069" totalsRowShown="0" headerRowDxfId="668" dataDxfId="667" dataCellStyle="Normal 2">
  <autoFilter ref="A1:I5069" xr:uid="{B300ADC4-4BD2-4E39-A3F9-C27DD6450BAE}"/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666" dataCellStyle="Normal 2"/>
    <tableColumn id="20" xr3:uid="{A7934243-C315-4FEA-84A7-02C66D392440}" name="MOVIL" dataDxfId="665"/>
    <tableColumn id="19" xr3:uid="{00BE01C0-EB17-42D8-8E17-5B7F913B184A}" name="DETALLE" dataDxfId="664"/>
    <tableColumn id="21" xr3:uid="{D2FE451A-9508-4DE1-92A7-0CFF1477A437}" name="OBSV" dataDxfId="663"/>
    <tableColumn id="1" xr3:uid="{43E5612F-8E71-4543-A164-D4B67C2209D9}" name="Fecha Inicio" dataDxfId="662" dataCellStyle="Normal 2"/>
    <tableColumn id="4" xr3:uid="{D8F33EC8-0013-4A03-8681-9C7EFF7BBBB2}" name="Hora Inicio" dataDxfId="661" dataCellStyle="Normal 2"/>
    <tableColumn id="3" xr3:uid="{4ED638A1-F122-4913-8124-1A64E1BA0F22}" name="Importe" dataDxfId="660" dataCellStyle="Normal 2"/>
    <tableColumn id="13" xr3:uid="{D85BFD49-7BA0-432A-87A9-761FE2ABD13A}" name="Plaza" dataDxfId="659" dataCellStyle="Normal 2"/>
    <tableColumn id="17" xr3:uid="{681DB140-B954-46CE-9346-27550B0D3E60}" name="Nro Comprobante" dataDxfId="658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97" totalsRowCount="1" headerRowDxfId="693" dataDxfId="691" headerRowBorderDxfId="692" tableBorderDxfId="690" headerRowCellStyle="Moneda 2 2"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689"/>
    <tableColumn id="2" xr3:uid="{0C053BE1-7FE7-46A0-9CE9-395D2BDAFB4F}" name="DESCUENTO POR USO PERSONAL PEX" totalsRowFunction="custom" dataDxfId="688" totalsRowDxfId="4">
      <calculatedColumnFormula>+SUMIFS(Tabla16[Importe],Tabla16[MOVIL],Tabla38[[#This Row],[MOVIL]],Tabla16[OBSV],"DESCONTAR POR USO PERSONAL")</calculatedColumnFormula>
      <totalsRowFormula>SUM(B2:B496)</totalsRowFormula>
    </tableColumn>
    <tableColumn id="3" xr3:uid="{7D2ECD55-F9BA-469C-9CC5-3DC86F483ABE}" name="DESCUENTO POR INCIDENCIAS PEX" totalsRowFunction="custom" dataDxfId="687" totalsRowDxfId="3">
      <calculatedColumnFormula>+SUMIFS(Tabla16[Importe],Tabla16[MOVIL],Tabla38[[#This Row],[MOVIL]],Tabla16[OBSV],"DESCONTAR POR INCIDENCIA")</calculatedColumnFormula>
      <totalsRowFormula>SUM(C2:C496)</totalsRowFormula>
    </tableColumn>
    <tableColumn id="4" xr3:uid="{D97A479A-B2DF-4E8B-ABE9-EF41B8DA1C26}" name="DESCUENTO POR SERVICIOS EN EFECTIVO" totalsRowFunction="custom" dataDxfId="686" totalsRowDxfId="2">
      <calculatedColumnFormula>+SUMIFS(Tabla16[Importe],Tabla16[MOVIL],Tabla38[[#This Row],[MOVIL]],Tabla16[OBSV],"DESCONTAR SERVICIO EN EFECTIVO")</calculatedColumnFormula>
      <totalsRowFormula>SUM(D2:D496)</totalsRowFormula>
    </tableColumn>
    <tableColumn id="8" xr3:uid="{63A022FF-13F8-4241-94E0-008D2074FB53}" name="DESCUENTO POR NUEVA INCLUSION" totalsRowFunction="custom" dataDxfId="685" totalsRowDxfId="1">
      <calculatedColumnFormula>+IFERROR(VLOOKUP(Tabla38[[#This Row],[MOVIL]],Tabla1[[#All],[MOVIL]:[COBRO POR NUEVA INCLUSIÓN]],4,FALSE),0)</calculatedColumnFormula>
      <totalsRowFormula>SUM(E2:E496)</totalsRowFormula>
    </tableColumn>
    <tableColumn id="6" xr3:uid="{FE3E48BA-37B5-4000-9607-0618225CFA4E}" name="TOTAL" totalsRowFunction="custom" dataDxfId="684" totalsRowDxfId="0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SUM(F2:F496)</totalsRowFormula>
    </tableColumn>
    <tableColumn id="5" xr3:uid="{76A8BD8C-F9FE-4151-9BF7-607493EA0682}" name="FLOTA" dataDxfId="683">
      <calculatedColumnFormula>VLOOKUP(Tabla38[[#This Row],[MOVIL]],[1]BD!$A$1:$P$3557,13,0)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95" totalsRowShown="0" headerRowDxfId="657" headerRowBorderDxfId="656" tableBorderDxfId="655">
  <autoFilter ref="A1:E495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654" dataCellStyle="Normal 2"/>
    <tableColumn id="2" xr3:uid="{7244207D-5FE0-4928-966B-B46445AC9C44}" name="MOVIL" dataDxfId="653" dataCellStyle="Normal 2"/>
    <tableColumn id="4" xr3:uid="{418C1210-EDE3-4E0E-A54A-7B06F30D07CD}" name="ESTADO DE PEX" dataDxfId="652"/>
    <tableColumn id="5" xr3:uid="{7B329CBC-EC47-4BB3-89E9-037D514E685D}" name="CONEXIÓN SEM 19" dataDxfId="651" dataCellStyle="Normal 2"/>
    <tableColumn id="8" xr3:uid="{9A84AAC0-EF34-4208-8FDB-5C562CFBBA07}" name="COBRO POR NUEVA INCLUSIÓN" dataDxfId="65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baseColWidth="10" defaultColWidth="11.42578125" defaultRowHeight="15" x14ac:dyDescent="0.2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 x14ac:dyDescent="0.2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 x14ac:dyDescent="0.25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 x14ac:dyDescent="0.25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 x14ac:dyDescent="0.25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 x14ac:dyDescent="0.25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 x14ac:dyDescent="0.25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 x14ac:dyDescent="0.25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 x14ac:dyDescent="0.25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 x14ac:dyDescent="0.25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 x14ac:dyDescent="0.25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 x14ac:dyDescent="0.25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 x14ac:dyDescent="0.25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 x14ac:dyDescent="0.25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 x14ac:dyDescent="0.25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 x14ac:dyDescent="0.25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 x14ac:dyDescent="0.25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 x14ac:dyDescent="0.25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 x14ac:dyDescent="0.25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 x14ac:dyDescent="0.25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 x14ac:dyDescent="0.25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 x14ac:dyDescent="0.25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 x14ac:dyDescent="0.25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 x14ac:dyDescent="0.25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 x14ac:dyDescent="0.25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 x14ac:dyDescent="0.25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 x14ac:dyDescent="0.25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 x14ac:dyDescent="0.25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 x14ac:dyDescent="0.25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 x14ac:dyDescent="0.25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 x14ac:dyDescent="0.25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 x14ac:dyDescent="0.25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 x14ac:dyDescent="0.25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 x14ac:dyDescent="0.25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 x14ac:dyDescent="0.25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 x14ac:dyDescent="0.25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 x14ac:dyDescent="0.25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 x14ac:dyDescent="0.25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 x14ac:dyDescent="0.25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 x14ac:dyDescent="0.25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 x14ac:dyDescent="0.25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 x14ac:dyDescent="0.25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 x14ac:dyDescent="0.25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 x14ac:dyDescent="0.25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 x14ac:dyDescent="0.25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 x14ac:dyDescent="0.25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 x14ac:dyDescent="0.25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 x14ac:dyDescent="0.25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 x14ac:dyDescent="0.25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 x14ac:dyDescent="0.25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 x14ac:dyDescent="0.25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 x14ac:dyDescent="0.25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 x14ac:dyDescent="0.25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 x14ac:dyDescent="0.25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 x14ac:dyDescent="0.25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 x14ac:dyDescent="0.25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 x14ac:dyDescent="0.25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 x14ac:dyDescent="0.25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 x14ac:dyDescent="0.25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 x14ac:dyDescent="0.25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 x14ac:dyDescent="0.25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 x14ac:dyDescent="0.25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 x14ac:dyDescent="0.25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 x14ac:dyDescent="0.25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 x14ac:dyDescent="0.25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 x14ac:dyDescent="0.25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 x14ac:dyDescent="0.25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 x14ac:dyDescent="0.25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 x14ac:dyDescent="0.25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 x14ac:dyDescent="0.25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 x14ac:dyDescent="0.25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 x14ac:dyDescent="0.25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 x14ac:dyDescent="0.25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 x14ac:dyDescent="0.25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649" priority="449"/>
    <cfRule type="duplicateValues" dxfId="648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5069"/>
  <sheetViews>
    <sheetView workbookViewId="0">
      <selection activeCell="D53" sqref="D53"/>
    </sheetView>
  </sheetViews>
  <sheetFormatPr baseColWidth="10" defaultColWidth="14.7109375" defaultRowHeight="12" x14ac:dyDescent="0.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0" bestFit="1" customWidth="1"/>
    <col min="6" max="6" width="12.5703125" style="40" bestFit="1" customWidth="1"/>
    <col min="7" max="7" width="12.5703125" style="40" customWidth="1"/>
    <col min="8" max="8" width="23.42578125" style="40" bestFit="1" customWidth="1"/>
    <col min="9" max="9" width="17.5703125" style="40" bestFit="1" customWidth="1"/>
    <col min="10" max="16384" width="14.7109375" style="40"/>
  </cols>
  <sheetData>
    <row r="1" spans="1:9" x14ac:dyDescent="0.2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17</v>
      </c>
      <c r="H1" s="39" t="s">
        <v>16</v>
      </c>
      <c r="I1" s="39" t="s">
        <v>18</v>
      </c>
    </row>
    <row r="2" spans="1:9" x14ac:dyDescent="0.2">
      <c r="A2" s="40" t="s">
        <v>373</v>
      </c>
      <c r="B2" s="28">
        <v>127</v>
      </c>
      <c r="C2" s="28" t="s">
        <v>485</v>
      </c>
      <c r="D2" s="28"/>
      <c r="E2" s="41">
        <v>46167</v>
      </c>
      <c r="F2" s="47">
        <v>0.80811342592592594</v>
      </c>
      <c r="G2" s="42">
        <v>6.3</v>
      </c>
      <c r="H2" s="40" t="s">
        <v>230</v>
      </c>
      <c r="I2" s="40" t="s">
        <v>1300</v>
      </c>
    </row>
    <row r="3" spans="1:9" x14ac:dyDescent="0.2">
      <c r="A3" s="40" t="s">
        <v>373</v>
      </c>
      <c r="B3" s="28">
        <v>127</v>
      </c>
      <c r="C3" s="28" t="s">
        <v>485</v>
      </c>
      <c r="D3" s="28"/>
      <c r="E3" s="41">
        <v>46167</v>
      </c>
      <c r="F3" s="47">
        <v>0.82524305555555555</v>
      </c>
      <c r="G3" s="42">
        <v>6.3</v>
      </c>
      <c r="H3" s="40" t="s">
        <v>227</v>
      </c>
      <c r="I3" s="40" t="s">
        <v>1300</v>
      </c>
    </row>
    <row r="4" spans="1:9" x14ac:dyDescent="0.2">
      <c r="A4" s="40" t="s">
        <v>373</v>
      </c>
      <c r="B4" s="28">
        <v>127</v>
      </c>
      <c r="C4" s="28" t="s">
        <v>486</v>
      </c>
      <c r="D4" s="28"/>
      <c r="E4" s="41">
        <v>46169</v>
      </c>
      <c r="F4" s="47">
        <v>0.58528935185185182</v>
      </c>
      <c r="G4" s="42">
        <v>6.3</v>
      </c>
      <c r="H4" s="40" t="s">
        <v>228</v>
      </c>
      <c r="I4" s="40" t="s">
        <v>1300</v>
      </c>
    </row>
    <row r="5" spans="1:9" x14ac:dyDescent="0.2">
      <c r="A5" s="40" t="s">
        <v>373</v>
      </c>
      <c r="B5" s="28">
        <v>127</v>
      </c>
      <c r="C5" s="28" t="s">
        <v>486</v>
      </c>
      <c r="D5" s="28"/>
      <c r="E5" s="41">
        <v>46169</v>
      </c>
      <c r="F5" s="47">
        <v>0.59781249999999997</v>
      </c>
      <c r="G5" s="42">
        <v>6.3</v>
      </c>
      <c r="H5" s="40" t="s">
        <v>229</v>
      </c>
      <c r="I5" s="40" t="s">
        <v>1300</v>
      </c>
    </row>
    <row r="6" spans="1:9" x14ac:dyDescent="0.2">
      <c r="A6" s="40" t="s">
        <v>373</v>
      </c>
      <c r="B6" s="28">
        <v>127</v>
      </c>
      <c r="C6" s="28" t="s">
        <v>487</v>
      </c>
      <c r="D6" s="28"/>
      <c r="E6" s="41">
        <v>46169</v>
      </c>
      <c r="F6" s="47">
        <v>0.64820601851851856</v>
      </c>
      <c r="G6" s="44">
        <v>6.3</v>
      </c>
      <c r="H6" s="43" t="s">
        <v>230</v>
      </c>
      <c r="I6" s="40" t="s">
        <v>1300</v>
      </c>
    </row>
    <row r="7" spans="1:9" x14ac:dyDescent="0.2">
      <c r="A7" s="40" t="s">
        <v>373</v>
      </c>
      <c r="B7" s="28">
        <v>127</v>
      </c>
      <c r="C7" s="28" t="s">
        <v>487</v>
      </c>
      <c r="D7" s="28"/>
      <c r="E7" s="41">
        <v>46169</v>
      </c>
      <c r="F7" s="47">
        <v>0.65491898148148153</v>
      </c>
      <c r="G7" s="44">
        <v>6.3</v>
      </c>
      <c r="H7" s="43" t="s">
        <v>227</v>
      </c>
      <c r="I7" s="40" t="s">
        <v>1300</v>
      </c>
    </row>
    <row r="8" spans="1:9" x14ac:dyDescent="0.2">
      <c r="A8" s="40" t="s">
        <v>373</v>
      </c>
      <c r="B8" s="28">
        <v>127</v>
      </c>
      <c r="C8" s="28" t="s">
        <v>488</v>
      </c>
      <c r="D8" s="28"/>
      <c r="E8" s="45">
        <v>46170</v>
      </c>
      <c r="F8" s="48">
        <v>0.64203703703703707</v>
      </c>
      <c r="G8" s="44">
        <v>6.3</v>
      </c>
      <c r="H8" s="43" t="s">
        <v>228</v>
      </c>
      <c r="I8" s="40" t="s">
        <v>1300</v>
      </c>
    </row>
    <row r="9" spans="1:9" x14ac:dyDescent="0.2">
      <c r="A9" s="40" t="s">
        <v>373</v>
      </c>
      <c r="B9" s="28">
        <v>127</v>
      </c>
      <c r="C9" s="28" t="s">
        <v>488</v>
      </c>
      <c r="D9" s="28"/>
      <c r="E9" s="41">
        <v>46170</v>
      </c>
      <c r="F9" s="47">
        <v>0.65795138888888893</v>
      </c>
      <c r="G9" s="44">
        <v>6.3</v>
      </c>
      <c r="H9" s="43" t="s">
        <v>229</v>
      </c>
      <c r="I9" s="40" t="s">
        <v>1300</v>
      </c>
    </row>
    <row r="10" spans="1:9" x14ac:dyDescent="0.2">
      <c r="A10" s="40" t="s">
        <v>373</v>
      </c>
      <c r="B10" s="28">
        <v>127</v>
      </c>
      <c r="C10" s="28" t="s">
        <v>489</v>
      </c>
      <c r="D10" s="28"/>
      <c r="E10" s="41">
        <v>46170</v>
      </c>
      <c r="F10" s="47">
        <v>0.7794444444444445</v>
      </c>
      <c r="G10" s="44">
        <v>6.3</v>
      </c>
      <c r="H10" s="43" t="s">
        <v>231</v>
      </c>
      <c r="I10" s="40" t="s">
        <v>1300</v>
      </c>
    </row>
    <row r="11" spans="1:9" x14ac:dyDescent="0.2">
      <c r="A11" s="40" t="s">
        <v>373</v>
      </c>
      <c r="B11" s="28">
        <v>127</v>
      </c>
      <c r="C11" s="28" t="s">
        <v>489</v>
      </c>
      <c r="D11" s="28"/>
      <c r="E11" s="41">
        <v>46170</v>
      </c>
      <c r="F11" s="47">
        <v>0.80052083333333335</v>
      </c>
      <c r="G11" s="44">
        <v>6.3</v>
      </c>
      <c r="H11" s="43" t="s">
        <v>227</v>
      </c>
      <c r="I11" s="40" t="s">
        <v>1300</v>
      </c>
    </row>
    <row r="12" spans="1:9" x14ac:dyDescent="0.2">
      <c r="A12" s="40" t="s">
        <v>373</v>
      </c>
      <c r="B12" s="28">
        <v>127</v>
      </c>
      <c r="C12" s="28" t="s">
        <v>490</v>
      </c>
      <c r="D12" s="28"/>
      <c r="E12" s="41">
        <v>46170</v>
      </c>
      <c r="F12" s="47">
        <v>0.87134259259259261</v>
      </c>
      <c r="G12" s="44">
        <v>6.3</v>
      </c>
      <c r="H12" s="43" t="s">
        <v>228</v>
      </c>
      <c r="I12" s="40" t="s">
        <v>1300</v>
      </c>
    </row>
    <row r="13" spans="1:9" x14ac:dyDescent="0.2">
      <c r="A13" s="40" t="s">
        <v>373</v>
      </c>
      <c r="B13" s="28">
        <v>127</v>
      </c>
      <c r="C13" s="28" t="s">
        <v>490</v>
      </c>
      <c r="D13" s="28"/>
      <c r="E13" s="41">
        <v>46170</v>
      </c>
      <c r="F13" s="47">
        <v>0.87900462962962966</v>
      </c>
      <c r="G13" s="44">
        <v>6.3</v>
      </c>
      <c r="H13" s="43" t="s">
        <v>229</v>
      </c>
      <c r="I13" s="40" t="s">
        <v>1300</v>
      </c>
    </row>
    <row r="14" spans="1:9" x14ac:dyDescent="0.2">
      <c r="A14" s="40" t="s">
        <v>373</v>
      </c>
      <c r="B14" s="28">
        <v>127</v>
      </c>
      <c r="C14" s="28" t="s">
        <v>491</v>
      </c>
      <c r="D14" s="28"/>
      <c r="E14" s="41">
        <v>46170</v>
      </c>
      <c r="F14" s="47">
        <v>0.93715277777777772</v>
      </c>
      <c r="G14" s="44">
        <v>6.3</v>
      </c>
      <c r="H14" s="43" t="s">
        <v>230</v>
      </c>
      <c r="I14" s="40" t="s">
        <v>1300</v>
      </c>
    </row>
    <row r="15" spans="1:9" x14ac:dyDescent="0.2">
      <c r="A15" s="40" t="s">
        <v>373</v>
      </c>
      <c r="B15" s="28">
        <v>127</v>
      </c>
      <c r="C15" s="28" t="s">
        <v>491</v>
      </c>
      <c r="D15" s="28"/>
      <c r="E15" s="41">
        <v>46170</v>
      </c>
      <c r="F15" s="47">
        <v>0.94306712962962957</v>
      </c>
      <c r="G15" s="44">
        <v>6.3</v>
      </c>
      <c r="H15" s="43" t="s">
        <v>227</v>
      </c>
      <c r="I15" s="40" t="s">
        <v>1300</v>
      </c>
    </row>
    <row r="16" spans="1:9" x14ac:dyDescent="0.2">
      <c r="A16" s="40" t="s">
        <v>280</v>
      </c>
      <c r="B16" s="28">
        <v>205</v>
      </c>
      <c r="C16" s="28" t="s">
        <v>492</v>
      </c>
      <c r="D16" s="28"/>
      <c r="E16" s="41">
        <v>46167</v>
      </c>
      <c r="F16" s="47">
        <v>0.93471064814814819</v>
      </c>
      <c r="G16" s="44">
        <v>6.3</v>
      </c>
      <c r="H16" s="43" t="s">
        <v>228</v>
      </c>
      <c r="I16" s="40" t="s">
        <v>1300</v>
      </c>
    </row>
    <row r="17" spans="1:9" x14ac:dyDescent="0.2">
      <c r="A17" s="40" t="s">
        <v>280</v>
      </c>
      <c r="B17" s="28">
        <v>205</v>
      </c>
      <c r="C17" s="28" t="s">
        <v>492</v>
      </c>
      <c r="D17" s="28"/>
      <c r="E17" s="41">
        <v>46167</v>
      </c>
      <c r="F17" s="47">
        <v>0.94118055555555558</v>
      </c>
      <c r="G17" s="44">
        <v>6.3</v>
      </c>
      <c r="H17" s="43" t="s">
        <v>232</v>
      </c>
      <c r="I17" s="40" t="s">
        <v>1300</v>
      </c>
    </row>
    <row r="18" spans="1:9" x14ac:dyDescent="0.2">
      <c r="A18" s="40" t="s">
        <v>280</v>
      </c>
      <c r="B18" s="28">
        <v>205</v>
      </c>
      <c r="C18" s="28">
        <v>5690347</v>
      </c>
      <c r="D18" s="28"/>
      <c r="E18" s="41">
        <v>46169</v>
      </c>
      <c r="F18" s="47">
        <v>0.80335648148148153</v>
      </c>
      <c r="G18" s="44">
        <v>6.3</v>
      </c>
      <c r="H18" s="43" t="s">
        <v>228</v>
      </c>
      <c r="I18" s="40" t="s">
        <v>1300</v>
      </c>
    </row>
    <row r="19" spans="1:9" x14ac:dyDescent="0.2">
      <c r="A19" s="40" t="s">
        <v>280</v>
      </c>
      <c r="B19" s="28">
        <v>205</v>
      </c>
      <c r="C19" s="28">
        <v>5690347</v>
      </c>
      <c r="D19" s="28"/>
      <c r="E19" s="41">
        <v>46169</v>
      </c>
      <c r="F19" s="47">
        <v>0.81001157407407409</v>
      </c>
      <c r="G19" s="44">
        <v>6.3</v>
      </c>
      <c r="H19" s="43" t="s">
        <v>232</v>
      </c>
      <c r="I19" s="40" t="s">
        <v>1300</v>
      </c>
    </row>
    <row r="20" spans="1:9" x14ac:dyDescent="0.2">
      <c r="A20" s="40" t="s">
        <v>280</v>
      </c>
      <c r="B20" s="28">
        <v>205</v>
      </c>
      <c r="C20" s="28" t="s">
        <v>35</v>
      </c>
      <c r="D20" s="28" t="s">
        <v>38</v>
      </c>
      <c r="E20" s="41">
        <v>46169</v>
      </c>
      <c r="F20" s="47">
        <v>0.85760416666666661</v>
      </c>
      <c r="G20" s="44">
        <v>6.3</v>
      </c>
      <c r="H20" s="43" t="s">
        <v>227</v>
      </c>
      <c r="I20" s="40" t="s">
        <v>1300</v>
      </c>
    </row>
    <row r="21" spans="1:9" x14ac:dyDescent="0.2">
      <c r="A21" s="40" t="s">
        <v>280</v>
      </c>
      <c r="B21" s="28">
        <v>205</v>
      </c>
      <c r="C21" s="28" t="s">
        <v>35</v>
      </c>
      <c r="D21" s="28" t="s">
        <v>38</v>
      </c>
      <c r="E21" s="41">
        <v>46170</v>
      </c>
      <c r="F21" s="47">
        <v>0.37103009259259262</v>
      </c>
      <c r="G21" s="44">
        <v>6.3</v>
      </c>
      <c r="H21" s="43" t="s">
        <v>230</v>
      </c>
      <c r="I21" s="40" t="s">
        <v>1300</v>
      </c>
    </row>
    <row r="22" spans="1:9" x14ac:dyDescent="0.2">
      <c r="A22" s="40" t="s">
        <v>280</v>
      </c>
      <c r="B22" s="28">
        <v>205</v>
      </c>
      <c r="C22" s="28" t="s">
        <v>35</v>
      </c>
      <c r="D22" s="28" t="s">
        <v>38</v>
      </c>
      <c r="E22" s="41">
        <v>46170</v>
      </c>
      <c r="F22" s="47">
        <v>0.37708333333333333</v>
      </c>
      <c r="G22" s="44">
        <v>6.3</v>
      </c>
      <c r="H22" s="43" t="s">
        <v>227</v>
      </c>
      <c r="I22" s="40" t="s">
        <v>1300</v>
      </c>
    </row>
    <row r="23" spans="1:9" x14ac:dyDescent="0.2">
      <c r="A23" s="40" t="s">
        <v>280</v>
      </c>
      <c r="B23" s="28">
        <v>205</v>
      </c>
      <c r="C23" s="28">
        <v>5692503</v>
      </c>
      <c r="D23" s="28"/>
      <c r="E23" s="41">
        <v>46171</v>
      </c>
      <c r="F23" s="47">
        <v>0.64569444444444446</v>
      </c>
      <c r="G23" s="44">
        <v>6.3</v>
      </c>
      <c r="H23" s="43" t="s">
        <v>227</v>
      </c>
      <c r="I23" s="40" t="s">
        <v>1300</v>
      </c>
    </row>
    <row r="24" spans="1:9" x14ac:dyDescent="0.2">
      <c r="A24" s="40" t="s">
        <v>280</v>
      </c>
      <c r="B24" s="28">
        <v>205</v>
      </c>
      <c r="C24" s="28" t="s">
        <v>493</v>
      </c>
      <c r="D24" s="28"/>
      <c r="E24" s="41">
        <v>46172</v>
      </c>
      <c r="F24" s="47">
        <v>0.88850694444444445</v>
      </c>
      <c r="G24" s="44">
        <v>6.3</v>
      </c>
      <c r="H24" s="43" t="s">
        <v>228</v>
      </c>
      <c r="I24" s="40" t="s">
        <v>1300</v>
      </c>
    </row>
    <row r="25" spans="1:9" x14ac:dyDescent="0.2">
      <c r="A25" s="40" t="s">
        <v>280</v>
      </c>
      <c r="B25" s="28">
        <v>205</v>
      </c>
      <c r="C25" s="28" t="s">
        <v>35</v>
      </c>
      <c r="D25" s="28" t="s">
        <v>38</v>
      </c>
      <c r="E25" s="41">
        <v>46172</v>
      </c>
      <c r="F25" s="47">
        <v>0.90973379629629625</v>
      </c>
      <c r="G25" s="42">
        <v>6.3</v>
      </c>
      <c r="H25" s="40" t="s">
        <v>227</v>
      </c>
      <c r="I25" s="40" t="s">
        <v>1300</v>
      </c>
    </row>
    <row r="26" spans="1:9" x14ac:dyDescent="0.2">
      <c r="A26" s="40" t="s">
        <v>280</v>
      </c>
      <c r="B26" s="28">
        <v>205</v>
      </c>
      <c r="C26" s="28">
        <v>5695612</v>
      </c>
      <c r="D26" s="28"/>
      <c r="E26" s="41">
        <v>46173</v>
      </c>
      <c r="F26" s="47">
        <v>0.47997685185185185</v>
      </c>
      <c r="G26" s="42">
        <v>6.3</v>
      </c>
      <c r="H26" s="40" t="s">
        <v>228</v>
      </c>
      <c r="I26" s="40" t="s">
        <v>1300</v>
      </c>
    </row>
    <row r="27" spans="1:9" x14ac:dyDescent="0.2">
      <c r="A27" s="40" t="s">
        <v>280</v>
      </c>
      <c r="B27" s="28">
        <v>205</v>
      </c>
      <c r="C27" s="28" t="s">
        <v>35</v>
      </c>
      <c r="D27" s="28" t="s">
        <v>38</v>
      </c>
      <c r="E27" s="41">
        <v>46173</v>
      </c>
      <c r="F27" s="47">
        <v>0.79195601851851849</v>
      </c>
      <c r="G27" s="42">
        <v>6.3</v>
      </c>
      <c r="H27" s="40" t="s">
        <v>227</v>
      </c>
      <c r="I27" s="40" t="s">
        <v>1300</v>
      </c>
    </row>
    <row r="28" spans="1:9" x14ac:dyDescent="0.2">
      <c r="A28" s="40" t="s">
        <v>348</v>
      </c>
      <c r="B28" s="28">
        <v>207</v>
      </c>
      <c r="C28" s="28">
        <v>5690337</v>
      </c>
      <c r="D28" s="28" t="s">
        <v>37</v>
      </c>
      <c r="E28" s="41">
        <v>46169</v>
      </c>
      <c r="F28" s="47">
        <v>0.80983796296296295</v>
      </c>
      <c r="G28" s="42">
        <v>6.3</v>
      </c>
      <c r="H28" s="40" t="s">
        <v>228</v>
      </c>
      <c r="I28" s="40" t="s">
        <v>1300</v>
      </c>
    </row>
    <row r="29" spans="1:9" x14ac:dyDescent="0.2">
      <c r="A29" s="40" t="s">
        <v>348</v>
      </c>
      <c r="B29" s="28">
        <v>207</v>
      </c>
      <c r="C29" s="28">
        <v>5690308</v>
      </c>
      <c r="D29" s="28"/>
      <c r="E29" s="41">
        <v>46169</v>
      </c>
      <c r="F29" s="47">
        <v>0.91180555555555554</v>
      </c>
      <c r="G29" s="44">
        <v>6.3</v>
      </c>
      <c r="H29" s="43" t="s">
        <v>230</v>
      </c>
      <c r="I29" s="40" t="s">
        <v>1300</v>
      </c>
    </row>
    <row r="30" spans="1:9" x14ac:dyDescent="0.2">
      <c r="A30" s="40" t="s">
        <v>348</v>
      </c>
      <c r="B30" s="28">
        <v>207</v>
      </c>
      <c r="C30" s="28">
        <v>5690308</v>
      </c>
      <c r="D30" s="28"/>
      <c r="E30" s="41">
        <v>46169</v>
      </c>
      <c r="F30" s="47">
        <v>0.91759259259259263</v>
      </c>
      <c r="G30" s="44">
        <v>6.3</v>
      </c>
      <c r="H30" s="43" t="s">
        <v>227</v>
      </c>
      <c r="I30" s="40" t="s">
        <v>1300</v>
      </c>
    </row>
    <row r="31" spans="1:9" x14ac:dyDescent="0.2">
      <c r="A31" s="40" t="s">
        <v>348</v>
      </c>
      <c r="B31" s="28">
        <v>207</v>
      </c>
      <c r="C31" s="28" t="s">
        <v>494</v>
      </c>
      <c r="D31" s="28"/>
      <c r="E31" s="41">
        <v>46170</v>
      </c>
      <c r="F31" s="47">
        <v>0.4433449074074074</v>
      </c>
      <c r="G31" s="44">
        <v>6.3</v>
      </c>
      <c r="H31" s="43" t="s">
        <v>228</v>
      </c>
      <c r="I31" s="40" t="s">
        <v>1300</v>
      </c>
    </row>
    <row r="32" spans="1:9" x14ac:dyDescent="0.2">
      <c r="A32" s="40" t="s">
        <v>348</v>
      </c>
      <c r="B32" s="28">
        <v>207</v>
      </c>
      <c r="C32" s="28" t="s">
        <v>494</v>
      </c>
      <c r="D32" s="28"/>
      <c r="E32" s="41">
        <v>46170</v>
      </c>
      <c r="F32" s="47">
        <v>0.45123842592592595</v>
      </c>
      <c r="G32" s="44">
        <v>6.3</v>
      </c>
      <c r="H32" s="43" t="s">
        <v>229</v>
      </c>
      <c r="I32" s="40" t="s">
        <v>1300</v>
      </c>
    </row>
    <row r="33" spans="1:9" x14ac:dyDescent="0.2">
      <c r="A33" s="40" t="s">
        <v>348</v>
      </c>
      <c r="B33" s="28">
        <v>207</v>
      </c>
      <c r="C33" s="28" t="s">
        <v>35</v>
      </c>
      <c r="D33" s="28" t="s">
        <v>38</v>
      </c>
      <c r="E33" s="41">
        <v>46170</v>
      </c>
      <c r="F33" s="47">
        <v>0.48221064814814812</v>
      </c>
      <c r="G33" s="44">
        <v>6.3</v>
      </c>
      <c r="H33" s="43" t="s">
        <v>230</v>
      </c>
      <c r="I33" s="40" t="s">
        <v>1300</v>
      </c>
    </row>
    <row r="34" spans="1:9" x14ac:dyDescent="0.2">
      <c r="A34" s="40" t="s">
        <v>348</v>
      </c>
      <c r="B34" s="28">
        <v>207</v>
      </c>
      <c r="C34" s="28" t="s">
        <v>35</v>
      </c>
      <c r="D34" s="28" t="s">
        <v>38</v>
      </c>
      <c r="E34" s="41">
        <v>46170</v>
      </c>
      <c r="F34" s="47">
        <v>0.48851851851851852</v>
      </c>
      <c r="G34" s="44">
        <v>6.3</v>
      </c>
      <c r="H34" s="43" t="s">
        <v>227</v>
      </c>
      <c r="I34" s="40" t="s">
        <v>1300</v>
      </c>
    </row>
    <row r="35" spans="1:9" x14ac:dyDescent="0.2">
      <c r="A35" s="40" t="s">
        <v>348</v>
      </c>
      <c r="B35" s="28">
        <v>207</v>
      </c>
      <c r="C35" s="28">
        <v>5689179</v>
      </c>
      <c r="D35" s="28"/>
      <c r="E35" s="45">
        <v>46170</v>
      </c>
      <c r="F35" s="48">
        <v>0.81809027777777776</v>
      </c>
      <c r="G35" s="44">
        <v>6.3</v>
      </c>
      <c r="H35" s="43" t="s">
        <v>228</v>
      </c>
      <c r="I35" s="40" t="s">
        <v>1300</v>
      </c>
    </row>
    <row r="36" spans="1:9" x14ac:dyDescent="0.2">
      <c r="A36" s="40" t="s">
        <v>348</v>
      </c>
      <c r="B36" s="28">
        <v>207</v>
      </c>
      <c r="C36" s="28">
        <v>5689179</v>
      </c>
      <c r="D36" s="28"/>
      <c r="E36" s="41">
        <v>46170</v>
      </c>
      <c r="F36" s="47">
        <v>0.82789351851851856</v>
      </c>
      <c r="G36" s="44">
        <v>6.3</v>
      </c>
      <c r="H36" s="43" t="s">
        <v>229</v>
      </c>
      <c r="I36" s="40" t="s">
        <v>1300</v>
      </c>
    </row>
    <row r="37" spans="1:9" x14ac:dyDescent="0.2">
      <c r="A37" s="40" t="s">
        <v>348</v>
      </c>
      <c r="B37" s="28">
        <v>207</v>
      </c>
      <c r="C37" s="28" t="s">
        <v>35</v>
      </c>
      <c r="D37" s="28" t="s">
        <v>38</v>
      </c>
      <c r="E37" s="41">
        <v>46170</v>
      </c>
      <c r="F37" s="47">
        <v>0.86083333333333334</v>
      </c>
      <c r="G37" s="42">
        <v>6.3</v>
      </c>
      <c r="H37" s="40" t="s">
        <v>230</v>
      </c>
      <c r="I37" s="40" t="s">
        <v>1300</v>
      </c>
    </row>
    <row r="38" spans="1:9" x14ac:dyDescent="0.2">
      <c r="A38" s="40" t="s">
        <v>348</v>
      </c>
      <c r="B38" s="28">
        <v>207</v>
      </c>
      <c r="C38" s="28" t="s">
        <v>35</v>
      </c>
      <c r="D38" s="28" t="s">
        <v>38</v>
      </c>
      <c r="E38" s="41">
        <v>46170</v>
      </c>
      <c r="F38" s="47">
        <v>0.86813657407407407</v>
      </c>
      <c r="G38" s="42">
        <v>6.3</v>
      </c>
      <c r="H38" s="40" t="s">
        <v>227</v>
      </c>
      <c r="I38" s="40" t="s">
        <v>1300</v>
      </c>
    </row>
    <row r="39" spans="1:9" x14ac:dyDescent="0.2">
      <c r="A39" s="40" t="s">
        <v>348</v>
      </c>
      <c r="B39" s="28">
        <v>207</v>
      </c>
      <c r="C39" s="28">
        <v>5692755</v>
      </c>
      <c r="D39" s="28" t="s">
        <v>37</v>
      </c>
      <c r="E39" s="41">
        <v>46171</v>
      </c>
      <c r="F39" s="47">
        <v>0.38686342592592593</v>
      </c>
      <c r="G39" s="42">
        <v>6.3</v>
      </c>
      <c r="H39" s="40" t="s">
        <v>228</v>
      </c>
      <c r="I39" s="40" t="s">
        <v>1300</v>
      </c>
    </row>
    <row r="40" spans="1:9" x14ac:dyDescent="0.2">
      <c r="A40" s="40" t="s">
        <v>348</v>
      </c>
      <c r="B40" s="28">
        <v>207</v>
      </c>
      <c r="C40" s="28" t="s">
        <v>35</v>
      </c>
      <c r="D40" s="28" t="s">
        <v>38</v>
      </c>
      <c r="E40" s="41">
        <v>46171</v>
      </c>
      <c r="F40" s="47">
        <v>0.42929398148148146</v>
      </c>
      <c r="G40" s="42">
        <v>6.3</v>
      </c>
      <c r="H40" s="40" t="s">
        <v>230</v>
      </c>
      <c r="I40" s="40" t="s">
        <v>1300</v>
      </c>
    </row>
    <row r="41" spans="1:9" x14ac:dyDescent="0.2">
      <c r="A41" s="40" t="s">
        <v>348</v>
      </c>
      <c r="B41" s="28">
        <v>207</v>
      </c>
      <c r="C41" s="28" t="s">
        <v>35</v>
      </c>
      <c r="D41" s="28" t="s">
        <v>38</v>
      </c>
      <c r="E41" s="45">
        <v>46171</v>
      </c>
      <c r="F41" s="48">
        <v>0.43895833333333334</v>
      </c>
      <c r="G41" s="42">
        <v>6.3</v>
      </c>
      <c r="H41" s="40" t="s">
        <v>227</v>
      </c>
      <c r="I41" s="40" t="s">
        <v>1300</v>
      </c>
    </row>
    <row r="42" spans="1:9" x14ac:dyDescent="0.2">
      <c r="A42" s="40" t="s">
        <v>348</v>
      </c>
      <c r="B42" s="28">
        <v>207</v>
      </c>
      <c r="C42" s="28" t="s">
        <v>495</v>
      </c>
      <c r="D42" s="28"/>
      <c r="E42" s="41">
        <v>46171</v>
      </c>
      <c r="F42" s="47">
        <v>0.51856481481481487</v>
      </c>
      <c r="G42" s="42">
        <v>6.3</v>
      </c>
      <c r="H42" s="40" t="s">
        <v>228</v>
      </c>
      <c r="I42" s="40" t="s">
        <v>1300</v>
      </c>
    </row>
    <row r="43" spans="1:9" x14ac:dyDescent="0.2">
      <c r="A43" s="40" t="s">
        <v>348</v>
      </c>
      <c r="B43" s="28">
        <v>207</v>
      </c>
      <c r="C43" s="28" t="s">
        <v>495</v>
      </c>
      <c r="D43" s="28"/>
      <c r="E43" s="41">
        <v>46171</v>
      </c>
      <c r="F43" s="47">
        <v>0.53012731481481479</v>
      </c>
      <c r="G43" s="44">
        <v>6.3</v>
      </c>
      <c r="H43" s="43" t="s">
        <v>232</v>
      </c>
      <c r="I43" s="40" t="s">
        <v>1300</v>
      </c>
    </row>
    <row r="44" spans="1:9" x14ac:dyDescent="0.2">
      <c r="A44" s="40" t="s">
        <v>348</v>
      </c>
      <c r="B44" s="28">
        <v>207</v>
      </c>
      <c r="C44" s="28" t="s">
        <v>35</v>
      </c>
      <c r="D44" s="28" t="s">
        <v>38</v>
      </c>
      <c r="E44" s="41">
        <v>46171</v>
      </c>
      <c r="F44" s="47">
        <v>0.57943287037037039</v>
      </c>
      <c r="G44" s="44">
        <v>6.3</v>
      </c>
      <c r="H44" s="43" t="s">
        <v>227</v>
      </c>
      <c r="I44" s="40" t="s">
        <v>1300</v>
      </c>
    </row>
    <row r="45" spans="1:9" x14ac:dyDescent="0.2">
      <c r="A45" s="40" t="s">
        <v>348</v>
      </c>
      <c r="B45" s="28">
        <v>207</v>
      </c>
      <c r="C45" s="28" t="s">
        <v>496</v>
      </c>
      <c r="D45" s="28"/>
      <c r="E45" s="45">
        <v>46172</v>
      </c>
      <c r="F45" s="48">
        <v>0.93016203703703704</v>
      </c>
      <c r="G45" s="44">
        <v>6.3</v>
      </c>
      <c r="H45" s="43" t="s">
        <v>228</v>
      </c>
      <c r="I45" s="40" t="s">
        <v>1300</v>
      </c>
    </row>
    <row r="46" spans="1:9" x14ac:dyDescent="0.2">
      <c r="A46" s="40" t="s">
        <v>348</v>
      </c>
      <c r="B46" s="28">
        <v>207</v>
      </c>
      <c r="C46" s="28" t="s">
        <v>496</v>
      </c>
      <c r="D46" s="28"/>
      <c r="E46" s="41">
        <v>46172</v>
      </c>
      <c r="F46" s="47">
        <v>0.93837962962962962</v>
      </c>
      <c r="G46" s="44">
        <v>6.3</v>
      </c>
      <c r="H46" s="43" t="s">
        <v>229</v>
      </c>
      <c r="I46" s="40" t="s">
        <v>1300</v>
      </c>
    </row>
    <row r="47" spans="1:9" x14ac:dyDescent="0.2">
      <c r="A47" s="40" t="s">
        <v>348</v>
      </c>
      <c r="B47" s="28">
        <v>207</v>
      </c>
      <c r="C47" s="28" t="s">
        <v>35</v>
      </c>
      <c r="D47" s="28" t="s">
        <v>38</v>
      </c>
      <c r="E47" s="41">
        <v>46172</v>
      </c>
      <c r="F47" s="47">
        <v>0.9579050925925926</v>
      </c>
      <c r="G47" s="44">
        <v>6.3</v>
      </c>
      <c r="H47" s="43" t="s">
        <v>230</v>
      </c>
      <c r="I47" s="40" t="s">
        <v>1300</v>
      </c>
    </row>
    <row r="48" spans="1:9" x14ac:dyDescent="0.2">
      <c r="A48" s="40" t="s">
        <v>348</v>
      </c>
      <c r="B48" s="28">
        <v>207</v>
      </c>
      <c r="C48" s="28" t="s">
        <v>35</v>
      </c>
      <c r="D48" s="28" t="s">
        <v>38</v>
      </c>
      <c r="E48" s="41">
        <v>46172</v>
      </c>
      <c r="F48" s="47">
        <v>0.96380787037037041</v>
      </c>
      <c r="G48" s="44">
        <v>6.3</v>
      </c>
      <c r="H48" s="43" t="s">
        <v>227</v>
      </c>
      <c r="I48" s="40" t="s">
        <v>1300</v>
      </c>
    </row>
    <row r="49" spans="1:9" x14ac:dyDescent="0.2">
      <c r="A49" s="40" t="s">
        <v>348</v>
      </c>
      <c r="B49" s="28">
        <v>207</v>
      </c>
      <c r="C49" s="28">
        <v>5695904</v>
      </c>
      <c r="D49" s="28"/>
      <c r="E49" s="41">
        <v>46173</v>
      </c>
      <c r="F49" s="47">
        <v>0.65972222222222221</v>
      </c>
      <c r="G49" s="44">
        <v>6.3</v>
      </c>
      <c r="H49" s="43" t="s">
        <v>228</v>
      </c>
      <c r="I49" s="40" t="s">
        <v>1300</v>
      </c>
    </row>
    <row r="50" spans="1:9" x14ac:dyDescent="0.2">
      <c r="A50" s="40" t="s">
        <v>348</v>
      </c>
      <c r="B50" s="28">
        <v>207</v>
      </c>
      <c r="C50" s="28" t="s">
        <v>35</v>
      </c>
      <c r="D50" s="28" t="s">
        <v>38</v>
      </c>
      <c r="E50" s="41">
        <v>46173</v>
      </c>
      <c r="F50" s="47">
        <v>0.69466435185185182</v>
      </c>
      <c r="G50" s="44">
        <v>6.3</v>
      </c>
      <c r="H50" s="43" t="s">
        <v>230</v>
      </c>
      <c r="I50" s="40" t="s">
        <v>1300</v>
      </c>
    </row>
    <row r="51" spans="1:9" x14ac:dyDescent="0.2">
      <c r="A51" s="40" t="s">
        <v>348</v>
      </c>
      <c r="B51" s="28">
        <v>207</v>
      </c>
      <c r="C51" s="28" t="s">
        <v>35</v>
      </c>
      <c r="D51" s="28" t="s">
        <v>38</v>
      </c>
      <c r="E51" s="41">
        <v>46173</v>
      </c>
      <c r="F51" s="47">
        <v>0.69991898148148146</v>
      </c>
      <c r="G51" s="44">
        <v>6.3</v>
      </c>
      <c r="H51" s="43" t="s">
        <v>227</v>
      </c>
      <c r="I51" s="40" t="s">
        <v>1300</v>
      </c>
    </row>
    <row r="52" spans="1:9" x14ac:dyDescent="0.2">
      <c r="A52" s="40" t="s">
        <v>51</v>
      </c>
      <c r="B52" s="28">
        <v>210</v>
      </c>
      <c r="C52" s="28">
        <v>5689162</v>
      </c>
      <c r="D52" s="28"/>
      <c r="E52" s="41">
        <v>46169</v>
      </c>
      <c r="F52" s="47">
        <v>0.42701388888888892</v>
      </c>
      <c r="G52" s="44">
        <v>6.3</v>
      </c>
      <c r="H52" s="43" t="s">
        <v>228</v>
      </c>
      <c r="I52" s="40" t="s">
        <v>1300</v>
      </c>
    </row>
    <row r="53" spans="1:9" x14ac:dyDescent="0.2">
      <c r="A53" s="40" t="s">
        <v>51</v>
      </c>
      <c r="B53" s="28">
        <v>210</v>
      </c>
      <c r="C53" s="28">
        <v>5689162</v>
      </c>
      <c r="D53" s="28"/>
      <c r="E53" s="41">
        <v>46169</v>
      </c>
      <c r="F53" s="47">
        <v>0.4403125</v>
      </c>
      <c r="G53" s="44">
        <v>6.3</v>
      </c>
      <c r="H53" s="43" t="s">
        <v>229</v>
      </c>
      <c r="I53" s="40" t="s">
        <v>1300</v>
      </c>
    </row>
    <row r="54" spans="1:9" x14ac:dyDescent="0.2">
      <c r="A54" s="40" t="s">
        <v>51</v>
      </c>
      <c r="B54" s="28">
        <v>210</v>
      </c>
      <c r="C54" s="28" t="s">
        <v>497</v>
      </c>
      <c r="D54" s="28"/>
      <c r="E54" s="41">
        <v>46169</v>
      </c>
      <c r="F54" s="47">
        <v>0.80469907407407404</v>
      </c>
      <c r="G54" s="44">
        <v>6.3</v>
      </c>
      <c r="H54" s="43" t="s">
        <v>228</v>
      </c>
      <c r="I54" s="40" t="s">
        <v>1300</v>
      </c>
    </row>
    <row r="55" spans="1:9" x14ac:dyDescent="0.2">
      <c r="A55" s="40" t="s">
        <v>51</v>
      </c>
      <c r="B55" s="28">
        <v>210</v>
      </c>
      <c r="C55" s="28">
        <v>5662833</v>
      </c>
      <c r="D55" s="28"/>
      <c r="E55" s="41">
        <v>46171</v>
      </c>
      <c r="F55" s="47">
        <v>0.55068287037037034</v>
      </c>
      <c r="G55" s="42">
        <v>6.3</v>
      </c>
      <c r="H55" s="40" t="s">
        <v>228</v>
      </c>
      <c r="I55" s="40" t="s">
        <v>1300</v>
      </c>
    </row>
    <row r="56" spans="1:9" x14ac:dyDescent="0.2">
      <c r="A56" s="40" t="s">
        <v>51</v>
      </c>
      <c r="B56" s="28">
        <v>210</v>
      </c>
      <c r="C56" s="28">
        <v>5662833</v>
      </c>
      <c r="D56" s="28"/>
      <c r="E56" s="41">
        <v>46171</v>
      </c>
      <c r="F56" s="47">
        <v>0.56234953703703705</v>
      </c>
      <c r="G56" s="42">
        <v>6.3</v>
      </c>
      <c r="H56" s="40" t="s">
        <v>229</v>
      </c>
      <c r="I56" s="40" t="s">
        <v>1300</v>
      </c>
    </row>
    <row r="57" spans="1:9" x14ac:dyDescent="0.2">
      <c r="A57" s="40" t="s">
        <v>51</v>
      </c>
      <c r="B57" s="28">
        <v>210</v>
      </c>
      <c r="C57" s="28">
        <v>5694047</v>
      </c>
      <c r="D57" s="28"/>
      <c r="E57" s="45">
        <v>46171</v>
      </c>
      <c r="F57" s="48">
        <v>0.8833333333333333</v>
      </c>
      <c r="G57" s="42">
        <v>6.3</v>
      </c>
      <c r="H57" s="40" t="s">
        <v>228</v>
      </c>
      <c r="I57" s="40" t="s">
        <v>1300</v>
      </c>
    </row>
    <row r="58" spans="1:9" x14ac:dyDescent="0.2">
      <c r="A58" s="40" t="s">
        <v>51</v>
      </c>
      <c r="B58" s="28">
        <v>210</v>
      </c>
      <c r="C58" s="28">
        <v>5694047</v>
      </c>
      <c r="D58" s="28"/>
      <c r="E58" s="41">
        <v>46171</v>
      </c>
      <c r="F58" s="47">
        <v>0.89150462962962962</v>
      </c>
      <c r="G58" s="42">
        <v>6.3</v>
      </c>
      <c r="H58" s="40" t="s">
        <v>232</v>
      </c>
      <c r="I58" s="40" t="s">
        <v>1300</v>
      </c>
    </row>
    <row r="59" spans="1:9" x14ac:dyDescent="0.2">
      <c r="A59" s="40" t="s">
        <v>51</v>
      </c>
      <c r="B59" s="28">
        <v>210</v>
      </c>
      <c r="C59" s="28" t="s">
        <v>35</v>
      </c>
      <c r="D59" s="28" t="s">
        <v>38</v>
      </c>
      <c r="E59" s="41">
        <v>46172</v>
      </c>
      <c r="F59" s="47">
        <v>0.98668981481481477</v>
      </c>
      <c r="G59" s="44">
        <v>6.3</v>
      </c>
      <c r="H59" s="43" t="s">
        <v>230</v>
      </c>
      <c r="I59" s="40" t="s">
        <v>1300</v>
      </c>
    </row>
    <row r="60" spans="1:9" x14ac:dyDescent="0.2">
      <c r="A60" s="40" t="s">
        <v>51</v>
      </c>
      <c r="B60" s="28">
        <v>210</v>
      </c>
      <c r="C60" s="28" t="s">
        <v>35</v>
      </c>
      <c r="D60" s="28" t="s">
        <v>38</v>
      </c>
      <c r="E60" s="45">
        <v>46172</v>
      </c>
      <c r="F60" s="48">
        <v>0.99343749999999997</v>
      </c>
      <c r="G60" s="44">
        <v>6.3</v>
      </c>
      <c r="H60" s="43" t="s">
        <v>227</v>
      </c>
      <c r="I60" s="40" t="s">
        <v>1300</v>
      </c>
    </row>
    <row r="61" spans="1:9" x14ac:dyDescent="0.2">
      <c r="A61" s="40" t="s">
        <v>53</v>
      </c>
      <c r="B61" s="28">
        <v>213</v>
      </c>
      <c r="C61" s="28">
        <v>5691043</v>
      </c>
      <c r="D61" s="28"/>
      <c r="E61" s="41">
        <v>46170</v>
      </c>
      <c r="F61" s="47">
        <v>0.37590277777777775</v>
      </c>
      <c r="G61" s="44">
        <v>6.3</v>
      </c>
      <c r="H61" s="43" t="s">
        <v>228</v>
      </c>
      <c r="I61" s="40" t="s">
        <v>1300</v>
      </c>
    </row>
    <row r="62" spans="1:9" x14ac:dyDescent="0.2">
      <c r="A62" s="40" t="s">
        <v>53</v>
      </c>
      <c r="B62" s="28">
        <v>213</v>
      </c>
      <c r="C62" s="28">
        <v>5691043</v>
      </c>
      <c r="D62" s="28"/>
      <c r="E62" s="41">
        <v>46170</v>
      </c>
      <c r="F62" s="47">
        <v>0.39417824074074076</v>
      </c>
      <c r="G62" s="44">
        <v>6.3</v>
      </c>
      <c r="H62" s="43" t="s">
        <v>229</v>
      </c>
      <c r="I62" s="40" t="s">
        <v>1300</v>
      </c>
    </row>
    <row r="63" spans="1:9" x14ac:dyDescent="0.2">
      <c r="A63" s="40" t="s">
        <v>53</v>
      </c>
      <c r="B63" s="28">
        <v>213</v>
      </c>
      <c r="C63" s="28" t="s">
        <v>498</v>
      </c>
      <c r="D63" s="28"/>
      <c r="E63" s="45">
        <v>46171</v>
      </c>
      <c r="F63" s="48">
        <v>0.20170138888888889</v>
      </c>
      <c r="G63" s="44">
        <v>6.3</v>
      </c>
      <c r="H63" s="43" t="s">
        <v>228</v>
      </c>
      <c r="I63" s="40" t="s">
        <v>1300</v>
      </c>
    </row>
    <row r="64" spans="1:9" x14ac:dyDescent="0.2">
      <c r="A64" s="40" t="s">
        <v>53</v>
      </c>
      <c r="B64" s="28">
        <v>213</v>
      </c>
      <c r="C64" s="28" t="s">
        <v>498</v>
      </c>
      <c r="D64" s="28"/>
      <c r="E64" s="45">
        <v>46171</v>
      </c>
      <c r="F64" s="48">
        <v>0.20848379629629629</v>
      </c>
      <c r="G64" s="44">
        <v>6.3</v>
      </c>
      <c r="H64" s="43" t="s">
        <v>229</v>
      </c>
      <c r="I64" s="40" t="s">
        <v>1300</v>
      </c>
    </row>
    <row r="65" spans="1:9" x14ac:dyDescent="0.2">
      <c r="A65" s="40" t="s">
        <v>53</v>
      </c>
      <c r="B65" s="28">
        <v>213</v>
      </c>
      <c r="C65" s="28" t="s">
        <v>499</v>
      </c>
      <c r="D65" s="28"/>
      <c r="E65" s="41">
        <v>46171</v>
      </c>
      <c r="F65" s="47">
        <v>0.89263888888888887</v>
      </c>
      <c r="G65" s="44">
        <v>6.3</v>
      </c>
      <c r="H65" s="43" t="s">
        <v>228</v>
      </c>
      <c r="I65" s="40" t="s">
        <v>1300</v>
      </c>
    </row>
    <row r="66" spans="1:9" x14ac:dyDescent="0.2">
      <c r="A66" s="40" t="s">
        <v>53</v>
      </c>
      <c r="B66" s="28">
        <v>213</v>
      </c>
      <c r="C66" s="28" t="s">
        <v>499</v>
      </c>
      <c r="D66" s="28"/>
      <c r="E66" s="41">
        <v>46171</v>
      </c>
      <c r="F66" s="47">
        <v>0.89990740740740738</v>
      </c>
      <c r="G66" s="44">
        <v>6.3</v>
      </c>
      <c r="H66" s="43" t="s">
        <v>229</v>
      </c>
      <c r="I66" s="40" t="s">
        <v>1300</v>
      </c>
    </row>
    <row r="67" spans="1:9" x14ac:dyDescent="0.2">
      <c r="A67" s="40" t="s">
        <v>53</v>
      </c>
      <c r="B67" s="28">
        <v>213</v>
      </c>
      <c r="C67" s="28" t="s">
        <v>35</v>
      </c>
      <c r="D67" s="28" t="s">
        <v>38</v>
      </c>
      <c r="E67" s="41">
        <v>46171</v>
      </c>
      <c r="F67" s="47">
        <v>0.90993055555555558</v>
      </c>
      <c r="G67" s="44">
        <v>6.3</v>
      </c>
      <c r="H67" s="43" t="s">
        <v>230</v>
      </c>
      <c r="I67" s="40" t="s">
        <v>1300</v>
      </c>
    </row>
    <row r="68" spans="1:9" x14ac:dyDescent="0.2">
      <c r="A68" s="40" t="s">
        <v>53</v>
      </c>
      <c r="B68" s="28">
        <v>213</v>
      </c>
      <c r="C68" s="28" t="s">
        <v>35</v>
      </c>
      <c r="D68" s="28" t="s">
        <v>38</v>
      </c>
      <c r="E68" s="41">
        <v>46171</v>
      </c>
      <c r="F68" s="47">
        <v>0.92331018518518515</v>
      </c>
      <c r="G68" s="44">
        <v>6.3</v>
      </c>
      <c r="H68" s="43" t="s">
        <v>227</v>
      </c>
      <c r="I68" s="40" t="s">
        <v>1300</v>
      </c>
    </row>
    <row r="69" spans="1:9" x14ac:dyDescent="0.2">
      <c r="A69" s="40" t="s">
        <v>53</v>
      </c>
      <c r="B69" s="28">
        <v>213</v>
      </c>
      <c r="C69" s="28" t="s">
        <v>35</v>
      </c>
      <c r="D69" s="28" t="s">
        <v>38</v>
      </c>
      <c r="E69" s="45">
        <v>46172</v>
      </c>
      <c r="F69" s="48">
        <v>2.0752314814814814E-2</v>
      </c>
      <c r="G69" s="44">
        <v>6.3</v>
      </c>
      <c r="H69" s="43" t="s">
        <v>227</v>
      </c>
      <c r="I69" s="40" t="s">
        <v>1300</v>
      </c>
    </row>
    <row r="70" spans="1:9" x14ac:dyDescent="0.2">
      <c r="A70" s="40" t="s">
        <v>53</v>
      </c>
      <c r="B70" s="28">
        <v>213</v>
      </c>
      <c r="C70" s="28">
        <v>5694304</v>
      </c>
      <c r="D70" s="28"/>
      <c r="E70" s="41">
        <v>46172</v>
      </c>
      <c r="F70" s="47">
        <v>5.1724537037037034E-2</v>
      </c>
      <c r="G70" s="44">
        <v>6.3</v>
      </c>
      <c r="H70" s="43" t="s">
        <v>228</v>
      </c>
      <c r="I70" s="40" t="s">
        <v>1300</v>
      </c>
    </row>
    <row r="71" spans="1:9" x14ac:dyDescent="0.2">
      <c r="A71" s="40" t="s">
        <v>53</v>
      </c>
      <c r="B71" s="28">
        <v>213</v>
      </c>
      <c r="C71" s="28">
        <v>5694304</v>
      </c>
      <c r="D71" s="28"/>
      <c r="E71" s="41">
        <v>46172</v>
      </c>
      <c r="F71" s="47">
        <v>5.8368055555555555E-2</v>
      </c>
      <c r="G71" s="44">
        <v>6.3</v>
      </c>
      <c r="H71" s="43" t="s">
        <v>229</v>
      </c>
      <c r="I71" s="40" t="s">
        <v>1300</v>
      </c>
    </row>
    <row r="72" spans="1:9" x14ac:dyDescent="0.2">
      <c r="A72" s="40" t="s">
        <v>312</v>
      </c>
      <c r="B72" s="28">
        <v>217</v>
      </c>
      <c r="C72" s="28">
        <v>10741515</v>
      </c>
      <c r="D72" s="28"/>
      <c r="E72" s="41">
        <v>46167</v>
      </c>
      <c r="F72" s="47">
        <v>4.1863425925925929E-2</v>
      </c>
      <c r="G72" s="44">
        <v>6.3</v>
      </c>
      <c r="H72" s="43" t="s">
        <v>228</v>
      </c>
      <c r="I72" s="40" t="s">
        <v>1300</v>
      </c>
    </row>
    <row r="73" spans="1:9" x14ac:dyDescent="0.2">
      <c r="A73" s="40" t="s">
        <v>312</v>
      </c>
      <c r="B73" s="28">
        <v>217</v>
      </c>
      <c r="C73" s="28">
        <v>10741515</v>
      </c>
      <c r="D73" s="28"/>
      <c r="E73" s="41">
        <v>46167</v>
      </c>
      <c r="F73" s="47">
        <v>4.8425925925925928E-2</v>
      </c>
      <c r="G73" s="44">
        <v>6.3</v>
      </c>
      <c r="H73" s="43" t="s">
        <v>229</v>
      </c>
      <c r="I73" s="40" t="s">
        <v>1300</v>
      </c>
    </row>
    <row r="74" spans="1:9" x14ac:dyDescent="0.2">
      <c r="A74" s="40" t="s">
        <v>312</v>
      </c>
      <c r="B74" s="28">
        <v>217</v>
      </c>
      <c r="C74" s="28">
        <v>5685071</v>
      </c>
      <c r="D74" s="28" t="s">
        <v>37</v>
      </c>
      <c r="E74" s="41">
        <v>46167</v>
      </c>
      <c r="F74" s="47">
        <v>0.32995370370370369</v>
      </c>
      <c r="G74" s="44">
        <v>6.3</v>
      </c>
      <c r="H74" s="43" t="s">
        <v>227</v>
      </c>
      <c r="I74" s="40" t="s">
        <v>1300</v>
      </c>
    </row>
    <row r="75" spans="1:9" x14ac:dyDescent="0.2">
      <c r="A75" s="40" t="s">
        <v>312</v>
      </c>
      <c r="B75" s="28">
        <v>217</v>
      </c>
      <c r="C75" s="28">
        <v>5690901</v>
      </c>
      <c r="D75" s="28"/>
      <c r="E75" s="41">
        <v>46170</v>
      </c>
      <c r="F75" s="47">
        <v>0.26475694444444442</v>
      </c>
      <c r="G75" s="44">
        <v>6.3</v>
      </c>
      <c r="H75" s="43" t="s">
        <v>228</v>
      </c>
      <c r="I75" s="40" t="s">
        <v>1300</v>
      </c>
    </row>
    <row r="76" spans="1:9" x14ac:dyDescent="0.2">
      <c r="A76" s="40" t="s">
        <v>312</v>
      </c>
      <c r="B76" s="28">
        <v>217</v>
      </c>
      <c r="C76" s="28">
        <v>5690901</v>
      </c>
      <c r="D76" s="28"/>
      <c r="E76" s="41">
        <v>46170</v>
      </c>
      <c r="F76" s="47">
        <v>0.27781250000000002</v>
      </c>
      <c r="G76" s="44">
        <v>6.3</v>
      </c>
      <c r="H76" s="43" t="s">
        <v>229</v>
      </c>
      <c r="I76" s="40" t="s">
        <v>1300</v>
      </c>
    </row>
    <row r="77" spans="1:9" x14ac:dyDescent="0.2">
      <c r="A77" s="40" t="s">
        <v>312</v>
      </c>
      <c r="B77" s="28">
        <v>217</v>
      </c>
      <c r="C77" s="28">
        <v>5685883</v>
      </c>
      <c r="D77" s="28"/>
      <c r="E77" s="41">
        <v>46170</v>
      </c>
      <c r="F77" s="47">
        <v>0.34967592592592595</v>
      </c>
      <c r="G77" s="44">
        <v>6.3</v>
      </c>
      <c r="H77" s="43" t="s">
        <v>230</v>
      </c>
      <c r="I77" s="40" t="s">
        <v>1300</v>
      </c>
    </row>
    <row r="78" spans="1:9" x14ac:dyDescent="0.2">
      <c r="A78" s="40" t="s">
        <v>312</v>
      </c>
      <c r="B78" s="28">
        <v>217</v>
      </c>
      <c r="C78" s="28">
        <v>5685883</v>
      </c>
      <c r="D78" s="28"/>
      <c r="E78" s="41">
        <v>46170</v>
      </c>
      <c r="F78" s="47">
        <v>0.35778935185185184</v>
      </c>
      <c r="G78" s="44">
        <v>6.3</v>
      </c>
      <c r="H78" s="43" t="s">
        <v>227</v>
      </c>
      <c r="I78" s="40" t="s">
        <v>1300</v>
      </c>
    </row>
    <row r="79" spans="1:9" x14ac:dyDescent="0.2">
      <c r="A79" s="40" t="s">
        <v>312</v>
      </c>
      <c r="B79" s="28">
        <v>217</v>
      </c>
      <c r="C79" s="28" t="s">
        <v>500</v>
      </c>
      <c r="D79" s="28"/>
      <c r="E79" s="41">
        <v>46171</v>
      </c>
      <c r="F79" s="47">
        <v>4.3750000000000004E-3</v>
      </c>
      <c r="G79" s="44">
        <v>6.3</v>
      </c>
      <c r="H79" s="43" t="s">
        <v>228</v>
      </c>
      <c r="I79" s="40" t="s">
        <v>1300</v>
      </c>
    </row>
    <row r="80" spans="1:9" x14ac:dyDescent="0.2">
      <c r="A80" s="40" t="s">
        <v>312</v>
      </c>
      <c r="B80" s="28">
        <v>217</v>
      </c>
      <c r="C80" s="28" t="s">
        <v>500</v>
      </c>
      <c r="D80" s="28"/>
      <c r="E80" s="41">
        <v>46171</v>
      </c>
      <c r="F80" s="47">
        <v>1.3935185185185186E-2</v>
      </c>
      <c r="G80" s="44">
        <v>6.3</v>
      </c>
      <c r="H80" s="43" t="s">
        <v>229</v>
      </c>
      <c r="I80" s="40" t="s">
        <v>1300</v>
      </c>
    </row>
    <row r="81" spans="1:9" x14ac:dyDescent="0.2">
      <c r="A81" s="40" t="s">
        <v>312</v>
      </c>
      <c r="B81" s="28">
        <v>217</v>
      </c>
      <c r="C81" s="28" t="s">
        <v>35</v>
      </c>
      <c r="D81" s="28" t="s">
        <v>38</v>
      </c>
      <c r="E81" s="45">
        <v>46171</v>
      </c>
      <c r="F81" s="48">
        <v>3.1585648148148147E-2</v>
      </c>
      <c r="G81" s="44">
        <v>6.3</v>
      </c>
      <c r="H81" s="43" t="s">
        <v>230</v>
      </c>
      <c r="I81" s="40" t="s">
        <v>1300</v>
      </c>
    </row>
    <row r="82" spans="1:9" x14ac:dyDescent="0.2">
      <c r="A82" s="40" t="s">
        <v>312</v>
      </c>
      <c r="B82" s="28">
        <v>217</v>
      </c>
      <c r="C82" s="28">
        <v>5691957</v>
      </c>
      <c r="D82" s="28"/>
      <c r="E82" s="41">
        <v>46171</v>
      </c>
      <c r="F82" s="47">
        <v>6.8321759259259263E-2</v>
      </c>
      <c r="G82" s="44">
        <v>6.3</v>
      </c>
      <c r="H82" s="43" t="s">
        <v>228</v>
      </c>
      <c r="I82" s="40" t="s">
        <v>1300</v>
      </c>
    </row>
    <row r="83" spans="1:9" x14ac:dyDescent="0.2">
      <c r="A83" s="40" t="s">
        <v>312</v>
      </c>
      <c r="B83" s="28">
        <v>217</v>
      </c>
      <c r="C83" s="28">
        <v>5691957</v>
      </c>
      <c r="D83" s="28"/>
      <c r="E83" s="45">
        <v>46171</v>
      </c>
      <c r="F83" s="48">
        <v>7.5081018518518519E-2</v>
      </c>
      <c r="G83" s="44">
        <v>6.3</v>
      </c>
      <c r="H83" s="43" t="s">
        <v>232</v>
      </c>
      <c r="I83" s="40" t="s">
        <v>1300</v>
      </c>
    </row>
    <row r="84" spans="1:9" x14ac:dyDescent="0.2">
      <c r="A84" s="40" t="s">
        <v>312</v>
      </c>
      <c r="B84" s="28">
        <v>217</v>
      </c>
      <c r="C84" s="28" t="s">
        <v>501</v>
      </c>
      <c r="D84" s="28"/>
      <c r="E84" s="41">
        <v>46171</v>
      </c>
      <c r="F84" s="47">
        <v>0.2540972222222222</v>
      </c>
      <c r="G84" s="44">
        <v>6.3</v>
      </c>
      <c r="H84" s="43" t="s">
        <v>228</v>
      </c>
      <c r="I84" s="40" t="s">
        <v>1300</v>
      </c>
    </row>
    <row r="85" spans="1:9" x14ac:dyDescent="0.2">
      <c r="A85" s="40" t="s">
        <v>312</v>
      </c>
      <c r="B85" s="28">
        <v>217</v>
      </c>
      <c r="C85" s="28" t="s">
        <v>501</v>
      </c>
      <c r="D85" s="28"/>
      <c r="E85" s="41">
        <v>46171</v>
      </c>
      <c r="F85" s="47">
        <v>0.26153935185185184</v>
      </c>
      <c r="G85" s="44">
        <v>6.3</v>
      </c>
      <c r="H85" s="43" t="s">
        <v>232</v>
      </c>
      <c r="I85" s="40" t="s">
        <v>1300</v>
      </c>
    </row>
    <row r="86" spans="1:9" x14ac:dyDescent="0.2">
      <c r="A86" s="40" t="s">
        <v>312</v>
      </c>
      <c r="B86" s="28">
        <v>217</v>
      </c>
      <c r="C86" s="28">
        <v>5692219</v>
      </c>
      <c r="D86" s="28" t="s">
        <v>37</v>
      </c>
      <c r="E86" s="41">
        <v>46171</v>
      </c>
      <c r="F86" s="47">
        <v>0.31805555555555554</v>
      </c>
      <c r="G86" s="44">
        <v>6.3</v>
      </c>
      <c r="H86" s="43" t="s">
        <v>230</v>
      </c>
      <c r="I86" s="40" t="s">
        <v>1300</v>
      </c>
    </row>
    <row r="87" spans="1:9" x14ac:dyDescent="0.2">
      <c r="A87" s="40" t="s">
        <v>312</v>
      </c>
      <c r="B87" s="28">
        <v>217</v>
      </c>
      <c r="C87" s="28">
        <v>5692219</v>
      </c>
      <c r="D87" s="28" t="s">
        <v>37</v>
      </c>
      <c r="E87" s="41">
        <v>46171</v>
      </c>
      <c r="F87" s="47">
        <v>0.3361689814814815</v>
      </c>
      <c r="G87" s="44">
        <v>6.3</v>
      </c>
      <c r="H87" s="43" t="s">
        <v>227</v>
      </c>
      <c r="I87" s="40" t="s">
        <v>1300</v>
      </c>
    </row>
    <row r="88" spans="1:9" x14ac:dyDescent="0.2">
      <c r="A88" s="40" t="s">
        <v>312</v>
      </c>
      <c r="B88" s="28">
        <v>217</v>
      </c>
      <c r="C88" s="28">
        <v>5694114</v>
      </c>
      <c r="D88" s="28"/>
      <c r="E88" s="41">
        <v>46172</v>
      </c>
      <c r="F88" s="47">
        <v>0.22716435185185185</v>
      </c>
      <c r="G88" s="44">
        <v>6.3</v>
      </c>
      <c r="H88" s="43" t="s">
        <v>231</v>
      </c>
      <c r="I88" s="40" t="s">
        <v>1300</v>
      </c>
    </row>
    <row r="89" spans="1:9" x14ac:dyDescent="0.2">
      <c r="A89" s="40" t="s">
        <v>312</v>
      </c>
      <c r="B89" s="28">
        <v>217</v>
      </c>
      <c r="C89" s="28">
        <v>5694114</v>
      </c>
      <c r="D89" s="28"/>
      <c r="E89" s="41">
        <v>46172</v>
      </c>
      <c r="F89" s="47">
        <v>0.23204861111111111</v>
      </c>
      <c r="G89" s="44">
        <v>6.3</v>
      </c>
      <c r="H89" s="43" t="s">
        <v>227</v>
      </c>
      <c r="I89" s="40" t="s">
        <v>1300</v>
      </c>
    </row>
    <row r="90" spans="1:9" x14ac:dyDescent="0.2">
      <c r="A90" s="40" t="s">
        <v>312</v>
      </c>
      <c r="B90" s="28">
        <v>217</v>
      </c>
      <c r="C90" s="28">
        <v>5695497</v>
      </c>
      <c r="D90" s="28"/>
      <c r="E90" s="41">
        <v>46173</v>
      </c>
      <c r="F90" s="47">
        <v>0.35093750000000001</v>
      </c>
      <c r="G90" s="44">
        <v>6.3</v>
      </c>
      <c r="H90" s="43" t="s">
        <v>228</v>
      </c>
      <c r="I90" s="40" t="s">
        <v>1300</v>
      </c>
    </row>
    <row r="91" spans="1:9" x14ac:dyDescent="0.2">
      <c r="A91" s="40" t="s">
        <v>312</v>
      </c>
      <c r="B91" s="28">
        <v>217</v>
      </c>
      <c r="C91" s="28">
        <v>5694407</v>
      </c>
      <c r="D91" s="28" t="s">
        <v>37</v>
      </c>
      <c r="E91" s="45">
        <v>46173</v>
      </c>
      <c r="F91" s="48">
        <v>0.4145949074074074</v>
      </c>
      <c r="G91" s="44">
        <v>6.3</v>
      </c>
      <c r="H91" s="43" t="s">
        <v>230</v>
      </c>
      <c r="I91" s="40" t="s">
        <v>1300</v>
      </c>
    </row>
    <row r="92" spans="1:9" x14ac:dyDescent="0.2">
      <c r="A92" s="40" t="s">
        <v>312</v>
      </c>
      <c r="B92" s="28">
        <v>217</v>
      </c>
      <c r="C92" s="28">
        <v>5694407</v>
      </c>
      <c r="D92" s="28" t="s">
        <v>37</v>
      </c>
      <c r="E92" s="41">
        <v>46173</v>
      </c>
      <c r="F92" s="47">
        <v>0.41997685185185185</v>
      </c>
      <c r="G92" s="44">
        <v>6.3</v>
      </c>
      <c r="H92" s="43" t="s">
        <v>227</v>
      </c>
      <c r="I92" s="40" t="s">
        <v>1300</v>
      </c>
    </row>
    <row r="93" spans="1:9" x14ac:dyDescent="0.2">
      <c r="A93" s="40" t="s">
        <v>346</v>
      </c>
      <c r="B93" s="28">
        <v>219</v>
      </c>
      <c r="C93" s="28" t="s">
        <v>502</v>
      </c>
      <c r="D93" s="28"/>
      <c r="E93" s="41">
        <v>46167</v>
      </c>
      <c r="F93" s="47">
        <v>5.1053240740740739E-2</v>
      </c>
      <c r="G93" s="44">
        <v>6.3</v>
      </c>
      <c r="H93" s="43" t="s">
        <v>228</v>
      </c>
      <c r="I93" s="40" t="s">
        <v>1300</v>
      </c>
    </row>
    <row r="94" spans="1:9" x14ac:dyDescent="0.2">
      <c r="A94" s="40" t="s">
        <v>346</v>
      </c>
      <c r="B94" s="28">
        <v>219</v>
      </c>
      <c r="C94" s="28" t="s">
        <v>502</v>
      </c>
      <c r="D94" s="28"/>
      <c r="E94" s="41">
        <v>46167</v>
      </c>
      <c r="F94" s="47">
        <v>5.7962962962962966E-2</v>
      </c>
      <c r="G94" s="44">
        <v>6.3</v>
      </c>
      <c r="H94" s="43" t="s">
        <v>229</v>
      </c>
      <c r="I94" s="40" t="s">
        <v>1300</v>
      </c>
    </row>
    <row r="95" spans="1:9" x14ac:dyDescent="0.2">
      <c r="A95" s="40" t="s">
        <v>346</v>
      </c>
      <c r="B95" s="28">
        <v>219</v>
      </c>
      <c r="C95" s="28">
        <v>5685316</v>
      </c>
      <c r="D95" s="28"/>
      <c r="E95" s="41">
        <v>46167</v>
      </c>
      <c r="F95" s="47">
        <v>0.21480324074074075</v>
      </c>
      <c r="G95" s="44">
        <v>6.3</v>
      </c>
      <c r="H95" s="43" t="s">
        <v>230</v>
      </c>
      <c r="I95" s="40" t="s">
        <v>1300</v>
      </c>
    </row>
    <row r="96" spans="1:9" x14ac:dyDescent="0.2">
      <c r="A96" s="40" t="s">
        <v>346</v>
      </c>
      <c r="B96" s="28">
        <v>219</v>
      </c>
      <c r="C96" s="28">
        <v>5685316</v>
      </c>
      <c r="D96" s="28"/>
      <c r="E96" s="41">
        <v>46167</v>
      </c>
      <c r="F96" s="47">
        <v>0.22012731481481482</v>
      </c>
      <c r="G96" s="44">
        <v>6.3</v>
      </c>
      <c r="H96" s="43" t="s">
        <v>227</v>
      </c>
      <c r="I96" s="40" t="s">
        <v>1300</v>
      </c>
    </row>
    <row r="97" spans="1:9" x14ac:dyDescent="0.2">
      <c r="A97" s="40" t="s">
        <v>346</v>
      </c>
      <c r="B97" s="28">
        <v>219</v>
      </c>
      <c r="C97" s="28" t="s">
        <v>35</v>
      </c>
      <c r="D97" s="28" t="s">
        <v>38</v>
      </c>
      <c r="E97" s="41">
        <v>46167</v>
      </c>
      <c r="F97" s="47">
        <v>0.35856481481481484</v>
      </c>
      <c r="G97" s="44">
        <v>6.3</v>
      </c>
      <c r="H97" s="43" t="s">
        <v>228</v>
      </c>
      <c r="I97" s="40" t="s">
        <v>1300</v>
      </c>
    </row>
    <row r="98" spans="1:9" x14ac:dyDescent="0.2">
      <c r="A98" s="40" t="s">
        <v>346</v>
      </c>
      <c r="B98" s="28">
        <v>219</v>
      </c>
      <c r="C98" s="28">
        <v>5686667</v>
      </c>
      <c r="D98" s="28"/>
      <c r="E98" s="45">
        <v>46168</v>
      </c>
      <c r="F98" s="48">
        <v>0.16768518518518519</v>
      </c>
      <c r="G98" s="44">
        <v>6.3</v>
      </c>
      <c r="H98" s="43" t="s">
        <v>230</v>
      </c>
      <c r="I98" s="40" t="s">
        <v>1300</v>
      </c>
    </row>
    <row r="99" spans="1:9" x14ac:dyDescent="0.2">
      <c r="A99" s="40" t="s">
        <v>346</v>
      </c>
      <c r="B99" s="28">
        <v>219</v>
      </c>
      <c r="C99" s="28">
        <v>5686667</v>
      </c>
      <c r="D99" s="28"/>
      <c r="E99" s="41">
        <v>46168</v>
      </c>
      <c r="F99" s="47">
        <v>0.17271990740740742</v>
      </c>
      <c r="G99" s="44">
        <v>6.3</v>
      </c>
      <c r="H99" s="43" t="s">
        <v>227</v>
      </c>
      <c r="I99" s="40" t="s">
        <v>1300</v>
      </c>
    </row>
    <row r="100" spans="1:9" x14ac:dyDescent="0.2">
      <c r="A100" s="40" t="s">
        <v>346</v>
      </c>
      <c r="B100" s="28">
        <v>219</v>
      </c>
      <c r="C100" s="28" t="s">
        <v>503</v>
      </c>
      <c r="D100" s="28"/>
      <c r="E100" s="41">
        <v>46168</v>
      </c>
      <c r="F100" s="47">
        <v>0.24445601851851853</v>
      </c>
      <c r="G100" s="44">
        <v>6.3</v>
      </c>
      <c r="H100" s="43" t="s">
        <v>228</v>
      </c>
      <c r="I100" s="40" t="s">
        <v>1300</v>
      </c>
    </row>
    <row r="101" spans="1:9" x14ac:dyDescent="0.2">
      <c r="A101" s="40" t="s">
        <v>346</v>
      </c>
      <c r="B101" s="28">
        <v>219</v>
      </c>
      <c r="C101" s="28" t="s">
        <v>503</v>
      </c>
      <c r="D101" s="28"/>
      <c r="E101" s="41">
        <v>46168</v>
      </c>
      <c r="F101" s="47">
        <v>0.25931712962962961</v>
      </c>
      <c r="G101" s="44">
        <v>6.3</v>
      </c>
      <c r="H101" s="43" t="s">
        <v>229</v>
      </c>
      <c r="I101" s="40" t="s">
        <v>1300</v>
      </c>
    </row>
    <row r="102" spans="1:9" x14ac:dyDescent="0.2">
      <c r="A102" s="40" t="s">
        <v>346</v>
      </c>
      <c r="B102" s="28">
        <v>219</v>
      </c>
      <c r="C102" s="28">
        <v>5678795</v>
      </c>
      <c r="D102" s="28"/>
      <c r="E102" s="41">
        <v>46168</v>
      </c>
      <c r="F102" s="47">
        <v>0.36627314814814815</v>
      </c>
      <c r="G102" s="44">
        <v>6.3</v>
      </c>
      <c r="H102" s="43" t="s">
        <v>227</v>
      </c>
      <c r="I102" s="40" t="s">
        <v>1300</v>
      </c>
    </row>
    <row r="103" spans="1:9" x14ac:dyDescent="0.2">
      <c r="A103" s="40" t="s">
        <v>346</v>
      </c>
      <c r="B103" s="28">
        <v>219</v>
      </c>
      <c r="C103" s="28">
        <v>5689055</v>
      </c>
      <c r="D103" s="28" t="s">
        <v>37</v>
      </c>
      <c r="E103" s="41">
        <v>46169</v>
      </c>
      <c r="F103" s="47">
        <v>5.4293981481481485E-2</v>
      </c>
      <c r="G103" s="44">
        <v>6.3</v>
      </c>
      <c r="H103" s="43" t="s">
        <v>228</v>
      </c>
      <c r="I103" s="40" t="s">
        <v>1300</v>
      </c>
    </row>
    <row r="104" spans="1:9" x14ac:dyDescent="0.2">
      <c r="A104" s="40" t="s">
        <v>346</v>
      </c>
      <c r="B104" s="28">
        <v>219</v>
      </c>
      <c r="C104" s="28">
        <v>5689055</v>
      </c>
      <c r="D104" s="28" t="s">
        <v>37</v>
      </c>
      <c r="E104" s="41">
        <v>46169</v>
      </c>
      <c r="F104" s="47">
        <v>6.0636574074074072E-2</v>
      </c>
      <c r="G104" s="44">
        <v>6.3</v>
      </c>
      <c r="H104" s="43" t="s">
        <v>229</v>
      </c>
      <c r="I104" s="40" t="s">
        <v>1300</v>
      </c>
    </row>
    <row r="105" spans="1:9" x14ac:dyDescent="0.2">
      <c r="A105" s="40" t="s">
        <v>346</v>
      </c>
      <c r="B105" s="28">
        <v>219</v>
      </c>
      <c r="C105" s="28">
        <v>5692461</v>
      </c>
      <c r="D105" s="28" t="s">
        <v>36</v>
      </c>
      <c r="E105" s="41">
        <v>46170</v>
      </c>
      <c r="F105" s="47">
        <v>0.99062499999999998</v>
      </c>
      <c r="G105" s="44">
        <v>6.3</v>
      </c>
      <c r="H105" s="43" t="s">
        <v>228</v>
      </c>
      <c r="I105" s="40" t="s">
        <v>1300</v>
      </c>
    </row>
    <row r="106" spans="1:9" x14ac:dyDescent="0.2">
      <c r="A106" s="40" t="s">
        <v>346</v>
      </c>
      <c r="B106" s="28">
        <v>219</v>
      </c>
      <c r="C106" s="28">
        <v>5692461</v>
      </c>
      <c r="D106" s="28" t="s">
        <v>36</v>
      </c>
      <c r="E106" s="41">
        <v>46170</v>
      </c>
      <c r="F106" s="47">
        <v>0.99899305555555551</v>
      </c>
      <c r="G106" s="44">
        <v>6.3</v>
      </c>
      <c r="H106" s="43" t="s">
        <v>229</v>
      </c>
      <c r="I106" s="40" t="s">
        <v>1300</v>
      </c>
    </row>
    <row r="107" spans="1:9" x14ac:dyDescent="0.2">
      <c r="A107" s="40" t="s">
        <v>346</v>
      </c>
      <c r="B107" s="28">
        <v>219</v>
      </c>
      <c r="C107" s="28">
        <v>5692728</v>
      </c>
      <c r="D107" s="28" t="s">
        <v>37</v>
      </c>
      <c r="E107" s="41">
        <v>46171</v>
      </c>
      <c r="F107" s="47">
        <v>0.36846064814814816</v>
      </c>
      <c r="G107" s="44">
        <v>6.3</v>
      </c>
      <c r="H107" s="43" t="s">
        <v>228</v>
      </c>
      <c r="I107" s="40" t="s">
        <v>1300</v>
      </c>
    </row>
    <row r="108" spans="1:9" x14ac:dyDescent="0.2">
      <c r="A108" s="40" t="s">
        <v>346</v>
      </c>
      <c r="B108" s="28">
        <v>219</v>
      </c>
      <c r="C108" s="28">
        <v>5695409</v>
      </c>
      <c r="D108" s="28"/>
      <c r="E108" s="41">
        <v>46173</v>
      </c>
      <c r="F108" s="47">
        <v>0.29112268518518519</v>
      </c>
      <c r="G108" s="44">
        <v>6.3</v>
      </c>
      <c r="H108" s="43" t="s">
        <v>228</v>
      </c>
      <c r="I108" s="40" t="s">
        <v>1300</v>
      </c>
    </row>
    <row r="109" spans="1:9" x14ac:dyDescent="0.2">
      <c r="A109" s="40" t="s">
        <v>346</v>
      </c>
      <c r="B109" s="28">
        <v>219</v>
      </c>
      <c r="C109" s="28">
        <v>5695409</v>
      </c>
      <c r="D109" s="28"/>
      <c r="E109" s="41">
        <v>46173</v>
      </c>
      <c r="F109" s="47">
        <v>0.29749999999999999</v>
      </c>
      <c r="G109" s="44">
        <v>6.3</v>
      </c>
      <c r="H109" s="43" t="s">
        <v>229</v>
      </c>
      <c r="I109" s="40" t="s">
        <v>1300</v>
      </c>
    </row>
    <row r="110" spans="1:9" x14ac:dyDescent="0.2">
      <c r="A110" s="40" t="s">
        <v>346</v>
      </c>
      <c r="B110" s="28">
        <v>219</v>
      </c>
      <c r="C110" s="28">
        <v>5695468</v>
      </c>
      <c r="D110" s="28"/>
      <c r="E110" s="41">
        <v>46173</v>
      </c>
      <c r="F110" s="47">
        <v>0.40075231481481483</v>
      </c>
      <c r="G110" s="42">
        <v>6.3</v>
      </c>
      <c r="H110" s="40" t="s">
        <v>228</v>
      </c>
      <c r="I110" s="40" t="s">
        <v>1300</v>
      </c>
    </row>
    <row r="111" spans="1:9" x14ac:dyDescent="0.2">
      <c r="A111" s="40" t="s">
        <v>346</v>
      </c>
      <c r="B111" s="28">
        <v>219</v>
      </c>
      <c r="C111" s="28">
        <v>5694541</v>
      </c>
      <c r="D111" s="28"/>
      <c r="E111" s="41">
        <v>46173</v>
      </c>
      <c r="F111" s="47">
        <v>0.94245370370370374</v>
      </c>
      <c r="G111" s="42">
        <v>6.3</v>
      </c>
      <c r="H111" s="40" t="s">
        <v>228</v>
      </c>
      <c r="I111" s="40" t="s">
        <v>1300</v>
      </c>
    </row>
    <row r="112" spans="1:9" x14ac:dyDescent="0.2">
      <c r="A112" s="40" t="s">
        <v>146</v>
      </c>
      <c r="B112" s="28">
        <v>220</v>
      </c>
      <c r="C112" s="28">
        <v>5686720</v>
      </c>
      <c r="D112" s="28"/>
      <c r="E112" s="41">
        <v>46168</v>
      </c>
      <c r="F112" s="47">
        <v>7.4999999999999997E-3</v>
      </c>
      <c r="G112" s="44">
        <v>6.3</v>
      </c>
      <c r="H112" s="43" t="s">
        <v>228</v>
      </c>
      <c r="I112" s="40" t="s">
        <v>1300</v>
      </c>
    </row>
    <row r="113" spans="1:9" x14ac:dyDescent="0.2">
      <c r="A113" s="40" t="s">
        <v>146</v>
      </c>
      <c r="B113" s="28">
        <v>220</v>
      </c>
      <c r="C113" s="28">
        <v>5686720</v>
      </c>
      <c r="D113" s="28"/>
      <c r="E113" s="41">
        <v>46168</v>
      </c>
      <c r="F113" s="47">
        <v>1.4351851851851852E-2</v>
      </c>
      <c r="G113" s="44">
        <v>6.3</v>
      </c>
      <c r="H113" s="43" t="s">
        <v>229</v>
      </c>
      <c r="I113" s="40" t="s">
        <v>1300</v>
      </c>
    </row>
    <row r="114" spans="1:9" x14ac:dyDescent="0.2">
      <c r="A114" s="40" t="s">
        <v>146</v>
      </c>
      <c r="B114" s="28">
        <v>220</v>
      </c>
      <c r="C114" s="28">
        <v>5687686</v>
      </c>
      <c r="D114" s="28"/>
      <c r="E114" s="45">
        <v>46168</v>
      </c>
      <c r="F114" s="48">
        <v>0.49571759259259257</v>
      </c>
      <c r="G114" s="44">
        <v>6.3</v>
      </c>
      <c r="H114" s="43" t="s">
        <v>228</v>
      </c>
      <c r="I114" s="40" t="s">
        <v>1300</v>
      </c>
    </row>
    <row r="115" spans="1:9" x14ac:dyDescent="0.2">
      <c r="A115" s="40" t="s">
        <v>146</v>
      </c>
      <c r="B115" s="28">
        <v>220</v>
      </c>
      <c r="C115" s="28">
        <v>5687686</v>
      </c>
      <c r="D115" s="28"/>
      <c r="E115" s="41">
        <v>46168</v>
      </c>
      <c r="F115" s="47">
        <v>0.50469907407407411</v>
      </c>
      <c r="G115" s="44">
        <v>6.3</v>
      </c>
      <c r="H115" s="43" t="s">
        <v>232</v>
      </c>
      <c r="I115" s="40" t="s">
        <v>1300</v>
      </c>
    </row>
    <row r="116" spans="1:9" x14ac:dyDescent="0.2">
      <c r="A116" s="40" t="s">
        <v>146</v>
      </c>
      <c r="B116" s="28">
        <v>220</v>
      </c>
      <c r="C116" s="28" t="s">
        <v>35</v>
      </c>
      <c r="D116" s="28" t="s">
        <v>38</v>
      </c>
      <c r="E116" s="41">
        <v>46168</v>
      </c>
      <c r="F116" s="47">
        <v>0.52246527777777774</v>
      </c>
      <c r="G116" s="44">
        <v>6.3</v>
      </c>
      <c r="H116" s="43" t="s">
        <v>231</v>
      </c>
      <c r="I116" s="40" t="s">
        <v>1300</v>
      </c>
    </row>
    <row r="117" spans="1:9" x14ac:dyDescent="0.2">
      <c r="A117" s="40" t="s">
        <v>146</v>
      </c>
      <c r="B117" s="28">
        <v>220</v>
      </c>
      <c r="C117" s="28" t="s">
        <v>35</v>
      </c>
      <c r="D117" s="28" t="s">
        <v>38</v>
      </c>
      <c r="E117" s="41">
        <v>46168</v>
      </c>
      <c r="F117" s="47">
        <v>0.52722222222222226</v>
      </c>
      <c r="G117" s="44">
        <v>6.3</v>
      </c>
      <c r="H117" s="43" t="s">
        <v>227</v>
      </c>
      <c r="I117" s="40" t="s">
        <v>1300</v>
      </c>
    </row>
    <row r="118" spans="1:9" x14ac:dyDescent="0.2">
      <c r="A118" s="40" t="s">
        <v>146</v>
      </c>
      <c r="B118" s="28">
        <v>220</v>
      </c>
      <c r="C118" s="28" t="s">
        <v>504</v>
      </c>
      <c r="D118" s="28"/>
      <c r="E118" s="41">
        <v>46169</v>
      </c>
      <c r="F118" s="47">
        <v>0.91864583333333338</v>
      </c>
      <c r="G118" s="44">
        <v>6.3</v>
      </c>
      <c r="H118" s="43" t="s">
        <v>228</v>
      </c>
      <c r="I118" s="40" t="s">
        <v>1300</v>
      </c>
    </row>
    <row r="119" spans="1:9" x14ac:dyDescent="0.2">
      <c r="A119" s="40" t="s">
        <v>146</v>
      </c>
      <c r="B119" s="28">
        <v>220</v>
      </c>
      <c r="C119" s="28" t="s">
        <v>504</v>
      </c>
      <c r="D119" s="28"/>
      <c r="E119" s="41">
        <v>46169</v>
      </c>
      <c r="F119" s="47">
        <v>0.92686342592592597</v>
      </c>
      <c r="G119" s="44">
        <v>6.3</v>
      </c>
      <c r="H119" s="43" t="s">
        <v>229</v>
      </c>
      <c r="I119" s="40" t="s">
        <v>1300</v>
      </c>
    </row>
    <row r="120" spans="1:9" x14ac:dyDescent="0.2">
      <c r="A120" s="40" t="s">
        <v>146</v>
      </c>
      <c r="B120" s="28">
        <v>220</v>
      </c>
      <c r="C120" s="28">
        <v>5692305</v>
      </c>
      <c r="D120" s="28"/>
      <c r="E120" s="45">
        <v>46170</v>
      </c>
      <c r="F120" s="48">
        <v>0.90855324074074073</v>
      </c>
      <c r="G120" s="44">
        <v>6.3</v>
      </c>
      <c r="H120" s="43" t="s">
        <v>228</v>
      </c>
      <c r="I120" s="40" t="s">
        <v>1300</v>
      </c>
    </row>
    <row r="121" spans="1:9" x14ac:dyDescent="0.2">
      <c r="A121" s="40" t="s">
        <v>146</v>
      </c>
      <c r="B121" s="28">
        <v>220</v>
      </c>
      <c r="C121" s="28">
        <v>5692305</v>
      </c>
      <c r="D121" s="28"/>
      <c r="E121" s="41">
        <v>46170</v>
      </c>
      <c r="F121" s="47">
        <v>0.91597222222222219</v>
      </c>
      <c r="G121" s="44">
        <v>6.3</v>
      </c>
      <c r="H121" s="43" t="s">
        <v>229</v>
      </c>
      <c r="I121" s="40" t="s">
        <v>1300</v>
      </c>
    </row>
    <row r="122" spans="1:9" x14ac:dyDescent="0.2">
      <c r="A122" s="40" t="s">
        <v>146</v>
      </c>
      <c r="B122" s="28">
        <v>220</v>
      </c>
      <c r="C122" s="28" t="s">
        <v>505</v>
      </c>
      <c r="D122" s="28"/>
      <c r="E122" s="41">
        <v>46171</v>
      </c>
      <c r="F122" s="47">
        <v>0.68628472222222225</v>
      </c>
      <c r="G122" s="44">
        <v>6.3</v>
      </c>
      <c r="H122" s="43" t="s">
        <v>228</v>
      </c>
      <c r="I122" s="40" t="s">
        <v>1300</v>
      </c>
    </row>
    <row r="123" spans="1:9" x14ac:dyDescent="0.2">
      <c r="A123" s="40" t="s">
        <v>146</v>
      </c>
      <c r="B123" s="28">
        <v>220</v>
      </c>
      <c r="C123" s="28" t="s">
        <v>505</v>
      </c>
      <c r="D123" s="28"/>
      <c r="E123" s="41">
        <v>46171</v>
      </c>
      <c r="F123" s="47">
        <v>0.70033564814814819</v>
      </c>
      <c r="G123" s="44">
        <v>6.3</v>
      </c>
      <c r="H123" s="43" t="s">
        <v>229</v>
      </c>
      <c r="I123" s="40" t="s">
        <v>1300</v>
      </c>
    </row>
    <row r="124" spans="1:9" x14ac:dyDescent="0.2">
      <c r="A124" s="40" t="s">
        <v>146</v>
      </c>
      <c r="B124" s="28">
        <v>220</v>
      </c>
      <c r="C124" s="28" t="s">
        <v>506</v>
      </c>
      <c r="D124" s="28"/>
      <c r="E124" s="41">
        <v>46171</v>
      </c>
      <c r="F124" s="47">
        <v>0.98071759259259261</v>
      </c>
      <c r="G124" s="44">
        <v>6.3</v>
      </c>
      <c r="H124" s="43" t="s">
        <v>228</v>
      </c>
      <c r="I124" s="40" t="s">
        <v>1300</v>
      </c>
    </row>
    <row r="125" spans="1:9" x14ac:dyDescent="0.2">
      <c r="A125" s="40" t="s">
        <v>146</v>
      </c>
      <c r="B125" s="28">
        <v>220</v>
      </c>
      <c r="C125" s="28" t="s">
        <v>506</v>
      </c>
      <c r="D125" s="28"/>
      <c r="E125" s="45">
        <v>46171</v>
      </c>
      <c r="F125" s="48">
        <v>0.9886921296296296</v>
      </c>
      <c r="G125" s="44">
        <v>6.3</v>
      </c>
      <c r="H125" s="43" t="s">
        <v>229</v>
      </c>
      <c r="I125" s="40" t="s">
        <v>1300</v>
      </c>
    </row>
    <row r="126" spans="1:9" x14ac:dyDescent="0.2">
      <c r="A126" s="40" t="s">
        <v>146</v>
      </c>
      <c r="B126" s="28">
        <v>220</v>
      </c>
      <c r="C126" s="28" t="s">
        <v>507</v>
      </c>
      <c r="D126" s="28"/>
      <c r="E126" s="41">
        <v>46173</v>
      </c>
      <c r="F126" s="47">
        <v>0.71082175925925928</v>
      </c>
      <c r="G126" s="44">
        <v>6.3</v>
      </c>
      <c r="H126" s="43" t="s">
        <v>228</v>
      </c>
      <c r="I126" s="40" t="s">
        <v>1300</v>
      </c>
    </row>
    <row r="127" spans="1:9" x14ac:dyDescent="0.2">
      <c r="A127" s="40" t="s">
        <v>146</v>
      </c>
      <c r="B127" s="28">
        <v>220</v>
      </c>
      <c r="C127" s="28" t="s">
        <v>507</v>
      </c>
      <c r="D127" s="28"/>
      <c r="E127" s="41">
        <v>46173</v>
      </c>
      <c r="F127" s="47">
        <v>0.74527777777777782</v>
      </c>
      <c r="G127" s="44">
        <v>6.3</v>
      </c>
      <c r="H127" s="43" t="s">
        <v>230</v>
      </c>
      <c r="I127" s="40" t="s">
        <v>1300</v>
      </c>
    </row>
    <row r="128" spans="1:9" x14ac:dyDescent="0.2">
      <c r="A128" s="40" t="s">
        <v>146</v>
      </c>
      <c r="B128" s="28">
        <v>220</v>
      </c>
      <c r="C128" s="28">
        <v>5696369</v>
      </c>
      <c r="D128" s="28"/>
      <c r="E128" s="41">
        <v>46173</v>
      </c>
      <c r="F128" s="47">
        <v>0.89340277777777777</v>
      </c>
      <c r="G128" s="44">
        <v>6.3</v>
      </c>
      <c r="H128" s="43" t="s">
        <v>228</v>
      </c>
      <c r="I128" s="40" t="s">
        <v>1300</v>
      </c>
    </row>
    <row r="129" spans="1:9" x14ac:dyDescent="0.2">
      <c r="A129" s="40" t="s">
        <v>146</v>
      </c>
      <c r="B129" s="28">
        <v>220</v>
      </c>
      <c r="C129" s="28">
        <v>5696369</v>
      </c>
      <c r="D129" s="28"/>
      <c r="E129" s="41">
        <v>46173</v>
      </c>
      <c r="F129" s="47">
        <v>0.90047453703703706</v>
      </c>
      <c r="G129" s="44">
        <v>6.3</v>
      </c>
      <c r="H129" s="43" t="s">
        <v>232</v>
      </c>
      <c r="I129" s="40" t="s">
        <v>1300</v>
      </c>
    </row>
    <row r="130" spans="1:9" x14ac:dyDescent="0.2">
      <c r="A130" s="40" t="s">
        <v>164</v>
      </c>
      <c r="B130" s="28">
        <v>221</v>
      </c>
      <c r="C130" s="28" t="s">
        <v>35</v>
      </c>
      <c r="D130" s="28" t="s">
        <v>38</v>
      </c>
      <c r="E130" s="41">
        <v>46167</v>
      </c>
      <c r="F130" s="47">
        <v>9.5023148148148141E-3</v>
      </c>
      <c r="G130" s="44">
        <v>6.3</v>
      </c>
      <c r="H130" s="43" t="s">
        <v>226</v>
      </c>
      <c r="I130" s="40" t="s">
        <v>1300</v>
      </c>
    </row>
    <row r="131" spans="1:9" x14ac:dyDescent="0.2">
      <c r="A131" s="40" t="s">
        <v>164</v>
      </c>
      <c r="B131" s="28">
        <v>221</v>
      </c>
      <c r="C131" s="28" t="s">
        <v>508</v>
      </c>
      <c r="D131" s="28"/>
      <c r="E131" s="41">
        <v>46167</v>
      </c>
      <c r="F131" s="47">
        <v>0.96642361111111108</v>
      </c>
      <c r="G131" s="44">
        <v>6.3</v>
      </c>
      <c r="H131" s="43" t="s">
        <v>228</v>
      </c>
      <c r="I131" s="40" t="s">
        <v>1300</v>
      </c>
    </row>
    <row r="132" spans="1:9" x14ac:dyDescent="0.2">
      <c r="A132" s="40" t="s">
        <v>164</v>
      </c>
      <c r="B132" s="28">
        <v>221</v>
      </c>
      <c r="C132" s="28" t="s">
        <v>508</v>
      </c>
      <c r="D132" s="28"/>
      <c r="E132" s="41">
        <v>46167</v>
      </c>
      <c r="F132" s="47">
        <v>0.97298611111111111</v>
      </c>
      <c r="G132" s="44">
        <v>6.3</v>
      </c>
      <c r="H132" s="43" t="s">
        <v>232</v>
      </c>
      <c r="I132" s="40" t="s">
        <v>1300</v>
      </c>
    </row>
    <row r="133" spans="1:9" x14ac:dyDescent="0.2">
      <c r="A133" s="40" t="s">
        <v>164</v>
      </c>
      <c r="B133" s="28">
        <v>221</v>
      </c>
      <c r="C133" s="28" t="s">
        <v>35</v>
      </c>
      <c r="D133" s="28" t="s">
        <v>38</v>
      </c>
      <c r="E133" s="45">
        <v>46168</v>
      </c>
      <c r="F133" s="48">
        <v>3.9467592592592592E-3</v>
      </c>
      <c r="G133" s="44">
        <v>6.3</v>
      </c>
      <c r="H133" s="43" t="s">
        <v>226</v>
      </c>
      <c r="I133" s="40" t="s">
        <v>1300</v>
      </c>
    </row>
    <row r="134" spans="1:9" x14ac:dyDescent="0.2">
      <c r="A134" s="40" t="s">
        <v>164</v>
      </c>
      <c r="B134" s="28">
        <v>221</v>
      </c>
      <c r="C134" s="28" t="s">
        <v>509</v>
      </c>
      <c r="D134" s="28"/>
      <c r="E134" s="45">
        <v>46169</v>
      </c>
      <c r="F134" s="48">
        <v>0.84565972222222219</v>
      </c>
      <c r="G134" s="44">
        <v>6.3</v>
      </c>
      <c r="H134" s="43" t="s">
        <v>228</v>
      </c>
      <c r="I134" s="40" t="s">
        <v>1300</v>
      </c>
    </row>
    <row r="135" spans="1:9" x14ac:dyDescent="0.2">
      <c r="A135" s="40" t="s">
        <v>164</v>
      </c>
      <c r="B135" s="28">
        <v>221</v>
      </c>
      <c r="C135" s="28" t="s">
        <v>509</v>
      </c>
      <c r="D135" s="28"/>
      <c r="E135" s="41">
        <v>46169</v>
      </c>
      <c r="F135" s="47">
        <v>0.85405092592592591</v>
      </c>
      <c r="G135" s="44">
        <v>6.3</v>
      </c>
      <c r="H135" s="43" t="s">
        <v>229</v>
      </c>
      <c r="I135" s="40" t="s">
        <v>1300</v>
      </c>
    </row>
    <row r="136" spans="1:9" x14ac:dyDescent="0.2">
      <c r="A136" s="40" t="s">
        <v>164</v>
      </c>
      <c r="B136" s="28">
        <v>221</v>
      </c>
      <c r="C136" s="28" t="s">
        <v>35</v>
      </c>
      <c r="D136" s="28" t="s">
        <v>38</v>
      </c>
      <c r="E136" s="41">
        <v>46169</v>
      </c>
      <c r="F136" s="47">
        <v>0.86651620370370375</v>
      </c>
      <c r="G136" s="44">
        <v>6.3</v>
      </c>
      <c r="H136" s="43" t="s">
        <v>226</v>
      </c>
      <c r="I136" s="40" t="s">
        <v>1300</v>
      </c>
    </row>
    <row r="137" spans="1:9" x14ac:dyDescent="0.2">
      <c r="A137" s="40" t="s">
        <v>164</v>
      </c>
      <c r="B137" s="28">
        <v>221</v>
      </c>
      <c r="C137" s="28" t="s">
        <v>35</v>
      </c>
      <c r="D137" s="28" t="s">
        <v>38</v>
      </c>
      <c r="E137" s="41">
        <v>46169</v>
      </c>
      <c r="F137" s="47">
        <v>0.87210648148148151</v>
      </c>
      <c r="G137" s="44">
        <v>6.3</v>
      </c>
      <c r="H137" s="43" t="s">
        <v>227</v>
      </c>
      <c r="I137" s="40" t="s">
        <v>1300</v>
      </c>
    </row>
    <row r="138" spans="1:9" x14ac:dyDescent="0.2">
      <c r="A138" s="40" t="s">
        <v>164</v>
      </c>
      <c r="B138" s="28">
        <v>221</v>
      </c>
      <c r="C138" s="28" t="s">
        <v>510</v>
      </c>
      <c r="D138" s="28"/>
      <c r="E138" s="41">
        <v>46169</v>
      </c>
      <c r="F138" s="47">
        <v>0.93366898148148147</v>
      </c>
      <c r="G138" s="42">
        <v>6.3</v>
      </c>
      <c r="H138" s="40" t="s">
        <v>229</v>
      </c>
      <c r="I138" s="40" t="s">
        <v>1300</v>
      </c>
    </row>
    <row r="139" spans="1:9" x14ac:dyDescent="0.2">
      <c r="A139" s="40" t="s">
        <v>164</v>
      </c>
      <c r="B139" s="28">
        <v>221</v>
      </c>
      <c r="C139" s="28" t="s">
        <v>510</v>
      </c>
      <c r="D139" s="28"/>
      <c r="E139" s="41">
        <v>46169</v>
      </c>
      <c r="F139" s="47">
        <v>0.94533564814814819</v>
      </c>
      <c r="G139" s="42">
        <v>6.3</v>
      </c>
      <c r="H139" s="40" t="s">
        <v>230</v>
      </c>
      <c r="I139" s="40" t="s">
        <v>1300</v>
      </c>
    </row>
    <row r="140" spans="1:9" x14ac:dyDescent="0.2">
      <c r="A140" s="40" t="s">
        <v>164</v>
      </c>
      <c r="B140" s="28">
        <v>221</v>
      </c>
      <c r="C140" s="28" t="s">
        <v>35</v>
      </c>
      <c r="D140" s="28" t="s">
        <v>38</v>
      </c>
      <c r="E140" s="41">
        <v>46169</v>
      </c>
      <c r="F140" s="47">
        <v>0.95081018518518523</v>
      </c>
      <c r="G140" s="42">
        <v>6.3</v>
      </c>
      <c r="H140" s="40" t="s">
        <v>227</v>
      </c>
      <c r="I140" s="40" t="s">
        <v>1300</v>
      </c>
    </row>
    <row r="141" spans="1:9" x14ac:dyDescent="0.2">
      <c r="A141" s="40" t="s">
        <v>164</v>
      </c>
      <c r="B141" s="28">
        <v>221</v>
      </c>
      <c r="C141" s="28">
        <v>5693003</v>
      </c>
      <c r="D141" s="28"/>
      <c r="E141" s="41">
        <v>46171</v>
      </c>
      <c r="F141" s="47">
        <v>0.52158564814814812</v>
      </c>
      <c r="G141" s="42">
        <v>6.3</v>
      </c>
      <c r="H141" s="40" t="s">
        <v>228</v>
      </c>
      <c r="I141" s="40" t="s">
        <v>1300</v>
      </c>
    </row>
    <row r="142" spans="1:9" x14ac:dyDescent="0.2">
      <c r="A142" s="40" t="s">
        <v>164</v>
      </c>
      <c r="B142" s="28">
        <v>221</v>
      </c>
      <c r="C142" s="28">
        <v>5693003</v>
      </c>
      <c r="D142" s="28"/>
      <c r="E142" s="41">
        <v>46171</v>
      </c>
      <c r="F142" s="47">
        <v>0.53693287037037041</v>
      </c>
      <c r="G142" s="42">
        <v>6.3</v>
      </c>
      <c r="H142" s="40" t="s">
        <v>229</v>
      </c>
      <c r="I142" s="40" t="s">
        <v>1300</v>
      </c>
    </row>
    <row r="143" spans="1:9" x14ac:dyDescent="0.2">
      <c r="A143" s="40" t="s">
        <v>164</v>
      </c>
      <c r="B143" s="28">
        <v>221</v>
      </c>
      <c r="C143" s="28" t="s">
        <v>35</v>
      </c>
      <c r="D143" s="28" t="s">
        <v>38</v>
      </c>
      <c r="E143" s="41">
        <v>46171</v>
      </c>
      <c r="F143" s="47">
        <v>0.54501157407407408</v>
      </c>
      <c r="G143" s="42">
        <v>6.3</v>
      </c>
      <c r="H143" s="40" t="s">
        <v>230</v>
      </c>
      <c r="I143" s="40" t="s">
        <v>1300</v>
      </c>
    </row>
    <row r="144" spans="1:9" x14ac:dyDescent="0.2">
      <c r="A144" s="40" t="s">
        <v>164</v>
      </c>
      <c r="B144" s="28">
        <v>221</v>
      </c>
      <c r="C144" s="28" t="s">
        <v>35</v>
      </c>
      <c r="D144" s="28" t="s">
        <v>38</v>
      </c>
      <c r="E144" s="41">
        <v>46171</v>
      </c>
      <c r="F144" s="47">
        <v>0.55611111111111111</v>
      </c>
      <c r="G144" s="44">
        <v>6.3</v>
      </c>
      <c r="H144" s="43" t="s">
        <v>227</v>
      </c>
      <c r="I144" s="40" t="s">
        <v>1300</v>
      </c>
    </row>
    <row r="145" spans="1:9" x14ac:dyDescent="0.2">
      <c r="A145" s="40" t="s">
        <v>164</v>
      </c>
      <c r="B145" s="28">
        <v>221</v>
      </c>
      <c r="C145" s="28" t="s">
        <v>35</v>
      </c>
      <c r="D145" s="28" t="s">
        <v>38</v>
      </c>
      <c r="E145" s="45">
        <v>46171</v>
      </c>
      <c r="F145" s="48">
        <v>0.64899305555555553</v>
      </c>
      <c r="G145" s="44">
        <v>6.3</v>
      </c>
      <c r="H145" s="43" t="s">
        <v>227</v>
      </c>
      <c r="I145" s="40" t="s">
        <v>1300</v>
      </c>
    </row>
    <row r="146" spans="1:9" x14ac:dyDescent="0.2">
      <c r="A146" s="40" t="s">
        <v>164</v>
      </c>
      <c r="B146" s="28">
        <v>221</v>
      </c>
      <c r="C146" s="28">
        <v>5695073</v>
      </c>
      <c r="D146" s="28"/>
      <c r="E146" s="41">
        <v>46172</v>
      </c>
      <c r="F146" s="47">
        <v>0.81748842592592597</v>
      </c>
      <c r="G146" s="44">
        <v>6.3</v>
      </c>
      <c r="H146" s="43" t="s">
        <v>228</v>
      </c>
      <c r="I146" s="40" t="s">
        <v>1300</v>
      </c>
    </row>
    <row r="147" spans="1:9" x14ac:dyDescent="0.2">
      <c r="A147" s="40" t="s">
        <v>164</v>
      </c>
      <c r="B147" s="28">
        <v>221</v>
      </c>
      <c r="C147" s="28">
        <v>5695073</v>
      </c>
      <c r="D147" s="28"/>
      <c r="E147" s="41">
        <v>46172</v>
      </c>
      <c r="F147" s="47">
        <v>0.82586805555555554</v>
      </c>
      <c r="G147" s="44">
        <v>6.3</v>
      </c>
      <c r="H147" s="43" t="s">
        <v>229</v>
      </c>
      <c r="I147" s="40" t="s">
        <v>1300</v>
      </c>
    </row>
    <row r="148" spans="1:9" x14ac:dyDescent="0.2">
      <c r="A148" s="40" t="s">
        <v>147</v>
      </c>
      <c r="B148" s="28">
        <v>222</v>
      </c>
      <c r="C148" s="28" t="s">
        <v>35</v>
      </c>
      <c r="D148" s="28" t="s">
        <v>38</v>
      </c>
      <c r="E148" s="41">
        <v>46167</v>
      </c>
      <c r="F148" s="47">
        <v>0.92751157407407403</v>
      </c>
      <c r="G148" s="44">
        <v>6.3</v>
      </c>
      <c r="H148" s="43" t="s">
        <v>230</v>
      </c>
      <c r="I148" s="40" t="s">
        <v>1300</v>
      </c>
    </row>
    <row r="149" spans="1:9" x14ac:dyDescent="0.2">
      <c r="A149" s="40" t="s">
        <v>147</v>
      </c>
      <c r="B149" s="28">
        <v>222</v>
      </c>
      <c r="C149" s="28" t="s">
        <v>35</v>
      </c>
      <c r="D149" s="28" t="s">
        <v>38</v>
      </c>
      <c r="E149" s="41">
        <v>46167</v>
      </c>
      <c r="F149" s="47">
        <v>0.93305555555555553</v>
      </c>
      <c r="G149" s="44">
        <v>6.3</v>
      </c>
      <c r="H149" s="43" t="s">
        <v>227</v>
      </c>
      <c r="I149" s="40" t="s">
        <v>1300</v>
      </c>
    </row>
    <row r="150" spans="1:9" x14ac:dyDescent="0.2">
      <c r="A150" s="40" t="s">
        <v>147</v>
      </c>
      <c r="B150" s="28">
        <v>222</v>
      </c>
      <c r="C150" s="28" t="s">
        <v>35</v>
      </c>
      <c r="D150" s="28" t="s">
        <v>38</v>
      </c>
      <c r="E150" s="41">
        <v>46172</v>
      </c>
      <c r="F150" s="47">
        <v>0.97369212962962959</v>
      </c>
      <c r="G150" s="44">
        <v>6.3</v>
      </c>
      <c r="H150" s="43" t="s">
        <v>227</v>
      </c>
      <c r="I150" s="40" t="s">
        <v>1300</v>
      </c>
    </row>
    <row r="151" spans="1:9" x14ac:dyDescent="0.2">
      <c r="A151" s="40" t="s">
        <v>147</v>
      </c>
      <c r="B151" s="28">
        <v>222</v>
      </c>
      <c r="C151" s="28">
        <v>5690885</v>
      </c>
      <c r="D151" s="28"/>
      <c r="E151" s="41">
        <v>46173</v>
      </c>
      <c r="F151" s="47">
        <v>0.29556712962962961</v>
      </c>
      <c r="G151" s="44">
        <v>6.3</v>
      </c>
      <c r="H151" s="43" t="s">
        <v>230</v>
      </c>
      <c r="I151" s="40" t="s">
        <v>1300</v>
      </c>
    </row>
    <row r="152" spans="1:9" x14ac:dyDescent="0.2">
      <c r="A152" s="40" t="s">
        <v>147</v>
      </c>
      <c r="B152" s="28">
        <v>222</v>
      </c>
      <c r="C152" s="28">
        <v>5690885</v>
      </c>
      <c r="D152" s="28"/>
      <c r="E152" s="41">
        <v>46173</v>
      </c>
      <c r="F152" s="47">
        <v>0.30048611111111112</v>
      </c>
      <c r="G152" s="44">
        <v>6.3</v>
      </c>
      <c r="H152" s="43" t="s">
        <v>227</v>
      </c>
      <c r="I152" s="40" t="s">
        <v>1300</v>
      </c>
    </row>
    <row r="153" spans="1:9" x14ac:dyDescent="0.2">
      <c r="A153" s="40" t="s">
        <v>212</v>
      </c>
      <c r="B153" s="28">
        <v>223</v>
      </c>
      <c r="C153" s="28">
        <v>5688370</v>
      </c>
      <c r="D153" s="28"/>
      <c r="E153" s="41">
        <v>46169</v>
      </c>
      <c r="F153" s="47">
        <v>2.8703703703703703E-3</v>
      </c>
      <c r="G153" s="44">
        <v>6.3</v>
      </c>
      <c r="H153" s="43" t="s">
        <v>228</v>
      </c>
      <c r="I153" s="40" t="s">
        <v>1300</v>
      </c>
    </row>
    <row r="154" spans="1:9" x14ac:dyDescent="0.2">
      <c r="A154" s="40" t="s">
        <v>212</v>
      </c>
      <c r="B154" s="28">
        <v>223</v>
      </c>
      <c r="C154" s="28">
        <v>5688370</v>
      </c>
      <c r="D154" s="28"/>
      <c r="E154" s="45">
        <v>46169</v>
      </c>
      <c r="F154" s="48">
        <v>8.8541666666666664E-3</v>
      </c>
      <c r="G154" s="44">
        <v>6.3</v>
      </c>
      <c r="H154" s="43" t="s">
        <v>232</v>
      </c>
      <c r="I154" s="40" t="s">
        <v>1300</v>
      </c>
    </row>
    <row r="155" spans="1:9" x14ac:dyDescent="0.2">
      <c r="A155" s="40" t="s">
        <v>212</v>
      </c>
      <c r="B155" s="28">
        <v>223</v>
      </c>
      <c r="C155" s="28" t="s">
        <v>35</v>
      </c>
      <c r="D155" s="28" t="s">
        <v>38</v>
      </c>
      <c r="E155" s="41">
        <v>46172</v>
      </c>
      <c r="F155" s="47">
        <v>0.90585648148148146</v>
      </c>
      <c r="G155" s="44">
        <v>6.3</v>
      </c>
      <c r="H155" s="43" t="s">
        <v>228</v>
      </c>
      <c r="I155" s="40" t="s">
        <v>1300</v>
      </c>
    </row>
    <row r="156" spans="1:9" x14ac:dyDescent="0.2">
      <c r="A156" s="40" t="s">
        <v>89</v>
      </c>
      <c r="B156" s="28">
        <v>224</v>
      </c>
      <c r="C156" s="28" t="s">
        <v>35</v>
      </c>
      <c r="D156" s="28" t="s">
        <v>38</v>
      </c>
      <c r="E156" s="41">
        <v>46168</v>
      </c>
      <c r="F156" s="47">
        <v>0.27969907407407407</v>
      </c>
      <c r="G156" s="44">
        <v>6.3</v>
      </c>
      <c r="H156" s="43" t="s">
        <v>228</v>
      </c>
      <c r="I156" s="40" t="s">
        <v>1300</v>
      </c>
    </row>
    <row r="157" spans="1:9" x14ac:dyDescent="0.2">
      <c r="A157" s="40" t="s">
        <v>89</v>
      </c>
      <c r="B157" s="28">
        <v>224</v>
      </c>
      <c r="C157" s="28" t="s">
        <v>35</v>
      </c>
      <c r="D157" s="28" t="s">
        <v>38</v>
      </c>
      <c r="E157" s="41">
        <v>46168</v>
      </c>
      <c r="F157" s="47">
        <v>0.29342592592592592</v>
      </c>
      <c r="G157" s="44">
        <v>6.3</v>
      </c>
      <c r="H157" s="43" t="s">
        <v>229</v>
      </c>
      <c r="I157" s="40" t="s">
        <v>1300</v>
      </c>
    </row>
    <row r="158" spans="1:9" x14ac:dyDescent="0.2">
      <c r="A158" s="40" t="s">
        <v>89</v>
      </c>
      <c r="B158" s="28">
        <v>224</v>
      </c>
      <c r="C158" s="28" t="s">
        <v>35</v>
      </c>
      <c r="D158" s="28" t="s">
        <v>38</v>
      </c>
      <c r="E158" s="41">
        <v>46168</v>
      </c>
      <c r="F158" s="47">
        <v>0.48167824074074073</v>
      </c>
      <c r="G158" s="44">
        <v>6.3</v>
      </c>
      <c r="H158" s="43" t="s">
        <v>230</v>
      </c>
      <c r="I158" s="40" t="s">
        <v>1300</v>
      </c>
    </row>
    <row r="159" spans="1:9" x14ac:dyDescent="0.2">
      <c r="A159" s="40" t="s">
        <v>89</v>
      </c>
      <c r="B159" s="28">
        <v>224</v>
      </c>
      <c r="C159" s="28" t="s">
        <v>35</v>
      </c>
      <c r="D159" s="28" t="s">
        <v>38</v>
      </c>
      <c r="E159" s="41">
        <v>46168</v>
      </c>
      <c r="F159" s="47">
        <v>0.48910879629629628</v>
      </c>
      <c r="G159" s="44">
        <v>6.3</v>
      </c>
      <c r="H159" s="43" t="s">
        <v>227</v>
      </c>
      <c r="I159" s="40" t="s">
        <v>1300</v>
      </c>
    </row>
    <row r="160" spans="1:9" x14ac:dyDescent="0.2">
      <c r="A160" s="40" t="s">
        <v>89</v>
      </c>
      <c r="B160" s="28">
        <v>224</v>
      </c>
      <c r="C160" s="28" t="s">
        <v>35</v>
      </c>
      <c r="D160" s="28" t="s">
        <v>38</v>
      </c>
      <c r="E160" s="41">
        <v>46169</v>
      </c>
      <c r="F160" s="47">
        <v>0.25212962962962965</v>
      </c>
      <c r="G160" s="44">
        <v>6.3</v>
      </c>
      <c r="H160" s="43" t="s">
        <v>228</v>
      </c>
      <c r="I160" s="40" t="s">
        <v>1300</v>
      </c>
    </row>
    <row r="161" spans="1:9" x14ac:dyDescent="0.2">
      <c r="A161" s="40" t="s">
        <v>89</v>
      </c>
      <c r="B161" s="28">
        <v>224</v>
      </c>
      <c r="C161" s="28" t="s">
        <v>35</v>
      </c>
      <c r="D161" s="28" t="s">
        <v>38</v>
      </c>
      <c r="E161" s="41">
        <v>46169</v>
      </c>
      <c r="F161" s="47">
        <v>0.26293981481481482</v>
      </c>
      <c r="G161" s="44">
        <v>6.3</v>
      </c>
      <c r="H161" s="43" t="s">
        <v>229</v>
      </c>
      <c r="I161" s="40" t="s">
        <v>1300</v>
      </c>
    </row>
    <row r="162" spans="1:9" x14ac:dyDescent="0.2">
      <c r="A162" s="40" t="s">
        <v>89</v>
      </c>
      <c r="B162" s="28">
        <v>224</v>
      </c>
      <c r="C162" s="28" t="s">
        <v>35</v>
      </c>
      <c r="D162" s="28" t="s">
        <v>38</v>
      </c>
      <c r="E162" s="45">
        <v>46169</v>
      </c>
      <c r="F162" s="48">
        <v>0.49932870370370369</v>
      </c>
      <c r="G162" s="44">
        <v>6.3</v>
      </c>
      <c r="H162" s="43" t="s">
        <v>230</v>
      </c>
      <c r="I162" s="40" t="s">
        <v>1300</v>
      </c>
    </row>
    <row r="163" spans="1:9" x14ac:dyDescent="0.2">
      <c r="A163" s="40" t="s">
        <v>89</v>
      </c>
      <c r="B163" s="28">
        <v>224</v>
      </c>
      <c r="C163" s="28" t="s">
        <v>35</v>
      </c>
      <c r="D163" s="28" t="s">
        <v>38</v>
      </c>
      <c r="E163" s="41">
        <v>46169</v>
      </c>
      <c r="F163" s="47">
        <v>0.50540509259259259</v>
      </c>
      <c r="G163" s="44">
        <v>6.3</v>
      </c>
      <c r="H163" s="43" t="s">
        <v>227</v>
      </c>
      <c r="I163" s="40" t="s">
        <v>1300</v>
      </c>
    </row>
    <row r="164" spans="1:9" x14ac:dyDescent="0.2">
      <c r="A164" s="40" t="s">
        <v>89</v>
      </c>
      <c r="B164" s="28">
        <v>224</v>
      </c>
      <c r="C164" s="28" t="s">
        <v>35</v>
      </c>
      <c r="D164" s="28" t="s">
        <v>38</v>
      </c>
      <c r="E164" s="41">
        <v>46169</v>
      </c>
      <c r="F164" s="47">
        <v>0.80004629629629631</v>
      </c>
      <c r="G164" s="44">
        <v>6.3</v>
      </c>
      <c r="H164" s="43" t="s">
        <v>230</v>
      </c>
      <c r="I164" s="40" t="s">
        <v>1300</v>
      </c>
    </row>
    <row r="165" spans="1:9" x14ac:dyDescent="0.2">
      <c r="A165" s="40" t="s">
        <v>89</v>
      </c>
      <c r="B165" s="28">
        <v>224</v>
      </c>
      <c r="C165" s="28" t="s">
        <v>35</v>
      </c>
      <c r="D165" s="28" t="s">
        <v>38</v>
      </c>
      <c r="E165" s="41">
        <v>46169</v>
      </c>
      <c r="F165" s="47">
        <v>0.82520833333333332</v>
      </c>
      <c r="G165" s="44">
        <v>6.3</v>
      </c>
      <c r="H165" s="43" t="s">
        <v>227</v>
      </c>
      <c r="I165" s="40" t="s">
        <v>1300</v>
      </c>
    </row>
    <row r="166" spans="1:9" x14ac:dyDescent="0.2">
      <c r="A166" s="40" t="s">
        <v>89</v>
      </c>
      <c r="B166" s="28">
        <v>224</v>
      </c>
      <c r="C166" s="28" t="s">
        <v>35</v>
      </c>
      <c r="D166" s="28" t="s">
        <v>38</v>
      </c>
      <c r="E166" s="41">
        <v>46172</v>
      </c>
      <c r="F166" s="47">
        <v>0.66062500000000002</v>
      </c>
      <c r="G166" s="44">
        <v>6.3</v>
      </c>
      <c r="H166" s="43" t="s">
        <v>230</v>
      </c>
      <c r="I166" s="40" t="s">
        <v>1300</v>
      </c>
    </row>
    <row r="167" spans="1:9" x14ac:dyDescent="0.2">
      <c r="A167" s="40" t="s">
        <v>89</v>
      </c>
      <c r="B167" s="28">
        <v>224</v>
      </c>
      <c r="C167" s="28" t="s">
        <v>35</v>
      </c>
      <c r="D167" s="28" t="s">
        <v>38</v>
      </c>
      <c r="E167" s="41">
        <v>46172</v>
      </c>
      <c r="F167" s="47">
        <v>0.75001157407407404</v>
      </c>
      <c r="G167" s="44">
        <v>6.3</v>
      </c>
      <c r="H167" s="43" t="s">
        <v>234</v>
      </c>
      <c r="I167" s="40" t="s">
        <v>1300</v>
      </c>
    </row>
    <row r="168" spans="1:9" x14ac:dyDescent="0.2">
      <c r="A168" s="40" t="s">
        <v>353</v>
      </c>
      <c r="B168" s="28">
        <v>226</v>
      </c>
      <c r="C168" s="28" t="s">
        <v>511</v>
      </c>
      <c r="D168" s="28"/>
      <c r="E168" s="41">
        <v>46168</v>
      </c>
      <c r="F168" s="47">
        <v>0.48931712962962964</v>
      </c>
      <c r="G168" s="44">
        <v>6.3</v>
      </c>
      <c r="H168" s="43" t="s">
        <v>228</v>
      </c>
      <c r="I168" s="40" t="s">
        <v>1300</v>
      </c>
    </row>
    <row r="169" spans="1:9" x14ac:dyDescent="0.2">
      <c r="A169" s="40" t="s">
        <v>353</v>
      </c>
      <c r="B169" s="28">
        <v>226</v>
      </c>
      <c r="C169" s="28" t="s">
        <v>511</v>
      </c>
      <c r="D169" s="28"/>
      <c r="E169" s="41">
        <v>46168</v>
      </c>
      <c r="F169" s="47">
        <v>0.50146990740740738</v>
      </c>
      <c r="G169" s="44">
        <v>6.3</v>
      </c>
      <c r="H169" s="43" t="s">
        <v>229</v>
      </c>
      <c r="I169" s="40" t="s">
        <v>1300</v>
      </c>
    </row>
    <row r="170" spans="1:9" x14ac:dyDescent="0.2">
      <c r="A170" s="40" t="s">
        <v>353</v>
      </c>
      <c r="B170" s="28">
        <v>226</v>
      </c>
      <c r="C170" s="28" t="s">
        <v>35</v>
      </c>
      <c r="D170" s="28" t="s">
        <v>38</v>
      </c>
      <c r="E170" s="41">
        <v>46168</v>
      </c>
      <c r="F170" s="47">
        <v>0.53156250000000005</v>
      </c>
      <c r="G170" s="44">
        <v>6.3</v>
      </c>
      <c r="H170" s="43" t="s">
        <v>230</v>
      </c>
      <c r="I170" s="40" t="s">
        <v>1300</v>
      </c>
    </row>
    <row r="171" spans="1:9" x14ac:dyDescent="0.2">
      <c r="A171" s="40" t="s">
        <v>353</v>
      </c>
      <c r="B171" s="28">
        <v>226</v>
      </c>
      <c r="C171" s="28" t="s">
        <v>35</v>
      </c>
      <c r="D171" s="28" t="s">
        <v>38</v>
      </c>
      <c r="E171" s="41">
        <v>46168</v>
      </c>
      <c r="F171" s="47">
        <v>0.53754629629629624</v>
      </c>
      <c r="G171" s="44">
        <v>6.3</v>
      </c>
      <c r="H171" s="43" t="s">
        <v>227</v>
      </c>
      <c r="I171" s="40" t="s">
        <v>1300</v>
      </c>
    </row>
    <row r="172" spans="1:9" x14ac:dyDescent="0.2">
      <c r="A172" s="40" t="s">
        <v>353</v>
      </c>
      <c r="B172" s="28">
        <v>226</v>
      </c>
      <c r="C172" s="28" t="s">
        <v>512</v>
      </c>
      <c r="D172" s="28"/>
      <c r="E172" s="45">
        <v>46169</v>
      </c>
      <c r="F172" s="48">
        <v>0.56136574074074075</v>
      </c>
      <c r="G172" s="44">
        <v>6.3</v>
      </c>
      <c r="H172" s="43" t="s">
        <v>228</v>
      </c>
      <c r="I172" s="40" t="s">
        <v>1300</v>
      </c>
    </row>
    <row r="173" spans="1:9" x14ac:dyDescent="0.2">
      <c r="A173" s="40" t="s">
        <v>353</v>
      </c>
      <c r="B173" s="28">
        <v>226</v>
      </c>
      <c r="C173" s="28" t="s">
        <v>35</v>
      </c>
      <c r="D173" s="28" t="s">
        <v>38</v>
      </c>
      <c r="E173" s="45">
        <v>46169</v>
      </c>
      <c r="F173" s="48">
        <v>0.62474537037037037</v>
      </c>
      <c r="G173" s="42">
        <v>6.3</v>
      </c>
      <c r="H173" s="40" t="s">
        <v>227</v>
      </c>
      <c r="I173" s="40" t="s">
        <v>1300</v>
      </c>
    </row>
    <row r="174" spans="1:9" x14ac:dyDescent="0.2">
      <c r="A174" s="40" t="s">
        <v>353</v>
      </c>
      <c r="B174" s="28">
        <v>226</v>
      </c>
      <c r="C174" s="28">
        <v>5691632</v>
      </c>
      <c r="D174" s="28"/>
      <c r="E174" s="45">
        <v>46170</v>
      </c>
      <c r="F174" s="48">
        <v>0.62390046296296298</v>
      </c>
      <c r="G174" s="44">
        <v>6.3</v>
      </c>
      <c r="H174" s="43" t="s">
        <v>228</v>
      </c>
      <c r="I174" s="40" t="s">
        <v>1300</v>
      </c>
    </row>
    <row r="175" spans="1:9" x14ac:dyDescent="0.2">
      <c r="A175" s="40" t="s">
        <v>353</v>
      </c>
      <c r="B175" s="28">
        <v>226</v>
      </c>
      <c r="C175" s="28">
        <v>5691632</v>
      </c>
      <c r="D175" s="28"/>
      <c r="E175" s="45">
        <v>46170</v>
      </c>
      <c r="F175" s="48">
        <v>0.64050925925925928</v>
      </c>
      <c r="G175" s="44">
        <v>6.3</v>
      </c>
      <c r="H175" s="43" t="s">
        <v>229</v>
      </c>
      <c r="I175" s="40" t="s">
        <v>1300</v>
      </c>
    </row>
    <row r="176" spans="1:9" x14ac:dyDescent="0.2">
      <c r="A176" s="40" t="s">
        <v>353</v>
      </c>
      <c r="B176" s="28">
        <v>226</v>
      </c>
      <c r="C176" s="28" t="s">
        <v>35</v>
      </c>
      <c r="D176" s="28" t="s">
        <v>38</v>
      </c>
      <c r="E176" s="41">
        <v>46170</v>
      </c>
      <c r="F176" s="47">
        <v>0.67864583333333328</v>
      </c>
      <c r="G176" s="44">
        <v>6.3</v>
      </c>
      <c r="H176" s="43" t="s">
        <v>230</v>
      </c>
      <c r="I176" s="40" t="s">
        <v>1300</v>
      </c>
    </row>
    <row r="177" spans="1:9" x14ac:dyDescent="0.2">
      <c r="A177" s="40" t="s">
        <v>353</v>
      </c>
      <c r="B177" s="28">
        <v>226</v>
      </c>
      <c r="C177" s="28" t="s">
        <v>35</v>
      </c>
      <c r="D177" s="28" t="s">
        <v>38</v>
      </c>
      <c r="E177" s="41">
        <v>46170</v>
      </c>
      <c r="F177" s="47">
        <v>0.68850694444444449</v>
      </c>
      <c r="G177" s="44">
        <v>6.3</v>
      </c>
      <c r="H177" s="43" t="s">
        <v>227</v>
      </c>
      <c r="I177" s="40" t="s">
        <v>1300</v>
      </c>
    </row>
    <row r="178" spans="1:9" x14ac:dyDescent="0.2">
      <c r="A178" s="40" t="s">
        <v>353</v>
      </c>
      <c r="B178" s="28">
        <v>226</v>
      </c>
      <c r="C178" s="28">
        <v>5691157</v>
      </c>
      <c r="D178" s="28"/>
      <c r="E178" s="41">
        <v>46170</v>
      </c>
      <c r="F178" s="47">
        <v>0.75101851851851853</v>
      </c>
      <c r="G178" s="44">
        <v>6.3</v>
      </c>
      <c r="H178" s="43" t="s">
        <v>228</v>
      </c>
      <c r="I178" s="40" t="s">
        <v>1300</v>
      </c>
    </row>
    <row r="179" spans="1:9" x14ac:dyDescent="0.2">
      <c r="A179" s="40" t="s">
        <v>353</v>
      </c>
      <c r="B179" s="28">
        <v>226</v>
      </c>
      <c r="C179" s="28">
        <v>5691157</v>
      </c>
      <c r="D179" s="28"/>
      <c r="E179" s="41">
        <v>46170</v>
      </c>
      <c r="F179" s="47">
        <v>0.76355324074074071</v>
      </c>
      <c r="G179" s="44">
        <v>6.3</v>
      </c>
      <c r="H179" s="43" t="s">
        <v>229</v>
      </c>
      <c r="I179" s="40" t="s">
        <v>1300</v>
      </c>
    </row>
    <row r="180" spans="1:9" x14ac:dyDescent="0.2">
      <c r="A180" s="40" t="s">
        <v>54</v>
      </c>
      <c r="B180" s="28">
        <v>227</v>
      </c>
      <c r="C180" s="28">
        <v>5685099</v>
      </c>
      <c r="D180" s="28" t="s">
        <v>36</v>
      </c>
      <c r="E180" s="41">
        <v>46167</v>
      </c>
      <c r="F180" s="47">
        <v>0.37806712962962963</v>
      </c>
      <c r="G180" s="44">
        <v>6.3</v>
      </c>
      <c r="H180" s="43" t="s">
        <v>228</v>
      </c>
      <c r="I180" s="40" t="s">
        <v>1300</v>
      </c>
    </row>
    <row r="181" spans="1:9" x14ac:dyDescent="0.2">
      <c r="A181" s="40" t="s">
        <v>54</v>
      </c>
      <c r="B181" s="28">
        <v>227</v>
      </c>
      <c r="C181" s="28" t="s">
        <v>35</v>
      </c>
      <c r="D181" s="28" t="s">
        <v>38</v>
      </c>
      <c r="E181" s="41">
        <v>46167</v>
      </c>
      <c r="F181" s="47">
        <v>0.42803240740740739</v>
      </c>
      <c r="G181" s="44">
        <v>6.3</v>
      </c>
      <c r="H181" s="43" t="s">
        <v>227</v>
      </c>
      <c r="I181" s="40" t="s">
        <v>1300</v>
      </c>
    </row>
    <row r="182" spans="1:9" x14ac:dyDescent="0.2">
      <c r="A182" s="40" t="s">
        <v>54</v>
      </c>
      <c r="B182" s="28">
        <v>227</v>
      </c>
      <c r="C182" s="28" t="s">
        <v>513</v>
      </c>
      <c r="D182" s="28"/>
      <c r="E182" s="41">
        <v>46168</v>
      </c>
      <c r="F182" s="47">
        <v>0.49233796296296295</v>
      </c>
      <c r="G182" s="44">
        <v>6.3</v>
      </c>
      <c r="H182" s="43" t="s">
        <v>228</v>
      </c>
      <c r="I182" s="40" t="s">
        <v>1300</v>
      </c>
    </row>
    <row r="183" spans="1:9" x14ac:dyDescent="0.2">
      <c r="A183" s="40" t="s">
        <v>54</v>
      </c>
      <c r="B183" s="28">
        <v>227</v>
      </c>
      <c r="C183" s="28" t="s">
        <v>513</v>
      </c>
      <c r="D183" s="28"/>
      <c r="E183" s="41">
        <v>46168</v>
      </c>
      <c r="F183" s="47">
        <v>0.50384259259259256</v>
      </c>
      <c r="G183" s="44">
        <v>6.3</v>
      </c>
      <c r="H183" s="43" t="s">
        <v>229</v>
      </c>
      <c r="I183" s="40" t="s">
        <v>1300</v>
      </c>
    </row>
    <row r="184" spans="1:9" x14ac:dyDescent="0.2">
      <c r="A184" s="40" t="s">
        <v>54</v>
      </c>
      <c r="B184" s="28">
        <v>227</v>
      </c>
      <c r="C184" s="28">
        <v>5691828</v>
      </c>
      <c r="D184" s="28"/>
      <c r="E184" s="41">
        <v>46170</v>
      </c>
      <c r="F184" s="47">
        <v>0.73428240740740736</v>
      </c>
      <c r="G184" s="44">
        <v>6.3</v>
      </c>
      <c r="H184" s="43" t="s">
        <v>228</v>
      </c>
      <c r="I184" s="40" t="s">
        <v>1300</v>
      </c>
    </row>
    <row r="185" spans="1:9" x14ac:dyDescent="0.2">
      <c r="A185" s="40" t="s">
        <v>54</v>
      </c>
      <c r="B185" s="28">
        <v>227</v>
      </c>
      <c r="C185" s="28">
        <v>5691828</v>
      </c>
      <c r="D185" s="28"/>
      <c r="E185" s="41">
        <v>46170</v>
      </c>
      <c r="F185" s="47">
        <v>0.74859953703703708</v>
      </c>
      <c r="G185" s="44">
        <v>6.3</v>
      </c>
      <c r="H185" s="43" t="s">
        <v>229</v>
      </c>
      <c r="I185" s="40" t="s">
        <v>1300</v>
      </c>
    </row>
    <row r="186" spans="1:9" x14ac:dyDescent="0.2">
      <c r="A186" s="40" t="s">
        <v>54</v>
      </c>
      <c r="B186" s="28">
        <v>227</v>
      </c>
      <c r="C186" s="28" t="s">
        <v>514</v>
      </c>
      <c r="D186" s="28"/>
      <c r="E186" s="41">
        <v>46172</v>
      </c>
      <c r="F186" s="47">
        <v>0.61655092592592597</v>
      </c>
      <c r="G186" s="44">
        <v>6.3</v>
      </c>
      <c r="H186" s="43" t="s">
        <v>228</v>
      </c>
      <c r="I186" s="40" t="s">
        <v>1300</v>
      </c>
    </row>
    <row r="187" spans="1:9" x14ac:dyDescent="0.2">
      <c r="A187" s="40" t="s">
        <v>54</v>
      </c>
      <c r="B187" s="28">
        <v>227</v>
      </c>
      <c r="C187" s="28" t="s">
        <v>514</v>
      </c>
      <c r="D187" s="28"/>
      <c r="E187" s="41">
        <v>46172</v>
      </c>
      <c r="F187" s="47">
        <v>0.62949074074074074</v>
      </c>
      <c r="G187" s="44">
        <v>6.3</v>
      </c>
      <c r="H187" s="43" t="s">
        <v>229</v>
      </c>
      <c r="I187" s="40" t="s">
        <v>1300</v>
      </c>
    </row>
    <row r="188" spans="1:9" x14ac:dyDescent="0.2">
      <c r="A188" s="40" t="s">
        <v>55</v>
      </c>
      <c r="B188" s="28">
        <v>230</v>
      </c>
      <c r="C188" s="28">
        <v>5688897</v>
      </c>
      <c r="D188" s="28"/>
      <c r="E188" s="41">
        <v>46169</v>
      </c>
      <c r="F188" s="47">
        <v>0.25660879629629629</v>
      </c>
      <c r="G188" s="44">
        <v>6.3</v>
      </c>
      <c r="H188" s="43" t="s">
        <v>230</v>
      </c>
      <c r="I188" s="40" t="s">
        <v>1300</v>
      </c>
    </row>
    <row r="189" spans="1:9" x14ac:dyDescent="0.2">
      <c r="A189" s="40" t="s">
        <v>55</v>
      </c>
      <c r="B189" s="28">
        <v>230</v>
      </c>
      <c r="C189" s="28">
        <v>5688897</v>
      </c>
      <c r="D189" s="28"/>
      <c r="E189" s="41">
        <v>46169</v>
      </c>
      <c r="F189" s="47">
        <v>0.26280092592592591</v>
      </c>
      <c r="G189" s="44">
        <v>6.3</v>
      </c>
      <c r="H189" s="43" t="s">
        <v>227</v>
      </c>
      <c r="I189" s="40" t="s">
        <v>1300</v>
      </c>
    </row>
    <row r="190" spans="1:9" x14ac:dyDescent="0.2">
      <c r="A190" s="40" t="s">
        <v>55</v>
      </c>
      <c r="B190" s="28">
        <v>230</v>
      </c>
      <c r="C190" s="28" t="s">
        <v>515</v>
      </c>
      <c r="D190" s="28"/>
      <c r="E190" s="41">
        <v>46172</v>
      </c>
      <c r="F190" s="47">
        <v>0.38836805555555554</v>
      </c>
      <c r="G190" s="44">
        <v>6.3</v>
      </c>
      <c r="H190" s="43" t="s">
        <v>228</v>
      </c>
      <c r="I190" s="40" t="s">
        <v>1300</v>
      </c>
    </row>
    <row r="191" spans="1:9" x14ac:dyDescent="0.2">
      <c r="A191" s="40" t="s">
        <v>55</v>
      </c>
      <c r="B191" s="28">
        <v>230</v>
      </c>
      <c r="C191" s="28" t="s">
        <v>515</v>
      </c>
      <c r="D191" s="28"/>
      <c r="E191" s="41">
        <v>46172</v>
      </c>
      <c r="F191" s="47">
        <v>0.39783564814814815</v>
      </c>
      <c r="G191" s="42">
        <v>6.3</v>
      </c>
      <c r="H191" s="40" t="s">
        <v>229</v>
      </c>
      <c r="I191" s="40" t="s">
        <v>1300</v>
      </c>
    </row>
    <row r="192" spans="1:9" x14ac:dyDescent="0.2">
      <c r="A192" s="40" t="s">
        <v>392</v>
      </c>
      <c r="B192" s="28">
        <v>233</v>
      </c>
      <c r="C192" s="28" t="s">
        <v>516</v>
      </c>
      <c r="D192" s="28"/>
      <c r="E192" s="41">
        <v>46167</v>
      </c>
      <c r="F192" s="47">
        <v>0.59320601851851851</v>
      </c>
      <c r="G192" s="42">
        <v>6.3</v>
      </c>
      <c r="H192" s="40" t="s">
        <v>228</v>
      </c>
      <c r="I192" s="40" t="s">
        <v>1300</v>
      </c>
    </row>
    <row r="193" spans="1:9" x14ac:dyDescent="0.2">
      <c r="A193" s="40" t="s">
        <v>392</v>
      </c>
      <c r="B193" s="28">
        <v>233</v>
      </c>
      <c r="C193" s="28" t="s">
        <v>516</v>
      </c>
      <c r="D193" s="28"/>
      <c r="E193" s="41">
        <v>46167</v>
      </c>
      <c r="F193" s="47">
        <v>0.60523148148148154</v>
      </c>
      <c r="G193" s="44">
        <v>6.3</v>
      </c>
      <c r="H193" s="43" t="s">
        <v>229</v>
      </c>
      <c r="I193" s="40" t="s">
        <v>1300</v>
      </c>
    </row>
    <row r="194" spans="1:9" x14ac:dyDescent="0.2">
      <c r="A194" s="40" t="s">
        <v>392</v>
      </c>
      <c r="B194" s="28">
        <v>233</v>
      </c>
      <c r="C194" s="28" t="s">
        <v>35</v>
      </c>
      <c r="D194" s="28" t="s">
        <v>38</v>
      </c>
      <c r="E194" s="41">
        <v>46167</v>
      </c>
      <c r="F194" s="47">
        <v>0.62282407407407403</v>
      </c>
      <c r="G194" s="44">
        <v>6.3</v>
      </c>
      <c r="H194" s="43" t="s">
        <v>230</v>
      </c>
      <c r="I194" s="40" t="s">
        <v>1300</v>
      </c>
    </row>
    <row r="195" spans="1:9" x14ac:dyDescent="0.2">
      <c r="A195" s="40" t="s">
        <v>392</v>
      </c>
      <c r="B195" s="28">
        <v>233</v>
      </c>
      <c r="C195" s="28" t="s">
        <v>517</v>
      </c>
      <c r="D195" s="28"/>
      <c r="E195" s="41">
        <v>46172</v>
      </c>
      <c r="F195" s="47">
        <v>0.44415509259259262</v>
      </c>
      <c r="G195" s="44">
        <v>6.3</v>
      </c>
      <c r="H195" s="43" t="s">
        <v>228</v>
      </c>
      <c r="I195" s="40" t="s">
        <v>1300</v>
      </c>
    </row>
    <row r="196" spans="1:9" x14ac:dyDescent="0.2">
      <c r="A196" s="40" t="s">
        <v>392</v>
      </c>
      <c r="B196" s="28">
        <v>233</v>
      </c>
      <c r="C196" s="28" t="s">
        <v>517</v>
      </c>
      <c r="D196" s="28"/>
      <c r="E196" s="41">
        <v>46172</v>
      </c>
      <c r="F196" s="47">
        <v>0.45506944444444447</v>
      </c>
      <c r="G196" s="44">
        <v>6.3</v>
      </c>
      <c r="H196" s="43" t="s">
        <v>229</v>
      </c>
      <c r="I196" s="40" t="s">
        <v>1300</v>
      </c>
    </row>
    <row r="197" spans="1:9" x14ac:dyDescent="0.2">
      <c r="A197" s="40" t="s">
        <v>392</v>
      </c>
      <c r="B197" s="28">
        <v>233</v>
      </c>
      <c r="C197" s="28">
        <v>5695551</v>
      </c>
      <c r="D197" s="28"/>
      <c r="E197" s="41">
        <v>46173</v>
      </c>
      <c r="F197" s="47">
        <v>0.40297453703703706</v>
      </c>
      <c r="G197" s="44">
        <v>6.3</v>
      </c>
      <c r="H197" s="43" t="s">
        <v>228</v>
      </c>
      <c r="I197" s="40" t="s">
        <v>1300</v>
      </c>
    </row>
    <row r="198" spans="1:9" x14ac:dyDescent="0.2">
      <c r="A198" s="40" t="s">
        <v>392</v>
      </c>
      <c r="B198" s="28">
        <v>233</v>
      </c>
      <c r="C198" s="28">
        <v>5695551</v>
      </c>
      <c r="D198" s="28"/>
      <c r="E198" s="41">
        <v>46173</v>
      </c>
      <c r="F198" s="47">
        <v>0.41087962962962965</v>
      </c>
      <c r="G198" s="44">
        <v>6.3</v>
      </c>
      <c r="H198" s="43" t="s">
        <v>229</v>
      </c>
      <c r="I198" s="40" t="s">
        <v>1300</v>
      </c>
    </row>
    <row r="199" spans="1:9" x14ac:dyDescent="0.2">
      <c r="A199" s="40" t="s">
        <v>518</v>
      </c>
      <c r="B199" s="28">
        <v>245</v>
      </c>
      <c r="C199" s="28">
        <v>5685585</v>
      </c>
      <c r="D199" s="28"/>
      <c r="E199" s="45">
        <v>46167</v>
      </c>
      <c r="F199" s="48">
        <v>0.38427083333333334</v>
      </c>
      <c r="G199" s="44">
        <v>6.3</v>
      </c>
      <c r="H199" s="43" t="s">
        <v>228</v>
      </c>
      <c r="I199" s="40" t="s">
        <v>1300</v>
      </c>
    </row>
    <row r="200" spans="1:9" x14ac:dyDescent="0.2">
      <c r="A200" s="40" t="s">
        <v>518</v>
      </c>
      <c r="B200" s="28">
        <v>245</v>
      </c>
      <c r="C200" s="28">
        <v>5685585</v>
      </c>
      <c r="D200" s="28"/>
      <c r="E200" s="45">
        <v>46167</v>
      </c>
      <c r="F200" s="48">
        <v>0.40151620370370372</v>
      </c>
      <c r="G200" s="44">
        <v>6.3</v>
      </c>
      <c r="H200" s="43" t="s">
        <v>229</v>
      </c>
      <c r="I200" s="40" t="s">
        <v>1300</v>
      </c>
    </row>
    <row r="201" spans="1:9" x14ac:dyDescent="0.2">
      <c r="A201" s="40" t="s">
        <v>518</v>
      </c>
      <c r="B201" s="28">
        <v>245</v>
      </c>
      <c r="C201" s="28">
        <v>5689532</v>
      </c>
      <c r="D201" s="28"/>
      <c r="E201" s="41">
        <v>46169</v>
      </c>
      <c r="F201" s="47">
        <v>0.51888888888888884</v>
      </c>
      <c r="G201" s="44">
        <v>6.3</v>
      </c>
      <c r="H201" s="43" t="s">
        <v>228</v>
      </c>
      <c r="I201" s="40" t="s">
        <v>1300</v>
      </c>
    </row>
    <row r="202" spans="1:9" x14ac:dyDescent="0.2">
      <c r="A202" s="40" t="s">
        <v>518</v>
      </c>
      <c r="B202" s="28">
        <v>245</v>
      </c>
      <c r="C202" s="28">
        <v>5689532</v>
      </c>
      <c r="D202" s="28"/>
      <c r="E202" s="41">
        <v>46169</v>
      </c>
      <c r="F202" s="47">
        <v>0.528900462962963</v>
      </c>
      <c r="G202" s="44">
        <v>6.3</v>
      </c>
      <c r="H202" s="43" t="s">
        <v>229</v>
      </c>
      <c r="I202" s="40" t="s">
        <v>1300</v>
      </c>
    </row>
    <row r="203" spans="1:9" x14ac:dyDescent="0.2">
      <c r="A203" s="40" t="s">
        <v>518</v>
      </c>
      <c r="B203" s="28">
        <v>245</v>
      </c>
      <c r="C203" s="28">
        <v>5693370</v>
      </c>
      <c r="D203" s="28"/>
      <c r="E203" s="41">
        <v>46171</v>
      </c>
      <c r="F203" s="47">
        <v>0.6328125</v>
      </c>
      <c r="G203" s="44">
        <v>6.3</v>
      </c>
      <c r="H203" s="43" t="s">
        <v>228</v>
      </c>
      <c r="I203" s="40" t="s">
        <v>1300</v>
      </c>
    </row>
    <row r="204" spans="1:9" x14ac:dyDescent="0.2">
      <c r="A204" s="40" t="s">
        <v>518</v>
      </c>
      <c r="B204" s="28">
        <v>245</v>
      </c>
      <c r="C204" s="28">
        <v>5693370</v>
      </c>
      <c r="D204" s="28"/>
      <c r="E204" s="41">
        <v>46171</v>
      </c>
      <c r="F204" s="47">
        <v>0.64261574074074079</v>
      </c>
      <c r="G204" s="44">
        <v>6.3</v>
      </c>
      <c r="H204" s="43" t="s">
        <v>229</v>
      </c>
      <c r="I204" s="40" t="s">
        <v>1300</v>
      </c>
    </row>
    <row r="205" spans="1:9" x14ac:dyDescent="0.2">
      <c r="A205" s="40" t="s">
        <v>142</v>
      </c>
      <c r="B205" s="28">
        <v>248</v>
      </c>
      <c r="C205" s="28">
        <v>5685318</v>
      </c>
      <c r="D205" s="28" t="s">
        <v>37</v>
      </c>
      <c r="E205" s="41">
        <v>46167</v>
      </c>
      <c r="F205" s="47">
        <v>3.3437500000000002E-2</v>
      </c>
      <c r="G205" s="44">
        <v>6.3</v>
      </c>
      <c r="H205" s="43" t="s">
        <v>228</v>
      </c>
      <c r="I205" s="40" t="s">
        <v>1300</v>
      </c>
    </row>
    <row r="206" spans="1:9" x14ac:dyDescent="0.2">
      <c r="A206" s="40" t="s">
        <v>142</v>
      </c>
      <c r="B206" s="28">
        <v>248</v>
      </c>
      <c r="C206" s="28">
        <v>5685318</v>
      </c>
      <c r="D206" s="28" t="s">
        <v>37</v>
      </c>
      <c r="E206" s="45">
        <v>46167</v>
      </c>
      <c r="F206" s="48">
        <v>4.010416666666667E-2</v>
      </c>
      <c r="G206" s="44">
        <v>6.3</v>
      </c>
      <c r="H206" s="43" t="s">
        <v>232</v>
      </c>
      <c r="I206" s="40" t="s">
        <v>1300</v>
      </c>
    </row>
    <row r="207" spans="1:9" x14ac:dyDescent="0.2">
      <c r="A207" s="40" t="s">
        <v>142</v>
      </c>
      <c r="B207" s="28">
        <v>248</v>
      </c>
      <c r="C207" s="28">
        <v>5685059</v>
      </c>
      <c r="D207" s="28"/>
      <c r="E207" s="41">
        <v>46167</v>
      </c>
      <c r="F207" s="47">
        <v>0.19664351851851852</v>
      </c>
      <c r="G207" s="44">
        <v>6.3</v>
      </c>
      <c r="H207" s="43" t="s">
        <v>230</v>
      </c>
      <c r="I207" s="40" t="s">
        <v>1300</v>
      </c>
    </row>
    <row r="208" spans="1:9" x14ac:dyDescent="0.2">
      <c r="A208" s="40" t="s">
        <v>142</v>
      </c>
      <c r="B208" s="28">
        <v>248</v>
      </c>
      <c r="C208" s="28">
        <v>5685059</v>
      </c>
      <c r="D208" s="28"/>
      <c r="E208" s="41">
        <v>46167</v>
      </c>
      <c r="F208" s="47">
        <v>0.20175925925925925</v>
      </c>
      <c r="G208" s="44">
        <v>6.3</v>
      </c>
      <c r="H208" s="43" t="s">
        <v>227</v>
      </c>
      <c r="I208" s="40" t="s">
        <v>1300</v>
      </c>
    </row>
    <row r="209" spans="1:9" x14ac:dyDescent="0.2">
      <c r="A209" s="40" t="s">
        <v>142</v>
      </c>
      <c r="B209" s="28">
        <v>248</v>
      </c>
      <c r="C209" s="28">
        <v>5690739</v>
      </c>
      <c r="D209" s="28"/>
      <c r="E209" s="41">
        <v>46170</v>
      </c>
      <c r="F209" s="47">
        <v>0.25673611111111111</v>
      </c>
      <c r="G209" s="44">
        <v>6.3</v>
      </c>
      <c r="H209" s="43" t="s">
        <v>227</v>
      </c>
      <c r="I209" s="40" t="s">
        <v>1300</v>
      </c>
    </row>
    <row r="210" spans="1:9" x14ac:dyDescent="0.2">
      <c r="A210" s="40" t="s">
        <v>142</v>
      </c>
      <c r="B210" s="28">
        <v>248</v>
      </c>
      <c r="C210" s="28" t="s">
        <v>35</v>
      </c>
      <c r="D210" s="28" t="s">
        <v>38</v>
      </c>
      <c r="E210" s="41">
        <v>46170</v>
      </c>
      <c r="F210" s="47">
        <v>0.76501157407407405</v>
      </c>
      <c r="G210" s="44">
        <v>6.3</v>
      </c>
      <c r="H210" s="43" t="s">
        <v>230</v>
      </c>
      <c r="I210" s="40" t="s">
        <v>1300</v>
      </c>
    </row>
    <row r="211" spans="1:9" x14ac:dyDescent="0.2">
      <c r="A211" s="40" t="s">
        <v>142</v>
      </c>
      <c r="B211" s="28">
        <v>248</v>
      </c>
      <c r="C211" s="28" t="s">
        <v>35</v>
      </c>
      <c r="D211" s="28" t="s">
        <v>38</v>
      </c>
      <c r="E211" s="41">
        <v>46170</v>
      </c>
      <c r="F211" s="47">
        <v>0.78533564814814816</v>
      </c>
      <c r="G211" s="44">
        <v>6.3</v>
      </c>
      <c r="H211" s="43" t="s">
        <v>227</v>
      </c>
      <c r="I211" s="40" t="s">
        <v>1300</v>
      </c>
    </row>
    <row r="212" spans="1:9" x14ac:dyDescent="0.2">
      <c r="A212" s="40" t="s">
        <v>142</v>
      </c>
      <c r="B212" s="28">
        <v>248</v>
      </c>
      <c r="C212" s="28">
        <v>5692526</v>
      </c>
      <c r="D212" s="28"/>
      <c r="E212" s="41">
        <v>46171</v>
      </c>
      <c r="F212" s="47">
        <v>0.15314814814814814</v>
      </c>
      <c r="G212" s="44">
        <v>6.3</v>
      </c>
      <c r="H212" s="43" t="s">
        <v>230</v>
      </c>
      <c r="I212" s="40" t="s">
        <v>1300</v>
      </c>
    </row>
    <row r="213" spans="1:9" x14ac:dyDescent="0.2">
      <c r="A213" s="40" t="s">
        <v>142</v>
      </c>
      <c r="B213" s="28">
        <v>248</v>
      </c>
      <c r="C213" s="28">
        <v>5692526</v>
      </c>
      <c r="D213" s="28"/>
      <c r="E213" s="41">
        <v>46171</v>
      </c>
      <c r="F213" s="47">
        <v>0.15850694444444444</v>
      </c>
      <c r="G213" s="44">
        <v>6.3</v>
      </c>
      <c r="H213" s="43" t="s">
        <v>227</v>
      </c>
      <c r="I213" s="40" t="s">
        <v>1300</v>
      </c>
    </row>
    <row r="214" spans="1:9" x14ac:dyDescent="0.2">
      <c r="A214" s="40" t="s">
        <v>142</v>
      </c>
      <c r="B214" s="28">
        <v>248</v>
      </c>
      <c r="C214" s="28">
        <v>5694349</v>
      </c>
      <c r="D214" s="28"/>
      <c r="E214" s="41">
        <v>46172</v>
      </c>
      <c r="F214" s="47">
        <v>0.13589120370370369</v>
      </c>
      <c r="G214" s="44">
        <v>6.3</v>
      </c>
      <c r="H214" s="43" t="s">
        <v>227</v>
      </c>
      <c r="I214" s="40" t="s">
        <v>1300</v>
      </c>
    </row>
    <row r="215" spans="1:9" x14ac:dyDescent="0.2">
      <c r="A215" s="40" t="s">
        <v>142</v>
      </c>
      <c r="B215" s="28">
        <v>248</v>
      </c>
      <c r="C215" s="28">
        <v>5694421</v>
      </c>
      <c r="D215" s="28"/>
      <c r="E215" s="41">
        <v>46172</v>
      </c>
      <c r="F215" s="47">
        <v>0.34936342592592595</v>
      </c>
      <c r="G215" s="44">
        <v>6.3</v>
      </c>
      <c r="H215" s="43" t="s">
        <v>228</v>
      </c>
      <c r="I215" s="40" t="s">
        <v>1300</v>
      </c>
    </row>
    <row r="216" spans="1:9" x14ac:dyDescent="0.2">
      <c r="A216" s="40" t="s">
        <v>142</v>
      </c>
      <c r="B216" s="28">
        <v>248</v>
      </c>
      <c r="C216" s="28">
        <v>5694421</v>
      </c>
      <c r="D216" s="28"/>
      <c r="E216" s="41">
        <v>46172</v>
      </c>
      <c r="F216" s="47">
        <v>0.35843750000000002</v>
      </c>
      <c r="G216" s="44">
        <v>6.3</v>
      </c>
      <c r="H216" s="43" t="s">
        <v>232</v>
      </c>
      <c r="I216" s="40" t="s">
        <v>1300</v>
      </c>
    </row>
    <row r="217" spans="1:9" x14ac:dyDescent="0.2">
      <c r="A217" s="40" t="s">
        <v>142</v>
      </c>
      <c r="B217" s="28">
        <v>248</v>
      </c>
      <c r="C217" s="28">
        <v>5695366</v>
      </c>
      <c r="D217" s="28" t="s">
        <v>37</v>
      </c>
      <c r="E217" s="41">
        <v>46173</v>
      </c>
      <c r="F217" s="47">
        <v>0.37276620370370372</v>
      </c>
      <c r="G217" s="44">
        <v>6.3</v>
      </c>
      <c r="H217" s="43" t="s">
        <v>230</v>
      </c>
      <c r="I217" s="40" t="s">
        <v>1300</v>
      </c>
    </row>
    <row r="218" spans="1:9" x14ac:dyDescent="0.2">
      <c r="A218" s="40" t="s">
        <v>142</v>
      </c>
      <c r="B218" s="28">
        <v>248</v>
      </c>
      <c r="C218" s="28">
        <v>5695366</v>
      </c>
      <c r="D218" s="28" t="s">
        <v>37</v>
      </c>
      <c r="E218" s="41">
        <v>46173</v>
      </c>
      <c r="F218" s="47">
        <v>0.37812499999999999</v>
      </c>
      <c r="G218" s="44">
        <v>6.3</v>
      </c>
      <c r="H218" s="43" t="s">
        <v>227</v>
      </c>
      <c r="I218" s="40" t="s">
        <v>1300</v>
      </c>
    </row>
    <row r="219" spans="1:9" x14ac:dyDescent="0.2">
      <c r="A219" s="40" t="s">
        <v>142</v>
      </c>
      <c r="B219" s="28">
        <v>248</v>
      </c>
      <c r="C219" s="28" t="s">
        <v>519</v>
      </c>
      <c r="D219" s="28"/>
      <c r="E219" s="41">
        <v>46173</v>
      </c>
      <c r="F219" s="47">
        <v>0.8888773148148148</v>
      </c>
      <c r="G219" s="44">
        <v>6.3</v>
      </c>
      <c r="H219" s="43" t="s">
        <v>228</v>
      </c>
      <c r="I219" s="40" t="s">
        <v>1300</v>
      </c>
    </row>
    <row r="220" spans="1:9" x14ac:dyDescent="0.2">
      <c r="A220" s="40" t="s">
        <v>56</v>
      </c>
      <c r="B220" s="28">
        <v>251</v>
      </c>
      <c r="C220" s="28">
        <v>5685445</v>
      </c>
      <c r="D220" s="28" t="s">
        <v>37</v>
      </c>
      <c r="E220" s="41">
        <v>46167</v>
      </c>
      <c r="F220" s="47">
        <v>0.24824074074074073</v>
      </c>
      <c r="G220" s="44">
        <v>6.3</v>
      </c>
      <c r="H220" s="43" t="s">
        <v>230</v>
      </c>
      <c r="I220" s="40" t="s">
        <v>1300</v>
      </c>
    </row>
    <row r="221" spans="1:9" x14ac:dyDescent="0.2">
      <c r="A221" s="40" t="s">
        <v>56</v>
      </c>
      <c r="B221" s="28">
        <v>251</v>
      </c>
      <c r="C221" s="28">
        <v>5685445</v>
      </c>
      <c r="D221" s="28" t="s">
        <v>37</v>
      </c>
      <c r="E221" s="41">
        <v>46167</v>
      </c>
      <c r="F221" s="47">
        <v>0.25398148148148147</v>
      </c>
      <c r="G221" s="44">
        <v>6.3</v>
      </c>
      <c r="H221" s="43" t="s">
        <v>227</v>
      </c>
      <c r="I221" s="40" t="s">
        <v>1300</v>
      </c>
    </row>
    <row r="222" spans="1:9" x14ac:dyDescent="0.2">
      <c r="A222" s="40" t="s">
        <v>56</v>
      </c>
      <c r="B222" s="28">
        <v>251</v>
      </c>
      <c r="C222" s="28" t="s">
        <v>35</v>
      </c>
      <c r="D222" s="28" t="s">
        <v>38</v>
      </c>
      <c r="E222" s="41">
        <v>46168</v>
      </c>
      <c r="F222" s="47">
        <v>0.79231481481481481</v>
      </c>
      <c r="G222" s="44">
        <v>6.3</v>
      </c>
      <c r="H222" s="43" t="s">
        <v>235</v>
      </c>
      <c r="I222" s="40" t="s">
        <v>1300</v>
      </c>
    </row>
    <row r="223" spans="1:9" x14ac:dyDescent="0.2">
      <c r="A223" s="40" t="s">
        <v>56</v>
      </c>
      <c r="B223" s="28">
        <v>251</v>
      </c>
      <c r="C223" s="28" t="s">
        <v>35</v>
      </c>
      <c r="D223" s="28" t="s">
        <v>38</v>
      </c>
      <c r="E223" s="41">
        <v>46168</v>
      </c>
      <c r="F223" s="47">
        <v>0.80938657407407411</v>
      </c>
      <c r="G223" s="42">
        <v>6.3</v>
      </c>
      <c r="H223" s="40" t="s">
        <v>229</v>
      </c>
      <c r="I223" s="40" t="s">
        <v>1300</v>
      </c>
    </row>
    <row r="224" spans="1:9" x14ac:dyDescent="0.2">
      <c r="A224" s="40" t="s">
        <v>56</v>
      </c>
      <c r="B224" s="28">
        <v>251</v>
      </c>
      <c r="C224" s="28" t="s">
        <v>35</v>
      </c>
      <c r="D224" s="28" t="s">
        <v>38</v>
      </c>
      <c r="E224" s="41">
        <v>46168</v>
      </c>
      <c r="F224" s="47">
        <v>0.86201388888888886</v>
      </c>
      <c r="G224" s="42">
        <v>6.3</v>
      </c>
      <c r="H224" s="40" t="s">
        <v>230</v>
      </c>
      <c r="I224" s="40" t="s">
        <v>1300</v>
      </c>
    </row>
    <row r="225" spans="1:9" x14ac:dyDescent="0.2">
      <c r="A225" s="40" t="s">
        <v>56</v>
      </c>
      <c r="B225" s="28">
        <v>251</v>
      </c>
      <c r="C225" s="28" t="s">
        <v>35</v>
      </c>
      <c r="D225" s="28" t="s">
        <v>38</v>
      </c>
      <c r="E225" s="45">
        <v>46168</v>
      </c>
      <c r="F225" s="48">
        <v>0.86785879629629625</v>
      </c>
      <c r="G225" s="42">
        <v>6.3</v>
      </c>
      <c r="H225" s="40" t="s">
        <v>227</v>
      </c>
      <c r="I225" s="40" t="s">
        <v>1300</v>
      </c>
    </row>
    <row r="226" spans="1:9" x14ac:dyDescent="0.2">
      <c r="A226" s="40" t="s">
        <v>56</v>
      </c>
      <c r="B226" s="28">
        <v>251</v>
      </c>
      <c r="C226" s="28">
        <v>5690774</v>
      </c>
      <c r="D226" s="28"/>
      <c r="E226" s="41">
        <v>46170</v>
      </c>
      <c r="F226" s="47">
        <v>1.0763888888888889E-2</v>
      </c>
      <c r="G226" s="42">
        <v>6.3</v>
      </c>
      <c r="H226" s="40" t="s">
        <v>229</v>
      </c>
      <c r="I226" s="40" t="s">
        <v>1300</v>
      </c>
    </row>
    <row r="227" spans="1:9" x14ac:dyDescent="0.2">
      <c r="A227" s="40" t="s">
        <v>56</v>
      </c>
      <c r="B227" s="28">
        <v>251</v>
      </c>
      <c r="C227" s="28" t="s">
        <v>35</v>
      </c>
      <c r="D227" s="28" t="s">
        <v>38</v>
      </c>
      <c r="E227" s="41">
        <v>46170</v>
      </c>
      <c r="F227" s="47">
        <v>2.1388888888888888E-2</v>
      </c>
      <c r="G227" s="42">
        <v>6.3</v>
      </c>
      <c r="H227" s="40" t="s">
        <v>230</v>
      </c>
      <c r="I227" s="40" t="s">
        <v>1300</v>
      </c>
    </row>
    <row r="228" spans="1:9" x14ac:dyDescent="0.2">
      <c r="A228" s="40" t="s">
        <v>56</v>
      </c>
      <c r="B228" s="28">
        <v>251</v>
      </c>
      <c r="C228" s="28" t="s">
        <v>35</v>
      </c>
      <c r="D228" s="28" t="s">
        <v>38</v>
      </c>
      <c r="E228" s="41">
        <v>46170</v>
      </c>
      <c r="F228" s="47">
        <v>2.5231481481481483E-2</v>
      </c>
      <c r="G228" s="42">
        <v>6.3</v>
      </c>
      <c r="H228" s="40" t="s">
        <v>227</v>
      </c>
      <c r="I228" s="40" t="s">
        <v>1300</v>
      </c>
    </row>
    <row r="229" spans="1:9" x14ac:dyDescent="0.2">
      <c r="A229" s="40" t="s">
        <v>236</v>
      </c>
      <c r="B229" s="28">
        <v>283</v>
      </c>
      <c r="C229" s="28">
        <v>5685144</v>
      </c>
      <c r="D229" s="28"/>
      <c r="E229" s="45">
        <v>46167</v>
      </c>
      <c r="F229" s="48">
        <v>0.3074884259259259</v>
      </c>
      <c r="G229" s="44">
        <v>6.3</v>
      </c>
      <c r="H229" s="43" t="s">
        <v>229</v>
      </c>
      <c r="I229" s="40" t="s">
        <v>1300</v>
      </c>
    </row>
    <row r="230" spans="1:9" x14ac:dyDescent="0.2">
      <c r="A230" s="40" t="s">
        <v>236</v>
      </c>
      <c r="B230" s="28">
        <v>283</v>
      </c>
      <c r="C230" s="28" t="s">
        <v>35</v>
      </c>
      <c r="D230" s="28" t="s">
        <v>38</v>
      </c>
      <c r="E230" s="45">
        <v>46167</v>
      </c>
      <c r="F230" s="48">
        <v>0.5438425925925926</v>
      </c>
      <c r="G230" s="44">
        <v>6.3</v>
      </c>
      <c r="H230" s="43" t="s">
        <v>228</v>
      </c>
      <c r="I230" s="40" t="s">
        <v>1300</v>
      </c>
    </row>
    <row r="231" spans="1:9" x14ac:dyDescent="0.2">
      <c r="A231" s="40" t="s">
        <v>236</v>
      </c>
      <c r="B231" s="28">
        <v>283</v>
      </c>
      <c r="C231" s="28" t="s">
        <v>35</v>
      </c>
      <c r="D231" s="28" t="s">
        <v>38</v>
      </c>
      <c r="E231" s="41">
        <v>46167</v>
      </c>
      <c r="F231" s="47">
        <v>0.95233796296296291</v>
      </c>
      <c r="G231" s="44">
        <v>6.3</v>
      </c>
      <c r="H231" s="43" t="s">
        <v>230</v>
      </c>
      <c r="I231" s="40" t="s">
        <v>1300</v>
      </c>
    </row>
    <row r="232" spans="1:9" x14ac:dyDescent="0.2">
      <c r="A232" s="40" t="s">
        <v>236</v>
      </c>
      <c r="B232" s="28">
        <v>283</v>
      </c>
      <c r="C232" s="28">
        <v>5686382</v>
      </c>
      <c r="D232" s="28"/>
      <c r="E232" s="41">
        <v>46168</v>
      </c>
      <c r="F232" s="47">
        <v>0.46600694444444446</v>
      </c>
      <c r="G232" s="44">
        <v>6.3</v>
      </c>
      <c r="H232" s="43" t="s">
        <v>234</v>
      </c>
      <c r="I232" s="40" t="s">
        <v>1300</v>
      </c>
    </row>
    <row r="233" spans="1:9" x14ac:dyDescent="0.2">
      <c r="A233" s="40" t="s">
        <v>236</v>
      </c>
      <c r="B233" s="28">
        <v>283</v>
      </c>
      <c r="C233" s="28">
        <v>5686382</v>
      </c>
      <c r="D233" s="28"/>
      <c r="E233" s="41">
        <v>46168</v>
      </c>
      <c r="F233" s="47">
        <v>0.47371527777777778</v>
      </c>
      <c r="G233" s="44">
        <v>6.3</v>
      </c>
      <c r="H233" s="43" t="s">
        <v>227</v>
      </c>
      <c r="I233" s="40" t="s">
        <v>1300</v>
      </c>
    </row>
    <row r="234" spans="1:9" x14ac:dyDescent="0.2">
      <c r="A234" s="40" t="s">
        <v>236</v>
      </c>
      <c r="B234" s="28">
        <v>283</v>
      </c>
      <c r="C234" s="28">
        <v>5688508</v>
      </c>
      <c r="D234" s="28"/>
      <c r="E234" s="41">
        <v>46168</v>
      </c>
      <c r="F234" s="47">
        <v>0.85265046296296299</v>
      </c>
      <c r="G234" s="44">
        <v>6.3</v>
      </c>
      <c r="H234" s="43" t="s">
        <v>228</v>
      </c>
      <c r="I234" s="40" t="s">
        <v>1300</v>
      </c>
    </row>
    <row r="235" spans="1:9" x14ac:dyDescent="0.2">
      <c r="A235" s="40" t="s">
        <v>236</v>
      </c>
      <c r="B235" s="28">
        <v>283</v>
      </c>
      <c r="C235" s="28">
        <v>5688508</v>
      </c>
      <c r="D235" s="28"/>
      <c r="E235" s="45">
        <v>46168</v>
      </c>
      <c r="F235" s="48">
        <v>0.86010416666666667</v>
      </c>
      <c r="G235" s="44">
        <v>6.3</v>
      </c>
      <c r="H235" s="43" t="s">
        <v>232</v>
      </c>
      <c r="I235" s="40" t="s">
        <v>1300</v>
      </c>
    </row>
    <row r="236" spans="1:9" x14ac:dyDescent="0.2">
      <c r="A236" s="40" t="s">
        <v>236</v>
      </c>
      <c r="B236" s="28">
        <v>283</v>
      </c>
      <c r="C236" s="28" t="s">
        <v>35</v>
      </c>
      <c r="D236" s="28" t="s">
        <v>38</v>
      </c>
      <c r="E236" s="41">
        <v>46168</v>
      </c>
      <c r="F236" s="47">
        <v>0.8960069444444444</v>
      </c>
      <c r="G236" s="42">
        <v>6.3</v>
      </c>
      <c r="H236" s="40" t="s">
        <v>226</v>
      </c>
      <c r="I236" s="40" t="s">
        <v>1300</v>
      </c>
    </row>
    <row r="237" spans="1:9" x14ac:dyDescent="0.2">
      <c r="A237" s="40" t="s">
        <v>236</v>
      </c>
      <c r="B237" s="28">
        <v>283</v>
      </c>
      <c r="C237" s="28" t="s">
        <v>35</v>
      </c>
      <c r="D237" s="28" t="s">
        <v>38</v>
      </c>
      <c r="E237" s="41">
        <v>46168</v>
      </c>
      <c r="F237" s="47">
        <v>0.90238425925925925</v>
      </c>
      <c r="G237" s="42">
        <v>6.3</v>
      </c>
      <c r="H237" s="40" t="s">
        <v>227</v>
      </c>
      <c r="I237" s="40" t="s">
        <v>1300</v>
      </c>
    </row>
    <row r="238" spans="1:9" x14ac:dyDescent="0.2">
      <c r="A238" s="40" t="s">
        <v>236</v>
      </c>
      <c r="B238" s="28">
        <v>283</v>
      </c>
      <c r="C238" s="28" t="s">
        <v>35</v>
      </c>
      <c r="D238" s="28" t="s">
        <v>38</v>
      </c>
      <c r="E238" s="41">
        <v>46169</v>
      </c>
      <c r="F238" s="47">
        <v>0.27758101851851852</v>
      </c>
      <c r="G238" s="42">
        <v>6.3</v>
      </c>
      <c r="H238" s="40" t="s">
        <v>228</v>
      </c>
      <c r="I238" s="40" t="s">
        <v>1300</v>
      </c>
    </row>
    <row r="239" spans="1:9" x14ac:dyDescent="0.2">
      <c r="A239" s="40" t="s">
        <v>236</v>
      </c>
      <c r="B239" s="28">
        <v>283</v>
      </c>
      <c r="C239" s="28" t="s">
        <v>35</v>
      </c>
      <c r="D239" s="28" t="s">
        <v>38</v>
      </c>
      <c r="E239" s="41">
        <v>46169</v>
      </c>
      <c r="F239" s="47">
        <v>0.28766203703703702</v>
      </c>
      <c r="G239" s="42">
        <v>6.3</v>
      </c>
      <c r="H239" s="40" t="s">
        <v>229</v>
      </c>
      <c r="I239" s="40" t="s">
        <v>1300</v>
      </c>
    </row>
    <row r="240" spans="1:9" x14ac:dyDescent="0.2">
      <c r="A240" s="40" t="s">
        <v>236</v>
      </c>
      <c r="B240" s="28">
        <v>283</v>
      </c>
      <c r="C240" s="28">
        <v>5688917</v>
      </c>
      <c r="D240" s="28"/>
      <c r="E240" s="41">
        <v>46169</v>
      </c>
      <c r="F240" s="47">
        <v>0.36849537037037039</v>
      </c>
      <c r="G240" s="42">
        <v>6.3</v>
      </c>
      <c r="H240" s="40" t="s">
        <v>230</v>
      </c>
      <c r="I240" s="40" t="s">
        <v>1300</v>
      </c>
    </row>
    <row r="241" spans="1:9" x14ac:dyDescent="0.2">
      <c r="A241" s="40" t="s">
        <v>236</v>
      </c>
      <c r="B241" s="28">
        <v>283</v>
      </c>
      <c r="C241" s="28">
        <v>5688917</v>
      </c>
      <c r="D241" s="28"/>
      <c r="E241" s="41">
        <v>46169</v>
      </c>
      <c r="F241" s="47">
        <v>0.38027777777777777</v>
      </c>
      <c r="G241" s="42">
        <v>6.3</v>
      </c>
      <c r="H241" s="40" t="s">
        <v>227</v>
      </c>
      <c r="I241" s="40" t="s">
        <v>1300</v>
      </c>
    </row>
    <row r="242" spans="1:9" x14ac:dyDescent="0.2">
      <c r="A242" s="40" t="s">
        <v>236</v>
      </c>
      <c r="B242" s="28">
        <v>283</v>
      </c>
      <c r="C242" s="28">
        <v>5690681</v>
      </c>
      <c r="D242" s="28"/>
      <c r="E242" s="41">
        <v>46169</v>
      </c>
      <c r="F242" s="47">
        <v>0.96915509259259258</v>
      </c>
      <c r="G242" s="44">
        <v>6.3</v>
      </c>
      <c r="H242" s="43" t="s">
        <v>228</v>
      </c>
      <c r="I242" s="40" t="s">
        <v>1300</v>
      </c>
    </row>
    <row r="243" spans="1:9" x14ac:dyDescent="0.2">
      <c r="A243" s="40" t="s">
        <v>236</v>
      </c>
      <c r="B243" s="28">
        <v>283</v>
      </c>
      <c r="C243" s="28">
        <v>5690681</v>
      </c>
      <c r="D243" s="28"/>
      <c r="E243" s="41">
        <v>46169</v>
      </c>
      <c r="F243" s="47">
        <v>0.97842592592592592</v>
      </c>
      <c r="G243" s="44">
        <v>6.3</v>
      </c>
      <c r="H243" s="43" t="s">
        <v>229</v>
      </c>
      <c r="I243" s="40" t="s">
        <v>1300</v>
      </c>
    </row>
    <row r="244" spans="1:9" x14ac:dyDescent="0.2">
      <c r="A244" s="40" t="s">
        <v>236</v>
      </c>
      <c r="B244" s="28">
        <v>283</v>
      </c>
      <c r="C244" s="28" t="s">
        <v>35</v>
      </c>
      <c r="D244" s="28" t="s">
        <v>38</v>
      </c>
      <c r="E244" s="41">
        <v>46169</v>
      </c>
      <c r="F244" s="47">
        <v>0.99869212962962961</v>
      </c>
      <c r="G244" s="44">
        <v>6.3</v>
      </c>
      <c r="H244" s="43" t="s">
        <v>226</v>
      </c>
      <c r="I244" s="40" t="s">
        <v>1300</v>
      </c>
    </row>
    <row r="245" spans="1:9" x14ac:dyDescent="0.2">
      <c r="A245" s="40" t="s">
        <v>236</v>
      </c>
      <c r="B245" s="28">
        <v>283</v>
      </c>
      <c r="C245" s="28">
        <v>5690945</v>
      </c>
      <c r="D245" s="28"/>
      <c r="E245" s="41">
        <v>46170</v>
      </c>
      <c r="F245" s="47">
        <v>0.43420138888888887</v>
      </c>
      <c r="G245" s="44">
        <v>6.3</v>
      </c>
      <c r="H245" s="43" t="s">
        <v>227</v>
      </c>
      <c r="I245" s="40" t="s">
        <v>1300</v>
      </c>
    </row>
    <row r="246" spans="1:9" x14ac:dyDescent="0.2">
      <c r="A246" s="40" t="s">
        <v>236</v>
      </c>
      <c r="B246" s="28">
        <v>283</v>
      </c>
      <c r="C246" s="28" t="s">
        <v>520</v>
      </c>
      <c r="D246" s="28"/>
      <c r="E246" s="41">
        <v>46170</v>
      </c>
      <c r="F246" s="47">
        <v>0.81223379629629633</v>
      </c>
      <c r="G246" s="44">
        <v>6.3</v>
      </c>
      <c r="H246" s="43" t="s">
        <v>228</v>
      </c>
      <c r="I246" s="40" t="s">
        <v>1300</v>
      </c>
    </row>
    <row r="247" spans="1:9" x14ac:dyDescent="0.2">
      <c r="A247" s="40" t="s">
        <v>236</v>
      </c>
      <c r="B247" s="28">
        <v>283</v>
      </c>
      <c r="C247" s="28" t="s">
        <v>520</v>
      </c>
      <c r="D247" s="28"/>
      <c r="E247" s="41">
        <v>46170</v>
      </c>
      <c r="F247" s="47">
        <v>0.82177083333333334</v>
      </c>
      <c r="G247" s="44">
        <v>6.3</v>
      </c>
      <c r="H247" s="43" t="s">
        <v>229</v>
      </c>
      <c r="I247" s="40" t="s">
        <v>1300</v>
      </c>
    </row>
    <row r="248" spans="1:9" x14ac:dyDescent="0.2">
      <c r="A248" s="40" t="s">
        <v>236</v>
      </c>
      <c r="B248" s="28">
        <v>283</v>
      </c>
      <c r="C248" s="28" t="s">
        <v>35</v>
      </c>
      <c r="D248" s="28" t="s">
        <v>38</v>
      </c>
      <c r="E248" s="41">
        <v>46170</v>
      </c>
      <c r="F248" s="47">
        <v>0.85094907407407405</v>
      </c>
      <c r="G248" s="44">
        <v>6.3</v>
      </c>
      <c r="H248" s="43" t="s">
        <v>230</v>
      </c>
      <c r="I248" s="40" t="s">
        <v>1300</v>
      </c>
    </row>
    <row r="249" spans="1:9" x14ac:dyDescent="0.2">
      <c r="A249" s="40" t="s">
        <v>236</v>
      </c>
      <c r="B249" s="28">
        <v>283</v>
      </c>
      <c r="C249" s="28" t="s">
        <v>35</v>
      </c>
      <c r="D249" s="28" t="s">
        <v>38</v>
      </c>
      <c r="E249" s="45">
        <v>46170</v>
      </c>
      <c r="F249" s="48">
        <v>0.86431712962962959</v>
      </c>
      <c r="G249" s="44">
        <v>6.3</v>
      </c>
      <c r="H249" s="43" t="s">
        <v>227</v>
      </c>
      <c r="I249" s="40" t="s">
        <v>1300</v>
      </c>
    </row>
    <row r="250" spans="1:9" x14ac:dyDescent="0.2">
      <c r="A250" s="40" t="s">
        <v>236</v>
      </c>
      <c r="B250" s="28">
        <v>283</v>
      </c>
      <c r="C250" s="28">
        <v>5692432</v>
      </c>
      <c r="D250" s="28"/>
      <c r="E250" s="41">
        <v>46170</v>
      </c>
      <c r="F250" s="47">
        <v>0.97412037037037036</v>
      </c>
      <c r="G250" s="44">
        <v>6.3</v>
      </c>
      <c r="H250" s="43" t="s">
        <v>230</v>
      </c>
      <c r="I250" s="40" t="s">
        <v>1300</v>
      </c>
    </row>
    <row r="251" spans="1:9" x14ac:dyDescent="0.2">
      <c r="A251" s="40" t="s">
        <v>236</v>
      </c>
      <c r="B251" s="28">
        <v>283</v>
      </c>
      <c r="C251" s="28">
        <v>5694000</v>
      </c>
      <c r="D251" s="28"/>
      <c r="E251" s="41">
        <v>46171</v>
      </c>
      <c r="F251" s="47">
        <v>0.85973379629629632</v>
      </c>
      <c r="G251" s="44">
        <v>6.3</v>
      </c>
      <c r="H251" s="43" t="s">
        <v>228</v>
      </c>
      <c r="I251" s="40" t="s">
        <v>1300</v>
      </c>
    </row>
    <row r="252" spans="1:9" x14ac:dyDescent="0.2">
      <c r="A252" s="40" t="s">
        <v>236</v>
      </c>
      <c r="B252" s="28">
        <v>283</v>
      </c>
      <c r="C252" s="28">
        <v>5694000</v>
      </c>
      <c r="D252" s="28"/>
      <c r="E252" s="41">
        <v>46171</v>
      </c>
      <c r="F252" s="47">
        <v>0.86717592592592596</v>
      </c>
      <c r="G252" s="42">
        <v>6.3</v>
      </c>
      <c r="H252" s="40" t="s">
        <v>229</v>
      </c>
      <c r="I252" s="40" t="s">
        <v>1300</v>
      </c>
    </row>
    <row r="253" spans="1:9" x14ac:dyDescent="0.2">
      <c r="A253" s="40" t="s">
        <v>236</v>
      </c>
      <c r="B253" s="28">
        <v>283</v>
      </c>
      <c r="C253" s="28" t="s">
        <v>35</v>
      </c>
      <c r="D253" s="28" t="s">
        <v>38</v>
      </c>
      <c r="E253" s="45">
        <v>46171</v>
      </c>
      <c r="F253" s="48">
        <v>0.97964120370370367</v>
      </c>
      <c r="G253" s="42">
        <v>6.3</v>
      </c>
      <c r="H253" s="40" t="s">
        <v>230</v>
      </c>
      <c r="I253" s="40" t="s">
        <v>1300</v>
      </c>
    </row>
    <row r="254" spans="1:9" x14ac:dyDescent="0.2">
      <c r="A254" s="40" t="s">
        <v>236</v>
      </c>
      <c r="B254" s="28">
        <v>283</v>
      </c>
      <c r="C254" s="28" t="s">
        <v>35</v>
      </c>
      <c r="D254" s="28" t="s">
        <v>38</v>
      </c>
      <c r="E254" s="41">
        <v>46172</v>
      </c>
      <c r="F254" s="47">
        <v>0.43209490740740741</v>
      </c>
      <c r="G254" s="44">
        <v>6.3</v>
      </c>
      <c r="H254" s="43" t="s">
        <v>227</v>
      </c>
      <c r="I254" s="40" t="s">
        <v>1300</v>
      </c>
    </row>
    <row r="255" spans="1:9" x14ac:dyDescent="0.2">
      <c r="A255" s="40" t="s">
        <v>236</v>
      </c>
      <c r="B255" s="28">
        <v>283</v>
      </c>
      <c r="C255" s="28" t="s">
        <v>35</v>
      </c>
      <c r="D255" s="28" t="s">
        <v>38</v>
      </c>
      <c r="E255" s="41">
        <v>46173</v>
      </c>
      <c r="F255" s="47">
        <v>0.72513888888888889</v>
      </c>
      <c r="G255" s="44">
        <v>6.3</v>
      </c>
      <c r="H255" s="43" t="s">
        <v>227</v>
      </c>
      <c r="I255" s="40" t="s">
        <v>1300</v>
      </c>
    </row>
    <row r="256" spans="1:9" x14ac:dyDescent="0.2">
      <c r="A256" s="40" t="s">
        <v>396</v>
      </c>
      <c r="B256" s="28">
        <v>291</v>
      </c>
      <c r="C256" s="28" t="s">
        <v>521</v>
      </c>
      <c r="D256" s="28"/>
      <c r="E256" s="41">
        <v>46170</v>
      </c>
      <c r="F256" s="47">
        <v>0.80626157407407406</v>
      </c>
      <c r="G256" s="44">
        <v>6.3</v>
      </c>
      <c r="H256" s="43" t="s">
        <v>228</v>
      </c>
      <c r="I256" s="40" t="s">
        <v>1300</v>
      </c>
    </row>
    <row r="257" spans="1:9" x14ac:dyDescent="0.2">
      <c r="A257" s="40" t="s">
        <v>396</v>
      </c>
      <c r="B257" s="28">
        <v>291</v>
      </c>
      <c r="C257" s="28" t="s">
        <v>521</v>
      </c>
      <c r="D257" s="28"/>
      <c r="E257" s="41">
        <v>46170</v>
      </c>
      <c r="F257" s="47">
        <v>0.81281250000000005</v>
      </c>
      <c r="G257" s="44">
        <v>6.3</v>
      </c>
      <c r="H257" s="43" t="s">
        <v>232</v>
      </c>
      <c r="I257" s="40" t="s">
        <v>1300</v>
      </c>
    </row>
    <row r="258" spans="1:9" x14ac:dyDescent="0.2">
      <c r="A258" s="40" t="s">
        <v>396</v>
      </c>
      <c r="B258" s="28">
        <v>291</v>
      </c>
      <c r="C258" s="28" t="s">
        <v>522</v>
      </c>
      <c r="D258" s="28"/>
      <c r="E258" s="41">
        <v>46173</v>
      </c>
      <c r="F258" s="47">
        <v>0.24403935185185185</v>
      </c>
      <c r="G258" s="44">
        <v>6.3</v>
      </c>
      <c r="H258" s="43" t="s">
        <v>228</v>
      </c>
      <c r="I258" s="40" t="s">
        <v>1300</v>
      </c>
    </row>
    <row r="259" spans="1:9" x14ac:dyDescent="0.2">
      <c r="A259" s="40" t="s">
        <v>396</v>
      </c>
      <c r="B259" s="28">
        <v>291</v>
      </c>
      <c r="C259" s="28" t="s">
        <v>522</v>
      </c>
      <c r="D259" s="28"/>
      <c r="E259" s="41">
        <v>46173</v>
      </c>
      <c r="F259" s="47">
        <v>0.25001157407407409</v>
      </c>
      <c r="G259" s="44">
        <v>6.3</v>
      </c>
      <c r="H259" s="43" t="s">
        <v>229</v>
      </c>
      <c r="I259" s="40" t="s">
        <v>1300</v>
      </c>
    </row>
    <row r="260" spans="1:9" x14ac:dyDescent="0.2">
      <c r="A260" s="40" t="s">
        <v>180</v>
      </c>
      <c r="B260" s="28">
        <v>292</v>
      </c>
      <c r="C260" s="28">
        <v>5684310</v>
      </c>
      <c r="D260" s="28"/>
      <c r="E260" s="41">
        <v>46167</v>
      </c>
      <c r="F260" s="47">
        <v>0.13096064814814815</v>
      </c>
      <c r="G260" s="44">
        <v>6.3</v>
      </c>
      <c r="H260" s="43" t="s">
        <v>230</v>
      </c>
      <c r="I260" s="40" t="s">
        <v>1300</v>
      </c>
    </row>
    <row r="261" spans="1:9" x14ac:dyDescent="0.2">
      <c r="A261" s="40" t="s">
        <v>180</v>
      </c>
      <c r="B261" s="28">
        <v>292</v>
      </c>
      <c r="C261" s="28">
        <v>5684310</v>
      </c>
      <c r="D261" s="28"/>
      <c r="E261" s="41">
        <v>46167</v>
      </c>
      <c r="F261" s="47">
        <v>0.13563657407407406</v>
      </c>
      <c r="G261" s="44">
        <v>6.3</v>
      </c>
      <c r="H261" s="43" t="s">
        <v>227</v>
      </c>
      <c r="I261" s="40" t="s">
        <v>1300</v>
      </c>
    </row>
    <row r="262" spans="1:9" x14ac:dyDescent="0.2">
      <c r="A262" s="40" t="s">
        <v>180</v>
      </c>
      <c r="B262" s="28">
        <v>292</v>
      </c>
      <c r="C262" s="28">
        <v>5685463</v>
      </c>
      <c r="D262" s="28"/>
      <c r="E262" s="41">
        <v>46167</v>
      </c>
      <c r="F262" s="47">
        <v>0.29979166666666668</v>
      </c>
      <c r="G262" s="44">
        <v>6.3</v>
      </c>
      <c r="H262" s="43" t="s">
        <v>227</v>
      </c>
      <c r="I262" s="40" t="s">
        <v>1300</v>
      </c>
    </row>
    <row r="263" spans="1:9" x14ac:dyDescent="0.2">
      <c r="A263" s="40" t="s">
        <v>180</v>
      </c>
      <c r="B263" s="28">
        <v>292</v>
      </c>
      <c r="C263" s="28">
        <v>5686367</v>
      </c>
      <c r="D263" s="28"/>
      <c r="E263" s="41">
        <v>46167</v>
      </c>
      <c r="F263" s="47">
        <v>0.97105324074074073</v>
      </c>
      <c r="G263" s="44">
        <v>6.3</v>
      </c>
      <c r="H263" s="43" t="s">
        <v>228</v>
      </c>
      <c r="I263" s="40" t="s">
        <v>1300</v>
      </c>
    </row>
    <row r="264" spans="1:9" x14ac:dyDescent="0.2">
      <c r="A264" s="40" t="s">
        <v>180</v>
      </c>
      <c r="B264" s="28">
        <v>292</v>
      </c>
      <c r="C264" s="28">
        <v>5686367</v>
      </c>
      <c r="D264" s="28"/>
      <c r="E264" s="41">
        <v>46167</v>
      </c>
      <c r="F264" s="47">
        <v>0.97725694444444444</v>
      </c>
      <c r="G264" s="42">
        <v>6.3</v>
      </c>
      <c r="H264" s="40" t="s">
        <v>229</v>
      </c>
      <c r="I264" s="40" t="s">
        <v>1300</v>
      </c>
    </row>
    <row r="265" spans="1:9" x14ac:dyDescent="0.2">
      <c r="A265" s="40" t="s">
        <v>180</v>
      </c>
      <c r="B265" s="28">
        <v>292</v>
      </c>
      <c r="C265" s="28" t="s">
        <v>35</v>
      </c>
      <c r="D265" s="28" t="s">
        <v>38</v>
      </c>
      <c r="E265" s="41">
        <v>46167</v>
      </c>
      <c r="F265" s="47">
        <v>0.98878472222222225</v>
      </c>
      <c r="G265" s="42">
        <v>6.3</v>
      </c>
      <c r="H265" s="40" t="s">
        <v>230</v>
      </c>
      <c r="I265" s="40" t="s">
        <v>1300</v>
      </c>
    </row>
    <row r="266" spans="1:9" x14ac:dyDescent="0.2">
      <c r="A266" s="40" t="s">
        <v>180</v>
      </c>
      <c r="B266" s="28">
        <v>292</v>
      </c>
      <c r="C266" s="28">
        <v>5687186</v>
      </c>
      <c r="D266" s="28"/>
      <c r="E266" s="41">
        <v>46168</v>
      </c>
      <c r="F266" s="47">
        <v>1.9560185185185184E-2</v>
      </c>
      <c r="G266" s="42">
        <v>6.3</v>
      </c>
      <c r="H266" s="40" t="s">
        <v>228</v>
      </c>
      <c r="I266" s="40" t="s">
        <v>1300</v>
      </c>
    </row>
    <row r="267" spans="1:9" x14ac:dyDescent="0.2">
      <c r="A267" s="40" t="s">
        <v>180</v>
      </c>
      <c r="B267" s="28">
        <v>292</v>
      </c>
      <c r="C267" s="28" t="s">
        <v>35</v>
      </c>
      <c r="D267" s="28" t="s">
        <v>38</v>
      </c>
      <c r="E267" s="41">
        <v>46168</v>
      </c>
      <c r="F267" s="47">
        <v>3.6620370370370373E-2</v>
      </c>
      <c r="G267" s="42">
        <v>6.3</v>
      </c>
      <c r="H267" s="40" t="s">
        <v>230</v>
      </c>
      <c r="I267" s="40" t="s">
        <v>1300</v>
      </c>
    </row>
    <row r="268" spans="1:9" x14ac:dyDescent="0.2">
      <c r="A268" s="40" t="s">
        <v>180</v>
      </c>
      <c r="B268" s="28">
        <v>292</v>
      </c>
      <c r="C268" s="28" t="s">
        <v>35</v>
      </c>
      <c r="D268" s="28" t="s">
        <v>38</v>
      </c>
      <c r="E268" s="41">
        <v>46168</v>
      </c>
      <c r="F268" s="47">
        <v>4.2199074074074076E-2</v>
      </c>
      <c r="G268" s="42">
        <v>6.3</v>
      </c>
      <c r="H268" s="40" t="s">
        <v>232</v>
      </c>
      <c r="I268" s="40" t="s">
        <v>1300</v>
      </c>
    </row>
    <row r="269" spans="1:9" x14ac:dyDescent="0.2">
      <c r="A269" s="40" t="s">
        <v>180</v>
      </c>
      <c r="B269" s="28">
        <v>292</v>
      </c>
      <c r="C269" s="28">
        <v>5687209</v>
      </c>
      <c r="D269" s="28"/>
      <c r="E269" s="41">
        <v>46168</v>
      </c>
      <c r="F269" s="47">
        <v>5.3148148148148146E-2</v>
      </c>
      <c r="G269" s="44">
        <v>6.3</v>
      </c>
      <c r="H269" s="43" t="s">
        <v>227</v>
      </c>
      <c r="I269" s="40" t="s">
        <v>1300</v>
      </c>
    </row>
    <row r="270" spans="1:9" x14ac:dyDescent="0.2">
      <c r="A270" s="40" t="s">
        <v>180</v>
      </c>
      <c r="B270" s="28">
        <v>292</v>
      </c>
      <c r="C270" s="28">
        <v>5685626</v>
      </c>
      <c r="D270" s="28"/>
      <c r="E270" s="41">
        <v>46168</v>
      </c>
      <c r="F270" s="47">
        <v>0.20979166666666665</v>
      </c>
      <c r="G270" s="44">
        <v>6.3</v>
      </c>
      <c r="H270" s="43" t="s">
        <v>234</v>
      </c>
      <c r="I270" s="40" t="s">
        <v>1300</v>
      </c>
    </row>
    <row r="271" spans="1:9" x14ac:dyDescent="0.2">
      <c r="A271" s="40" t="s">
        <v>180</v>
      </c>
      <c r="B271" s="28">
        <v>292</v>
      </c>
      <c r="C271" s="28">
        <v>5685626</v>
      </c>
      <c r="D271" s="28"/>
      <c r="E271" s="41">
        <v>46168</v>
      </c>
      <c r="F271" s="47">
        <v>0.21254629629629629</v>
      </c>
      <c r="G271" s="44">
        <v>6.3</v>
      </c>
      <c r="H271" s="43" t="s">
        <v>227</v>
      </c>
      <c r="I271" s="40" t="s">
        <v>1300</v>
      </c>
    </row>
    <row r="272" spans="1:9" x14ac:dyDescent="0.2">
      <c r="A272" s="40" t="s">
        <v>180</v>
      </c>
      <c r="B272" s="28">
        <v>292</v>
      </c>
      <c r="C272" s="28" t="s">
        <v>35</v>
      </c>
      <c r="D272" s="28" t="s">
        <v>38</v>
      </c>
      <c r="E272" s="41">
        <v>46168</v>
      </c>
      <c r="F272" s="47">
        <v>0.34120370370370373</v>
      </c>
      <c r="G272" s="44">
        <v>6.3</v>
      </c>
      <c r="H272" s="43" t="s">
        <v>230</v>
      </c>
      <c r="I272" s="40" t="s">
        <v>1300</v>
      </c>
    </row>
    <row r="273" spans="1:9" x14ac:dyDescent="0.2">
      <c r="A273" s="40" t="s">
        <v>180</v>
      </c>
      <c r="B273" s="28">
        <v>292</v>
      </c>
      <c r="C273" s="28" t="s">
        <v>35</v>
      </c>
      <c r="D273" s="28" t="s">
        <v>38</v>
      </c>
      <c r="E273" s="41">
        <v>46168</v>
      </c>
      <c r="F273" s="47">
        <v>0.34687499999999999</v>
      </c>
      <c r="G273" s="44">
        <v>6.3</v>
      </c>
      <c r="H273" s="43" t="s">
        <v>227</v>
      </c>
      <c r="I273" s="40" t="s">
        <v>1300</v>
      </c>
    </row>
    <row r="274" spans="1:9" x14ac:dyDescent="0.2">
      <c r="A274" s="40" t="s">
        <v>180</v>
      </c>
      <c r="B274" s="28">
        <v>292</v>
      </c>
      <c r="C274" s="28" t="s">
        <v>35</v>
      </c>
      <c r="D274" s="28" t="s">
        <v>38</v>
      </c>
      <c r="E274" s="41">
        <v>46168</v>
      </c>
      <c r="F274" s="47">
        <v>0.96759259259259256</v>
      </c>
      <c r="G274" s="44">
        <v>6.3</v>
      </c>
      <c r="H274" s="43" t="s">
        <v>227</v>
      </c>
      <c r="I274" s="40" t="s">
        <v>1300</v>
      </c>
    </row>
    <row r="275" spans="1:9" x14ac:dyDescent="0.2">
      <c r="A275" s="40" t="s">
        <v>180</v>
      </c>
      <c r="B275" s="28">
        <v>292</v>
      </c>
      <c r="C275" s="28" t="s">
        <v>35</v>
      </c>
      <c r="D275" s="28" t="s">
        <v>38</v>
      </c>
      <c r="E275" s="41">
        <v>46169</v>
      </c>
      <c r="F275" s="47">
        <v>8.7951388888888885E-2</v>
      </c>
      <c r="G275" s="44">
        <v>6.3</v>
      </c>
      <c r="H275" s="43" t="s">
        <v>228</v>
      </c>
      <c r="I275" s="40" t="s">
        <v>1300</v>
      </c>
    </row>
    <row r="276" spans="1:9" x14ac:dyDescent="0.2">
      <c r="A276" s="40" t="s">
        <v>180</v>
      </c>
      <c r="B276" s="28">
        <v>292</v>
      </c>
      <c r="C276" s="28" t="s">
        <v>35</v>
      </c>
      <c r="D276" s="28" t="s">
        <v>38</v>
      </c>
      <c r="E276" s="41">
        <v>46169</v>
      </c>
      <c r="F276" s="47">
        <v>9.4340277777777773E-2</v>
      </c>
      <c r="G276" s="44">
        <v>6.3</v>
      </c>
      <c r="H276" s="43" t="s">
        <v>229</v>
      </c>
      <c r="I276" s="40" t="s">
        <v>1300</v>
      </c>
    </row>
    <row r="277" spans="1:9" x14ac:dyDescent="0.2">
      <c r="A277" s="40" t="s">
        <v>180</v>
      </c>
      <c r="B277" s="28">
        <v>292</v>
      </c>
      <c r="C277" s="28">
        <v>5688489</v>
      </c>
      <c r="D277" s="28"/>
      <c r="E277" s="41">
        <v>46169</v>
      </c>
      <c r="F277" s="47">
        <v>0.14142361111111112</v>
      </c>
      <c r="G277" s="44">
        <v>6.3</v>
      </c>
      <c r="H277" s="43" t="s">
        <v>227</v>
      </c>
      <c r="I277" s="40" t="s">
        <v>1300</v>
      </c>
    </row>
    <row r="278" spans="1:9" x14ac:dyDescent="0.2">
      <c r="A278" s="40" t="s">
        <v>180</v>
      </c>
      <c r="B278" s="28">
        <v>292</v>
      </c>
      <c r="C278" s="28" t="s">
        <v>35</v>
      </c>
      <c r="D278" s="28" t="s">
        <v>38</v>
      </c>
      <c r="E278" s="41">
        <v>46169</v>
      </c>
      <c r="F278" s="47">
        <v>0.37989583333333332</v>
      </c>
      <c r="G278" s="44">
        <v>6.3</v>
      </c>
      <c r="H278" s="43" t="s">
        <v>228</v>
      </c>
      <c r="I278" s="40" t="s">
        <v>1300</v>
      </c>
    </row>
    <row r="279" spans="1:9" x14ac:dyDescent="0.2">
      <c r="A279" s="40" t="s">
        <v>180</v>
      </c>
      <c r="B279" s="28">
        <v>292</v>
      </c>
      <c r="C279" s="28" t="s">
        <v>35</v>
      </c>
      <c r="D279" s="28" t="s">
        <v>38</v>
      </c>
      <c r="E279" s="41">
        <v>46169</v>
      </c>
      <c r="F279" s="47">
        <v>0.46901620370370373</v>
      </c>
      <c r="G279" s="44">
        <v>6.3</v>
      </c>
      <c r="H279" s="43" t="s">
        <v>227</v>
      </c>
      <c r="I279" s="40" t="s">
        <v>1300</v>
      </c>
    </row>
    <row r="280" spans="1:9" x14ac:dyDescent="0.2">
      <c r="A280" s="40" t="s">
        <v>180</v>
      </c>
      <c r="B280" s="28">
        <v>292</v>
      </c>
      <c r="C280" s="28" t="s">
        <v>523</v>
      </c>
      <c r="D280" s="28"/>
      <c r="E280" s="41">
        <v>46170</v>
      </c>
      <c r="F280" s="47">
        <v>1.1909722222222223E-2</v>
      </c>
      <c r="G280" s="44">
        <v>6.3</v>
      </c>
      <c r="H280" s="43" t="s">
        <v>228</v>
      </c>
      <c r="I280" s="40" t="s">
        <v>1300</v>
      </c>
    </row>
    <row r="281" spans="1:9" x14ac:dyDescent="0.2">
      <c r="A281" s="40" t="s">
        <v>180</v>
      </c>
      <c r="B281" s="28">
        <v>292</v>
      </c>
      <c r="C281" s="28" t="s">
        <v>523</v>
      </c>
      <c r="D281" s="28"/>
      <c r="E281" s="41">
        <v>46170</v>
      </c>
      <c r="F281" s="47">
        <v>1.832175925925926E-2</v>
      </c>
      <c r="G281" s="44">
        <v>6.3</v>
      </c>
      <c r="H281" s="43" t="s">
        <v>229</v>
      </c>
      <c r="I281" s="40" t="s">
        <v>1300</v>
      </c>
    </row>
    <row r="282" spans="1:9" x14ac:dyDescent="0.2">
      <c r="A282" s="40" t="s">
        <v>180</v>
      </c>
      <c r="B282" s="28">
        <v>292</v>
      </c>
      <c r="C282" s="28" t="s">
        <v>35</v>
      </c>
      <c r="D282" s="28" t="s">
        <v>38</v>
      </c>
      <c r="E282" s="41">
        <v>46170</v>
      </c>
      <c r="F282" s="47">
        <v>4.2500000000000003E-2</v>
      </c>
      <c r="G282" s="44">
        <v>6.3</v>
      </c>
      <c r="H282" s="43" t="s">
        <v>226</v>
      </c>
      <c r="I282" s="40" t="s">
        <v>1300</v>
      </c>
    </row>
    <row r="283" spans="1:9" x14ac:dyDescent="0.2">
      <c r="A283" s="40" t="s">
        <v>180</v>
      </c>
      <c r="B283" s="28">
        <v>292</v>
      </c>
      <c r="C283" s="28" t="s">
        <v>35</v>
      </c>
      <c r="D283" s="28" t="s">
        <v>38</v>
      </c>
      <c r="E283" s="41">
        <v>46170</v>
      </c>
      <c r="F283" s="47">
        <v>0.1915162037037037</v>
      </c>
      <c r="G283" s="44">
        <v>6.3</v>
      </c>
      <c r="H283" s="43" t="s">
        <v>228</v>
      </c>
      <c r="I283" s="40" t="s">
        <v>1300</v>
      </c>
    </row>
    <row r="284" spans="1:9" x14ac:dyDescent="0.2">
      <c r="A284" s="40" t="s">
        <v>180</v>
      </c>
      <c r="B284" s="28">
        <v>292</v>
      </c>
      <c r="C284" s="28" t="s">
        <v>35</v>
      </c>
      <c r="D284" s="28" t="s">
        <v>38</v>
      </c>
      <c r="E284" s="41">
        <v>46170</v>
      </c>
      <c r="F284" s="47">
        <v>0.19778935185185184</v>
      </c>
      <c r="G284" s="44">
        <v>6.3</v>
      </c>
      <c r="H284" s="43" t="s">
        <v>232</v>
      </c>
      <c r="I284" s="40" t="s">
        <v>1300</v>
      </c>
    </row>
    <row r="285" spans="1:9" x14ac:dyDescent="0.2">
      <c r="A285" s="40" t="s">
        <v>180</v>
      </c>
      <c r="B285" s="28">
        <v>292</v>
      </c>
      <c r="C285" s="28">
        <v>5690439</v>
      </c>
      <c r="D285" s="28"/>
      <c r="E285" s="41">
        <v>46170</v>
      </c>
      <c r="F285" s="47">
        <v>0.22387731481481482</v>
      </c>
      <c r="G285" s="44">
        <v>6.3</v>
      </c>
      <c r="H285" s="43" t="s">
        <v>231</v>
      </c>
      <c r="I285" s="40" t="s">
        <v>1300</v>
      </c>
    </row>
    <row r="286" spans="1:9" x14ac:dyDescent="0.2">
      <c r="A286" s="40" t="s">
        <v>180</v>
      </c>
      <c r="B286" s="28">
        <v>292</v>
      </c>
      <c r="C286" s="28">
        <v>5690439</v>
      </c>
      <c r="D286" s="28"/>
      <c r="E286" s="41">
        <v>46170</v>
      </c>
      <c r="F286" s="47">
        <v>0.22835648148148149</v>
      </c>
      <c r="G286" s="44">
        <v>6.3</v>
      </c>
      <c r="H286" s="43" t="s">
        <v>227</v>
      </c>
      <c r="I286" s="40" t="s">
        <v>1300</v>
      </c>
    </row>
    <row r="287" spans="1:9" x14ac:dyDescent="0.2">
      <c r="A287" s="40" t="s">
        <v>180</v>
      </c>
      <c r="B287" s="28">
        <v>292</v>
      </c>
      <c r="C287" s="28">
        <v>5694209</v>
      </c>
      <c r="D287" s="28"/>
      <c r="E287" s="45">
        <v>46171</v>
      </c>
      <c r="F287" s="48">
        <v>0.98856481481481484</v>
      </c>
      <c r="G287" s="44">
        <v>6.3</v>
      </c>
      <c r="H287" s="43" t="s">
        <v>228</v>
      </c>
      <c r="I287" s="40" t="s">
        <v>1300</v>
      </c>
    </row>
    <row r="288" spans="1:9" x14ac:dyDescent="0.2">
      <c r="A288" s="40" t="s">
        <v>180</v>
      </c>
      <c r="B288" s="28">
        <v>292</v>
      </c>
      <c r="C288" s="28">
        <v>5694209</v>
      </c>
      <c r="D288" s="28"/>
      <c r="E288" s="41">
        <v>46171</v>
      </c>
      <c r="F288" s="47">
        <v>0.9957407407407407</v>
      </c>
      <c r="G288" s="44">
        <v>6.3</v>
      </c>
      <c r="H288" s="43" t="s">
        <v>229</v>
      </c>
      <c r="I288" s="40" t="s">
        <v>1300</v>
      </c>
    </row>
    <row r="289" spans="1:9" x14ac:dyDescent="0.2">
      <c r="A289" s="40" t="s">
        <v>180</v>
      </c>
      <c r="B289" s="28">
        <v>292</v>
      </c>
      <c r="C289" s="28">
        <v>5693884</v>
      </c>
      <c r="D289" s="28"/>
      <c r="E289" s="41">
        <v>46172</v>
      </c>
      <c r="F289" s="47">
        <v>0.13533564814814814</v>
      </c>
      <c r="G289" s="44">
        <v>6.3</v>
      </c>
      <c r="H289" s="43" t="s">
        <v>226</v>
      </c>
      <c r="I289" s="40" t="s">
        <v>1300</v>
      </c>
    </row>
    <row r="290" spans="1:9" x14ac:dyDescent="0.2">
      <c r="A290" s="40" t="s">
        <v>180</v>
      </c>
      <c r="B290" s="28">
        <v>292</v>
      </c>
      <c r="C290" s="28">
        <v>5693884</v>
      </c>
      <c r="D290" s="28"/>
      <c r="E290" s="41">
        <v>46172</v>
      </c>
      <c r="F290" s="47">
        <v>0.14056712962962964</v>
      </c>
      <c r="G290" s="44">
        <v>6.3</v>
      </c>
      <c r="H290" s="43" t="s">
        <v>227</v>
      </c>
      <c r="I290" s="40" t="s">
        <v>1300</v>
      </c>
    </row>
    <row r="291" spans="1:9" x14ac:dyDescent="0.2">
      <c r="A291" s="40" t="s">
        <v>180</v>
      </c>
      <c r="B291" s="28">
        <v>292</v>
      </c>
      <c r="C291" s="28" t="s">
        <v>35</v>
      </c>
      <c r="D291" s="28" t="s">
        <v>38</v>
      </c>
      <c r="E291" s="45">
        <v>46172</v>
      </c>
      <c r="F291" s="48">
        <v>0.1925462962962963</v>
      </c>
      <c r="G291" s="44">
        <v>6.3</v>
      </c>
      <c r="H291" s="43" t="s">
        <v>229</v>
      </c>
      <c r="I291" s="40" t="s">
        <v>1300</v>
      </c>
    </row>
    <row r="292" spans="1:9" x14ac:dyDescent="0.2">
      <c r="A292" s="40" t="s">
        <v>180</v>
      </c>
      <c r="B292" s="28">
        <v>292</v>
      </c>
      <c r="C292" s="28">
        <v>5693892</v>
      </c>
      <c r="D292" s="28"/>
      <c r="E292" s="41">
        <v>46172</v>
      </c>
      <c r="F292" s="47">
        <v>0.22273148148148147</v>
      </c>
      <c r="G292" s="44">
        <v>6.3</v>
      </c>
      <c r="H292" s="43" t="s">
        <v>227</v>
      </c>
      <c r="I292" s="40" t="s">
        <v>1300</v>
      </c>
    </row>
    <row r="293" spans="1:9" x14ac:dyDescent="0.2">
      <c r="A293" s="40" t="s">
        <v>180</v>
      </c>
      <c r="B293" s="28">
        <v>292</v>
      </c>
      <c r="C293" s="28" t="s">
        <v>35</v>
      </c>
      <c r="D293" s="28" t="s">
        <v>38</v>
      </c>
      <c r="E293" s="45">
        <v>46173</v>
      </c>
      <c r="F293" s="48">
        <v>3.4606481481481481E-2</v>
      </c>
      <c r="G293" s="44">
        <v>6.3</v>
      </c>
      <c r="H293" s="43" t="s">
        <v>228</v>
      </c>
      <c r="I293" s="40" t="s">
        <v>1300</v>
      </c>
    </row>
    <row r="294" spans="1:9" x14ac:dyDescent="0.2">
      <c r="A294" s="40" t="s">
        <v>180</v>
      </c>
      <c r="B294" s="28">
        <v>292</v>
      </c>
      <c r="C294" s="28" t="s">
        <v>35</v>
      </c>
      <c r="D294" s="28" t="s">
        <v>38</v>
      </c>
      <c r="E294" s="41">
        <v>46173</v>
      </c>
      <c r="F294" s="47">
        <v>4.0868055555555553E-2</v>
      </c>
      <c r="G294" s="44">
        <v>6.3</v>
      </c>
      <c r="H294" s="43" t="s">
        <v>229</v>
      </c>
      <c r="I294" s="40" t="s">
        <v>1300</v>
      </c>
    </row>
    <row r="295" spans="1:9" x14ac:dyDescent="0.2">
      <c r="A295" s="40" t="s">
        <v>180</v>
      </c>
      <c r="B295" s="28">
        <v>292</v>
      </c>
      <c r="C295" s="28" t="s">
        <v>35</v>
      </c>
      <c r="D295" s="28" t="s">
        <v>38</v>
      </c>
      <c r="E295" s="41">
        <v>46173</v>
      </c>
      <c r="F295" s="47">
        <v>5.7569444444444444E-2</v>
      </c>
      <c r="G295" s="44">
        <v>6.3</v>
      </c>
      <c r="H295" s="43" t="s">
        <v>230</v>
      </c>
      <c r="I295" s="40" t="s">
        <v>1300</v>
      </c>
    </row>
    <row r="296" spans="1:9" x14ac:dyDescent="0.2">
      <c r="A296" s="40" t="s">
        <v>180</v>
      </c>
      <c r="B296" s="28">
        <v>292</v>
      </c>
      <c r="C296" s="28">
        <v>5695481</v>
      </c>
      <c r="D296" s="28"/>
      <c r="E296" s="41">
        <v>46173</v>
      </c>
      <c r="F296" s="47">
        <v>0.32635416666666667</v>
      </c>
      <c r="G296" s="44">
        <v>6.3</v>
      </c>
      <c r="H296" s="43" t="s">
        <v>228</v>
      </c>
      <c r="I296" s="40" t="s">
        <v>1300</v>
      </c>
    </row>
    <row r="297" spans="1:9" x14ac:dyDescent="0.2">
      <c r="A297" s="40" t="s">
        <v>180</v>
      </c>
      <c r="B297" s="28">
        <v>292</v>
      </c>
      <c r="C297" s="28">
        <v>5695481</v>
      </c>
      <c r="D297" s="28"/>
      <c r="E297" s="41">
        <v>46173</v>
      </c>
      <c r="F297" s="47">
        <v>0.33247685185185183</v>
      </c>
      <c r="G297" s="44">
        <v>6.3</v>
      </c>
      <c r="H297" s="43" t="s">
        <v>229</v>
      </c>
      <c r="I297" s="40" t="s">
        <v>1300</v>
      </c>
    </row>
    <row r="298" spans="1:9" x14ac:dyDescent="0.2">
      <c r="A298" s="40" t="s">
        <v>180</v>
      </c>
      <c r="B298" s="28">
        <v>292</v>
      </c>
      <c r="C298" s="28">
        <v>5694553</v>
      </c>
      <c r="D298" s="28"/>
      <c r="E298" s="41">
        <v>46173</v>
      </c>
      <c r="F298" s="47">
        <v>0.4100347222222222</v>
      </c>
      <c r="G298" s="44">
        <v>6.3</v>
      </c>
      <c r="H298" s="43" t="s">
        <v>230</v>
      </c>
      <c r="I298" s="40" t="s">
        <v>1300</v>
      </c>
    </row>
    <row r="299" spans="1:9" x14ac:dyDescent="0.2">
      <c r="A299" s="40" t="s">
        <v>180</v>
      </c>
      <c r="B299" s="28">
        <v>292</v>
      </c>
      <c r="C299" s="28">
        <v>5694553</v>
      </c>
      <c r="D299" s="28"/>
      <c r="E299" s="45">
        <v>46173</v>
      </c>
      <c r="F299" s="48">
        <v>0.41478009259259258</v>
      </c>
      <c r="G299" s="44">
        <v>6.3</v>
      </c>
      <c r="H299" s="43" t="s">
        <v>227</v>
      </c>
      <c r="I299" s="40" t="s">
        <v>1300</v>
      </c>
    </row>
    <row r="300" spans="1:9" x14ac:dyDescent="0.2">
      <c r="A300" s="40" t="s">
        <v>180</v>
      </c>
      <c r="B300" s="28">
        <v>292</v>
      </c>
      <c r="C300" s="28">
        <v>5694596</v>
      </c>
      <c r="D300" s="28"/>
      <c r="E300" s="41">
        <v>46173</v>
      </c>
      <c r="F300" s="47">
        <v>0.58385416666666667</v>
      </c>
      <c r="G300" s="44">
        <v>6.3</v>
      </c>
      <c r="H300" s="43" t="s">
        <v>230</v>
      </c>
      <c r="I300" s="40" t="s">
        <v>1300</v>
      </c>
    </row>
    <row r="301" spans="1:9" x14ac:dyDescent="0.2">
      <c r="A301" s="40" t="s">
        <v>180</v>
      </c>
      <c r="B301" s="28">
        <v>292</v>
      </c>
      <c r="C301" s="28">
        <v>5694596</v>
      </c>
      <c r="D301" s="28"/>
      <c r="E301" s="41">
        <v>46173</v>
      </c>
      <c r="F301" s="47">
        <v>0.58747685185185183</v>
      </c>
      <c r="G301" s="44">
        <v>6.3</v>
      </c>
      <c r="H301" s="43" t="s">
        <v>227</v>
      </c>
      <c r="I301" s="40" t="s">
        <v>1300</v>
      </c>
    </row>
    <row r="302" spans="1:9" x14ac:dyDescent="0.2">
      <c r="A302" s="40" t="s">
        <v>180</v>
      </c>
      <c r="B302" s="28">
        <v>292</v>
      </c>
      <c r="C302" s="28" t="s">
        <v>35</v>
      </c>
      <c r="D302" s="28" t="s">
        <v>38</v>
      </c>
      <c r="E302" s="41">
        <v>46173</v>
      </c>
      <c r="F302" s="47">
        <v>0.85930555555555554</v>
      </c>
      <c r="G302" s="44">
        <v>6.3</v>
      </c>
      <c r="H302" s="43" t="s">
        <v>228</v>
      </c>
      <c r="I302" s="40" t="s">
        <v>1300</v>
      </c>
    </row>
    <row r="303" spans="1:9" x14ac:dyDescent="0.2">
      <c r="A303" s="40" t="s">
        <v>107</v>
      </c>
      <c r="B303" s="28">
        <v>301</v>
      </c>
      <c r="C303" s="28">
        <v>5686094</v>
      </c>
      <c r="D303" s="28"/>
      <c r="E303" s="41">
        <v>46167</v>
      </c>
      <c r="F303" s="47">
        <v>0.609837962962963</v>
      </c>
      <c r="G303" s="44">
        <v>6.3</v>
      </c>
      <c r="H303" s="43" t="s">
        <v>228</v>
      </c>
      <c r="I303" s="40" t="s">
        <v>1300</v>
      </c>
    </row>
    <row r="304" spans="1:9" x14ac:dyDescent="0.2">
      <c r="A304" s="40" t="s">
        <v>107</v>
      </c>
      <c r="B304" s="28">
        <v>301</v>
      </c>
      <c r="C304" s="28">
        <v>5686094</v>
      </c>
      <c r="D304" s="28"/>
      <c r="E304" s="41">
        <v>46167</v>
      </c>
      <c r="F304" s="47">
        <v>0.62179398148148146</v>
      </c>
      <c r="G304" s="44">
        <v>6.3</v>
      </c>
      <c r="H304" s="43" t="s">
        <v>229</v>
      </c>
      <c r="I304" s="40" t="s">
        <v>1300</v>
      </c>
    </row>
    <row r="305" spans="1:9" x14ac:dyDescent="0.2">
      <c r="A305" s="40" t="s">
        <v>107</v>
      </c>
      <c r="B305" s="28">
        <v>301</v>
      </c>
      <c r="C305" s="28" t="s">
        <v>35</v>
      </c>
      <c r="D305" s="28" t="s">
        <v>38</v>
      </c>
      <c r="E305" s="41">
        <v>46167</v>
      </c>
      <c r="F305" s="47">
        <v>0.67984953703703699</v>
      </c>
      <c r="G305" s="44">
        <v>6.3</v>
      </c>
      <c r="H305" s="43" t="s">
        <v>230</v>
      </c>
      <c r="I305" s="40" t="s">
        <v>1300</v>
      </c>
    </row>
    <row r="306" spans="1:9" x14ac:dyDescent="0.2">
      <c r="A306" s="40" t="s">
        <v>107</v>
      </c>
      <c r="B306" s="28">
        <v>301</v>
      </c>
      <c r="C306" s="28" t="s">
        <v>35</v>
      </c>
      <c r="D306" s="28" t="s">
        <v>38</v>
      </c>
      <c r="E306" s="41">
        <v>46167</v>
      </c>
      <c r="F306" s="47">
        <v>0.68726851851851856</v>
      </c>
      <c r="G306" s="44">
        <v>6.3</v>
      </c>
      <c r="H306" s="43" t="s">
        <v>227</v>
      </c>
      <c r="I306" s="40" t="s">
        <v>1300</v>
      </c>
    </row>
    <row r="307" spans="1:9" x14ac:dyDescent="0.2">
      <c r="A307" s="40" t="s">
        <v>107</v>
      </c>
      <c r="B307" s="28">
        <v>301</v>
      </c>
      <c r="C307" s="28">
        <v>5689692</v>
      </c>
      <c r="D307" s="28"/>
      <c r="E307" s="41">
        <v>46169</v>
      </c>
      <c r="F307" s="47">
        <v>0.57944444444444443</v>
      </c>
      <c r="G307" s="44">
        <v>6.3</v>
      </c>
      <c r="H307" s="43" t="s">
        <v>228</v>
      </c>
      <c r="I307" s="40" t="s">
        <v>1300</v>
      </c>
    </row>
    <row r="308" spans="1:9" x14ac:dyDescent="0.2">
      <c r="A308" s="40" t="s">
        <v>107</v>
      </c>
      <c r="B308" s="28">
        <v>301</v>
      </c>
      <c r="C308" s="28">
        <v>5689692</v>
      </c>
      <c r="D308" s="28"/>
      <c r="E308" s="41">
        <v>46169</v>
      </c>
      <c r="F308" s="47">
        <v>0.59105324074074073</v>
      </c>
      <c r="G308" s="44">
        <v>6.3</v>
      </c>
      <c r="H308" s="43" t="s">
        <v>229</v>
      </c>
      <c r="I308" s="40" t="s">
        <v>1300</v>
      </c>
    </row>
    <row r="309" spans="1:9" x14ac:dyDescent="0.2">
      <c r="A309" s="40" t="s">
        <v>107</v>
      </c>
      <c r="B309" s="28">
        <v>301</v>
      </c>
      <c r="C309" s="28">
        <v>5689498</v>
      </c>
      <c r="D309" s="28"/>
      <c r="E309" s="45">
        <v>46169</v>
      </c>
      <c r="F309" s="48">
        <v>0.73793981481481485</v>
      </c>
      <c r="G309" s="42">
        <v>6.3</v>
      </c>
      <c r="H309" s="40" t="s">
        <v>229</v>
      </c>
      <c r="I309" s="40" t="s">
        <v>1300</v>
      </c>
    </row>
    <row r="310" spans="1:9" x14ac:dyDescent="0.2">
      <c r="A310" s="40" t="s">
        <v>107</v>
      </c>
      <c r="B310" s="28">
        <v>301</v>
      </c>
      <c r="C310" s="28" t="s">
        <v>524</v>
      </c>
      <c r="D310" s="28"/>
      <c r="E310" s="41">
        <v>46171</v>
      </c>
      <c r="F310" s="47">
        <v>0.48746527777777776</v>
      </c>
      <c r="G310" s="42">
        <v>6.3</v>
      </c>
      <c r="H310" s="40" t="s">
        <v>230</v>
      </c>
      <c r="I310" s="40" t="s">
        <v>1300</v>
      </c>
    </row>
    <row r="311" spans="1:9" x14ac:dyDescent="0.2">
      <c r="A311" s="40" t="s">
        <v>107</v>
      </c>
      <c r="B311" s="28">
        <v>301</v>
      </c>
      <c r="C311" s="28" t="s">
        <v>524</v>
      </c>
      <c r="D311" s="28"/>
      <c r="E311" s="45">
        <v>46171</v>
      </c>
      <c r="F311" s="48">
        <v>0.50008101851851849</v>
      </c>
      <c r="G311" s="44">
        <v>6.3</v>
      </c>
      <c r="H311" s="43" t="s">
        <v>227</v>
      </c>
      <c r="I311" s="40" t="s">
        <v>1300</v>
      </c>
    </row>
    <row r="312" spans="1:9" x14ac:dyDescent="0.2">
      <c r="A312" s="40" t="s">
        <v>107</v>
      </c>
      <c r="B312" s="28">
        <v>301</v>
      </c>
      <c r="C312" s="28">
        <v>5695634</v>
      </c>
      <c r="D312" s="28"/>
      <c r="E312" s="45">
        <v>46173</v>
      </c>
      <c r="F312" s="48">
        <v>0.58118055555555559</v>
      </c>
      <c r="G312" s="44">
        <v>6.3</v>
      </c>
      <c r="H312" s="43" t="s">
        <v>228</v>
      </c>
      <c r="I312" s="40" t="s">
        <v>1300</v>
      </c>
    </row>
    <row r="313" spans="1:9" x14ac:dyDescent="0.2">
      <c r="A313" s="40" t="s">
        <v>107</v>
      </c>
      <c r="B313" s="28">
        <v>301</v>
      </c>
      <c r="C313" s="28">
        <v>5695634</v>
      </c>
      <c r="D313" s="28"/>
      <c r="E313" s="41">
        <v>46173</v>
      </c>
      <c r="F313" s="47">
        <v>0.58831018518518519</v>
      </c>
      <c r="G313" s="44">
        <v>6.3</v>
      </c>
      <c r="H313" s="43" t="s">
        <v>233</v>
      </c>
      <c r="I313" s="40" t="s">
        <v>1300</v>
      </c>
    </row>
    <row r="314" spans="1:9" x14ac:dyDescent="0.2">
      <c r="A314" s="40" t="s">
        <v>108</v>
      </c>
      <c r="B314" s="28">
        <v>380</v>
      </c>
      <c r="C314" s="28">
        <v>5686612</v>
      </c>
      <c r="D314" s="28"/>
      <c r="E314" s="41">
        <v>46168</v>
      </c>
      <c r="F314" s="47">
        <v>0.27326388888888886</v>
      </c>
      <c r="G314" s="44">
        <v>6.3</v>
      </c>
      <c r="H314" s="43" t="s">
        <v>228</v>
      </c>
      <c r="I314" s="40" t="s">
        <v>1300</v>
      </c>
    </row>
    <row r="315" spans="1:9" x14ac:dyDescent="0.2">
      <c r="A315" s="40" t="s">
        <v>108</v>
      </c>
      <c r="B315" s="28">
        <v>380</v>
      </c>
      <c r="C315" s="28">
        <v>5686612</v>
      </c>
      <c r="D315" s="28"/>
      <c r="E315" s="45">
        <v>46168</v>
      </c>
      <c r="F315" s="48">
        <v>0.28651620370370373</v>
      </c>
      <c r="G315" s="44">
        <v>6.3</v>
      </c>
      <c r="H315" s="43" t="s">
        <v>229</v>
      </c>
      <c r="I315" s="40" t="s">
        <v>1300</v>
      </c>
    </row>
    <row r="316" spans="1:9" x14ac:dyDescent="0.2">
      <c r="A316" s="40" t="s">
        <v>108</v>
      </c>
      <c r="B316" s="28">
        <v>380</v>
      </c>
      <c r="C316" s="28">
        <v>5686966</v>
      </c>
      <c r="D316" s="28"/>
      <c r="E316" s="41">
        <v>46168</v>
      </c>
      <c r="F316" s="47">
        <v>0.46471064814814816</v>
      </c>
      <c r="G316" s="44">
        <v>6.3</v>
      </c>
      <c r="H316" s="43" t="s">
        <v>228</v>
      </c>
      <c r="I316" s="40" t="s">
        <v>1300</v>
      </c>
    </row>
    <row r="317" spans="1:9" x14ac:dyDescent="0.2">
      <c r="A317" s="40" t="s">
        <v>108</v>
      </c>
      <c r="B317" s="28">
        <v>380</v>
      </c>
      <c r="C317" s="28">
        <v>5686966</v>
      </c>
      <c r="D317" s="28"/>
      <c r="E317" s="41">
        <v>46168</v>
      </c>
      <c r="F317" s="47">
        <v>0.47493055555555558</v>
      </c>
      <c r="G317" s="44">
        <v>6.3</v>
      </c>
      <c r="H317" s="43" t="s">
        <v>229</v>
      </c>
      <c r="I317" s="40" t="s">
        <v>1300</v>
      </c>
    </row>
    <row r="318" spans="1:9" x14ac:dyDescent="0.2">
      <c r="A318" s="40" t="s">
        <v>108</v>
      </c>
      <c r="B318" s="28">
        <v>380</v>
      </c>
      <c r="C318" s="28">
        <v>5689437</v>
      </c>
      <c r="D318" s="28"/>
      <c r="E318" s="41">
        <v>46169</v>
      </c>
      <c r="F318" s="47">
        <v>0.49760416666666668</v>
      </c>
      <c r="G318" s="44">
        <v>6.3</v>
      </c>
      <c r="H318" s="43" t="s">
        <v>228</v>
      </c>
      <c r="I318" s="40" t="s">
        <v>1300</v>
      </c>
    </row>
    <row r="319" spans="1:9" x14ac:dyDescent="0.2">
      <c r="A319" s="40" t="s">
        <v>108</v>
      </c>
      <c r="B319" s="28">
        <v>380</v>
      </c>
      <c r="C319" s="28">
        <v>5689437</v>
      </c>
      <c r="D319" s="28"/>
      <c r="E319" s="45">
        <v>46169</v>
      </c>
      <c r="F319" s="48">
        <v>0.50331018518518522</v>
      </c>
      <c r="G319" s="44">
        <v>6.3</v>
      </c>
      <c r="H319" s="43" t="s">
        <v>233</v>
      </c>
      <c r="I319" s="40" t="s">
        <v>1300</v>
      </c>
    </row>
    <row r="320" spans="1:9" x14ac:dyDescent="0.2">
      <c r="A320" s="40" t="s">
        <v>108</v>
      </c>
      <c r="B320" s="28">
        <v>380</v>
      </c>
      <c r="C320" s="28">
        <v>5689604</v>
      </c>
      <c r="D320" s="28"/>
      <c r="E320" s="41">
        <v>46169</v>
      </c>
      <c r="F320" s="47">
        <v>0.59128472222222217</v>
      </c>
      <c r="G320" s="44">
        <v>6.3</v>
      </c>
      <c r="H320" s="43" t="s">
        <v>232</v>
      </c>
      <c r="I320" s="40" t="s">
        <v>1300</v>
      </c>
    </row>
    <row r="321" spans="1:9" x14ac:dyDescent="0.2">
      <c r="A321" s="40" t="s">
        <v>108</v>
      </c>
      <c r="B321" s="28">
        <v>380</v>
      </c>
      <c r="C321" s="28" t="s">
        <v>35</v>
      </c>
      <c r="D321" s="28" t="s">
        <v>38</v>
      </c>
      <c r="E321" s="41">
        <v>46169</v>
      </c>
      <c r="F321" s="47">
        <v>0.59652777777777777</v>
      </c>
      <c r="G321" s="44">
        <v>6.3</v>
      </c>
      <c r="H321" s="43" t="s">
        <v>232</v>
      </c>
      <c r="I321" s="40" t="s">
        <v>1300</v>
      </c>
    </row>
    <row r="322" spans="1:9" x14ac:dyDescent="0.2">
      <c r="A322" s="40" t="s">
        <v>108</v>
      </c>
      <c r="B322" s="28">
        <v>380</v>
      </c>
      <c r="C322" s="28" t="s">
        <v>35</v>
      </c>
      <c r="D322" s="28" t="s">
        <v>38</v>
      </c>
      <c r="E322" s="41">
        <v>46169</v>
      </c>
      <c r="F322" s="47">
        <v>0.60523148148148154</v>
      </c>
      <c r="G322" s="44">
        <v>6.3</v>
      </c>
      <c r="H322" s="43" t="s">
        <v>231</v>
      </c>
      <c r="I322" s="40" t="s">
        <v>1300</v>
      </c>
    </row>
    <row r="323" spans="1:9" x14ac:dyDescent="0.2">
      <c r="A323" s="40" t="s">
        <v>108</v>
      </c>
      <c r="B323" s="28">
        <v>380</v>
      </c>
      <c r="C323" s="28" t="s">
        <v>35</v>
      </c>
      <c r="D323" s="28" t="s">
        <v>38</v>
      </c>
      <c r="E323" s="41">
        <v>46169</v>
      </c>
      <c r="F323" s="47">
        <v>0.61018518518518516</v>
      </c>
      <c r="G323" s="42">
        <v>6.3</v>
      </c>
      <c r="H323" s="40" t="s">
        <v>227</v>
      </c>
      <c r="I323" s="40" t="s">
        <v>1300</v>
      </c>
    </row>
    <row r="324" spans="1:9" x14ac:dyDescent="0.2">
      <c r="A324" s="40" t="s">
        <v>108</v>
      </c>
      <c r="B324" s="28">
        <v>380</v>
      </c>
      <c r="C324" s="28">
        <v>5691052</v>
      </c>
      <c r="D324" s="28"/>
      <c r="E324" s="41">
        <v>46170</v>
      </c>
      <c r="F324" s="47">
        <v>0.37798611111111113</v>
      </c>
      <c r="G324" s="42">
        <v>6.3</v>
      </c>
      <c r="H324" s="40" t="s">
        <v>228</v>
      </c>
      <c r="I324" s="40" t="s">
        <v>1300</v>
      </c>
    </row>
    <row r="325" spans="1:9" x14ac:dyDescent="0.2">
      <c r="A325" s="40" t="s">
        <v>108</v>
      </c>
      <c r="B325" s="28">
        <v>380</v>
      </c>
      <c r="C325" s="28">
        <v>5691220</v>
      </c>
      <c r="D325" s="28"/>
      <c r="E325" s="41">
        <v>46170</v>
      </c>
      <c r="F325" s="47">
        <v>0.46370370370370373</v>
      </c>
      <c r="G325" s="42">
        <v>6.3</v>
      </c>
      <c r="H325" s="40" t="s">
        <v>227</v>
      </c>
      <c r="I325" s="40" t="s">
        <v>1300</v>
      </c>
    </row>
    <row r="326" spans="1:9" x14ac:dyDescent="0.2">
      <c r="A326" s="40" t="s">
        <v>108</v>
      </c>
      <c r="B326" s="28">
        <v>380</v>
      </c>
      <c r="C326" s="28">
        <v>5691184</v>
      </c>
      <c r="D326" s="28"/>
      <c r="E326" s="45">
        <v>46170</v>
      </c>
      <c r="F326" s="48">
        <v>0.5266319444444445</v>
      </c>
      <c r="G326" s="42">
        <v>6.3</v>
      </c>
      <c r="H326" s="40" t="s">
        <v>228</v>
      </c>
      <c r="I326" s="40" t="s">
        <v>1300</v>
      </c>
    </row>
    <row r="327" spans="1:9" x14ac:dyDescent="0.2">
      <c r="A327" s="40" t="s">
        <v>108</v>
      </c>
      <c r="B327" s="28">
        <v>380</v>
      </c>
      <c r="C327" s="28">
        <v>5691184</v>
      </c>
      <c r="D327" s="28"/>
      <c r="E327" s="41">
        <v>46170</v>
      </c>
      <c r="F327" s="47">
        <v>0.53736111111111107</v>
      </c>
      <c r="G327" s="42">
        <v>6.3</v>
      </c>
      <c r="H327" s="40" t="s">
        <v>229</v>
      </c>
      <c r="I327" s="40" t="s">
        <v>1300</v>
      </c>
    </row>
    <row r="328" spans="1:9" x14ac:dyDescent="0.2">
      <c r="A328" s="40" t="s">
        <v>108</v>
      </c>
      <c r="B328" s="28">
        <v>380</v>
      </c>
      <c r="C328" s="28">
        <v>5691801</v>
      </c>
      <c r="D328" s="28"/>
      <c r="E328" s="41">
        <v>46170</v>
      </c>
      <c r="F328" s="47">
        <v>0.74835648148148148</v>
      </c>
      <c r="G328" s="42">
        <v>6.3</v>
      </c>
      <c r="H328" s="40" t="s">
        <v>230</v>
      </c>
      <c r="I328" s="40" t="s">
        <v>1300</v>
      </c>
    </row>
    <row r="329" spans="1:9" x14ac:dyDescent="0.2">
      <c r="A329" s="40" t="s">
        <v>108</v>
      </c>
      <c r="B329" s="28">
        <v>380</v>
      </c>
      <c r="C329" s="28">
        <v>5691801</v>
      </c>
      <c r="D329" s="28"/>
      <c r="E329" s="45">
        <v>46170</v>
      </c>
      <c r="F329" s="48">
        <v>0.77008101851851851</v>
      </c>
      <c r="G329" s="44">
        <v>6.3</v>
      </c>
      <c r="H329" s="43" t="s">
        <v>227</v>
      </c>
      <c r="I329" s="40" t="s">
        <v>1300</v>
      </c>
    </row>
    <row r="330" spans="1:9" x14ac:dyDescent="0.2">
      <c r="A330" s="40" t="s">
        <v>281</v>
      </c>
      <c r="B330" s="28">
        <v>411</v>
      </c>
      <c r="C330" s="28">
        <v>5685411</v>
      </c>
      <c r="D330" s="28"/>
      <c r="E330" s="41">
        <v>46167</v>
      </c>
      <c r="F330" s="47">
        <v>0.18890046296296295</v>
      </c>
      <c r="G330" s="44">
        <v>6.3</v>
      </c>
      <c r="H330" s="43" t="s">
        <v>226</v>
      </c>
      <c r="I330" s="40" t="s">
        <v>1300</v>
      </c>
    </row>
    <row r="331" spans="1:9" x14ac:dyDescent="0.2">
      <c r="A331" s="40" t="s">
        <v>281</v>
      </c>
      <c r="B331" s="28">
        <v>411</v>
      </c>
      <c r="C331" s="28">
        <v>5682302</v>
      </c>
      <c r="D331" s="28"/>
      <c r="E331" s="45">
        <v>46167</v>
      </c>
      <c r="F331" s="48">
        <v>0.31600694444444444</v>
      </c>
      <c r="G331" s="44">
        <v>6.3</v>
      </c>
      <c r="H331" s="43" t="s">
        <v>234</v>
      </c>
      <c r="I331" s="40" t="s">
        <v>1300</v>
      </c>
    </row>
    <row r="332" spans="1:9" x14ac:dyDescent="0.2">
      <c r="A332" s="40" t="s">
        <v>281</v>
      </c>
      <c r="B332" s="28">
        <v>411</v>
      </c>
      <c r="C332" s="28">
        <v>5686979</v>
      </c>
      <c r="D332" s="28"/>
      <c r="E332" s="41">
        <v>46168</v>
      </c>
      <c r="F332" s="47">
        <v>0.27672453703703703</v>
      </c>
      <c r="G332" s="44">
        <v>6.3</v>
      </c>
      <c r="H332" s="43" t="s">
        <v>232</v>
      </c>
      <c r="I332" s="40" t="s">
        <v>1300</v>
      </c>
    </row>
    <row r="333" spans="1:9" x14ac:dyDescent="0.2">
      <c r="A333" s="40" t="s">
        <v>281</v>
      </c>
      <c r="B333" s="28">
        <v>411</v>
      </c>
      <c r="C333" s="28">
        <v>5686979</v>
      </c>
      <c r="D333" s="28"/>
      <c r="E333" s="41">
        <v>46168</v>
      </c>
      <c r="F333" s="47">
        <v>0.35607638888888887</v>
      </c>
      <c r="G333" s="44">
        <v>6.3</v>
      </c>
      <c r="H333" s="43" t="s">
        <v>226</v>
      </c>
      <c r="I333" s="40" t="s">
        <v>1300</v>
      </c>
    </row>
    <row r="334" spans="1:9" x14ac:dyDescent="0.2">
      <c r="A334" s="40" t="s">
        <v>281</v>
      </c>
      <c r="B334" s="28">
        <v>411</v>
      </c>
      <c r="C334" s="28">
        <v>5686979</v>
      </c>
      <c r="D334" s="28"/>
      <c r="E334" s="41">
        <v>46168</v>
      </c>
      <c r="F334" s="47">
        <v>0.36171296296296296</v>
      </c>
      <c r="G334" s="44">
        <v>6.3</v>
      </c>
      <c r="H334" s="43" t="s">
        <v>227</v>
      </c>
      <c r="I334" s="40" t="s">
        <v>1300</v>
      </c>
    </row>
    <row r="335" spans="1:9" x14ac:dyDescent="0.2">
      <c r="A335" s="40" t="s">
        <v>281</v>
      </c>
      <c r="B335" s="28">
        <v>411</v>
      </c>
      <c r="C335" s="28">
        <v>5686979</v>
      </c>
      <c r="D335" s="28"/>
      <c r="E335" s="41">
        <v>46168</v>
      </c>
      <c r="F335" s="47">
        <v>0.66998842592592589</v>
      </c>
      <c r="G335" s="44">
        <v>6.3</v>
      </c>
      <c r="H335" s="43" t="s">
        <v>228</v>
      </c>
      <c r="I335" s="40" t="s">
        <v>1300</v>
      </c>
    </row>
    <row r="336" spans="1:9" x14ac:dyDescent="0.2">
      <c r="A336" s="40" t="s">
        <v>281</v>
      </c>
      <c r="B336" s="28">
        <v>411</v>
      </c>
      <c r="C336" s="28">
        <v>5686979</v>
      </c>
      <c r="D336" s="28"/>
      <c r="E336" s="45">
        <v>46168</v>
      </c>
      <c r="F336" s="48">
        <v>0.68622685185185184</v>
      </c>
      <c r="G336" s="42">
        <v>6.3</v>
      </c>
      <c r="H336" s="40" t="s">
        <v>232</v>
      </c>
      <c r="I336" s="40" t="s">
        <v>1300</v>
      </c>
    </row>
    <row r="337" spans="1:9" x14ac:dyDescent="0.2">
      <c r="A337" s="40" t="s">
        <v>281</v>
      </c>
      <c r="B337" s="28">
        <v>411</v>
      </c>
      <c r="C337" s="28">
        <v>5689719</v>
      </c>
      <c r="D337" s="28"/>
      <c r="E337" s="41">
        <v>46169</v>
      </c>
      <c r="F337" s="47">
        <v>0.64024305555555561</v>
      </c>
      <c r="G337" s="42">
        <v>6.3</v>
      </c>
      <c r="H337" s="40" t="s">
        <v>234</v>
      </c>
      <c r="I337" s="40" t="s">
        <v>1300</v>
      </c>
    </row>
    <row r="338" spans="1:9" x14ac:dyDescent="0.2">
      <c r="A338" s="40" t="s">
        <v>281</v>
      </c>
      <c r="B338" s="28">
        <v>411</v>
      </c>
      <c r="C338" s="28">
        <v>5689719</v>
      </c>
      <c r="D338" s="28"/>
      <c r="E338" s="41">
        <v>46169</v>
      </c>
      <c r="F338" s="47">
        <v>0.64318287037037036</v>
      </c>
      <c r="G338" s="44">
        <v>6.3</v>
      </c>
      <c r="H338" s="43" t="s">
        <v>227</v>
      </c>
      <c r="I338" s="40" t="s">
        <v>1300</v>
      </c>
    </row>
    <row r="339" spans="1:9" x14ac:dyDescent="0.2">
      <c r="A339" s="40" t="s">
        <v>281</v>
      </c>
      <c r="B339" s="28">
        <v>411</v>
      </c>
      <c r="C339" s="28">
        <v>5690024</v>
      </c>
      <c r="D339" s="28"/>
      <c r="E339" s="45">
        <v>46169</v>
      </c>
      <c r="F339" s="48">
        <v>0.74697916666666664</v>
      </c>
      <c r="G339" s="44">
        <v>6.3</v>
      </c>
      <c r="H339" s="43" t="s">
        <v>228</v>
      </c>
      <c r="I339" s="40" t="s">
        <v>1300</v>
      </c>
    </row>
    <row r="340" spans="1:9" x14ac:dyDescent="0.2">
      <c r="A340" s="40" t="s">
        <v>281</v>
      </c>
      <c r="B340" s="28">
        <v>411</v>
      </c>
      <c r="C340" s="28">
        <v>5690024</v>
      </c>
      <c r="D340" s="28"/>
      <c r="E340" s="41">
        <v>46169</v>
      </c>
      <c r="F340" s="47">
        <v>0.76761574074074079</v>
      </c>
      <c r="G340" s="44">
        <v>6.3</v>
      </c>
      <c r="H340" s="43" t="s">
        <v>229</v>
      </c>
      <c r="I340" s="40" t="s">
        <v>1300</v>
      </c>
    </row>
    <row r="341" spans="1:9" x14ac:dyDescent="0.2">
      <c r="A341" s="40" t="s">
        <v>281</v>
      </c>
      <c r="B341" s="28">
        <v>411</v>
      </c>
      <c r="C341" s="28">
        <v>5687166</v>
      </c>
      <c r="D341" s="28"/>
      <c r="E341" s="41">
        <v>46171</v>
      </c>
      <c r="F341" s="47">
        <v>0.27003472222222225</v>
      </c>
      <c r="G341" s="44">
        <v>6.3</v>
      </c>
      <c r="H341" s="43" t="s">
        <v>226</v>
      </c>
      <c r="I341" s="40" t="s">
        <v>1300</v>
      </c>
    </row>
    <row r="342" spans="1:9" x14ac:dyDescent="0.2">
      <c r="A342" s="40" t="s">
        <v>281</v>
      </c>
      <c r="B342" s="28">
        <v>411</v>
      </c>
      <c r="C342" s="28">
        <v>5687167</v>
      </c>
      <c r="D342" s="28"/>
      <c r="E342" s="41">
        <v>46172</v>
      </c>
      <c r="F342" s="47">
        <v>0.26474537037037038</v>
      </c>
      <c r="G342" s="44">
        <v>6.3</v>
      </c>
      <c r="H342" s="43" t="s">
        <v>226</v>
      </c>
      <c r="I342" s="40" t="s">
        <v>1300</v>
      </c>
    </row>
    <row r="343" spans="1:9" x14ac:dyDescent="0.2">
      <c r="A343" s="40" t="s">
        <v>281</v>
      </c>
      <c r="B343" s="28">
        <v>411</v>
      </c>
      <c r="C343" s="28">
        <v>5694426</v>
      </c>
      <c r="D343" s="28"/>
      <c r="E343" s="41">
        <v>46172</v>
      </c>
      <c r="F343" s="47">
        <v>0.3467824074074074</v>
      </c>
      <c r="G343" s="44">
        <v>6.3</v>
      </c>
      <c r="H343" s="43" t="s">
        <v>226</v>
      </c>
      <c r="I343" s="40" t="s">
        <v>1300</v>
      </c>
    </row>
    <row r="344" spans="1:9" x14ac:dyDescent="0.2">
      <c r="A344" s="40" t="s">
        <v>281</v>
      </c>
      <c r="B344" s="28">
        <v>411</v>
      </c>
      <c r="C344" s="28">
        <v>5694426</v>
      </c>
      <c r="D344" s="28"/>
      <c r="E344" s="41">
        <v>46172</v>
      </c>
      <c r="F344" s="47">
        <v>0.35228009259259258</v>
      </c>
      <c r="G344" s="44">
        <v>6.3</v>
      </c>
      <c r="H344" s="43" t="s">
        <v>227</v>
      </c>
      <c r="I344" s="40" t="s">
        <v>1300</v>
      </c>
    </row>
    <row r="345" spans="1:9" x14ac:dyDescent="0.2">
      <c r="A345" s="40" t="s">
        <v>281</v>
      </c>
      <c r="B345" s="28">
        <v>411</v>
      </c>
      <c r="C345" s="28">
        <v>5694650</v>
      </c>
      <c r="D345" s="28"/>
      <c r="E345" s="41">
        <v>46172</v>
      </c>
      <c r="F345" s="47">
        <v>0.62988425925925928</v>
      </c>
      <c r="G345" s="44">
        <v>6.3</v>
      </c>
      <c r="H345" s="43" t="s">
        <v>226</v>
      </c>
      <c r="I345" s="40" t="s">
        <v>1300</v>
      </c>
    </row>
    <row r="346" spans="1:9" x14ac:dyDescent="0.2">
      <c r="A346" s="40" t="s">
        <v>376</v>
      </c>
      <c r="B346" s="28">
        <v>412</v>
      </c>
      <c r="C346" s="28">
        <v>5685303</v>
      </c>
      <c r="D346" s="28" t="s">
        <v>37</v>
      </c>
      <c r="E346" s="45">
        <v>46167</v>
      </c>
      <c r="F346" s="48">
        <v>0.3425347222222222</v>
      </c>
      <c r="G346" s="44">
        <v>6.3</v>
      </c>
      <c r="H346" s="43" t="s">
        <v>233</v>
      </c>
      <c r="I346" s="40" t="s">
        <v>1300</v>
      </c>
    </row>
    <row r="347" spans="1:9" x14ac:dyDescent="0.2">
      <c r="A347" s="40" t="s">
        <v>109</v>
      </c>
      <c r="B347" s="28">
        <v>423</v>
      </c>
      <c r="C347" s="28">
        <v>5685400</v>
      </c>
      <c r="D347" s="28"/>
      <c r="E347" s="41">
        <v>46167</v>
      </c>
      <c r="F347" s="47">
        <v>0.25545138888888891</v>
      </c>
      <c r="G347" s="44">
        <v>6.3</v>
      </c>
      <c r="H347" s="43" t="s">
        <v>228</v>
      </c>
      <c r="I347" s="40" t="s">
        <v>1300</v>
      </c>
    </row>
    <row r="348" spans="1:9" x14ac:dyDescent="0.2">
      <c r="A348" s="40" t="s">
        <v>109</v>
      </c>
      <c r="B348" s="28">
        <v>423</v>
      </c>
      <c r="C348" s="28">
        <v>5685400</v>
      </c>
      <c r="D348" s="28"/>
      <c r="E348" s="41">
        <v>46167</v>
      </c>
      <c r="F348" s="47">
        <v>0.26879629629629631</v>
      </c>
      <c r="G348" s="44">
        <v>6.3</v>
      </c>
      <c r="H348" s="43" t="s">
        <v>229</v>
      </c>
      <c r="I348" s="40" t="s">
        <v>1300</v>
      </c>
    </row>
    <row r="349" spans="1:9" x14ac:dyDescent="0.2">
      <c r="A349" s="40" t="s">
        <v>109</v>
      </c>
      <c r="B349" s="28">
        <v>423</v>
      </c>
      <c r="C349" s="28">
        <v>5685270</v>
      </c>
      <c r="D349" s="28"/>
      <c r="E349" s="41">
        <v>46167</v>
      </c>
      <c r="F349" s="47">
        <v>0.38471064814814815</v>
      </c>
      <c r="G349" s="44">
        <v>6.3</v>
      </c>
      <c r="H349" s="43" t="s">
        <v>230</v>
      </c>
      <c r="I349" s="40" t="s">
        <v>1300</v>
      </c>
    </row>
    <row r="350" spans="1:9" x14ac:dyDescent="0.2">
      <c r="A350" s="40" t="s">
        <v>109</v>
      </c>
      <c r="B350" s="28">
        <v>423</v>
      </c>
      <c r="C350" s="28">
        <v>5685954</v>
      </c>
      <c r="D350" s="28"/>
      <c r="E350" s="45">
        <v>46167</v>
      </c>
      <c r="F350" s="48">
        <v>0.56224537037037037</v>
      </c>
      <c r="G350" s="44">
        <v>6.3</v>
      </c>
      <c r="H350" s="43" t="s">
        <v>228</v>
      </c>
      <c r="I350" s="40" t="s">
        <v>1300</v>
      </c>
    </row>
    <row r="351" spans="1:9" x14ac:dyDescent="0.2">
      <c r="A351" s="40" t="s">
        <v>109</v>
      </c>
      <c r="B351" s="28">
        <v>423</v>
      </c>
      <c r="C351" s="28">
        <v>5685954</v>
      </c>
      <c r="D351" s="28"/>
      <c r="E351" s="45">
        <v>46167</v>
      </c>
      <c r="F351" s="48">
        <v>0.57173611111111111</v>
      </c>
      <c r="G351" s="44">
        <v>6.3</v>
      </c>
      <c r="H351" s="43" t="s">
        <v>229</v>
      </c>
      <c r="I351" s="40" t="s">
        <v>1300</v>
      </c>
    </row>
    <row r="352" spans="1:9" x14ac:dyDescent="0.2">
      <c r="A352" s="40" t="s">
        <v>109</v>
      </c>
      <c r="B352" s="28">
        <v>423</v>
      </c>
      <c r="C352" s="28">
        <v>5684864</v>
      </c>
      <c r="D352" s="28"/>
      <c r="E352" s="45">
        <v>46167</v>
      </c>
      <c r="F352" s="48">
        <v>0.81921296296296298</v>
      </c>
      <c r="G352" s="44">
        <v>6.3</v>
      </c>
      <c r="H352" s="43" t="s">
        <v>230</v>
      </c>
      <c r="I352" s="40" t="s">
        <v>1300</v>
      </c>
    </row>
    <row r="353" spans="1:9" x14ac:dyDescent="0.2">
      <c r="A353" s="40" t="s">
        <v>109</v>
      </c>
      <c r="B353" s="28">
        <v>423</v>
      </c>
      <c r="C353" s="28">
        <v>5684864</v>
      </c>
      <c r="D353" s="28"/>
      <c r="E353" s="41">
        <v>46167</v>
      </c>
      <c r="F353" s="47">
        <v>0.83224537037037039</v>
      </c>
      <c r="G353" s="44">
        <v>6.3</v>
      </c>
      <c r="H353" s="43" t="s">
        <v>227</v>
      </c>
      <c r="I353" s="40" t="s">
        <v>1300</v>
      </c>
    </row>
    <row r="354" spans="1:9" x14ac:dyDescent="0.2">
      <c r="A354" s="40" t="s">
        <v>109</v>
      </c>
      <c r="B354" s="28">
        <v>423</v>
      </c>
      <c r="C354" s="28">
        <v>5686765</v>
      </c>
      <c r="D354" s="28"/>
      <c r="E354" s="41">
        <v>46168</v>
      </c>
      <c r="F354" s="47">
        <v>0.22795138888888888</v>
      </c>
      <c r="G354" s="44">
        <v>6.3</v>
      </c>
      <c r="H354" s="43" t="s">
        <v>228</v>
      </c>
      <c r="I354" s="40" t="s">
        <v>1300</v>
      </c>
    </row>
    <row r="355" spans="1:9" x14ac:dyDescent="0.2">
      <c r="A355" s="40" t="s">
        <v>109</v>
      </c>
      <c r="B355" s="28">
        <v>423</v>
      </c>
      <c r="C355" s="28">
        <v>5686765</v>
      </c>
      <c r="D355" s="28"/>
      <c r="E355" s="41">
        <v>46168</v>
      </c>
      <c r="F355" s="47">
        <v>0.23578703703703704</v>
      </c>
      <c r="G355" s="42">
        <v>6.3</v>
      </c>
      <c r="H355" s="40" t="s">
        <v>232</v>
      </c>
      <c r="I355" s="40" t="s">
        <v>1300</v>
      </c>
    </row>
    <row r="356" spans="1:9" x14ac:dyDescent="0.2">
      <c r="A356" s="40" t="s">
        <v>109</v>
      </c>
      <c r="B356" s="28">
        <v>423</v>
      </c>
      <c r="C356" s="28">
        <v>5687105</v>
      </c>
      <c r="D356" s="28" t="s">
        <v>37</v>
      </c>
      <c r="E356" s="41">
        <v>46168</v>
      </c>
      <c r="F356" s="47">
        <v>0.35965277777777777</v>
      </c>
      <c r="G356" s="42">
        <v>6.3</v>
      </c>
      <c r="H356" s="40" t="s">
        <v>233</v>
      </c>
      <c r="I356" s="40" t="s">
        <v>1300</v>
      </c>
    </row>
    <row r="357" spans="1:9" x14ac:dyDescent="0.2">
      <c r="A357" s="40" t="s">
        <v>109</v>
      </c>
      <c r="B357" s="28">
        <v>423</v>
      </c>
      <c r="C357" s="28">
        <v>5688991</v>
      </c>
      <c r="D357" s="28" t="s">
        <v>37</v>
      </c>
      <c r="E357" s="41">
        <v>46169</v>
      </c>
      <c r="F357" s="47">
        <v>0.34849537037037037</v>
      </c>
      <c r="G357" s="44">
        <v>6.3</v>
      </c>
      <c r="H357" s="43" t="s">
        <v>228</v>
      </c>
      <c r="I357" s="40" t="s">
        <v>1300</v>
      </c>
    </row>
    <row r="358" spans="1:9" x14ac:dyDescent="0.2">
      <c r="A358" s="40" t="s">
        <v>109</v>
      </c>
      <c r="B358" s="28">
        <v>423</v>
      </c>
      <c r="C358" s="28">
        <v>5689496</v>
      </c>
      <c r="D358" s="28"/>
      <c r="E358" s="41">
        <v>46169</v>
      </c>
      <c r="F358" s="47">
        <v>0.72717592592592595</v>
      </c>
      <c r="G358" s="44">
        <v>6.3</v>
      </c>
      <c r="H358" s="43" t="s">
        <v>230</v>
      </c>
      <c r="I358" s="40" t="s">
        <v>1300</v>
      </c>
    </row>
    <row r="359" spans="1:9" x14ac:dyDescent="0.2">
      <c r="A359" s="40" t="s">
        <v>109</v>
      </c>
      <c r="B359" s="28">
        <v>423</v>
      </c>
      <c r="C359" s="28">
        <v>5689496</v>
      </c>
      <c r="D359" s="28"/>
      <c r="E359" s="45">
        <v>46169</v>
      </c>
      <c r="F359" s="48">
        <v>0.73909722222222218</v>
      </c>
      <c r="G359" s="44">
        <v>6.3</v>
      </c>
      <c r="H359" s="43" t="s">
        <v>227</v>
      </c>
      <c r="I359" s="40" t="s">
        <v>1300</v>
      </c>
    </row>
    <row r="360" spans="1:9" x14ac:dyDescent="0.2">
      <c r="A360" s="40" t="s">
        <v>109</v>
      </c>
      <c r="B360" s="28">
        <v>423</v>
      </c>
      <c r="C360" s="28">
        <v>5690180</v>
      </c>
      <c r="D360" s="28"/>
      <c r="E360" s="41">
        <v>46170</v>
      </c>
      <c r="F360" s="47">
        <v>0.81321759259259263</v>
      </c>
      <c r="G360" s="44">
        <v>6.3</v>
      </c>
      <c r="H360" s="43" t="s">
        <v>230</v>
      </c>
      <c r="I360" s="40" t="s">
        <v>1300</v>
      </c>
    </row>
    <row r="361" spans="1:9" x14ac:dyDescent="0.2">
      <c r="A361" s="40" t="s">
        <v>109</v>
      </c>
      <c r="B361" s="28">
        <v>423</v>
      </c>
      <c r="C361" s="28">
        <v>5690180</v>
      </c>
      <c r="D361" s="28"/>
      <c r="E361" s="41">
        <v>46170</v>
      </c>
      <c r="F361" s="47">
        <v>0.8270601851851852</v>
      </c>
      <c r="G361" s="44">
        <v>6.3</v>
      </c>
      <c r="H361" s="43" t="s">
        <v>227</v>
      </c>
      <c r="I361" s="40" t="s">
        <v>1300</v>
      </c>
    </row>
    <row r="362" spans="1:9" x14ac:dyDescent="0.2">
      <c r="A362" s="40" t="s">
        <v>109</v>
      </c>
      <c r="B362" s="28">
        <v>423</v>
      </c>
      <c r="C362" s="28">
        <v>5694459</v>
      </c>
      <c r="D362" s="28"/>
      <c r="E362" s="41">
        <v>46172</v>
      </c>
      <c r="F362" s="47">
        <v>0.46534722222222225</v>
      </c>
      <c r="G362" s="44">
        <v>6.3</v>
      </c>
      <c r="H362" s="43" t="s">
        <v>226</v>
      </c>
      <c r="I362" s="40" t="s">
        <v>1300</v>
      </c>
    </row>
    <row r="363" spans="1:9" x14ac:dyDescent="0.2">
      <c r="A363" s="40" t="s">
        <v>109</v>
      </c>
      <c r="B363" s="28">
        <v>423</v>
      </c>
      <c r="C363" s="28">
        <v>5694459</v>
      </c>
      <c r="D363" s="28"/>
      <c r="E363" s="41">
        <v>46172</v>
      </c>
      <c r="F363" s="47">
        <v>0.47168981481481481</v>
      </c>
      <c r="G363" s="44">
        <v>6.3</v>
      </c>
      <c r="H363" s="43" t="s">
        <v>227</v>
      </c>
      <c r="I363" s="40" t="s">
        <v>1300</v>
      </c>
    </row>
    <row r="364" spans="1:9" x14ac:dyDescent="0.2">
      <c r="A364" s="40" t="s">
        <v>525</v>
      </c>
      <c r="B364" s="28">
        <v>446</v>
      </c>
      <c r="C364" s="28">
        <v>5685508</v>
      </c>
      <c r="D364" s="28"/>
      <c r="E364" s="41">
        <v>46167</v>
      </c>
      <c r="F364" s="47">
        <v>0.36335648148148147</v>
      </c>
      <c r="G364" s="44">
        <v>6.3</v>
      </c>
      <c r="H364" s="43" t="s">
        <v>227</v>
      </c>
      <c r="I364" s="40" t="s">
        <v>1300</v>
      </c>
    </row>
    <row r="365" spans="1:9" x14ac:dyDescent="0.2">
      <c r="A365" s="40" t="s">
        <v>525</v>
      </c>
      <c r="B365" s="28">
        <v>446</v>
      </c>
      <c r="C365" s="28" t="s">
        <v>35</v>
      </c>
      <c r="D365" s="28" t="s">
        <v>38</v>
      </c>
      <c r="E365" s="45">
        <v>46168</v>
      </c>
      <c r="F365" s="48">
        <v>0.62736111111111115</v>
      </c>
      <c r="G365" s="44">
        <v>6.3</v>
      </c>
      <c r="H365" s="43" t="s">
        <v>230</v>
      </c>
      <c r="I365" s="40" t="s">
        <v>1300</v>
      </c>
    </row>
    <row r="366" spans="1:9" x14ac:dyDescent="0.2">
      <c r="A366" s="40" t="s">
        <v>525</v>
      </c>
      <c r="B366" s="28">
        <v>446</v>
      </c>
      <c r="C366" s="28">
        <v>5696038</v>
      </c>
      <c r="D366" s="28" t="s">
        <v>37</v>
      </c>
      <c r="E366" s="41">
        <v>46173</v>
      </c>
      <c r="F366" s="47">
        <v>0.69315972222222222</v>
      </c>
      <c r="G366" s="44">
        <v>6.3</v>
      </c>
      <c r="H366" s="43" t="s">
        <v>230</v>
      </c>
      <c r="I366" s="40" t="s">
        <v>1300</v>
      </c>
    </row>
    <row r="367" spans="1:9" x14ac:dyDescent="0.2">
      <c r="A367" s="40" t="s">
        <v>525</v>
      </c>
      <c r="B367" s="28">
        <v>446</v>
      </c>
      <c r="C367" s="28">
        <v>5696038</v>
      </c>
      <c r="D367" s="28" t="s">
        <v>37</v>
      </c>
      <c r="E367" s="41">
        <v>46173</v>
      </c>
      <c r="F367" s="47">
        <v>0.69883101851851848</v>
      </c>
      <c r="G367" s="44">
        <v>6.3</v>
      </c>
      <c r="H367" s="43" t="s">
        <v>227</v>
      </c>
      <c r="I367" s="40" t="s">
        <v>1300</v>
      </c>
    </row>
    <row r="368" spans="1:9" x14ac:dyDescent="0.2">
      <c r="A368" s="40" t="s">
        <v>526</v>
      </c>
      <c r="B368" s="28">
        <v>460</v>
      </c>
      <c r="C368" s="28">
        <v>5691698</v>
      </c>
      <c r="D368" s="28"/>
      <c r="E368" s="41">
        <v>46171</v>
      </c>
      <c r="F368" s="47">
        <v>0.51679398148148148</v>
      </c>
      <c r="G368" s="44">
        <v>6.3</v>
      </c>
      <c r="H368" s="43" t="s">
        <v>228</v>
      </c>
      <c r="I368" s="40" t="s">
        <v>1300</v>
      </c>
    </row>
    <row r="369" spans="1:9" x14ac:dyDescent="0.2">
      <c r="A369" s="40" t="s">
        <v>526</v>
      </c>
      <c r="B369" s="28">
        <v>460</v>
      </c>
      <c r="C369" s="28">
        <v>5691698</v>
      </c>
      <c r="D369" s="28"/>
      <c r="E369" s="41">
        <v>46171</v>
      </c>
      <c r="F369" s="47">
        <v>0.53789351851851852</v>
      </c>
      <c r="G369" s="44">
        <v>6.3</v>
      </c>
      <c r="H369" s="43" t="s">
        <v>229</v>
      </c>
      <c r="I369" s="40" t="s">
        <v>1300</v>
      </c>
    </row>
    <row r="370" spans="1:9" x14ac:dyDescent="0.2">
      <c r="A370" s="40" t="s">
        <v>526</v>
      </c>
      <c r="B370" s="28">
        <v>460</v>
      </c>
      <c r="C370" s="28">
        <v>5693509</v>
      </c>
      <c r="D370" s="28" t="s">
        <v>37</v>
      </c>
      <c r="E370" s="41">
        <v>46171</v>
      </c>
      <c r="F370" s="47">
        <v>0.66768518518518516</v>
      </c>
      <c r="G370" s="44">
        <v>6.3</v>
      </c>
      <c r="H370" s="43" t="s">
        <v>230</v>
      </c>
      <c r="I370" s="40" t="s">
        <v>1300</v>
      </c>
    </row>
    <row r="371" spans="1:9" x14ac:dyDescent="0.2">
      <c r="A371" s="40" t="s">
        <v>526</v>
      </c>
      <c r="B371" s="28">
        <v>460</v>
      </c>
      <c r="C371" s="28">
        <v>5693509</v>
      </c>
      <c r="D371" s="28" t="s">
        <v>37</v>
      </c>
      <c r="E371" s="41">
        <v>46171</v>
      </c>
      <c r="F371" s="47">
        <v>0.69440972222222219</v>
      </c>
      <c r="G371" s="44">
        <v>6.3</v>
      </c>
      <c r="H371" s="43" t="s">
        <v>227</v>
      </c>
      <c r="I371" s="40" t="s">
        <v>1300</v>
      </c>
    </row>
    <row r="372" spans="1:9" x14ac:dyDescent="0.2">
      <c r="A372" s="40" t="s">
        <v>526</v>
      </c>
      <c r="B372" s="28">
        <v>460</v>
      </c>
      <c r="C372" s="28">
        <v>5694477</v>
      </c>
      <c r="D372" s="28"/>
      <c r="E372" s="41">
        <v>46172</v>
      </c>
      <c r="F372" s="47">
        <v>0.56549768518518517</v>
      </c>
      <c r="G372" s="44">
        <v>6.3</v>
      </c>
      <c r="H372" s="43" t="s">
        <v>227</v>
      </c>
      <c r="I372" s="40" t="s">
        <v>1300</v>
      </c>
    </row>
    <row r="373" spans="1:9" x14ac:dyDescent="0.2">
      <c r="A373" s="40" t="s">
        <v>110</v>
      </c>
      <c r="B373" s="28">
        <v>467</v>
      </c>
      <c r="C373" s="28">
        <v>5690489</v>
      </c>
      <c r="D373" s="28"/>
      <c r="E373" s="41">
        <v>46170</v>
      </c>
      <c r="F373" s="47">
        <v>0.25336805555555558</v>
      </c>
      <c r="G373" s="44">
        <v>6.3</v>
      </c>
      <c r="H373" s="43" t="s">
        <v>228</v>
      </c>
      <c r="I373" s="40" t="s">
        <v>1300</v>
      </c>
    </row>
    <row r="374" spans="1:9" x14ac:dyDescent="0.2">
      <c r="A374" s="40" t="s">
        <v>110</v>
      </c>
      <c r="B374" s="28">
        <v>467</v>
      </c>
      <c r="C374" s="28">
        <v>5690489</v>
      </c>
      <c r="D374" s="28"/>
      <c r="E374" s="41">
        <v>46170</v>
      </c>
      <c r="F374" s="47">
        <v>0.26240740740740742</v>
      </c>
      <c r="G374" s="44">
        <v>6.3</v>
      </c>
      <c r="H374" s="43" t="s">
        <v>232</v>
      </c>
      <c r="I374" s="40" t="s">
        <v>1300</v>
      </c>
    </row>
    <row r="375" spans="1:9" x14ac:dyDescent="0.2">
      <c r="A375" s="40" t="s">
        <v>111</v>
      </c>
      <c r="B375" s="28">
        <v>507</v>
      </c>
      <c r="C375" s="28">
        <v>5685628</v>
      </c>
      <c r="D375" s="28"/>
      <c r="E375" s="41">
        <v>46167</v>
      </c>
      <c r="F375" s="47">
        <v>0.44178240740740743</v>
      </c>
      <c r="G375" s="44">
        <v>6.3</v>
      </c>
      <c r="H375" s="43" t="s">
        <v>229</v>
      </c>
      <c r="I375" s="40" t="s">
        <v>1300</v>
      </c>
    </row>
    <row r="376" spans="1:9" x14ac:dyDescent="0.2">
      <c r="A376" s="40" t="s">
        <v>111</v>
      </c>
      <c r="B376" s="28">
        <v>507</v>
      </c>
      <c r="C376" s="28">
        <v>10744497</v>
      </c>
      <c r="D376" s="28"/>
      <c r="E376" s="41">
        <v>46168</v>
      </c>
      <c r="F376" s="47">
        <v>0.27989583333333334</v>
      </c>
      <c r="G376" s="44">
        <v>6.3</v>
      </c>
      <c r="H376" s="43" t="s">
        <v>227</v>
      </c>
      <c r="I376" s="40" t="s">
        <v>1300</v>
      </c>
    </row>
    <row r="377" spans="1:9" x14ac:dyDescent="0.2">
      <c r="A377" s="40" t="s">
        <v>111</v>
      </c>
      <c r="B377" s="28">
        <v>507</v>
      </c>
      <c r="C377" s="28">
        <v>5689545</v>
      </c>
      <c r="D377" s="28"/>
      <c r="E377" s="41">
        <v>46169</v>
      </c>
      <c r="F377" s="47">
        <v>0.59839120370370369</v>
      </c>
      <c r="G377" s="44">
        <v>6.3</v>
      </c>
      <c r="H377" s="43" t="s">
        <v>230</v>
      </c>
      <c r="I377" s="40" t="s">
        <v>1300</v>
      </c>
    </row>
    <row r="378" spans="1:9" x14ac:dyDescent="0.2">
      <c r="A378" s="40" t="s">
        <v>111</v>
      </c>
      <c r="B378" s="28">
        <v>507</v>
      </c>
      <c r="C378" s="28">
        <v>5689545</v>
      </c>
      <c r="D378" s="28"/>
      <c r="E378" s="41">
        <v>46169</v>
      </c>
      <c r="F378" s="47">
        <v>0.60479166666666662</v>
      </c>
      <c r="G378" s="44">
        <v>6.3</v>
      </c>
      <c r="H378" s="43" t="s">
        <v>227</v>
      </c>
      <c r="I378" s="40" t="s">
        <v>1300</v>
      </c>
    </row>
    <row r="379" spans="1:9" x14ac:dyDescent="0.2">
      <c r="A379" s="40" t="s">
        <v>111</v>
      </c>
      <c r="B379" s="28">
        <v>507</v>
      </c>
      <c r="C379" s="28" t="s">
        <v>527</v>
      </c>
      <c r="D379" s="28"/>
      <c r="E379" s="41">
        <v>46169</v>
      </c>
      <c r="F379" s="47">
        <v>0.6637615740740741</v>
      </c>
      <c r="G379" s="44">
        <v>6.3</v>
      </c>
      <c r="H379" s="43" t="s">
        <v>228</v>
      </c>
      <c r="I379" s="40" t="s">
        <v>1300</v>
      </c>
    </row>
    <row r="380" spans="1:9" x14ac:dyDescent="0.2">
      <c r="A380" s="40" t="s">
        <v>111</v>
      </c>
      <c r="B380" s="28">
        <v>507</v>
      </c>
      <c r="C380" s="28" t="s">
        <v>527</v>
      </c>
      <c r="D380" s="28"/>
      <c r="E380" s="45">
        <v>46169</v>
      </c>
      <c r="F380" s="48">
        <v>0.67834490740740738</v>
      </c>
      <c r="G380" s="44">
        <v>6.3</v>
      </c>
      <c r="H380" s="43" t="s">
        <v>229</v>
      </c>
      <c r="I380" s="40" t="s">
        <v>1300</v>
      </c>
    </row>
    <row r="381" spans="1:9" x14ac:dyDescent="0.2">
      <c r="A381" s="40" t="s">
        <v>111</v>
      </c>
      <c r="B381" s="28">
        <v>507</v>
      </c>
      <c r="C381" s="28">
        <v>10758687</v>
      </c>
      <c r="D381" s="28"/>
      <c r="E381" s="41">
        <v>46170</v>
      </c>
      <c r="F381" s="47">
        <v>0.27854166666666669</v>
      </c>
      <c r="G381" s="44">
        <v>6.3</v>
      </c>
      <c r="H381" s="43" t="s">
        <v>227</v>
      </c>
      <c r="I381" s="40" t="s">
        <v>1300</v>
      </c>
    </row>
    <row r="382" spans="1:9" x14ac:dyDescent="0.2">
      <c r="A382" s="40" t="s">
        <v>111</v>
      </c>
      <c r="B382" s="28">
        <v>507</v>
      </c>
      <c r="C382" s="28">
        <v>5690273</v>
      </c>
      <c r="D382" s="28"/>
      <c r="E382" s="41">
        <v>46170</v>
      </c>
      <c r="F382" s="47">
        <v>0.54789351851851853</v>
      </c>
      <c r="G382" s="44">
        <v>6.3</v>
      </c>
      <c r="H382" s="43" t="s">
        <v>233</v>
      </c>
      <c r="I382" s="40" t="s">
        <v>1300</v>
      </c>
    </row>
    <row r="383" spans="1:9" x14ac:dyDescent="0.2">
      <c r="A383" s="40" t="s">
        <v>111</v>
      </c>
      <c r="B383" s="28">
        <v>507</v>
      </c>
      <c r="C383" s="28">
        <v>5692150</v>
      </c>
      <c r="D383" s="28"/>
      <c r="E383" s="45">
        <v>46171</v>
      </c>
      <c r="F383" s="48">
        <v>0.31538194444444445</v>
      </c>
      <c r="G383" s="44">
        <v>6.3</v>
      </c>
      <c r="H383" s="43" t="s">
        <v>234</v>
      </c>
      <c r="I383" s="40" t="s">
        <v>1300</v>
      </c>
    </row>
    <row r="384" spans="1:9" x14ac:dyDescent="0.2">
      <c r="A384" s="40" t="s">
        <v>111</v>
      </c>
      <c r="B384" s="28">
        <v>507</v>
      </c>
      <c r="C384" s="28">
        <v>5692150</v>
      </c>
      <c r="D384" s="28"/>
      <c r="E384" s="45">
        <v>46171</v>
      </c>
      <c r="F384" s="48">
        <v>0.32861111111111113</v>
      </c>
      <c r="G384" s="44">
        <v>6.3</v>
      </c>
      <c r="H384" s="43" t="s">
        <v>227</v>
      </c>
      <c r="I384" s="40" t="s">
        <v>1300</v>
      </c>
    </row>
    <row r="385" spans="1:9" x14ac:dyDescent="0.2">
      <c r="A385" s="40" t="s">
        <v>111</v>
      </c>
      <c r="B385" s="28">
        <v>507</v>
      </c>
      <c r="C385" s="28">
        <v>10765487</v>
      </c>
      <c r="D385" s="28"/>
      <c r="E385" s="41">
        <v>46171</v>
      </c>
      <c r="F385" s="47">
        <v>0.82225694444444442</v>
      </c>
      <c r="G385" s="44">
        <v>6.3</v>
      </c>
      <c r="H385" s="43" t="s">
        <v>228</v>
      </c>
      <c r="I385" s="40" t="s">
        <v>1300</v>
      </c>
    </row>
    <row r="386" spans="1:9" x14ac:dyDescent="0.2">
      <c r="A386" s="40" t="s">
        <v>111</v>
      </c>
      <c r="B386" s="28">
        <v>507</v>
      </c>
      <c r="C386" s="28">
        <v>10765487</v>
      </c>
      <c r="D386" s="28"/>
      <c r="E386" s="41">
        <v>46171</v>
      </c>
      <c r="F386" s="47">
        <v>0.8319212962962963</v>
      </c>
      <c r="G386" s="42">
        <v>6.3</v>
      </c>
      <c r="H386" s="40" t="s">
        <v>229</v>
      </c>
      <c r="I386" s="40" t="s">
        <v>1300</v>
      </c>
    </row>
    <row r="387" spans="1:9" x14ac:dyDescent="0.2">
      <c r="A387" s="40" t="s">
        <v>111</v>
      </c>
      <c r="B387" s="28">
        <v>507</v>
      </c>
      <c r="C387" s="28">
        <v>5693338</v>
      </c>
      <c r="D387" s="28"/>
      <c r="E387" s="41">
        <v>46172</v>
      </c>
      <c r="F387" s="47">
        <v>0.57332175925925921</v>
      </c>
      <c r="G387" s="42">
        <v>6.3</v>
      </c>
      <c r="H387" s="40" t="s">
        <v>227</v>
      </c>
      <c r="I387" s="40" t="s">
        <v>1300</v>
      </c>
    </row>
    <row r="388" spans="1:9" x14ac:dyDescent="0.2">
      <c r="A388" s="40" t="s">
        <v>111</v>
      </c>
      <c r="B388" s="28">
        <v>507</v>
      </c>
      <c r="C388" s="28">
        <v>5695698</v>
      </c>
      <c r="D388" s="28"/>
      <c r="E388" s="41">
        <v>46173</v>
      </c>
      <c r="F388" s="47">
        <v>0.64581018518518518</v>
      </c>
      <c r="G388" s="42">
        <v>6.3</v>
      </c>
      <c r="H388" s="40" t="s">
        <v>227</v>
      </c>
      <c r="I388" s="40" t="s">
        <v>1300</v>
      </c>
    </row>
    <row r="389" spans="1:9" x14ac:dyDescent="0.2">
      <c r="A389" s="40" t="s">
        <v>375</v>
      </c>
      <c r="B389" s="28">
        <v>515</v>
      </c>
      <c r="C389" s="28">
        <v>5685578</v>
      </c>
      <c r="D389" s="28"/>
      <c r="E389" s="41">
        <v>46167</v>
      </c>
      <c r="F389" s="47">
        <v>0.66202546296296294</v>
      </c>
      <c r="G389" s="42">
        <v>6.3</v>
      </c>
      <c r="H389" s="40" t="s">
        <v>230</v>
      </c>
      <c r="I389" s="40" t="s">
        <v>1300</v>
      </c>
    </row>
    <row r="390" spans="1:9" x14ac:dyDescent="0.2">
      <c r="A390" s="40" t="s">
        <v>375</v>
      </c>
      <c r="B390" s="28">
        <v>515</v>
      </c>
      <c r="C390" s="28">
        <v>5685578</v>
      </c>
      <c r="D390" s="28"/>
      <c r="E390" s="41">
        <v>46167</v>
      </c>
      <c r="F390" s="47">
        <v>0.66789351851851853</v>
      </c>
      <c r="G390" s="44">
        <v>6.3</v>
      </c>
      <c r="H390" s="43" t="s">
        <v>227</v>
      </c>
      <c r="I390" s="40" t="s">
        <v>1300</v>
      </c>
    </row>
    <row r="391" spans="1:9" x14ac:dyDescent="0.2">
      <c r="A391" s="40" t="s">
        <v>375</v>
      </c>
      <c r="B391" s="28">
        <v>515</v>
      </c>
      <c r="C391" s="28">
        <v>5687341</v>
      </c>
      <c r="D391" s="28"/>
      <c r="E391" s="41">
        <v>46168</v>
      </c>
      <c r="F391" s="47">
        <v>0.34506944444444443</v>
      </c>
      <c r="G391" s="44">
        <v>6.3</v>
      </c>
      <c r="H391" s="43" t="s">
        <v>228</v>
      </c>
      <c r="I391" s="40" t="s">
        <v>1300</v>
      </c>
    </row>
    <row r="392" spans="1:9" x14ac:dyDescent="0.2">
      <c r="A392" s="40" t="s">
        <v>375</v>
      </c>
      <c r="B392" s="28">
        <v>515</v>
      </c>
      <c r="C392" s="28">
        <v>5687297</v>
      </c>
      <c r="D392" s="28"/>
      <c r="E392" s="41">
        <v>46168</v>
      </c>
      <c r="F392" s="47">
        <v>0.4157986111111111</v>
      </c>
      <c r="G392" s="44">
        <v>6.3</v>
      </c>
      <c r="H392" s="43" t="s">
        <v>230</v>
      </c>
      <c r="I392" s="40" t="s">
        <v>1300</v>
      </c>
    </row>
    <row r="393" spans="1:9" x14ac:dyDescent="0.2">
      <c r="A393" s="40" t="s">
        <v>375</v>
      </c>
      <c r="B393" s="28">
        <v>515</v>
      </c>
      <c r="C393" s="28">
        <v>5687297</v>
      </c>
      <c r="D393" s="28"/>
      <c r="E393" s="41">
        <v>46168</v>
      </c>
      <c r="F393" s="47">
        <v>0.42274305555555558</v>
      </c>
      <c r="G393" s="44">
        <v>6.3</v>
      </c>
      <c r="H393" s="43" t="s">
        <v>227</v>
      </c>
      <c r="I393" s="40" t="s">
        <v>1300</v>
      </c>
    </row>
    <row r="394" spans="1:9" x14ac:dyDescent="0.2">
      <c r="A394" s="40" t="s">
        <v>375</v>
      </c>
      <c r="B394" s="28">
        <v>515</v>
      </c>
      <c r="C394" s="28">
        <v>5688424</v>
      </c>
      <c r="D394" s="28"/>
      <c r="E394" s="41">
        <v>46169</v>
      </c>
      <c r="F394" s="47">
        <v>0.34053240740740742</v>
      </c>
      <c r="G394" s="44">
        <v>6.3</v>
      </c>
      <c r="H394" s="43" t="s">
        <v>228</v>
      </c>
      <c r="I394" s="40" t="s">
        <v>1300</v>
      </c>
    </row>
    <row r="395" spans="1:9" x14ac:dyDescent="0.2">
      <c r="A395" s="40" t="s">
        <v>375</v>
      </c>
      <c r="B395" s="28">
        <v>515</v>
      </c>
      <c r="C395" s="28">
        <v>5688424</v>
      </c>
      <c r="D395" s="28"/>
      <c r="E395" s="41">
        <v>46169</v>
      </c>
      <c r="F395" s="47">
        <v>0.35631944444444447</v>
      </c>
      <c r="G395" s="44">
        <v>6.3</v>
      </c>
      <c r="H395" s="43" t="s">
        <v>232</v>
      </c>
      <c r="I395" s="40" t="s">
        <v>1300</v>
      </c>
    </row>
    <row r="396" spans="1:9" x14ac:dyDescent="0.2">
      <c r="A396" s="40" t="s">
        <v>375</v>
      </c>
      <c r="B396" s="28">
        <v>515</v>
      </c>
      <c r="C396" s="28">
        <v>5688951</v>
      </c>
      <c r="D396" s="28"/>
      <c r="E396" s="41">
        <v>46169</v>
      </c>
      <c r="F396" s="47">
        <v>0.40410879629629631</v>
      </c>
      <c r="G396" s="44">
        <v>6.3</v>
      </c>
      <c r="H396" s="43" t="s">
        <v>230</v>
      </c>
      <c r="I396" s="40" t="s">
        <v>1300</v>
      </c>
    </row>
    <row r="397" spans="1:9" x14ac:dyDescent="0.2">
      <c r="A397" s="40" t="s">
        <v>375</v>
      </c>
      <c r="B397" s="28">
        <v>515</v>
      </c>
      <c r="C397" s="28">
        <v>5688951</v>
      </c>
      <c r="D397" s="28"/>
      <c r="E397" s="41">
        <v>46169</v>
      </c>
      <c r="F397" s="47">
        <v>0.41037037037037039</v>
      </c>
      <c r="G397" s="44">
        <v>6.3</v>
      </c>
      <c r="H397" s="43" t="s">
        <v>227</v>
      </c>
      <c r="I397" s="40" t="s">
        <v>1300</v>
      </c>
    </row>
    <row r="398" spans="1:9" x14ac:dyDescent="0.2">
      <c r="A398" s="40" t="s">
        <v>375</v>
      </c>
      <c r="B398" s="28">
        <v>515</v>
      </c>
      <c r="C398" s="28" t="s">
        <v>528</v>
      </c>
      <c r="D398" s="28"/>
      <c r="E398" s="41">
        <v>46169</v>
      </c>
      <c r="F398" s="47">
        <v>0.46668981481481481</v>
      </c>
      <c r="G398" s="44">
        <v>6.3</v>
      </c>
      <c r="H398" s="43" t="s">
        <v>229</v>
      </c>
      <c r="I398" s="40" t="s">
        <v>1300</v>
      </c>
    </row>
    <row r="399" spans="1:9" x14ac:dyDescent="0.2">
      <c r="A399" s="40" t="s">
        <v>375</v>
      </c>
      <c r="B399" s="28">
        <v>515</v>
      </c>
      <c r="C399" s="28">
        <v>5689657</v>
      </c>
      <c r="D399" s="28"/>
      <c r="E399" s="41">
        <v>46169</v>
      </c>
      <c r="F399" s="47">
        <v>0.63901620370370371</v>
      </c>
      <c r="G399" s="44">
        <v>6.3</v>
      </c>
      <c r="H399" s="43" t="s">
        <v>230</v>
      </c>
      <c r="I399" s="40" t="s">
        <v>1300</v>
      </c>
    </row>
    <row r="400" spans="1:9" x14ac:dyDescent="0.2">
      <c r="A400" s="40" t="s">
        <v>375</v>
      </c>
      <c r="B400" s="28">
        <v>515</v>
      </c>
      <c r="C400" s="28">
        <v>5689657</v>
      </c>
      <c r="D400" s="28"/>
      <c r="E400" s="41">
        <v>46169</v>
      </c>
      <c r="F400" s="47">
        <v>0.64489583333333333</v>
      </c>
      <c r="G400" s="44">
        <v>6.3</v>
      </c>
      <c r="H400" s="43" t="s">
        <v>227</v>
      </c>
      <c r="I400" s="40" t="s">
        <v>1300</v>
      </c>
    </row>
    <row r="401" spans="1:9" x14ac:dyDescent="0.2">
      <c r="A401" s="40" t="s">
        <v>375</v>
      </c>
      <c r="B401" s="28">
        <v>515</v>
      </c>
      <c r="C401" s="28">
        <v>5690939</v>
      </c>
      <c r="D401" s="28"/>
      <c r="E401" s="41">
        <v>46170</v>
      </c>
      <c r="F401" s="47">
        <v>0.34958333333333336</v>
      </c>
      <c r="G401" s="44">
        <v>6.3</v>
      </c>
      <c r="H401" s="43" t="s">
        <v>228</v>
      </c>
      <c r="I401" s="40" t="s">
        <v>1300</v>
      </c>
    </row>
    <row r="402" spans="1:9" x14ac:dyDescent="0.2">
      <c r="A402" s="40" t="s">
        <v>375</v>
      </c>
      <c r="B402" s="28">
        <v>515</v>
      </c>
      <c r="C402" s="28">
        <v>10765675</v>
      </c>
      <c r="D402" s="28"/>
      <c r="E402" s="41">
        <v>46171</v>
      </c>
      <c r="F402" s="47">
        <v>0.52050925925925928</v>
      </c>
      <c r="G402" s="44">
        <v>6.3</v>
      </c>
      <c r="H402" s="43" t="s">
        <v>231</v>
      </c>
      <c r="I402" s="40" t="s">
        <v>1300</v>
      </c>
    </row>
    <row r="403" spans="1:9" x14ac:dyDescent="0.2">
      <c r="A403" s="40" t="s">
        <v>375</v>
      </c>
      <c r="B403" s="28">
        <v>515</v>
      </c>
      <c r="C403" s="28">
        <v>10765675</v>
      </c>
      <c r="D403" s="28"/>
      <c r="E403" s="41">
        <v>46171</v>
      </c>
      <c r="F403" s="47">
        <v>0.53212962962962962</v>
      </c>
      <c r="G403" s="44">
        <v>6.3</v>
      </c>
      <c r="H403" s="43" t="s">
        <v>227</v>
      </c>
      <c r="I403" s="40" t="s">
        <v>1300</v>
      </c>
    </row>
    <row r="404" spans="1:9" x14ac:dyDescent="0.2">
      <c r="A404" s="40" t="s">
        <v>112</v>
      </c>
      <c r="B404" s="28">
        <v>529</v>
      </c>
      <c r="C404" s="28">
        <v>5687599</v>
      </c>
      <c r="D404" s="28"/>
      <c r="E404" s="41">
        <v>46168</v>
      </c>
      <c r="F404" s="47">
        <v>0.59359953703703705</v>
      </c>
      <c r="G404" s="44">
        <v>6.3</v>
      </c>
      <c r="H404" s="43" t="s">
        <v>229</v>
      </c>
      <c r="I404" s="40" t="s">
        <v>1300</v>
      </c>
    </row>
    <row r="405" spans="1:9" x14ac:dyDescent="0.2">
      <c r="A405" s="40" t="s">
        <v>112</v>
      </c>
      <c r="B405" s="28">
        <v>529</v>
      </c>
      <c r="C405" s="28">
        <v>5691148</v>
      </c>
      <c r="D405" s="28"/>
      <c r="E405" s="41">
        <v>46170</v>
      </c>
      <c r="F405" s="47">
        <v>0.6529166666666667</v>
      </c>
      <c r="G405" s="44">
        <v>6.3</v>
      </c>
      <c r="H405" s="43" t="s">
        <v>229</v>
      </c>
      <c r="I405" s="40" t="s">
        <v>1300</v>
      </c>
    </row>
    <row r="406" spans="1:9" x14ac:dyDescent="0.2">
      <c r="A406" s="40" t="s">
        <v>112</v>
      </c>
      <c r="B406" s="28">
        <v>529</v>
      </c>
      <c r="C406" s="28" t="s">
        <v>35</v>
      </c>
      <c r="D406" s="28" t="s">
        <v>38</v>
      </c>
      <c r="E406" s="41">
        <v>46172</v>
      </c>
      <c r="F406" s="47">
        <v>0.94540509259259264</v>
      </c>
      <c r="G406" s="44">
        <v>6.3</v>
      </c>
      <c r="H406" s="43" t="s">
        <v>229</v>
      </c>
      <c r="I406" s="40" t="s">
        <v>1300</v>
      </c>
    </row>
    <row r="407" spans="1:9" x14ac:dyDescent="0.2">
      <c r="A407" s="40" t="s">
        <v>112</v>
      </c>
      <c r="B407" s="28">
        <v>529</v>
      </c>
      <c r="C407" s="28" t="s">
        <v>35</v>
      </c>
      <c r="D407" s="28" t="s">
        <v>38</v>
      </c>
      <c r="E407" s="41">
        <v>46173</v>
      </c>
      <c r="F407" s="47">
        <v>0.27351851851851849</v>
      </c>
      <c r="G407" s="44">
        <v>6.3</v>
      </c>
      <c r="H407" s="43" t="s">
        <v>230</v>
      </c>
      <c r="I407" s="40" t="s">
        <v>1300</v>
      </c>
    </row>
    <row r="408" spans="1:9" x14ac:dyDescent="0.2">
      <c r="A408" s="40" t="s">
        <v>113</v>
      </c>
      <c r="B408" s="28">
        <v>541</v>
      </c>
      <c r="C408" s="28" t="s">
        <v>35</v>
      </c>
      <c r="D408" s="28" t="s">
        <v>38</v>
      </c>
      <c r="E408" s="41">
        <v>46167</v>
      </c>
      <c r="F408" s="47">
        <v>0.5200231481481481</v>
      </c>
      <c r="G408" s="44">
        <v>6.3</v>
      </c>
      <c r="H408" s="43" t="s">
        <v>228</v>
      </c>
      <c r="I408" s="40" t="s">
        <v>1300</v>
      </c>
    </row>
    <row r="409" spans="1:9" x14ac:dyDescent="0.2">
      <c r="A409" s="40" t="s">
        <v>113</v>
      </c>
      <c r="B409" s="28">
        <v>541</v>
      </c>
      <c r="C409" s="28">
        <v>5687163</v>
      </c>
      <c r="D409" s="28"/>
      <c r="E409" s="41">
        <v>46168</v>
      </c>
      <c r="F409" s="47">
        <v>0.27445601851851853</v>
      </c>
      <c r="G409" s="44">
        <v>6.3</v>
      </c>
      <c r="H409" s="43" t="s">
        <v>226</v>
      </c>
      <c r="I409" s="40" t="s">
        <v>1300</v>
      </c>
    </row>
    <row r="410" spans="1:9" x14ac:dyDescent="0.2">
      <c r="A410" s="40" t="s">
        <v>113</v>
      </c>
      <c r="B410" s="28">
        <v>541</v>
      </c>
      <c r="C410" s="28">
        <v>5686899</v>
      </c>
      <c r="D410" s="28"/>
      <c r="E410" s="41">
        <v>46168</v>
      </c>
      <c r="F410" s="47">
        <v>0.37646990740740743</v>
      </c>
      <c r="G410" s="42">
        <v>6.3</v>
      </c>
      <c r="H410" s="40" t="s">
        <v>228</v>
      </c>
      <c r="I410" s="40" t="s">
        <v>1300</v>
      </c>
    </row>
    <row r="411" spans="1:9" x14ac:dyDescent="0.2">
      <c r="A411" s="40" t="s">
        <v>113</v>
      </c>
      <c r="B411" s="28">
        <v>541</v>
      </c>
      <c r="C411" s="28">
        <v>5690808</v>
      </c>
      <c r="D411" s="28"/>
      <c r="E411" s="41">
        <v>46170</v>
      </c>
      <c r="F411" s="47">
        <v>0.39854166666666668</v>
      </c>
      <c r="G411" s="42">
        <v>6.3</v>
      </c>
      <c r="H411" s="40" t="s">
        <v>230</v>
      </c>
      <c r="I411" s="40" t="s">
        <v>1300</v>
      </c>
    </row>
    <row r="412" spans="1:9" x14ac:dyDescent="0.2">
      <c r="A412" s="40" t="s">
        <v>114</v>
      </c>
      <c r="B412" s="28">
        <v>553</v>
      </c>
      <c r="C412" s="28">
        <v>5686568</v>
      </c>
      <c r="D412" s="28"/>
      <c r="E412" s="45">
        <v>46167</v>
      </c>
      <c r="F412" s="48">
        <v>0.87194444444444441</v>
      </c>
      <c r="G412" s="44">
        <v>6.3</v>
      </c>
      <c r="H412" s="43" t="s">
        <v>228</v>
      </c>
      <c r="I412" s="40" t="s">
        <v>1300</v>
      </c>
    </row>
    <row r="413" spans="1:9" x14ac:dyDescent="0.2">
      <c r="A413" s="40" t="s">
        <v>114</v>
      </c>
      <c r="B413" s="28">
        <v>553</v>
      </c>
      <c r="C413" s="28">
        <v>5686568</v>
      </c>
      <c r="D413" s="28"/>
      <c r="E413" s="41">
        <v>46167</v>
      </c>
      <c r="F413" s="47">
        <v>0.88013888888888892</v>
      </c>
      <c r="G413" s="44">
        <v>6.3</v>
      </c>
      <c r="H413" s="43" t="s">
        <v>229</v>
      </c>
      <c r="I413" s="40" t="s">
        <v>1300</v>
      </c>
    </row>
    <row r="414" spans="1:9" x14ac:dyDescent="0.2">
      <c r="A414" s="40" t="s">
        <v>114</v>
      </c>
      <c r="B414" s="28">
        <v>553</v>
      </c>
      <c r="C414" s="28" t="s">
        <v>35</v>
      </c>
      <c r="D414" s="28" t="s">
        <v>38</v>
      </c>
      <c r="E414" s="45">
        <v>46167</v>
      </c>
      <c r="F414" s="48">
        <v>0.90913194444444445</v>
      </c>
      <c r="G414" s="44">
        <v>6.3</v>
      </c>
      <c r="H414" s="43" t="s">
        <v>230</v>
      </c>
      <c r="I414" s="40" t="s">
        <v>1300</v>
      </c>
    </row>
    <row r="415" spans="1:9" x14ac:dyDescent="0.2">
      <c r="A415" s="40" t="s">
        <v>114</v>
      </c>
      <c r="B415" s="28">
        <v>553</v>
      </c>
      <c r="C415" s="28">
        <v>5691405</v>
      </c>
      <c r="D415" s="28"/>
      <c r="E415" s="41">
        <v>46170</v>
      </c>
      <c r="F415" s="47">
        <v>0.6334953703703704</v>
      </c>
      <c r="G415" s="44">
        <v>6.3</v>
      </c>
      <c r="H415" s="43" t="s">
        <v>229</v>
      </c>
      <c r="I415" s="40" t="s">
        <v>1300</v>
      </c>
    </row>
    <row r="416" spans="1:9" x14ac:dyDescent="0.2">
      <c r="A416" s="40" t="s">
        <v>114</v>
      </c>
      <c r="B416" s="28">
        <v>553</v>
      </c>
      <c r="C416" s="28">
        <v>5691328</v>
      </c>
      <c r="D416" s="28"/>
      <c r="E416" s="41">
        <v>46170</v>
      </c>
      <c r="F416" s="47">
        <v>0.92116898148148152</v>
      </c>
      <c r="G416" s="44">
        <v>6.3</v>
      </c>
      <c r="H416" s="43" t="s">
        <v>226</v>
      </c>
      <c r="I416" s="40" t="s">
        <v>1300</v>
      </c>
    </row>
    <row r="417" spans="1:9" x14ac:dyDescent="0.2">
      <c r="A417" s="40" t="s">
        <v>114</v>
      </c>
      <c r="B417" s="28">
        <v>553</v>
      </c>
      <c r="C417" s="28">
        <v>5693064</v>
      </c>
      <c r="D417" s="28"/>
      <c r="E417" s="41">
        <v>46171</v>
      </c>
      <c r="F417" s="47">
        <v>0.58512731481481484</v>
      </c>
      <c r="G417" s="44">
        <v>6.3</v>
      </c>
      <c r="H417" s="43" t="s">
        <v>228</v>
      </c>
      <c r="I417" s="40" t="s">
        <v>1300</v>
      </c>
    </row>
    <row r="418" spans="1:9" x14ac:dyDescent="0.2">
      <c r="A418" s="40" t="s">
        <v>114</v>
      </c>
      <c r="B418" s="28">
        <v>553</v>
      </c>
      <c r="C418" s="28">
        <v>5693064</v>
      </c>
      <c r="D418" s="28"/>
      <c r="E418" s="41">
        <v>46171</v>
      </c>
      <c r="F418" s="47">
        <v>0.59557870370370369</v>
      </c>
      <c r="G418" s="44">
        <v>6.3</v>
      </c>
      <c r="H418" s="43" t="s">
        <v>229</v>
      </c>
      <c r="I418" s="40" t="s">
        <v>1300</v>
      </c>
    </row>
    <row r="419" spans="1:9" x14ac:dyDescent="0.2">
      <c r="A419" s="40" t="s">
        <v>269</v>
      </c>
      <c r="B419" s="28">
        <v>561</v>
      </c>
      <c r="C419" s="28">
        <v>5684347</v>
      </c>
      <c r="D419" s="28"/>
      <c r="E419" s="41">
        <v>46167</v>
      </c>
      <c r="F419" s="47">
        <v>0.18130787037037038</v>
      </c>
      <c r="G419" s="44">
        <v>6.3</v>
      </c>
      <c r="H419" s="43" t="s">
        <v>230</v>
      </c>
      <c r="I419" s="40" t="s">
        <v>1300</v>
      </c>
    </row>
    <row r="420" spans="1:9" x14ac:dyDescent="0.2">
      <c r="A420" s="40" t="s">
        <v>269</v>
      </c>
      <c r="B420" s="28">
        <v>561</v>
      </c>
      <c r="C420" s="28">
        <v>5684347</v>
      </c>
      <c r="D420" s="28"/>
      <c r="E420" s="41">
        <v>46167</v>
      </c>
      <c r="F420" s="47">
        <v>0.18641203703703704</v>
      </c>
      <c r="G420" s="44">
        <v>6.3</v>
      </c>
      <c r="H420" s="43" t="s">
        <v>227</v>
      </c>
      <c r="I420" s="40" t="s">
        <v>1300</v>
      </c>
    </row>
    <row r="421" spans="1:9" x14ac:dyDescent="0.2">
      <c r="A421" s="40" t="s">
        <v>269</v>
      </c>
      <c r="B421" s="28">
        <v>561</v>
      </c>
      <c r="C421" s="28" t="s">
        <v>35</v>
      </c>
      <c r="D421" s="28" t="s">
        <v>38</v>
      </c>
      <c r="E421" s="45">
        <v>46168</v>
      </c>
      <c r="F421" s="48">
        <v>0.75416666666666665</v>
      </c>
      <c r="G421" s="44">
        <v>6.3</v>
      </c>
      <c r="H421" s="43" t="s">
        <v>228</v>
      </c>
      <c r="I421" s="40" t="s">
        <v>1300</v>
      </c>
    </row>
    <row r="422" spans="1:9" x14ac:dyDescent="0.2">
      <c r="A422" s="40" t="s">
        <v>269</v>
      </c>
      <c r="B422" s="28">
        <v>561</v>
      </c>
      <c r="C422" s="28">
        <v>5691202</v>
      </c>
      <c r="D422" s="28"/>
      <c r="E422" s="41">
        <v>46170</v>
      </c>
      <c r="F422" s="47">
        <v>0.510162037037037</v>
      </c>
      <c r="G422" s="44">
        <v>6.3</v>
      </c>
      <c r="H422" s="43" t="s">
        <v>228</v>
      </c>
      <c r="I422" s="40" t="s">
        <v>1300</v>
      </c>
    </row>
    <row r="423" spans="1:9" x14ac:dyDescent="0.2">
      <c r="A423" s="40" t="s">
        <v>269</v>
      </c>
      <c r="B423" s="28">
        <v>561</v>
      </c>
      <c r="C423" s="28">
        <v>5691202</v>
      </c>
      <c r="D423" s="28"/>
      <c r="E423" s="41">
        <v>46170</v>
      </c>
      <c r="F423" s="47">
        <v>0.52434027777777781</v>
      </c>
      <c r="G423" s="44">
        <v>6.3</v>
      </c>
      <c r="H423" s="43" t="s">
        <v>232</v>
      </c>
      <c r="I423" s="40" t="s">
        <v>1300</v>
      </c>
    </row>
    <row r="424" spans="1:9" x14ac:dyDescent="0.2">
      <c r="A424" s="40" t="s">
        <v>269</v>
      </c>
      <c r="B424" s="28">
        <v>561</v>
      </c>
      <c r="C424" s="28">
        <v>5687168</v>
      </c>
      <c r="D424" s="28"/>
      <c r="E424" s="41">
        <v>46173</v>
      </c>
      <c r="F424" s="47">
        <v>0.30532407407407408</v>
      </c>
      <c r="G424" s="44">
        <v>6.3</v>
      </c>
      <c r="H424" s="43" t="s">
        <v>231</v>
      </c>
      <c r="I424" s="40" t="s">
        <v>1300</v>
      </c>
    </row>
    <row r="425" spans="1:9" x14ac:dyDescent="0.2">
      <c r="A425" s="40" t="s">
        <v>397</v>
      </c>
      <c r="B425" s="28">
        <v>596</v>
      </c>
      <c r="C425" s="28">
        <v>5688145</v>
      </c>
      <c r="D425" s="28"/>
      <c r="E425" s="41">
        <v>46168</v>
      </c>
      <c r="F425" s="47">
        <v>0.84646990740740746</v>
      </c>
      <c r="G425" s="44">
        <v>6.3</v>
      </c>
      <c r="H425" s="43" t="s">
        <v>226</v>
      </c>
      <c r="I425" s="40" t="s">
        <v>1300</v>
      </c>
    </row>
    <row r="426" spans="1:9" x14ac:dyDescent="0.2">
      <c r="A426" s="40" t="s">
        <v>397</v>
      </c>
      <c r="B426" s="28">
        <v>596</v>
      </c>
      <c r="C426" s="28">
        <v>5692191</v>
      </c>
      <c r="D426" s="28"/>
      <c r="E426" s="41">
        <v>46170</v>
      </c>
      <c r="F426" s="47">
        <v>0.88274305555555554</v>
      </c>
      <c r="G426" s="44">
        <v>6.3</v>
      </c>
      <c r="H426" s="43" t="s">
        <v>228</v>
      </c>
      <c r="I426" s="40" t="s">
        <v>1300</v>
      </c>
    </row>
    <row r="427" spans="1:9" x14ac:dyDescent="0.2">
      <c r="A427" s="40" t="s">
        <v>397</v>
      </c>
      <c r="B427" s="28">
        <v>596</v>
      </c>
      <c r="C427" s="28">
        <v>5692191</v>
      </c>
      <c r="D427" s="28"/>
      <c r="E427" s="41">
        <v>46170</v>
      </c>
      <c r="F427" s="47">
        <v>0.88888888888888884</v>
      </c>
      <c r="G427" s="44">
        <v>6.3</v>
      </c>
      <c r="H427" s="43" t="s">
        <v>233</v>
      </c>
      <c r="I427" s="40" t="s">
        <v>1300</v>
      </c>
    </row>
    <row r="428" spans="1:9" x14ac:dyDescent="0.2">
      <c r="A428" s="40" t="s">
        <v>398</v>
      </c>
      <c r="B428" s="28">
        <v>627</v>
      </c>
      <c r="C428" s="28">
        <v>5692344</v>
      </c>
      <c r="D428" s="28" t="s">
        <v>37</v>
      </c>
      <c r="E428" s="41">
        <v>46171</v>
      </c>
      <c r="F428" s="47">
        <v>0.25437500000000002</v>
      </c>
      <c r="G428" s="44">
        <v>6.3</v>
      </c>
      <c r="H428" s="43" t="s">
        <v>228</v>
      </c>
      <c r="I428" s="40" t="s">
        <v>1300</v>
      </c>
    </row>
    <row r="429" spans="1:9" x14ac:dyDescent="0.2">
      <c r="A429" s="40" t="s">
        <v>398</v>
      </c>
      <c r="B429" s="28">
        <v>627</v>
      </c>
      <c r="C429" s="28">
        <v>5692344</v>
      </c>
      <c r="D429" s="28" t="s">
        <v>37</v>
      </c>
      <c r="E429" s="41">
        <v>46171</v>
      </c>
      <c r="F429" s="47">
        <v>0.26204861111111111</v>
      </c>
      <c r="G429" s="44">
        <v>6.3</v>
      </c>
      <c r="H429" s="43" t="s">
        <v>232</v>
      </c>
      <c r="I429" s="40" t="s">
        <v>1300</v>
      </c>
    </row>
    <row r="430" spans="1:9" x14ac:dyDescent="0.2">
      <c r="A430" s="40" t="s">
        <v>398</v>
      </c>
      <c r="B430" s="28">
        <v>627</v>
      </c>
      <c r="C430" s="28">
        <v>5691244</v>
      </c>
      <c r="D430" s="28"/>
      <c r="E430" s="45">
        <v>46171</v>
      </c>
      <c r="F430" s="48">
        <v>0.33053240740740741</v>
      </c>
      <c r="G430" s="44">
        <v>6.3</v>
      </c>
      <c r="H430" s="43" t="s">
        <v>226</v>
      </c>
      <c r="I430" s="40" t="s">
        <v>1300</v>
      </c>
    </row>
    <row r="431" spans="1:9" x14ac:dyDescent="0.2">
      <c r="A431" s="40" t="s">
        <v>398</v>
      </c>
      <c r="B431" s="28">
        <v>627</v>
      </c>
      <c r="C431" s="28">
        <v>5691244</v>
      </c>
      <c r="D431" s="28"/>
      <c r="E431" s="41">
        <v>46171</v>
      </c>
      <c r="F431" s="47">
        <v>0.34751157407407407</v>
      </c>
      <c r="G431" s="42">
        <v>6.3</v>
      </c>
      <c r="H431" s="40" t="s">
        <v>227</v>
      </c>
      <c r="I431" s="40" t="s">
        <v>1300</v>
      </c>
    </row>
    <row r="432" spans="1:9" x14ac:dyDescent="0.2">
      <c r="A432" s="40" t="s">
        <v>398</v>
      </c>
      <c r="B432" s="28">
        <v>627</v>
      </c>
      <c r="C432" s="28" t="s">
        <v>35</v>
      </c>
      <c r="D432" s="28" t="s">
        <v>38</v>
      </c>
      <c r="E432" s="41">
        <v>46171</v>
      </c>
      <c r="F432" s="47">
        <v>0.47688657407407409</v>
      </c>
      <c r="G432" s="42">
        <v>6.3</v>
      </c>
      <c r="H432" s="40" t="s">
        <v>228</v>
      </c>
      <c r="I432" s="40" t="s">
        <v>1300</v>
      </c>
    </row>
    <row r="433" spans="1:9" x14ac:dyDescent="0.2">
      <c r="A433" s="40" t="s">
        <v>398</v>
      </c>
      <c r="B433" s="28">
        <v>627</v>
      </c>
      <c r="C433" s="28" t="s">
        <v>35</v>
      </c>
      <c r="D433" s="28" t="s">
        <v>38</v>
      </c>
      <c r="E433" s="41">
        <v>46171</v>
      </c>
      <c r="F433" s="47">
        <v>0.49509259259259258</v>
      </c>
      <c r="G433" s="42">
        <v>6.3</v>
      </c>
      <c r="H433" s="40" t="s">
        <v>229</v>
      </c>
      <c r="I433" s="40" t="s">
        <v>1300</v>
      </c>
    </row>
    <row r="434" spans="1:9" x14ac:dyDescent="0.2">
      <c r="A434" s="40" t="s">
        <v>140</v>
      </c>
      <c r="B434" s="28">
        <v>643</v>
      </c>
      <c r="C434" s="28">
        <v>5685242</v>
      </c>
      <c r="D434" s="28"/>
      <c r="E434" s="41">
        <v>46167</v>
      </c>
      <c r="F434" s="47">
        <v>0.28872685185185187</v>
      </c>
      <c r="G434" s="42">
        <v>6.3</v>
      </c>
      <c r="H434" s="40" t="s">
        <v>228</v>
      </c>
      <c r="I434" s="40" t="s">
        <v>1300</v>
      </c>
    </row>
    <row r="435" spans="1:9" x14ac:dyDescent="0.2">
      <c r="A435" s="40" t="s">
        <v>140</v>
      </c>
      <c r="B435" s="28">
        <v>643</v>
      </c>
      <c r="C435" s="28">
        <v>5685242</v>
      </c>
      <c r="D435" s="28"/>
      <c r="E435" s="41">
        <v>46167</v>
      </c>
      <c r="F435" s="47">
        <v>0.2994560185185185</v>
      </c>
      <c r="G435" s="42">
        <v>6.3</v>
      </c>
      <c r="H435" s="40" t="s">
        <v>229</v>
      </c>
      <c r="I435" s="40" t="s">
        <v>1300</v>
      </c>
    </row>
    <row r="436" spans="1:9" x14ac:dyDescent="0.2">
      <c r="A436" s="40" t="s">
        <v>140</v>
      </c>
      <c r="B436" s="28">
        <v>643</v>
      </c>
      <c r="C436" s="28">
        <v>5685468</v>
      </c>
      <c r="D436" s="28"/>
      <c r="E436" s="41">
        <v>46167</v>
      </c>
      <c r="F436" s="47">
        <v>0.33340277777777777</v>
      </c>
      <c r="G436" s="42">
        <v>6.3</v>
      </c>
      <c r="H436" s="40" t="s">
        <v>230</v>
      </c>
      <c r="I436" s="40" t="s">
        <v>1300</v>
      </c>
    </row>
    <row r="437" spans="1:9" x14ac:dyDescent="0.2">
      <c r="A437" s="40" t="s">
        <v>140</v>
      </c>
      <c r="B437" s="28">
        <v>643</v>
      </c>
      <c r="C437" s="28">
        <v>5685468</v>
      </c>
      <c r="D437" s="28"/>
      <c r="E437" s="41">
        <v>46167</v>
      </c>
      <c r="F437" s="47">
        <v>0.33887731481481481</v>
      </c>
      <c r="G437" s="42">
        <v>6.3</v>
      </c>
      <c r="H437" s="40" t="s">
        <v>227</v>
      </c>
      <c r="I437" s="40" t="s">
        <v>1300</v>
      </c>
    </row>
    <row r="438" spans="1:9" x14ac:dyDescent="0.2">
      <c r="A438" s="40" t="s">
        <v>140</v>
      </c>
      <c r="B438" s="28">
        <v>643</v>
      </c>
      <c r="C438" s="28">
        <v>5690207</v>
      </c>
      <c r="D438" s="28"/>
      <c r="E438" s="41">
        <v>46169</v>
      </c>
      <c r="F438" s="47">
        <v>0.7970949074074074</v>
      </c>
      <c r="G438" s="44">
        <v>6.3</v>
      </c>
      <c r="H438" s="43" t="s">
        <v>228</v>
      </c>
      <c r="I438" s="40" t="s">
        <v>1300</v>
      </c>
    </row>
    <row r="439" spans="1:9" x14ac:dyDescent="0.2">
      <c r="A439" s="40" t="s">
        <v>140</v>
      </c>
      <c r="B439" s="28">
        <v>643</v>
      </c>
      <c r="C439" s="28">
        <v>5690207</v>
      </c>
      <c r="D439" s="28"/>
      <c r="E439" s="41">
        <v>46169</v>
      </c>
      <c r="F439" s="47">
        <v>0.80559027777777781</v>
      </c>
      <c r="G439" s="44">
        <v>6.3</v>
      </c>
      <c r="H439" s="43" t="s">
        <v>229</v>
      </c>
      <c r="I439" s="40" t="s">
        <v>1300</v>
      </c>
    </row>
    <row r="440" spans="1:9" x14ac:dyDescent="0.2">
      <c r="A440" s="40" t="s">
        <v>140</v>
      </c>
      <c r="B440" s="28">
        <v>643</v>
      </c>
      <c r="C440" s="28">
        <v>5693757</v>
      </c>
      <c r="D440" s="28"/>
      <c r="E440" s="41">
        <v>46171</v>
      </c>
      <c r="F440" s="47">
        <v>0.81133101851851852</v>
      </c>
      <c r="G440" s="44">
        <v>6.3</v>
      </c>
      <c r="H440" s="43" t="s">
        <v>228</v>
      </c>
      <c r="I440" s="40" t="s">
        <v>1300</v>
      </c>
    </row>
    <row r="441" spans="1:9" x14ac:dyDescent="0.2">
      <c r="A441" s="40" t="s">
        <v>140</v>
      </c>
      <c r="B441" s="28">
        <v>643</v>
      </c>
      <c r="C441" s="28">
        <v>5693757</v>
      </c>
      <c r="D441" s="28"/>
      <c r="E441" s="41">
        <v>46171</v>
      </c>
      <c r="F441" s="47">
        <v>0.8189467592592593</v>
      </c>
      <c r="G441" s="44">
        <v>6.3</v>
      </c>
      <c r="H441" s="43" t="s">
        <v>229</v>
      </c>
      <c r="I441" s="40" t="s">
        <v>1300</v>
      </c>
    </row>
    <row r="442" spans="1:9" x14ac:dyDescent="0.2">
      <c r="A442" s="40" t="s">
        <v>140</v>
      </c>
      <c r="B442" s="28">
        <v>643</v>
      </c>
      <c r="C442" s="28">
        <v>5695906</v>
      </c>
      <c r="D442" s="28"/>
      <c r="E442" s="41">
        <v>46173</v>
      </c>
      <c r="F442" s="47">
        <v>0.81678240740740737</v>
      </c>
      <c r="G442" s="44">
        <v>6.3</v>
      </c>
      <c r="H442" s="43" t="s">
        <v>228</v>
      </c>
      <c r="I442" s="40" t="s">
        <v>1300</v>
      </c>
    </row>
    <row r="443" spans="1:9" x14ac:dyDescent="0.2">
      <c r="A443" s="40" t="s">
        <v>327</v>
      </c>
      <c r="B443" s="28">
        <v>658</v>
      </c>
      <c r="C443" s="28" t="s">
        <v>35</v>
      </c>
      <c r="D443" s="28" t="s">
        <v>38</v>
      </c>
      <c r="E443" s="41">
        <v>46168</v>
      </c>
      <c r="F443" s="47">
        <v>0.22995370370370372</v>
      </c>
      <c r="G443" s="44">
        <v>6.3</v>
      </c>
      <c r="H443" s="43" t="s">
        <v>231</v>
      </c>
      <c r="I443" s="40" t="s">
        <v>1300</v>
      </c>
    </row>
    <row r="444" spans="1:9" x14ac:dyDescent="0.2">
      <c r="A444" s="40" t="s">
        <v>327</v>
      </c>
      <c r="B444" s="28">
        <v>658</v>
      </c>
      <c r="C444" s="28" t="s">
        <v>35</v>
      </c>
      <c r="D444" s="28" t="s">
        <v>38</v>
      </c>
      <c r="E444" s="41">
        <v>46168</v>
      </c>
      <c r="F444" s="47">
        <v>0.28690972222222222</v>
      </c>
      <c r="G444" s="44">
        <v>6.3</v>
      </c>
      <c r="H444" s="43" t="s">
        <v>228</v>
      </c>
      <c r="I444" s="40" t="s">
        <v>1300</v>
      </c>
    </row>
    <row r="445" spans="1:9" x14ac:dyDescent="0.2">
      <c r="A445" s="40" t="s">
        <v>327</v>
      </c>
      <c r="B445" s="28">
        <v>658</v>
      </c>
      <c r="C445" s="28" t="s">
        <v>35</v>
      </c>
      <c r="D445" s="28" t="s">
        <v>38</v>
      </c>
      <c r="E445" s="41">
        <v>46168</v>
      </c>
      <c r="F445" s="47">
        <v>0.30358796296296298</v>
      </c>
      <c r="G445" s="44">
        <v>6.3</v>
      </c>
      <c r="H445" s="43" t="s">
        <v>232</v>
      </c>
      <c r="I445" s="40" t="s">
        <v>1300</v>
      </c>
    </row>
    <row r="446" spans="1:9" x14ac:dyDescent="0.2">
      <c r="A446" s="40" t="s">
        <v>327</v>
      </c>
      <c r="B446" s="28">
        <v>658</v>
      </c>
      <c r="C446" s="28">
        <v>5687320</v>
      </c>
      <c r="D446" s="28"/>
      <c r="E446" s="41">
        <v>46168</v>
      </c>
      <c r="F446" s="47">
        <v>0.40130787037037036</v>
      </c>
      <c r="G446" s="44">
        <v>6.3</v>
      </c>
      <c r="H446" s="43" t="s">
        <v>230</v>
      </c>
      <c r="I446" s="40" t="s">
        <v>1300</v>
      </c>
    </row>
    <row r="447" spans="1:9" x14ac:dyDescent="0.2">
      <c r="A447" s="40" t="s">
        <v>327</v>
      </c>
      <c r="B447" s="28">
        <v>658</v>
      </c>
      <c r="C447" s="28">
        <v>5687320</v>
      </c>
      <c r="D447" s="28"/>
      <c r="E447" s="41">
        <v>46168</v>
      </c>
      <c r="F447" s="47">
        <v>0.40790509259259261</v>
      </c>
      <c r="G447" s="42">
        <v>6.3</v>
      </c>
      <c r="H447" s="40" t="s">
        <v>227</v>
      </c>
      <c r="I447" s="40" t="s">
        <v>1300</v>
      </c>
    </row>
    <row r="448" spans="1:9" x14ac:dyDescent="0.2">
      <c r="A448" s="40" t="s">
        <v>327</v>
      </c>
      <c r="B448" s="28">
        <v>658</v>
      </c>
      <c r="C448" s="28" t="s">
        <v>35</v>
      </c>
      <c r="D448" s="28" t="s">
        <v>38</v>
      </c>
      <c r="E448" s="41">
        <v>46168</v>
      </c>
      <c r="F448" s="47">
        <v>0.55540509259259263</v>
      </c>
      <c r="G448" s="42">
        <v>6.3</v>
      </c>
      <c r="H448" s="40" t="s">
        <v>232</v>
      </c>
      <c r="I448" s="40" t="s">
        <v>1300</v>
      </c>
    </row>
    <row r="449" spans="1:9" x14ac:dyDescent="0.2">
      <c r="A449" s="40" t="s">
        <v>332</v>
      </c>
      <c r="B449" s="28">
        <v>659</v>
      </c>
      <c r="C449" s="28">
        <v>5686442</v>
      </c>
      <c r="D449" s="28"/>
      <c r="E449" s="41">
        <v>46167</v>
      </c>
      <c r="F449" s="47">
        <v>0.78893518518518524</v>
      </c>
      <c r="G449" s="42">
        <v>6.3</v>
      </c>
      <c r="H449" s="40" t="s">
        <v>227</v>
      </c>
      <c r="I449" s="40" t="s">
        <v>1300</v>
      </c>
    </row>
    <row r="450" spans="1:9" x14ac:dyDescent="0.2">
      <c r="A450" s="40" t="s">
        <v>332</v>
      </c>
      <c r="B450" s="28">
        <v>659</v>
      </c>
      <c r="C450" s="28">
        <v>5688085</v>
      </c>
      <c r="D450" s="28"/>
      <c r="E450" s="41">
        <v>46168</v>
      </c>
      <c r="F450" s="47">
        <v>0.75199074074074079</v>
      </c>
      <c r="G450" s="42">
        <v>6.3</v>
      </c>
      <c r="H450" s="40" t="s">
        <v>227</v>
      </c>
      <c r="I450" s="40" t="s">
        <v>1300</v>
      </c>
    </row>
    <row r="451" spans="1:9" x14ac:dyDescent="0.2">
      <c r="A451" s="40" t="s">
        <v>332</v>
      </c>
      <c r="B451" s="28">
        <v>659</v>
      </c>
      <c r="C451" s="28">
        <v>5690003</v>
      </c>
      <c r="D451" s="28"/>
      <c r="E451" s="41">
        <v>46169</v>
      </c>
      <c r="F451" s="47">
        <v>0.74541666666666662</v>
      </c>
      <c r="G451" s="44">
        <v>6.3</v>
      </c>
      <c r="H451" s="43" t="s">
        <v>227</v>
      </c>
      <c r="I451" s="40" t="s">
        <v>1300</v>
      </c>
    </row>
    <row r="452" spans="1:9" x14ac:dyDescent="0.2">
      <c r="A452" s="40" t="s">
        <v>332</v>
      </c>
      <c r="B452" s="28">
        <v>659</v>
      </c>
      <c r="C452" s="28">
        <v>5690333</v>
      </c>
      <c r="D452" s="28"/>
      <c r="E452" s="41">
        <v>46169</v>
      </c>
      <c r="F452" s="47">
        <v>0.87285879629629626</v>
      </c>
      <c r="G452" s="44">
        <v>6.3</v>
      </c>
      <c r="H452" s="43" t="s">
        <v>226</v>
      </c>
      <c r="I452" s="40" t="s">
        <v>1300</v>
      </c>
    </row>
    <row r="453" spans="1:9" x14ac:dyDescent="0.2">
      <c r="A453" s="40" t="s">
        <v>399</v>
      </c>
      <c r="B453" s="28">
        <v>660</v>
      </c>
      <c r="C453" s="28">
        <v>5690269</v>
      </c>
      <c r="D453" s="28"/>
      <c r="E453" s="41">
        <v>46170</v>
      </c>
      <c r="F453" s="47">
        <v>0.54437500000000005</v>
      </c>
      <c r="G453" s="44">
        <v>6.3</v>
      </c>
      <c r="H453" s="43" t="s">
        <v>230</v>
      </c>
      <c r="I453" s="40" t="s">
        <v>1300</v>
      </c>
    </row>
    <row r="454" spans="1:9" x14ac:dyDescent="0.2">
      <c r="A454" s="40" t="s">
        <v>399</v>
      </c>
      <c r="B454" s="28">
        <v>660</v>
      </c>
      <c r="C454" s="28">
        <v>5691704</v>
      </c>
      <c r="D454" s="28"/>
      <c r="E454" s="41">
        <v>46170</v>
      </c>
      <c r="F454" s="47">
        <v>0.81218749999999995</v>
      </c>
      <c r="G454" s="44">
        <v>6.3</v>
      </c>
      <c r="H454" s="43" t="s">
        <v>226</v>
      </c>
      <c r="I454" s="40" t="s">
        <v>1300</v>
      </c>
    </row>
    <row r="455" spans="1:9" x14ac:dyDescent="0.2">
      <c r="A455" s="40" t="s">
        <v>399</v>
      </c>
      <c r="B455" s="28">
        <v>660</v>
      </c>
      <c r="C455" s="28">
        <v>5691704</v>
      </c>
      <c r="D455" s="28"/>
      <c r="E455" s="41">
        <v>46170</v>
      </c>
      <c r="F455" s="47">
        <v>0.83251157407407406</v>
      </c>
      <c r="G455" s="44">
        <v>6.3</v>
      </c>
      <c r="H455" s="43" t="s">
        <v>227</v>
      </c>
      <c r="I455" s="40" t="s">
        <v>1300</v>
      </c>
    </row>
    <row r="456" spans="1:9" x14ac:dyDescent="0.2">
      <c r="A456" s="40" t="s">
        <v>399</v>
      </c>
      <c r="B456" s="28">
        <v>660</v>
      </c>
      <c r="C456" s="28">
        <v>5693483</v>
      </c>
      <c r="D456" s="28"/>
      <c r="E456" s="45">
        <v>46171</v>
      </c>
      <c r="F456" s="48">
        <v>0.69863425925925926</v>
      </c>
      <c r="G456" s="44">
        <v>6.3</v>
      </c>
      <c r="H456" s="43" t="s">
        <v>230</v>
      </c>
      <c r="I456" s="40" t="s">
        <v>1300</v>
      </c>
    </row>
    <row r="457" spans="1:9" x14ac:dyDescent="0.2">
      <c r="A457" s="40" t="s">
        <v>399</v>
      </c>
      <c r="B457" s="28">
        <v>660</v>
      </c>
      <c r="C457" s="28">
        <v>5693483</v>
      </c>
      <c r="D457" s="28"/>
      <c r="E457" s="41">
        <v>46171</v>
      </c>
      <c r="F457" s="47">
        <v>0.73363425925925929</v>
      </c>
      <c r="G457" s="44">
        <v>6.3</v>
      </c>
      <c r="H457" s="43" t="s">
        <v>227</v>
      </c>
      <c r="I457" s="40" t="s">
        <v>1300</v>
      </c>
    </row>
    <row r="458" spans="1:9" x14ac:dyDescent="0.2">
      <c r="A458" s="40" t="s">
        <v>155</v>
      </c>
      <c r="B458" s="28">
        <v>666</v>
      </c>
      <c r="C458" s="28" t="s">
        <v>35</v>
      </c>
      <c r="D458" s="28" t="s">
        <v>38</v>
      </c>
      <c r="E458" s="41">
        <v>46167</v>
      </c>
      <c r="F458" s="47">
        <v>0.43873842592592593</v>
      </c>
      <c r="G458" s="44">
        <v>6.3</v>
      </c>
      <c r="H458" s="43" t="s">
        <v>228</v>
      </c>
      <c r="I458" s="40" t="s">
        <v>1300</v>
      </c>
    </row>
    <row r="459" spans="1:9" x14ac:dyDescent="0.2">
      <c r="A459" s="40" t="s">
        <v>155</v>
      </c>
      <c r="B459" s="28">
        <v>666</v>
      </c>
      <c r="C459" s="28" t="s">
        <v>35</v>
      </c>
      <c r="D459" s="28" t="s">
        <v>38</v>
      </c>
      <c r="E459" s="45">
        <v>46167</v>
      </c>
      <c r="F459" s="48">
        <v>0.45020833333333332</v>
      </c>
      <c r="G459" s="44">
        <v>6.3</v>
      </c>
      <c r="H459" s="43" t="s">
        <v>232</v>
      </c>
      <c r="I459" s="40" t="s">
        <v>1300</v>
      </c>
    </row>
    <row r="460" spans="1:9" x14ac:dyDescent="0.2">
      <c r="A460" s="40" t="s">
        <v>155</v>
      </c>
      <c r="B460" s="28">
        <v>666</v>
      </c>
      <c r="C460" s="28" t="s">
        <v>529</v>
      </c>
      <c r="D460" s="28"/>
      <c r="E460" s="41">
        <v>46167</v>
      </c>
      <c r="F460" s="47">
        <v>0.51249999999999996</v>
      </c>
      <c r="G460" s="44">
        <v>6.3</v>
      </c>
      <c r="H460" s="43" t="s">
        <v>230</v>
      </c>
      <c r="I460" s="40" t="s">
        <v>1300</v>
      </c>
    </row>
    <row r="461" spans="1:9" x14ac:dyDescent="0.2">
      <c r="A461" s="40" t="s">
        <v>155</v>
      </c>
      <c r="B461" s="28">
        <v>666</v>
      </c>
      <c r="C461" s="28" t="s">
        <v>529</v>
      </c>
      <c r="D461" s="28"/>
      <c r="E461" s="45">
        <v>46167</v>
      </c>
      <c r="F461" s="48">
        <v>0.51793981481481477</v>
      </c>
      <c r="G461" s="44">
        <v>6.3</v>
      </c>
      <c r="H461" s="43" t="s">
        <v>227</v>
      </c>
      <c r="I461" s="40" t="s">
        <v>1300</v>
      </c>
    </row>
    <row r="462" spans="1:9" x14ac:dyDescent="0.2">
      <c r="A462" s="40" t="s">
        <v>155</v>
      </c>
      <c r="B462" s="28">
        <v>666</v>
      </c>
      <c r="C462" s="28" t="s">
        <v>35</v>
      </c>
      <c r="D462" s="28" t="s">
        <v>38</v>
      </c>
      <c r="E462" s="41">
        <v>46167</v>
      </c>
      <c r="F462" s="47">
        <v>0.7564467592592593</v>
      </c>
      <c r="G462" s="44">
        <v>6.3</v>
      </c>
      <c r="H462" s="43" t="s">
        <v>230</v>
      </c>
      <c r="I462" s="40" t="s">
        <v>1300</v>
      </c>
    </row>
    <row r="463" spans="1:9" x14ac:dyDescent="0.2">
      <c r="A463" s="40" t="s">
        <v>155</v>
      </c>
      <c r="B463" s="28">
        <v>666</v>
      </c>
      <c r="C463" s="28" t="s">
        <v>35</v>
      </c>
      <c r="D463" s="28" t="s">
        <v>38</v>
      </c>
      <c r="E463" s="45">
        <v>46167</v>
      </c>
      <c r="F463" s="48">
        <v>0.77298611111111115</v>
      </c>
      <c r="G463" s="44">
        <v>6.3</v>
      </c>
      <c r="H463" s="43" t="s">
        <v>227</v>
      </c>
      <c r="I463" s="40" t="s">
        <v>1300</v>
      </c>
    </row>
    <row r="464" spans="1:9" x14ac:dyDescent="0.2">
      <c r="A464" s="40" t="s">
        <v>155</v>
      </c>
      <c r="B464" s="28">
        <v>666</v>
      </c>
      <c r="C464" s="28">
        <v>5689371</v>
      </c>
      <c r="D464" s="28"/>
      <c r="E464" s="41">
        <v>46169</v>
      </c>
      <c r="F464" s="47">
        <v>0.44929398148148147</v>
      </c>
      <c r="G464" s="44">
        <v>6.3</v>
      </c>
      <c r="H464" s="43" t="s">
        <v>229</v>
      </c>
      <c r="I464" s="40" t="s">
        <v>1300</v>
      </c>
    </row>
    <row r="465" spans="1:9" x14ac:dyDescent="0.2">
      <c r="A465" s="40" t="s">
        <v>57</v>
      </c>
      <c r="B465" s="28">
        <v>674</v>
      </c>
      <c r="C465" s="28">
        <v>5684341</v>
      </c>
      <c r="D465" s="28"/>
      <c r="E465" s="41">
        <v>46167</v>
      </c>
      <c r="F465" s="47">
        <v>0.32293981481481482</v>
      </c>
      <c r="G465" s="44">
        <v>6.3</v>
      </c>
      <c r="H465" s="43" t="s">
        <v>227</v>
      </c>
      <c r="I465" s="40" t="s">
        <v>1300</v>
      </c>
    </row>
    <row r="466" spans="1:9" x14ac:dyDescent="0.2">
      <c r="A466" s="40" t="s">
        <v>57</v>
      </c>
      <c r="B466" s="28">
        <v>674</v>
      </c>
      <c r="C466" s="28" t="s">
        <v>35</v>
      </c>
      <c r="D466" s="28" t="s">
        <v>38</v>
      </c>
      <c r="E466" s="41">
        <v>46167</v>
      </c>
      <c r="F466" s="47">
        <v>0.75935185185185183</v>
      </c>
      <c r="G466" s="44">
        <v>6.3</v>
      </c>
      <c r="H466" s="43" t="s">
        <v>231</v>
      </c>
      <c r="I466" s="40" t="s">
        <v>1300</v>
      </c>
    </row>
    <row r="467" spans="1:9" x14ac:dyDescent="0.2">
      <c r="A467" s="40" t="s">
        <v>57</v>
      </c>
      <c r="B467" s="28">
        <v>674</v>
      </c>
      <c r="C467" s="28">
        <v>5686130</v>
      </c>
      <c r="D467" s="28"/>
      <c r="E467" s="41">
        <v>46170</v>
      </c>
      <c r="F467" s="47">
        <v>0.24253472222222222</v>
      </c>
      <c r="G467" s="44">
        <v>6.3</v>
      </c>
      <c r="H467" s="43" t="s">
        <v>226</v>
      </c>
      <c r="I467" s="40" t="s">
        <v>1300</v>
      </c>
    </row>
    <row r="468" spans="1:9" x14ac:dyDescent="0.2">
      <c r="A468" s="40" t="s">
        <v>57</v>
      </c>
      <c r="B468" s="28">
        <v>674</v>
      </c>
      <c r="C468" s="28">
        <v>5692758</v>
      </c>
      <c r="D468" s="28"/>
      <c r="E468" s="41">
        <v>46171</v>
      </c>
      <c r="F468" s="47">
        <v>0.52506944444444448</v>
      </c>
      <c r="G468" s="44">
        <v>6.3</v>
      </c>
      <c r="H468" s="43" t="s">
        <v>228</v>
      </c>
      <c r="I468" s="40" t="s">
        <v>1300</v>
      </c>
    </row>
    <row r="469" spans="1:9" x14ac:dyDescent="0.2">
      <c r="A469" s="40" t="s">
        <v>57</v>
      </c>
      <c r="B469" s="28">
        <v>674</v>
      </c>
      <c r="C469" s="28">
        <v>5692758</v>
      </c>
      <c r="D469" s="28"/>
      <c r="E469" s="41">
        <v>46171</v>
      </c>
      <c r="F469" s="47">
        <v>0.54818287037037039</v>
      </c>
      <c r="G469" s="44">
        <v>6.3</v>
      </c>
      <c r="H469" s="43" t="s">
        <v>229</v>
      </c>
      <c r="I469" s="40" t="s">
        <v>1300</v>
      </c>
    </row>
    <row r="470" spans="1:9" x14ac:dyDescent="0.2">
      <c r="A470" s="40" t="s">
        <v>57</v>
      </c>
      <c r="B470" s="28">
        <v>674</v>
      </c>
      <c r="C470" s="28" t="s">
        <v>35</v>
      </c>
      <c r="D470" s="28" t="s">
        <v>38</v>
      </c>
      <c r="E470" s="45">
        <v>46172</v>
      </c>
      <c r="F470" s="48">
        <v>0.36701388888888886</v>
      </c>
      <c r="G470" s="44">
        <v>6.3</v>
      </c>
      <c r="H470" s="43" t="s">
        <v>232</v>
      </c>
      <c r="I470" s="40" t="s">
        <v>1300</v>
      </c>
    </row>
    <row r="471" spans="1:9" x14ac:dyDescent="0.2">
      <c r="A471" s="40" t="s">
        <v>57</v>
      </c>
      <c r="B471" s="28">
        <v>674</v>
      </c>
      <c r="C471" s="28" t="s">
        <v>35</v>
      </c>
      <c r="D471" s="28" t="s">
        <v>38</v>
      </c>
      <c r="E471" s="45">
        <v>46172</v>
      </c>
      <c r="F471" s="48">
        <v>0.65054398148148151</v>
      </c>
      <c r="G471" s="44">
        <v>6.3</v>
      </c>
      <c r="H471" s="43" t="s">
        <v>226</v>
      </c>
      <c r="I471" s="40" t="s">
        <v>1300</v>
      </c>
    </row>
    <row r="472" spans="1:9" x14ac:dyDescent="0.2">
      <c r="A472" s="40" t="s">
        <v>159</v>
      </c>
      <c r="B472" s="28">
        <v>677</v>
      </c>
      <c r="C472" s="28" t="s">
        <v>530</v>
      </c>
      <c r="D472" s="28"/>
      <c r="E472" s="41">
        <v>46167</v>
      </c>
      <c r="F472" s="47">
        <v>9.7337962962962959E-3</v>
      </c>
      <c r="G472" s="44">
        <v>6.3</v>
      </c>
      <c r="H472" s="43" t="s">
        <v>230</v>
      </c>
      <c r="I472" s="40" t="s">
        <v>1300</v>
      </c>
    </row>
    <row r="473" spans="1:9" x14ac:dyDescent="0.2">
      <c r="A473" s="40" t="s">
        <v>159</v>
      </c>
      <c r="B473" s="28">
        <v>677</v>
      </c>
      <c r="C473" s="28">
        <v>5670583</v>
      </c>
      <c r="D473" s="28"/>
      <c r="E473" s="41">
        <v>46167</v>
      </c>
      <c r="F473" s="47">
        <v>0.21445601851851853</v>
      </c>
      <c r="G473" s="42">
        <v>6.3</v>
      </c>
      <c r="H473" s="40" t="s">
        <v>230</v>
      </c>
      <c r="I473" s="40" t="s">
        <v>1300</v>
      </c>
    </row>
    <row r="474" spans="1:9" x14ac:dyDescent="0.2">
      <c r="A474" s="40" t="s">
        <v>159</v>
      </c>
      <c r="B474" s="28">
        <v>677</v>
      </c>
      <c r="C474" s="28">
        <v>5670583</v>
      </c>
      <c r="D474" s="28"/>
      <c r="E474" s="41">
        <v>46167</v>
      </c>
      <c r="F474" s="47">
        <v>0.2195138888888889</v>
      </c>
      <c r="G474" s="42">
        <v>6.3</v>
      </c>
      <c r="H474" s="40" t="s">
        <v>227</v>
      </c>
      <c r="I474" s="40" t="s">
        <v>1300</v>
      </c>
    </row>
    <row r="475" spans="1:9" x14ac:dyDescent="0.2">
      <c r="A475" s="40" t="s">
        <v>159</v>
      </c>
      <c r="B475" s="28">
        <v>677</v>
      </c>
      <c r="C475" s="28">
        <v>5687103</v>
      </c>
      <c r="D475" s="28"/>
      <c r="E475" s="41">
        <v>46168</v>
      </c>
      <c r="F475" s="47">
        <v>0.20335648148148147</v>
      </c>
      <c r="G475" s="44">
        <v>6.3</v>
      </c>
      <c r="H475" s="43" t="s">
        <v>231</v>
      </c>
      <c r="I475" s="40" t="s">
        <v>1300</v>
      </c>
    </row>
    <row r="476" spans="1:9" x14ac:dyDescent="0.2">
      <c r="A476" s="40" t="s">
        <v>159</v>
      </c>
      <c r="B476" s="28">
        <v>677</v>
      </c>
      <c r="C476" s="28">
        <v>5687103</v>
      </c>
      <c r="D476" s="28"/>
      <c r="E476" s="41">
        <v>46168</v>
      </c>
      <c r="F476" s="47">
        <v>0.20756944444444445</v>
      </c>
      <c r="G476" s="44">
        <v>6.3</v>
      </c>
      <c r="H476" s="43" t="s">
        <v>227</v>
      </c>
      <c r="I476" s="40" t="s">
        <v>1300</v>
      </c>
    </row>
    <row r="477" spans="1:9" x14ac:dyDescent="0.2">
      <c r="A477" s="40" t="s">
        <v>159</v>
      </c>
      <c r="B477" s="28">
        <v>677</v>
      </c>
      <c r="C477" s="28">
        <v>5687071</v>
      </c>
      <c r="D477" s="28"/>
      <c r="E477" s="45">
        <v>46168</v>
      </c>
      <c r="F477" s="48">
        <v>0.29203703703703704</v>
      </c>
      <c r="G477" s="44">
        <v>6.3</v>
      </c>
      <c r="H477" s="43" t="s">
        <v>227</v>
      </c>
      <c r="I477" s="40" t="s">
        <v>1300</v>
      </c>
    </row>
    <row r="478" spans="1:9" x14ac:dyDescent="0.2">
      <c r="A478" s="40" t="s">
        <v>159</v>
      </c>
      <c r="B478" s="28">
        <v>677</v>
      </c>
      <c r="C478" s="28">
        <v>5692836</v>
      </c>
      <c r="D478" s="28"/>
      <c r="E478" s="41">
        <v>46173</v>
      </c>
      <c r="F478" s="47">
        <v>0.13956018518518518</v>
      </c>
      <c r="G478" s="44">
        <v>6.3</v>
      </c>
      <c r="H478" s="43" t="s">
        <v>230</v>
      </c>
      <c r="I478" s="40" t="s">
        <v>1300</v>
      </c>
    </row>
    <row r="479" spans="1:9" x14ac:dyDescent="0.2">
      <c r="A479" s="40" t="s">
        <v>159</v>
      </c>
      <c r="B479" s="28">
        <v>677</v>
      </c>
      <c r="C479" s="28">
        <v>5692836</v>
      </c>
      <c r="D479" s="28"/>
      <c r="E479" s="41">
        <v>46173</v>
      </c>
      <c r="F479" s="47">
        <v>0.14429398148148148</v>
      </c>
      <c r="G479" s="44">
        <v>6.3</v>
      </c>
      <c r="H479" s="43" t="s">
        <v>227</v>
      </c>
      <c r="I479" s="40" t="s">
        <v>1300</v>
      </c>
    </row>
    <row r="480" spans="1:9" x14ac:dyDescent="0.2">
      <c r="A480" s="40" t="s">
        <v>159</v>
      </c>
      <c r="B480" s="28">
        <v>677</v>
      </c>
      <c r="C480" s="28">
        <v>5695227</v>
      </c>
      <c r="D480" s="28"/>
      <c r="E480" s="45">
        <v>46173</v>
      </c>
      <c r="F480" s="48">
        <v>0.25935185185185183</v>
      </c>
      <c r="G480" s="44">
        <v>6.3</v>
      </c>
      <c r="H480" s="43" t="s">
        <v>230</v>
      </c>
      <c r="I480" s="40" t="s">
        <v>1300</v>
      </c>
    </row>
    <row r="481" spans="1:9" x14ac:dyDescent="0.2">
      <c r="A481" s="40" t="s">
        <v>159</v>
      </c>
      <c r="B481" s="28">
        <v>677</v>
      </c>
      <c r="C481" s="28">
        <v>5695227</v>
      </c>
      <c r="D481" s="28"/>
      <c r="E481" s="41">
        <v>46173</v>
      </c>
      <c r="F481" s="47">
        <v>0.2643287037037037</v>
      </c>
      <c r="G481" s="44">
        <v>6.3</v>
      </c>
      <c r="H481" s="43" t="s">
        <v>227</v>
      </c>
      <c r="I481" s="40" t="s">
        <v>1300</v>
      </c>
    </row>
    <row r="482" spans="1:9" x14ac:dyDescent="0.2">
      <c r="A482" s="40" t="s">
        <v>159</v>
      </c>
      <c r="B482" s="28">
        <v>677</v>
      </c>
      <c r="C482" s="28">
        <v>5695411</v>
      </c>
      <c r="D482" s="28"/>
      <c r="E482" s="45">
        <v>46173</v>
      </c>
      <c r="F482" s="48">
        <v>0.29769675925925926</v>
      </c>
      <c r="G482" s="44">
        <v>6.3</v>
      </c>
      <c r="H482" s="43" t="s">
        <v>228</v>
      </c>
      <c r="I482" s="40" t="s">
        <v>1300</v>
      </c>
    </row>
    <row r="483" spans="1:9" x14ac:dyDescent="0.2">
      <c r="A483" s="40" t="s">
        <v>159</v>
      </c>
      <c r="B483" s="28">
        <v>677</v>
      </c>
      <c r="C483" s="28">
        <v>5695411</v>
      </c>
      <c r="D483" s="28"/>
      <c r="E483" s="41">
        <v>46173</v>
      </c>
      <c r="F483" s="47">
        <v>0.30452546296296296</v>
      </c>
      <c r="G483" s="44">
        <v>6.3</v>
      </c>
      <c r="H483" s="43" t="s">
        <v>229</v>
      </c>
      <c r="I483" s="40" t="s">
        <v>1300</v>
      </c>
    </row>
    <row r="484" spans="1:9" x14ac:dyDescent="0.2">
      <c r="A484" s="40" t="s">
        <v>342</v>
      </c>
      <c r="B484" s="28">
        <v>679</v>
      </c>
      <c r="C484" s="28" t="s">
        <v>531</v>
      </c>
      <c r="D484" s="28"/>
      <c r="E484" s="41">
        <v>46167</v>
      </c>
      <c r="F484" s="47">
        <v>0.65546296296296291</v>
      </c>
      <c r="G484" s="44">
        <v>6.3</v>
      </c>
      <c r="H484" s="43" t="s">
        <v>228</v>
      </c>
      <c r="I484" s="40" t="s">
        <v>1300</v>
      </c>
    </row>
    <row r="485" spans="1:9" x14ac:dyDescent="0.2">
      <c r="A485" s="40" t="s">
        <v>342</v>
      </c>
      <c r="B485" s="28">
        <v>679</v>
      </c>
      <c r="C485" s="28" t="s">
        <v>531</v>
      </c>
      <c r="D485" s="28"/>
      <c r="E485" s="45">
        <v>46167</v>
      </c>
      <c r="F485" s="48">
        <v>0.66256944444444443</v>
      </c>
      <c r="G485" s="44">
        <v>6.3</v>
      </c>
      <c r="H485" s="43" t="s">
        <v>233</v>
      </c>
      <c r="I485" s="40" t="s">
        <v>1300</v>
      </c>
    </row>
    <row r="486" spans="1:9" x14ac:dyDescent="0.2">
      <c r="A486" s="40" t="s">
        <v>342</v>
      </c>
      <c r="B486" s="28">
        <v>679</v>
      </c>
      <c r="C486" s="28" t="s">
        <v>35</v>
      </c>
      <c r="D486" s="28" t="s">
        <v>38</v>
      </c>
      <c r="E486" s="41">
        <v>46167</v>
      </c>
      <c r="F486" s="47">
        <v>0.74857638888888889</v>
      </c>
      <c r="G486" s="44">
        <v>6.3</v>
      </c>
      <c r="H486" s="43" t="s">
        <v>229</v>
      </c>
      <c r="I486" s="40" t="s">
        <v>1300</v>
      </c>
    </row>
    <row r="487" spans="1:9" x14ac:dyDescent="0.2">
      <c r="A487" s="40" t="s">
        <v>342</v>
      </c>
      <c r="B487" s="28">
        <v>679</v>
      </c>
      <c r="C487" s="28" t="s">
        <v>35</v>
      </c>
      <c r="D487" s="28" t="s">
        <v>38</v>
      </c>
      <c r="E487" s="41">
        <v>46168</v>
      </c>
      <c r="F487" s="47">
        <v>3.8831018518518522E-2</v>
      </c>
      <c r="G487" s="44">
        <v>6.3</v>
      </c>
      <c r="H487" s="43" t="s">
        <v>228</v>
      </c>
      <c r="I487" s="40" t="s">
        <v>1300</v>
      </c>
    </row>
    <row r="488" spans="1:9" x14ac:dyDescent="0.2">
      <c r="A488" s="40" t="s">
        <v>342</v>
      </c>
      <c r="B488" s="28">
        <v>679</v>
      </c>
      <c r="C488" s="28" t="s">
        <v>35</v>
      </c>
      <c r="D488" s="28" t="s">
        <v>38</v>
      </c>
      <c r="E488" s="45">
        <v>46168</v>
      </c>
      <c r="F488" s="48">
        <v>4.6921296296296294E-2</v>
      </c>
      <c r="G488" s="44">
        <v>6.3</v>
      </c>
      <c r="H488" s="43" t="s">
        <v>229</v>
      </c>
      <c r="I488" s="40" t="s">
        <v>1300</v>
      </c>
    </row>
    <row r="489" spans="1:9" x14ac:dyDescent="0.2">
      <c r="A489" s="40" t="s">
        <v>342</v>
      </c>
      <c r="B489" s="28">
        <v>679</v>
      </c>
      <c r="C489" s="28">
        <v>5689449</v>
      </c>
      <c r="D489" s="28"/>
      <c r="E489" s="41">
        <v>46169</v>
      </c>
      <c r="F489" s="47">
        <v>0.47483796296296299</v>
      </c>
      <c r="G489" s="44">
        <v>6.3</v>
      </c>
      <c r="H489" s="43" t="s">
        <v>228</v>
      </c>
      <c r="I489" s="40" t="s">
        <v>1300</v>
      </c>
    </row>
    <row r="490" spans="1:9" x14ac:dyDescent="0.2">
      <c r="A490" s="40" t="s">
        <v>342</v>
      </c>
      <c r="B490" s="28">
        <v>679</v>
      </c>
      <c r="C490" s="28">
        <v>5689449</v>
      </c>
      <c r="D490" s="28"/>
      <c r="E490" s="41">
        <v>46169</v>
      </c>
      <c r="F490" s="47">
        <v>0.48616898148148147</v>
      </c>
      <c r="G490" s="44">
        <v>6.3</v>
      </c>
      <c r="H490" s="43" t="s">
        <v>229</v>
      </c>
      <c r="I490" s="40" t="s">
        <v>1300</v>
      </c>
    </row>
    <row r="491" spans="1:9" x14ac:dyDescent="0.2">
      <c r="A491" s="40" t="s">
        <v>342</v>
      </c>
      <c r="B491" s="28">
        <v>679</v>
      </c>
      <c r="C491" s="28" t="s">
        <v>35</v>
      </c>
      <c r="D491" s="28" t="s">
        <v>38</v>
      </c>
      <c r="E491" s="41">
        <v>46171</v>
      </c>
      <c r="F491" s="47">
        <v>0.83530092592592597</v>
      </c>
      <c r="G491" s="44">
        <v>6.3</v>
      </c>
      <c r="H491" s="43" t="s">
        <v>228</v>
      </c>
      <c r="I491" s="40" t="s">
        <v>1300</v>
      </c>
    </row>
    <row r="492" spans="1:9" x14ac:dyDescent="0.2">
      <c r="A492" s="40" t="s">
        <v>342</v>
      </c>
      <c r="B492" s="28">
        <v>679</v>
      </c>
      <c r="C492" s="28" t="s">
        <v>35</v>
      </c>
      <c r="D492" s="28" t="s">
        <v>38</v>
      </c>
      <c r="E492" s="41">
        <v>46171</v>
      </c>
      <c r="F492" s="47">
        <v>0.84637731481481482</v>
      </c>
      <c r="G492" s="44">
        <v>6.3</v>
      </c>
      <c r="H492" s="43" t="s">
        <v>229</v>
      </c>
      <c r="I492" s="40" t="s">
        <v>1300</v>
      </c>
    </row>
    <row r="493" spans="1:9" x14ac:dyDescent="0.2">
      <c r="A493" s="40" t="s">
        <v>342</v>
      </c>
      <c r="B493" s="28">
        <v>679</v>
      </c>
      <c r="C493" s="28">
        <v>5694557</v>
      </c>
      <c r="D493" s="28"/>
      <c r="E493" s="41">
        <v>46172</v>
      </c>
      <c r="F493" s="47">
        <v>0.51619212962962968</v>
      </c>
      <c r="G493" s="44">
        <v>6.3</v>
      </c>
      <c r="H493" s="43" t="s">
        <v>229</v>
      </c>
      <c r="I493" s="40" t="s">
        <v>1300</v>
      </c>
    </row>
    <row r="494" spans="1:9" x14ac:dyDescent="0.2">
      <c r="A494" s="40" t="s">
        <v>342</v>
      </c>
      <c r="B494" s="28">
        <v>679</v>
      </c>
      <c r="C494" s="28">
        <v>5696111</v>
      </c>
      <c r="D494" s="28"/>
      <c r="E494" s="41">
        <v>46173</v>
      </c>
      <c r="F494" s="47">
        <v>0.82131944444444449</v>
      </c>
      <c r="G494" s="44">
        <v>6.3</v>
      </c>
      <c r="H494" s="43" t="s">
        <v>228</v>
      </c>
      <c r="I494" s="40" t="s">
        <v>1300</v>
      </c>
    </row>
    <row r="495" spans="1:9" x14ac:dyDescent="0.2">
      <c r="A495" s="40" t="s">
        <v>115</v>
      </c>
      <c r="B495" s="28">
        <v>680</v>
      </c>
      <c r="C495" s="28" t="s">
        <v>35</v>
      </c>
      <c r="D495" s="28" t="s">
        <v>38</v>
      </c>
      <c r="E495" s="41">
        <v>46167</v>
      </c>
      <c r="F495" s="47">
        <v>0.63646990740740739</v>
      </c>
      <c r="G495" s="44">
        <v>6.3</v>
      </c>
      <c r="H495" s="43" t="s">
        <v>229</v>
      </c>
      <c r="I495" s="40" t="s">
        <v>1300</v>
      </c>
    </row>
    <row r="496" spans="1:9" x14ac:dyDescent="0.2">
      <c r="A496" s="40" t="s">
        <v>115</v>
      </c>
      <c r="B496" s="28">
        <v>680</v>
      </c>
      <c r="C496" s="28" t="s">
        <v>35</v>
      </c>
      <c r="D496" s="28" t="s">
        <v>38</v>
      </c>
      <c r="E496" s="41">
        <v>46167</v>
      </c>
      <c r="F496" s="47">
        <v>0.74115740740740743</v>
      </c>
      <c r="G496" s="44">
        <v>6.3</v>
      </c>
      <c r="H496" s="43" t="s">
        <v>230</v>
      </c>
      <c r="I496" s="40" t="s">
        <v>1300</v>
      </c>
    </row>
    <row r="497" spans="1:9" x14ac:dyDescent="0.2">
      <c r="A497" s="40" t="s">
        <v>115</v>
      </c>
      <c r="B497" s="28">
        <v>680</v>
      </c>
      <c r="C497" s="28" t="s">
        <v>35</v>
      </c>
      <c r="D497" s="28" t="s">
        <v>38</v>
      </c>
      <c r="E497" s="41">
        <v>46168</v>
      </c>
      <c r="F497" s="47">
        <v>0.47760416666666666</v>
      </c>
      <c r="G497" s="42">
        <v>6.3</v>
      </c>
      <c r="H497" s="40" t="s">
        <v>229</v>
      </c>
      <c r="I497" s="40" t="s">
        <v>1300</v>
      </c>
    </row>
    <row r="498" spans="1:9" x14ac:dyDescent="0.2">
      <c r="A498" s="40" t="s">
        <v>115</v>
      </c>
      <c r="B498" s="28">
        <v>680</v>
      </c>
      <c r="C498" s="28" t="s">
        <v>35</v>
      </c>
      <c r="D498" s="28" t="s">
        <v>38</v>
      </c>
      <c r="E498" s="41">
        <v>46168</v>
      </c>
      <c r="F498" s="47">
        <v>0.59912037037037036</v>
      </c>
      <c r="G498" s="42">
        <v>6.3</v>
      </c>
      <c r="H498" s="40" t="s">
        <v>229</v>
      </c>
      <c r="I498" s="40" t="s">
        <v>1300</v>
      </c>
    </row>
    <row r="499" spans="1:9" x14ac:dyDescent="0.2">
      <c r="A499" s="40" t="s">
        <v>115</v>
      </c>
      <c r="B499" s="28">
        <v>680</v>
      </c>
      <c r="C499" s="28" t="s">
        <v>35</v>
      </c>
      <c r="D499" s="28" t="s">
        <v>38</v>
      </c>
      <c r="E499" s="41">
        <v>46168</v>
      </c>
      <c r="F499" s="47">
        <v>0.72165509259259264</v>
      </c>
      <c r="G499" s="42">
        <v>6.3</v>
      </c>
      <c r="H499" s="40" t="s">
        <v>230</v>
      </c>
      <c r="I499" s="40" t="s">
        <v>1300</v>
      </c>
    </row>
    <row r="500" spans="1:9" x14ac:dyDescent="0.2">
      <c r="A500" s="40" t="s">
        <v>115</v>
      </c>
      <c r="B500" s="28">
        <v>680</v>
      </c>
      <c r="C500" s="28">
        <v>5689366</v>
      </c>
      <c r="D500" s="28"/>
      <c r="E500" s="41">
        <v>46169</v>
      </c>
      <c r="F500" s="47">
        <v>0.67740740740740746</v>
      </c>
      <c r="G500" s="42">
        <v>6.3</v>
      </c>
      <c r="H500" s="40" t="s">
        <v>234</v>
      </c>
      <c r="I500" s="40" t="s">
        <v>1300</v>
      </c>
    </row>
    <row r="501" spans="1:9" x14ac:dyDescent="0.2">
      <c r="A501" s="40" t="s">
        <v>115</v>
      </c>
      <c r="B501" s="28">
        <v>680</v>
      </c>
      <c r="C501" s="28">
        <v>5690170</v>
      </c>
      <c r="D501" s="28"/>
      <c r="E501" s="41">
        <v>46169</v>
      </c>
      <c r="F501" s="47">
        <v>0.93898148148148153</v>
      </c>
      <c r="G501" s="42">
        <v>6.3</v>
      </c>
      <c r="H501" s="40" t="s">
        <v>229</v>
      </c>
      <c r="I501" s="40" t="s">
        <v>1300</v>
      </c>
    </row>
    <row r="502" spans="1:9" x14ac:dyDescent="0.2">
      <c r="A502" s="40" t="s">
        <v>115</v>
      </c>
      <c r="B502" s="28">
        <v>680</v>
      </c>
      <c r="C502" s="28">
        <v>5691736</v>
      </c>
      <c r="D502" s="28"/>
      <c r="E502" s="41">
        <v>46170</v>
      </c>
      <c r="F502" s="47">
        <v>0.93923611111111116</v>
      </c>
      <c r="G502" s="44">
        <v>6.3</v>
      </c>
      <c r="H502" s="43" t="s">
        <v>229</v>
      </c>
      <c r="I502" s="40" t="s">
        <v>1300</v>
      </c>
    </row>
    <row r="503" spans="1:9" x14ac:dyDescent="0.2">
      <c r="A503" s="40" t="s">
        <v>115</v>
      </c>
      <c r="B503" s="28">
        <v>680</v>
      </c>
      <c r="C503" s="28">
        <v>5693762</v>
      </c>
      <c r="D503" s="28"/>
      <c r="E503" s="41">
        <v>46171</v>
      </c>
      <c r="F503" s="47">
        <v>0.79576388888888894</v>
      </c>
      <c r="G503" s="44">
        <v>6.3</v>
      </c>
      <c r="H503" s="43" t="s">
        <v>235</v>
      </c>
      <c r="I503" s="40" t="s">
        <v>1300</v>
      </c>
    </row>
    <row r="504" spans="1:9" x14ac:dyDescent="0.2">
      <c r="A504" s="40" t="s">
        <v>115</v>
      </c>
      <c r="B504" s="28">
        <v>680</v>
      </c>
      <c r="C504" s="28">
        <v>5693762</v>
      </c>
      <c r="D504" s="28"/>
      <c r="E504" s="41">
        <v>46171</v>
      </c>
      <c r="F504" s="47">
        <v>0.80621527777777779</v>
      </c>
      <c r="G504" s="44">
        <v>6.3</v>
      </c>
      <c r="H504" s="43" t="s">
        <v>233</v>
      </c>
      <c r="I504" s="40" t="s">
        <v>1300</v>
      </c>
    </row>
    <row r="505" spans="1:9" x14ac:dyDescent="0.2">
      <c r="A505" s="40" t="s">
        <v>115</v>
      </c>
      <c r="B505" s="28">
        <v>680</v>
      </c>
      <c r="C505" s="28" t="s">
        <v>35</v>
      </c>
      <c r="D505" s="28" t="s">
        <v>38</v>
      </c>
      <c r="E505" s="41">
        <v>46172</v>
      </c>
      <c r="F505" s="47">
        <v>0.64300925925925922</v>
      </c>
      <c r="G505" s="44">
        <v>6.3</v>
      </c>
      <c r="H505" s="43" t="s">
        <v>229</v>
      </c>
      <c r="I505" s="40" t="s">
        <v>1300</v>
      </c>
    </row>
    <row r="506" spans="1:9" x14ac:dyDescent="0.2">
      <c r="A506" s="40" t="s">
        <v>115</v>
      </c>
      <c r="B506" s="28">
        <v>680</v>
      </c>
      <c r="C506" s="28" t="s">
        <v>35</v>
      </c>
      <c r="D506" s="28" t="s">
        <v>38</v>
      </c>
      <c r="E506" s="41">
        <v>46172</v>
      </c>
      <c r="F506" s="47">
        <v>0.76189814814814816</v>
      </c>
      <c r="G506" s="44">
        <v>6.3</v>
      </c>
      <c r="H506" s="43" t="s">
        <v>230</v>
      </c>
      <c r="I506" s="40" t="s">
        <v>1300</v>
      </c>
    </row>
    <row r="507" spans="1:9" x14ac:dyDescent="0.2">
      <c r="A507" s="40" t="s">
        <v>216</v>
      </c>
      <c r="B507" s="28">
        <v>688</v>
      </c>
      <c r="C507" s="28">
        <v>5685455</v>
      </c>
      <c r="D507" s="28"/>
      <c r="E507" s="41">
        <v>46167</v>
      </c>
      <c r="F507" s="47">
        <v>0.41533564814814816</v>
      </c>
      <c r="G507" s="44">
        <v>6.3</v>
      </c>
      <c r="H507" s="43" t="s">
        <v>230</v>
      </c>
      <c r="I507" s="40" t="s">
        <v>1300</v>
      </c>
    </row>
    <row r="508" spans="1:9" x14ac:dyDescent="0.2">
      <c r="A508" s="40" t="s">
        <v>216</v>
      </c>
      <c r="B508" s="28">
        <v>688</v>
      </c>
      <c r="C508" s="28">
        <v>5685455</v>
      </c>
      <c r="D508" s="28"/>
      <c r="E508" s="41">
        <v>46167</v>
      </c>
      <c r="F508" s="47">
        <v>0.42244212962962963</v>
      </c>
      <c r="G508" s="44">
        <v>6.3</v>
      </c>
      <c r="H508" s="43" t="s">
        <v>227</v>
      </c>
      <c r="I508" s="40" t="s">
        <v>1300</v>
      </c>
    </row>
    <row r="509" spans="1:9" x14ac:dyDescent="0.2">
      <c r="A509" s="40" t="s">
        <v>216</v>
      </c>
      <c r="B509" s="28">
        <v>688</v>
      </c>
      <c r="C509" s="28">
        <v>5685920</v>
      </c>
      <c r="D509" s="28"/>
      <c r="E509" s="41">
        <v>46167</v>
      </c>
      <c r="F509" s="47">
        <v>0.51366898148148143</v>
      </c>
      <c r="G509" s="44">
        <v>6.3</v>
      </c>
      <c r="H509" s="43" t="s">
        <v>228</v>
      </c>
      <c r="I509" s="40" t="s">
        <v>1300</v>
      </c>
    </row>
    <row r="510" spans="1:9" x14ac:dyDescent="0.2">
      <c r="A510" s="40" t="s">
        <v>216</v>
      </c>
      <c r="B510" s="28">
        <v>688</v>
      </c>
      <c r="C510" s="28">
        <v>5685920</v>
      </c>
      <c r="D510" s="28"/>
      <c r="E510" s="41">
        <v>46167</v>
      </c>
      <c r="F510" s="47">
        <v>0.52296296296296296</v>
      </c>
      <c r="G510" s="44">
        <v>6.3</v>
      </c>
      <c r="H510" s="43" t="s">
        <v>229</v>
      </c>
      <c r="I510" s="40" t="s">
        <v>1300</v>
      </c>
    </row>
    <row r="511" spans="1:9" x14ac:dyDescent="0.2">
      <c r="A511" s="40" t="s">
        <v>216</v>
      </c>
      <c r="B511" s="28">
        <v>688</v>
      </c>
      <c r="C511" s="28">
        <v>5686092</v>
      </c>
      <c r="D511" s="28"/>
      <c r="E511" s="41">
        <v>46167</v>
      </c>
      <c r="F511" s="47">
        <v>0.6139930555555555</v>
      </c>
      <c r="G511" s="44">
        <v>6.3</v>
      </c>
      <c r="H511" s="43" t="s">
        <v>230</v>
      </c>
      <c r="I511" s="40" t="s">
        <v>1300</v>
      </c>
    </row>
    <row r="512" spans="1:9" x14ac:dyDescent="0.2">
      <c r="A512" s="40" t="s">
        <v>216</v>
      </c>
      <c r="B512" s="28">
        <v>688</v>
      </c>
      <c r="C512" s="28">
        <v>5686787</v>
      </c>
      <c r="D512" s="28"/>
      <c r="E512" s="41">
        <v>46168</v>
      </c>
      <c r="F512" s="47">
        <v>0.42412037037037037</v>
      </c>
      <c r="G512" s="44">
        <v>6.3</v>
      </c>
      <c r="H512" s="43" t="s">
        <v>227</v>
      </c>
      <c r="I512" s="40" t="s">
        <v>1300</v>
      </c>
    </row>
    <row r="513" spans="1:9" x14ac:dyDescent="0.2">
      <c r="A513" s="40" t="s">
        <v>216</v>
      </c>
      <c r="B513" s="28">
        <v>688</v>
      </c>
      <c r="C513" s="28">
        <v>5689516</v>
      </c>
      <c r="D513" s="28"/>
      <c r="E513" s="41">
        <v>46169</v>
      </c>
      <c r="F513" s="47">
        <v>0.59791666666666665</v>
      </c>
      <c r="G513" s="42">
        <v>6.3</v>
      </c>
      <c r="H513" s="40" t="s">
        <v>227</v>
      </c>
      <c r="I513" s="40" t="s">
        <v>1300</v>
      </c>
    </row>
    <row r="514" spans="1:9" x14ac:dyDescent="0.2">
      <c r="A514" s="40" t="s">
        <v>216</v>
      </c>
      <c r="B514" s="28">
        <v>688</v>
      </c>
      <c r="C514" s="28" t="s">
        <v>35</v>
      </c>
      <c r="D514" s="28" t="s">
        <v>38</v>
      </c>
      <c r="E514" s="41">
        <v>46170</v>
      </c>
      <c r="F514" s="47">
        <v>0.48313657407407407</v>
      </c>
      <c r="G514" s="42">
        <v>6.3</v>
      </c>
      <c r="H514" s="40" t="s">
        <v>228</v>
      </c>
      <c r="I514" s="40" t="s">
        <v>1300</v>
      </c>
    </row>
    <row r="515" spans="1:9" x14ac:dyDescent="0.2">
      <c r="A515" s="40" t="s">
        <v>216</v>
      </c>
      <c r="B515" s="28">
        <v>688</v>
      </c>
      <c r="C515" s="28" t="s">
        <v>35</v>
      </c>
      <c r="D515" s="28" t="s">
        <v>38</v>
      </c>
      <c r="E515" s="41">
        <v>46170</v>
      </c>
      <c r="F515" s="47">
        <v>0.49181712962962965</v>
      </c>
      <c r="G515" s="44">
        <v>6.3</v>
      </c>
      <c r="H515" s="43" t="s">
        <v>229</v>
      </c>
      <c r="I515" s="40" t="s">
        <v>1300</v>
      </c>
    </row>
    <row r="516" spans="1:9" x14ac:dyDescent="0.2">
      <c r="A516" s="40" t="s">
        <v>216</v>
      </c>
      <c r="B516" s="28">
        <v>688</v>
      </c>
      <c r="C516" s="28" t="s">
        <v>35</v>
      </c>
      <c r="D516" s="28" t="s">
        <v>38</v>
      </c>
      <c r="E516" s="41">
        <v>46170</v>
      </c>
      <c r="F516" s="47">
        <v>0.52067129629629627</v>
      </c>
      <c r="G516" s="44">
        <v>6.3</v>
      </c>
      <c r="H516" s="43" t="s">
        <v>230</v>
      </c>
      <c r="I516" s="40" t="s">
        <v>1300</v>
      </c>
    </row>
    <row r="517" spans="1:9" x14ac:dyDescent="0.2">
      <c r="A517" s="40" t="s">
        <v>216</v>
      </c>
      <c r="B517" s="28">
        <v>688</v>
      </c>
      <c r="C517" s="28" t="s">
        <v>35</v>
      </c>
      <c r="D517" s="28" t="s">
        <v>38</v>
      </c>
      <c r="E517" s="41">
        <v>46170</v>
      </c>
      <c r="F517" s="47">
        <v>0.52614583333333331</v>
      </c>
      <c r="G517" s="42">
        <v>6.3</v>
      </c>
      <c r="H517" s="40" t="s">
        <v>227</v>
      </c>
      <c r="I517" s="40" t="s">
        <v>1300</v>
      </c>
    </row>
    <row r="518" spans="1:9" x14ac:dyDescent="0.2">
      <c r="A518" s="40" t="s">
        <v>216</v>
      </c>
      <c r="B518" s="28">
        <v>688</v>
      </c>
      <c r="C518" s="28">
        <v>5691462</v>
      </c>
      <c r="D518" s="28"/>
      <c r="E518" s="41">
        <v>46170</v>
      </c>
      <c r="F518" s="47">
        <v>0.58203703703703702</v>
      </c>
      <c r="G518" s="44">
        <v>6.3</v>
      </c>
      <c r="H518" s="43" t="s">
        <v>228</v>
      </c>
      <c r="I518" s="40" t="s">
        <v>1300</v>
      </c>
    </row>
    <row r="519" spans="1:9" x14ac:dyDescent="0.2">
      <c r="A519" s="40" t="s">
        <v>216</v>
      </c>
      <c r="B519" s="28">
        <v>688</v>
      </c>
      <c r="C519" s="28">
        <v>5691462</v>
      </c>
      <c r="D519" s="28"/>
      <c r="E519" s="41">
        <v>46170</v>
      </c>
      <c r="F519" s="47">
        <v>0.59321759259259255</v>
      </c>
      <c r="G519" s="44">
        <v>6.3</v>
      </c>
      <c r="H519" s="43" t="s">
        <v>229</v>
      </c>
      <c r="I519" s="40" t="s">
        <v>1300</v>
      </c>
    </row>
    <row r="520" spans="1:9" x14ac:dyDescent="0.2">
      <c r="A520" s="40" t="s">
        <v>58</v>
      </c>
      <c r="B520" s="28">
        <v>707</v>
      </c>
      <c r="C520" s="28" t="s">
        <v>35</v>
      </c>
      <c r="D520" s="28" t="s">
        <v>38</v>
      </c>
      <c r="E520" s="45">
        <v>46167</v>
      </c>
      <c r="F520" s="48">
        <v>0.34289351851851851</v>
      </c>
      <c r="G520" s="42">
        <v>6.3</v>
      </c>
      <c r="H520" s="40" t="s">
        <v>228</v>
      </c>
      <c r="I520" s="40" t="s">
        <v>1300</v>
      </c>
    </row>
    <row r="521" spans="1:9" x14ac:dyDescent="0.2">
      <c r="A521" s="40" t="s">
        <v>58</v>
      </c>
      <c r="B521" s="28">
        <v>707</v>
      </c>
      <c r="C521" s="28">
        <v>5686217</v>
      </c>
      <c r="D521" s="28"/>
      <c r="E521" s="41">
        <v>46167</v>
      </c>
      <c r="F521" s="47">
        <v>0.6317476851851852</v>
      </c>
      <c r="G521" s="42">
        <v>6.3</v>
      </c>
      <c r="H521" s="40" t="s">
        <v>228</v>
      </c>
      <c r="I521" s="40" t="s">
        <v>1300</v>
      </c>
    </row>
    <row r="522" spans="1:9" x14ac:dyDescent="0.2">
      <c r="A522" s="40" t="s">
        <v>58</v>
      </c>
      <c r="B522" s="28">
        <v>707</v>
      </c>
      <c r="C522" s="28">
        <v>5686217</v>
      </c>
      <c r="D522" s="28"/>
      <c r="E522" s="45">
        <v>46167</v>
      </c>
      <c r="F522" s="48">
        <v>0.6412268518518518</v>
      </c>
      <c r="G522" s="42">
        <v>6.3</v>
      </c>
      <c r="H522" s="40" t="s">
        <v>229</v>
      </c>
      <c r="I522" s="40" t="s">
        <v>1300</v>
      </c>
    </row>
    <row r="523" spans="1:9" x14ac:dyDescent="0.2">
      <c r="A523" s="40" t="s">
        <v>58</v>
      </c>
      <c r="B523" s="28">
        <v>707</v>
      </c>
      <c r="C523" s="28" t="s">
        <v>35</v>
      </c>
      <c r="D523" s="28" t="s">
        <v>38</v>
      </c>
      <c r="E523" s="41">
        <v>46167</v>
      </c>
      <c r="F523" s="47">
        <v>0.65834490740740736</v>
      </c>
      <c r="G523" s="42">
        <v>6.3</v>
      </c>
      <c r="H523" s="40" t="s">
        <v>230</v>
      </c>
      <c r="I523" s="40" t="s">
        <v>1300</v>
      </c>
    </row>
    <row r="524" spans="1:9" x14ac:dyDescent="0.2">
      <c r="A524" s="40" t="s">
        <v>58</v>
      </c>
      <c r="B524" s="28">
        <v>707</v>
      </c>
      <c r="C524" s="28">
        <v>5693550</v>
      </c>
      <c r="D524" s="28" t="s">
        <v>36</v>
      </c>
      <c r="E524" s="41">
        <v>46171</v>
      </c>
      <c r="F524" s="47">
        <v>0.87973379629629633</v>
      </c>
      <c r="G524" s="42">
        <v>6.3</v>
      </c>
      <c r="H524" s="40" t="s">
        <v>228</v>
      </c>
      <c r="I524" s="40" t="s">
        <v>1300</v>
      </c>
    </row>
    <row r="525" spans="1:9" x14ac:dyDescent="0.2">
      <c r="A525" s="40" t="s">
        <v>58</v>
      </c>
      <c r="B525" s="28">
        <v>707</v>
      </c>
      <c r="C525" s="28">
        <v>5693550</v>
      </c>
      <c r="D525" s="28" t="s">
        <v>36</v>
      </c>
      <c r="E525" s="41">
        <v>46171</v>
      </c>
      <c r="F525" s="47">
        <v>0.88796296296296295</v>
      </c>
      <c r="G525" s="42">
        <v>6.3</v>
      </c>
      <c r="H525" s="40" t="s">
        <v>229</v>
      </c>
      <c r="I525" s="40" t="s">
        <v>1300</v>
      </c>
    </row>
    <row r="526" spans="1:9" x14ac:dyDescent="0.2">
      <c r="A526" s="40" t="s">
        <v>58</v>
      </c>
      <c r="B526" s="28">
        <v>707</v>
      </c>
      <c r="C526" s="28" t="s">
        <v>532</v>
      </c>
      <c r="D526" s="28"/>
      <c r="E526" s="41">
        <v>46173</v>
      </c>
      <c r="F526" s="47">
        <v>0.92093749999999996</v>
      </c>
      <c r="G526" s="44">
        <v>6.3</v>
      </c>
      <c r="H526" s="43" t="s">
        <v>228</v>
      </c>
      <c r="I526" s="40" t="s">
        <v>1300</v>
      </c>
    </row>
    <row r="527" spans="1:9" x14ac:dyDescent="0.2">
      <c r="A527" s="40" t="s">
        <v>58</v>
      </c>
      <c r="B527" s="28">
        <v>707</v>
      </c>
      <c r="C527" s="28" t="s">
        <v>532</v>
      </c>
      <c r="D527" s="28"/>
      <c r="E527" s="41">
        <v>46173</v>
      </c>
      <c r="F527" s="47">
        <v>0.92611111111111111</v>
      </c>
      <c r="G527" s="44">
        <v>6.3</v>
      </c>
      <c r="H527" s="43" t="s">
        <v>233</v>
      </c>
      <c r="I527" s="40" t="s">
        <v>1300</v>
      </c>
    </row>
    <row r="528" spans="1:9" x14ac:dyDescent="0.2">
      <c r="A528" s="40" t="s">
        <v>255</v>
      </c>
      <c r="B528" s="28">
        <v>709</v>
      </c>
      <c r="C528" s="28">
        <v>5683489</v>
      </c>
      <c r="D528" s="28"/>
      <c r="E528" s="41">
        <v>46167</v>
      </c>
      <c r="F528" s="47">
        <v>0.37649305555555557</v>
      </c>
      <c r="G528" s="44">
        <v>6.3</v>
      </c>
      <c r="H528" s="43" t="s">
        <v>228</v>
      </c>
      <c r="I528" s="40" t="s">
        <v>1300</v>
      </c>
    </row>
    <row r="529" spans="1:9" x14ac:dyDescent="0.2">
      <c r="A529" s="40" t="s">
        <v>255</v>
      </c>
      <c r="B529" s="28">
        <v>709</v>
      </c>
      <c r="C529" s="28">
        <v>5683489</v>
      </c>
      <c r="D529" s="28"/>
      <c r="E529" s="41">
        <v>46167</v>
      </c>
      <c r="F529" s="47">
        <v>0.388125</v>
      </c>
      <c r="G529" s="44">
        <v>6.3</v>
      </c>
      <c r="H529" s="43" t="s">
        <v>232</v>
      </c>
      <c r="I529" s="40" t="s">
        <v>1300</v>
      </c>
    </row>
    <row r="530" spans="1:9" x14ac:dyDescent="0.2">
      <c r="A530" s="40" t="s">
        <v>255</v>
      </c>
      <c r="B530" s="28">
        <v>709</v>
      </c>
      <c r="C530" s="28">
        <v>5684482</v>
      </c>
      <c r="D530" s="28"/>
      <c r="E530" s="45">
        <v>46167</v>
      </c>
      <c r="F530" s="48">
        <v>0.47390046296296295</v>
      </c>
      <c r="G530" s="44">
        <v>6.3</v>
      </c>
      <c r="H530" s="43" t="s">
        <v>227</v>
      </c>
      <c r="I530" s="40" t="s">
        <v>1300</v>
      </c>
    </row>
    <row r="531" spans="1:9" x14ac:dyDescent="0.2">
      <c r="A531" s="40" t="s">
        <v>255</v>
      </c>
      <c r="B531" s="28">
        <v>709</v>
      </c>
      <c r="C531" s="28">
        <v>5685992</v>
      </c>
      <c r="D531" s="28"/>
      <c r="E531" s="41">
        <v>46168</v>
      </c>
      <c r="F531" s="47">
        <v>0.47480324074074076</v>
      </c>
      <c r="G531" s="44">
        <v>6.3</v>
      </c>
      <c r="H531" s="43" t="s">
        <v>226</v>
      </c>
      <c r="I531" s="40" t="s">
        <v>1300</v>
      </c>
    </row>
    <row r="532" spans="1:9" x14ac:dyDescent="0.2">
      <c r="A532" s="40" t="s">
        <v>255</v>
      </c>
      <c r="B532" s="28">
        <v>709</v>
      </c>
      <c r="C532" s="28">
        <v>5685992</v>
      </c>
      <c r="D532" s="28"/>
      <c r="E532" s="41">
        <v>46168</v>
      </c>
      <c r="F532" s="47">
        <v>0.48300925925925925</v>
      </c>
      <c r="G532" s="44">
        <v>6.3</v>
      </c>
      <c r="H532" s="43" t="s">
        <v>227</v>
      </c>
      <c r="I532" s="40" t="s">
        <v>1300</v>
      </c>
    </row>
    <row r="533" spans="1:9" x14ac:dyDescent="0.2">
      <c r="A533" s="40" t="s">
        <v>255</v>
      </c>
      <c r="B533" s="28">
        <v>709</v>
      </c>
      <c r="C533" s="28" t="s">
        <v>533</v>
      </c>
      <c r="D533" s="28"/>
      <c r="E533" s="41">
        <v>46170</v>
      </c>
      <c r="F533" s="47">
        <v>0.22001157407407407</v>
      </c>
      <c r="G533" s="44">
        <v>6.3</v>
      </c>
      <c r="H533" s="43" t="s">
        <v>228</v>
      </c>
      <c r="I533" s="40" t="s">
        <v>1300</v>
      </c>
    </row>
    <row r="534" spans="1:9" x14ac:dyDescent="0.2">
      <c r="A534" s="40" t="s">
        <v>255</v>
      </c>
      <c r="B534" s="28">
        <v>709</v>
      </c>
      <c r="C534" s="28" t="s">
        <v>533</v>
      </c>
      <c r="D534" s="28"/>
      <c r="E534" s="41">
        <v>46170</v>
      </c>
      <c r="F534" s="47">
        <v>0.22780092592592593</v>
      </c>
      <c r="G534" s="44">
        <v>6.3</v>
      </c>
      <c r="H534" s="43" t="s">
        <v>229</v>
      </c>
      <c r="I534" s="40" t="s">
        <v>1300</v>
      </c>
    </row>
    <row r="535" spans="1:9" x14ac:dyDescent="0.2">
      <c r="A535" s="40" t="s">
        <v>255</v>
      </c>
      <c r="B535" s="28">
        <v>709</v>
      </c>
      <c r="C535" s="28">
        <v>5689814</v>
      </c>
      <c r="D535" s="28"/>
      <c r="E535" s="45">
        <v>46170</v>
      </c>
      <c r="F535" s="48">
        <v>0.34125</v>
      </c>
      <c r="G535" s="44">
        <v>6.3</v>
      </c>
      <c r="H535" s="43" t="s">
        <v>226</v>
      </c>
      <c r="I535" s="40" t="s">
        <v>1300</v>
      </c>
    </row>
    <row r="536" spans="1:9" x14ac:dyDescent="0.2">
      <c r="A536" s="40" t="s">
        <v>255</v>
      </c>
      <c r="B536" s="28">
        <v>709</v>
      </c>
      <c r="C536" s="28">
        <v>5689814</v>
      </c>
      <c r="D536" s="28"/>
      <c r="E536" s="45">
        <v>46170</v>
      </c>
      <c r="F536" s="48">
        <v>0.35222222222222221</v>
      </c>
      <c r="G536" s="44">
        <v>6.3</v>
      </c>
      <c r="H536" s="43" t="s">
        <v>227</v>
      </c>
      <c r="I536" s="40" t="s">
        <v>1300</v>
      </c>
    </row>
    <row r="537" spans="1:9" x14ac:dyDescent="0.2">
      <c r="A537" s="40" t="s">
        <v>255</v>
      </c>
      <c r="B537" s="28">
        <v>709</v>
      </c>
      <c r="C537" s="28">
        <v>5691335</v>
      </c>
      <c r="D537" s="28" t="s">
        <v>37</v>
      </c>
      <c r="E537" s="41">
        <v>46170</v>
      </c>
      <c r="F537" s="47">
        <v>0.6567708333333333</v>
      </c>
      <c r="G537" s="44">
        <v>6.3</v>
      </c>
      <c r="H537" s="43" t="s">
        <v>230</v>
      </c>
      <c r="I537" s="40" t="s">
        <v>1300</v>
      </c>
    </row>
    <row r="538" spans="1:9" x14ac:dyDescent="0.2">
      <c r="A538" s="40" t="s">
        <v>255</v>
      </c>
      <c r="B538" s="28">
        <v>709</v>
      </c>
      <c r="C538" s="28">
        <v>5691335</v>
      </c>
      <c r="D538" s="28" t="s">
        <v>37</v>
      </c>
      <c r="E538" s="45">
        <v>46170</v>
      </c>
      <c r="F538" s="48">
        <v>0.66883101851851856</v>
      </c>
      <c r="G538" s="44">
        <v>6.3</v>
      </c>
      <c r="H538" s="43" t="s">
        <v>227</v>
      </c>
      <c r="I538" s="40" t="s">
        <v>1300</v>
      </c>
    </row>
    <row r="539" spans="1:9" x14ac:dyDescent="0.2">
      <c r="A539" s="40" t="s">
        <v>255</v>
      </c>
      <c r="B539" s="28">
        <v>709</v>
      </c>
      <c r="C539" s="28">
        <v>5689870</v>
      </c>
      <c r="D539" s="28"/>
      <c r="E539" s="41">
        <v>46171</v>
      </c>
      <c r="F539" s="47">
        <v>0.36429398148148145</v>
      </c>
      <c r="G539" s="44">
        <v>6.3</v>
      </c>
      <c r="H539" s="43" t="s">
        <v>228</v>
      </c>
      <c r="I539" s="40" t="s">
        <v>1300</v>
      </c>
    </row>
    <row r="540" spans="1:9" x14ac:dyDescent="0.2">
      <c r="A540" s="40" t="s">
        <v>255</v>
      </c>
      <c r="B540" s="28">
        <v>709</v>
      </c>
      <c r="C540" s="28">
        <v>5689870</v>
      </c>
      <c r="D540" s="28"/>
      <c r="E540" s="41">
        <v>46171</v>
      </c>
      <c r="F540" s="47">
        <v>0.37914351851851852</v>
      </c>
      <c r="G540" s="44">
        <v>6.3</v>
      </c>
      <c r="H540" s="43" t="s">
        <v>229</v>
      </c>
      <c r="I540" s="40" t="s">
        <v>1300</v>
      </c>
    </row>
    <row r="541" spans="1:9" x14ac:dyDescent="0.2">
      <c r="A541" s="40" t="s">
        <v>255</v>
      </c>
      <c r="B541" s="28">
        <v>709</v>
      </c>
      <c r="C541" s="28" t="s">
        <v>35</v>
      </c>
      <c r="D541" s="28" t="s">
        <v>38</v>
      </c>
      <c r="E541" s="41">
        <v>46173</v>
      </c>
      <c r="F541" s="47">
        <v>0.19965277777777779</v>
      </c>
      <c r="G541" s="44">
        <v>6.3</v>
      </c>
      <c r="H541" s="43" t="s">
        <v>228</v>
      </c>
      <c r="I541" s="40" t="s">
        <v>1300</v>
      </c>
    </row>
    <row r="542" spans="1:9" x14ac:dyDescent="0.2">
      <c r="A542" s="40" t="s">
        <v>255</v>
      </c>
      <c r="B542" s="28">
        <v>709</v>
      </c>
      <c r="C542" s="28" t="s">
        <v>35</v>
      </c>
      <c r="D542" s="28" t="s">
        <v>38</v>
      </c>
      <c r="E542" s="41">
        <v>46173</v>
      </c>
      <c r="F542" s="47">
        <v>0.20656250000000001</v>
      </c>
      <c r="G542" s="44">
        <v>6.3</v>
      </c>
      <c r="H542" s="43" t="s">
        <v>229</v>
      </c>
      <c r="I542" s="40" t="s">
        <v>1300</v>
      </c>
    </row>
    <row r="543" spans="1:9" x14ac:dyDescent="0.2">
      <c r="A543" s="40" t="s">
        <v>255</v>
      </c>
      <c r="B543" s="28">
        <v>709</v>
      </c>
      <c r="C543" s="28">
        <v>5694318</v>
      </c>
      <c r="D543" s="28"/>
      <c r="E543" s="45">
        <v>46173</v>
      </c>
      <c r="F543" s="48">
        <v>0.21591435185185184</v>
      </c>
      <c r="G543" s="42">
        <v>6.3</v>
      </c>
      <c r="H543" s="40" t="s">
        <v>230</v>
      </c>
      <c r="I543" s="40" t="s">
        <v>1300</v>
      </c>
    </row>
    <row r="544" spans="1:9" x14ac:dyDescent="0.2">
      <c r="A544" s="40" t="s">
        <v>255</v>
      </c>
      <c r="B544" s="28">
        <v>709</v>
      </c>
      <c r="C544" s="28">
        <v>5694318</v>
      </c>
      <c r="D544" s="28"/>
      <c r="E544" s="41">
        <v>46173</v>
      </c>
      <c r="F544" s="47">
        <v>0.22081018518518519</v>
      </c>
      <c r="G544" s="42">
        <v>6.3</v>
      </c>
      <c r="H544" s="40" t="s">
        <v>227</v>
      </c>
      <c r="I544" s="40" t="s">
        <v>1300</v>
      </c>
    </row>
    <row r="545" spans="1:9" x14ac:dyDescent="0.2">
      <c r="A545" s="40" t="s">
        <v>255</v>
      </c>
      <c r="B545" s="28">
        <v>709</v>
      </c>
      <c r="C545" s="28">
        <v>5694936</v>
      </c>
      <c r="D545" s="28"/>
      <c r="E545" s="41">
        <v>46173</v>
      </c>
      <c r="F545" s="47">
        <v>0.46446759259259257</v>
      </c>
      <c r="G545" s="44">
        <v>6.3</v>
      </c>
      <c r="H545" s="43" t="s">
        <v>226</v>
      </c>
      <c r="I545" s="40" t="s">
        <v>1300</v>
      </c>
    </row>
    <row r="546" spans="1:9" x14ac:dyDescent="0.2">
      <c r="A546" s="40" t="s">
        <v>255</v>
      </c>
      <c r="B546" s="28">
        <v>709</v>
      </c>
      <c r="C546" s="28">
        <v>5694936</v>
      </c>
      <c r="D546" s="28"/>
      <c r="E546" s="41">
        <v>46173</v>
      </c>
      <c r="F546" s="47">
        <v>0.46959490740740739</v>
      </c>
      <c r="G546" s="44">
        <v>6.3</v>
      </c>
      <c r="H546" s="43" t="s">
        <v>227</v>
      </c>
      <c r="I546" s="40" t="s">
        <v>1300</v>
      </c>
    </row>
    <row r="547" spans="1:9" x14ac:dyDescent="0.2">
      <c r="A547" s="40" t="s">
        <v>400</v>
      </c>
      <c r="B547" s="28">
        <v>715</v>
      </c>
      <c r="C547" s="28" t="s">
        <v>35</v>
      </c>
      <c r="D547" s="28" t="s">
        <v>38</v>
      </c>
      <c r="E547" s="41">
        <v>46167</v>
      </c>
      <c r="F547" s="47">
        <v>0.35394675925925928</v>
      </c>
      <c r="G547" s="44">
        <v>6.3</v>
      </c>
      <c r="H547" s="43" t="s">
        <v>228</v>
      </c>
      <c r="I547" s="40" t="s">
        <v>1300</v>
      </c>
    </row>
    <row r="548" spans="1:9" x14ac:dyDescent="0.2">
      <c r="A548" s="40" t="s">
        <v>400</v>
      </c>
      <c r="B548" s="28">
        <v>715</v>
      </c>
      <c r="C548" s="28" t="s">
        <v>35</v>
      </c>
      <c r="D548" s="28" t="s">
        <v>38</v>
      </c>
      <c r="E548" s="41">
        <v>46167</v>
      </c>
      <c r="F548" s="47">
        <v>0.37537037037037035</v>
      </c>
      <c r="G548" s="44">
        <v>6.3</v>
      </c>
      <c r="H548" s="43" t="s">
        <v>229</v>
      </c>
      <c r="I548" s="40" t="s">
        <v>1300</v>
      </c>
    </row>
    <row r="549" spans="1:9" x14ac:dyDescent="0.2">
      <c r="A549" s="40" t="s">
        <v>400</v>
      </c>
      <c r="B549" s="28">
        <v>715</v>
      </c>
      <c r="C549" s="28">
        <v>5687634</v>
      </c>
      <c r="D549" s="28" t="s">
        <v>37</v>
      </c>
      <c r="E549" s="45">
        <v>46168</v>
      </c>
      <c r="F549" s="48">
        <v>0.47934027777777777</v>
      </c>
      <c r="G549" s="44">
        <v>6.3</v>
      </c>
      <c r="H549" s="43" t="s">
        <v>230</v>
      </c>
      <c r="I549" s="40" t="s">
        <v>1300</v>
      </c>
    </row>
    <row r="550" spans="1:9" x14ac:dyDescent="0.2">
      <c r="A550" s="40" t="s">
        <v>400</v>
      </c>
      <c r="B550" s="28">
        <v>715</v>
      </c>
      <c r="C550" s="28">
        <v>5692831</v>
      </c>
      <c r="D550" s="28"/>
      <c r="E550" s="41">
        <v>46171</v>
      </c>
      <c r="F550" s="47">
        <v>0.58427083333333329</v>
      </c>
      <c r="G550" s="44">
        <v>6.3</v>
      </c>
      <c r="H550" s="43" t="s">
        <v>230</v>
      </c>
      <c r="I550" s="40" t="s">
        <v>1300</v>
      </c>
    </row>
    <row r="551" spans="1:9" x14ac:dyDescent="0.2">
      <c r="A551" s="40" t="s">
        <v>400</v>
      </c>
      <c r="B551" s="28">
        <v>715</v>
      </c>
      <c r="C551" s="28">
        <v>5692831</v>
      </c>
      <c r="D551" s="28"/>
      <c r="E551" s="41">
        <v>46171</v>
      </c>
      <c r="F551" s="47">
        <v>0.59925925925925927</v>
      </c>
      <c r="G551" s="44">
        <v>6.3</v>
      </c>
      <c r="H551" s="43" t="s">
        <v>227</v>
      </c>
      <c r="I551" s="40" t="s">
        <v>1300</v>
      </c>
    </row>
    <row r="552" spans="1:9" x14ac:dyDescent="0.2">
      <c r="A552" s="40" t="s">
        <v>400</v>
      </c>
      <c r="B552" s="28">
        <v>715</v>
      </c>
      <c r="C552" s="28">
        <v>5694152</v>
      </c>
      <c r="D552" s="28"/>
      <c r="E552" s="41">
        <v>46171</v>
      </c>
      <c r="F552" s="47">
        <v>0.94201388888888893</v>
      </c>
      <c r="G552" s="44">
        <v>6.3</v>
      </c>
      <c r="H552" s="43" t="s">
        <v>227</v>
      </c>
      <c r="I552" s="40" t="s">
        <v>1300</v>
      </c>
    </row>
    <row r="553" spans="1:9" x14ac:dyDescent="0.2">
      <c r="A553" s="40" t="s">
        <v>400</v>
      </c>
      <c r="B553" s="28">
        <v>715</v>
      </c>
      <c r="C553" s="28">
        <v>5693855</v>
      </c>
      <c r="D553" s="28"/>
      <c r="E553" s="41">
        <v>46172</v>
      </c>
      <c r="F553" s="47">
        <v>0.9496296296296296</v>
      </c>
      <c r="G553" s="44">
        <v>6.3</v>
      </c>
      <c r="H553" s="43" t="s">
        <v>228</v>
      </c>
      <c r="I553" s="40" t="s">
        <v>1300</v>
      </c>
    </row>
    <row r="554" spans="1:9" x14ac:dyDescent="0.2">
      <c r="A554" s="40" t="s">
        <v>400</v>
      </c>
      <c r="B554" s="28">
        <v>715</v>
      </c>
      <c r="C554" s="28">
        <v>5693855</v>
      </c>
      <c r="D554" s="28"/>
      <c r="E554" s="41">
        <v>46172</v>
      </c>
      <c r="F554" s="47">
        <v>0.95619212962962963</v>
      </c>
      <c r="G554" s="44">
        <v>6.3</v>
      </c>
      <c r="H554" s="43" t="s">
        <v>229</v>
      </c>
      <c r="I554" s="40" t="s">
        <v>1300</v>
      </c>
    </row>
    <row r="555" spans="1:9" x14ac:dyDescent="0.2">
      <c r="A555" s="40" t="s">
        <v>400</v>
      </c>
      <c r="B555" s="28">
        <v>715</v>
      </c>
      <c r="C555" s="28">
        <v>5695299</v>
      </c>
      <c r="D555" s="28" t="s">
        <v>37</v>
      </c>
      <c r="E555" s="45">
        <v>46172</v>
      </c>
      <c r="F555" s="48">
        <v>0.97978009259259258</v>
      </c>
      <c r="G555" s="44">
        <v>6.3</v>
      </c>
      <c r="H555" s="43" t="s">
        <v>230</v>
      </c>
      <c r="I555" s="40" t="s">
        <v>1300</v>
      </c>
    </row>
    <row r="556" spans="1:9" x14ac:dyDescent="0.2">
      <c r="A556" s="40" t="s">
        <v>326</v>
      </c>
      <c r="B556" s="28">
        <v>717</v>
      </c>
      <c r="C556" s="28">
        <v>5690281</v>
      </c>
      <c r="D556" s="28" t="s">
        <v>36</v>
      </c>
      <c r="E556" s="41">
        <v>46170</v>
      </c>
      <c r="F556" s="47">
        <v>2.6886574074074073E-2</v>
      </c>
      <c r="G556" s="44">
        <v>6.3</v>
      </c>
      <c r="H556" s="43" t="s">
        <v>228</v>
      </c>
      <c r="I556" s="40" t="s">
        <v>1300</v>
      </c>
    </row>
    <row r="557" spans="1:9" x14ac:dyDescent="0.2">
      <c r="A557" s="40" t="s">
        <v>326</v>
      </c>
      <c r="B557" s="28">
        <v>717</v>
      </c>
      <c r="C557" s="28">
        <v>5690281</v>
      </c>
      <c r="D557" s="28" t="s">
        <v>36</v>
      </c>
      <c r="E557" s="41">
        <v>46170</v>
      </c>
      <c r="F557" s="47">
        <v>4.0439814814814817E-2</v>
      </c>
      <c r="G557" s="44">
        <v>6.3</v>
      </c>
      <c r="H557" s="43" t="s">
        <v>229</v>
      </c>
      <c r="I557" s="40" t="s">
        <v>1300</v>
      </c>
    </row>
    <row r="558" spans="1:9" x14ac:dyDescent="0.2">
      <c r="A558" s="40" t="s">
        <v>326</v>
      </c>
      <c r="B558" s="28">
        <v>717</v>
      </c>
      <c r="C558" s="28" t="s">
        <v>534</v>
      </c>
      <c r="D558" s="28"/>
      <c r="E558" s="45">
        <v>46170</v>
      </c>
      <c r="F558" s="48">
        <v>0.9866435185185185</v>
      </c>
      <c r="G558" s="44">
        <v>6.3</v>
      </c>
      <c r="H558" s="43" t="s">
        <v>228</v>
      </c>
      <c r="I558" s="40" t="s">
        <v>1300</v>
      </c>
    </row>
    <row r="559" spans="1:9" x14ac:dyDescent="0.2">
      <c r="A559" s="40" t="s">
        <v>326</v>
      </c>
      <c r="B559" s="28">
        <v>717</v>
      </c>
      <c r="C559" s="28" t="s">
        <v>534</v>
      </c>
      <c r="D559" s="28"/>
      <c r="E559" s="41">
        <v>46170</v>
      </c>
      <c r="F559" s="47">
        <v>0.99527777777777782</v>
      </c>
      <c r="G559" s="44">
        <v>6.3</v>
      </c>
      <c r="H559" s="43" t="s">
        <v>229</v>
      </c>
      <c r="I559" s="40" t="s">
        <v>1300</v>
      </c>
    </row>
    <row r="560" spans="1:9" x14ac:dyDescent="0.2">
      <c r="A560" s="40" t="s">
        <v>326</v>
      </c>
      <c r="B560" s="28">
        <v>717</v>
      </c>
      <c r="C560" s="28">
        <v>5692519</v>
      </c>
      <c r="D560" s="28"/>
      <c r="E560" s="45">
        <v>46171</v>
      </c>
      <c r="F560" s="48">
        <v>5.0462962962962966E-2</v>
      </c>
      <c r="G560" s="44">
        <v>6.3</v>
      </c>
      <c r="H560" s="43" t="s">
        <v>228</v>
      </c>
      <c r="I560" s="40" t="s">
        <v>1300</v>
      </c>
    </row>
    <row r="561" spans="1:9" x14ac:dyDescent="0.2">
      <c r="A561" s="40" t="s">
        <v>326</v>
      </c>
      <c r="B561" s="28">
        <v>717</v>
      </c>
      <c r="C561" s="28">
        <v>5692519</v>
      </c>
      <c r="D561" s="28"/>
      <c r="E561" s="41">
        <v>46171</v>
      </c>
      <c r="F561" s="47">
        <v>5.9236111111111114E-2</v>
      </c>
      <c r="G561" s="44">
        <v>6.3</v>
      </c>
      <c r="H561" s="43" t="s">
        <v>229</v>
      </c>
      <c r="I561" s="40" t="s">
        <v>1300</v>
      </c>
    </row>
    <row r="562" spans="1:9" x14ac:dyDescent="0.2">
      <c r="A562" s="40" t="s">
        <v>326</v>
      </c>
      <c r="B562" s="28">
        <v>717</v>
      </c>
      <c r="C562" s="28" t="s">
        <v>535</v>
      </c>
      <c r="D562" s="28"/>
      <c r="E562" s="41">
        <v>46173</v>
      </c>
      <c r="F562" s="47">
        <v>8.0798611111111113E-2</v>
      </c>
      <c r="G562" s="44">
        <v>6.3</v>
      </c>
      <c r="H562" s="43" t="s">
        <v>228</v>
      </c>
      <c r="I562" s="40" t="s">
        <v>1300</v>
      </c>
    </row>
    <row r="563" spans="1:9" x14ac:dyDescent="0.2">
      <c r="A563" s="40" t="s">
        <v>326</v>
      </c>
      <c r="B563" s="28">
        <v>717</v>
      </c>
      <c r="C563" s="28" t="s">
        <v>535</v>
      </c>
      <c r="D563" s="28"/>
      <c r="E563" s="45">
        <v>46173</v>
      </c>
      <c r="F563" s="48">
        <v>8.7685185185185185E-2</v>
      </c>
      <c r="G563" s="44">
        <v>6.3</v>
      </c>
      <c r="H563" s="43" t="s">
        <v>229</v>
      </c>
      <c r="I563" s="40" t="s">
        <v>1300</v>
      </c>
    </row>
    <row r="564" spans="1:9" x14ac:dyDescent="0.2">
      <c r="A564" s="40" t="s">
        <v>326</v>
      </c>
      <c r="B564" s="28">
        <v>717</v>
      </c>
      <c r="C564" s="28">
        <v>5695943</v>
      </c>
      <c r="D564" s="28"/>
      <c r="E564" s="41">
        <v>46173</v>
      </c>
      <c r="F564" s="47">
        <v>0.88832175925925927</v>
      </c>
      <c r="G564" s="44">
        <v>6.3</v>
      </c>
      <c r="H564" s="43" t="s">
        <v>228</v>
      </c>
      <c r="I564" s="40" t="s">
        <v>1300</v>
      </c>
    </row>
    <row r="565" spans="1:9" x14ac:dyDescent="0.2">
      <c r="A565" s="40" t="s">
        <v>116</v>
      </c>
      <c r="B565" s="28">
        <v>722</v>
      </c>
      <c r="C565" s="28">
        <v>5684903</v>
      </c>
      <c r="D565" s="28"/>
      <c r="E565" s="41">
        <v>46167</v>
      </c>
      <c r="F565" s="47">
        <v>0.28547453703703701</v>
      </c>
      <c r="G565" s="44">
        <v>6.3</v>
      </c>
      <c r="H565" s="43" t="s">
        <v>228</v>
      </c>
      <c r="I565" s="40" t="s">
        <v>1300</v>
      </c>
    </row>
    <row r="566" spans="1:9" x14ac:dyDescent="0.2">
      <c r="A566" s="40" t="s">
        <v>116</v>
      </c>
      <c r="B566" s="28">
        <v>722</v>
      </c>
      <c r="C566" s="28">
        <v>5685653</v>
      </c>
      <c r="D566" s="28"/>
      <c r="E566" s="41">
        <v>46167</v>
      </c>
      <c r="F566" s="47">
        <v>0.44799768518518518</v>
      </c>
      <c r="G566" s="44">
        <v>6.3</v>
      </c>
      <c r="H566" s="43" t="s">
        <v>230</v>
      </c>
      <c r="I566" s="40" t="s">
        <v>1300</v>
      </c>
    </row>
    <row r="567" spans="1:9" x14ac:dyDescent="0.2">
      <c r="A567" s="40" t="s">
        <v>116</v>
      </c>
      <c r="B567" s="28">
        <v>722</v>
      </c>
      <c r="C567" s="28">
        <v>5685653</v>
      </c>
      <c r="D567" s="28"/>
      <c r="E567" s="41">
        <v>46167</v>
      </c>
      <c r="F567" s="47">
        <v>0.47416666666666668</v>
      </c>
      <c r="G567" s="42">
        <v>6.3</v>
      </c>
      <c r="H567" s="40" t="s">
        <v>232</v>
      </c>
      <c r="I567" s="40" t="s">
        <v>1300</v>
      </c>
    </row>
    <row r="568" spans="1:9" x14ac:dyDescent="0.2">
      <c r="A568" s="40" t="s">
        <v>116</v>
      </c>
      <c r="B568" s="28">
        <v>722</v>
      </c>
      <c r="C568" s="28" t="s">
        <v>35</v>
      </c>
      <c r="D568" s="28" t="s">
        <v>38</v>
      </c>
      <c r="E568" s="41">
        <v>46167</v>
      </c>
      <c r="F568" s="47">
        <v>0.48849537037037039</v>
      </c>
      <c r="G568" s="44">
        <v>6.3</v>
      </c>
      <c r="H568" s="43" t="s">
        <v>231</v>
      </c>
      <c r="I568" s="40" t="s">
        <v>1300</v>
      </c>
    </row>
    <row r="569" spans="1:9" x14ac:dyDescent="0.2">
      <c r="A569" s="40" t="s">
        <v>116</v>
      </c>
      <c r="B569" s="28">
        <v>722</v>
      </c>
      <c r="C569" s="28">
        <v>5688820</v>
      </c>
      <c r="D569" s="28"/>
      <c r="E569" s="41">
        <v>46168</v>
      </c>
      <c r="F569" s="47">
        <v>0.93153935185185188</v>
      </c>
      <c r="G569" s="44">
        <v>6.3</v>
      </c>
      <c r="H569" s="43" t="s">
        <v>231</v>
      </c>
      <c r="I569" s="40" t="s">
        <v>1300</v>
      </c>
    </row>
    <row r="570" spans="1:9" x14ac:dyDescent="0.2">
      <c r="A570" s="40" t="s">
        <v>116</v>
      </c>
      <c r="B570" s="28">
        <v>722</v>
      </c>
      <c r="C570" s="28" t="s">
        <v>35</v>
      </c>
      <c r="D570" s="28" t="s">
        <v>38</v>
      </c>
      <c r="E570" s="45">
        <v>46168</v>
      </c>
      <c r="F570" s="48">
        <v>0.97761574074074076</v>
      </c>
      <c r="G570" s="44">
        <v>6.3</v>
      </c>
      <c r="H570" s="43" t="s">
        <v>234</v>
      </c>
      <c r="I570" s="40" t="s">
        <v>1300</v>
      </c>
    </row>
    <row r="571" spans="1:9" x14ac:dyDescent="0.2">
      <c r="A571" s="40" t="s">
        <v>116</v>
      </c>
      <c r="B571" s="28">
        <v>722</v>
      </c>
      <c r="C571" s="28">
        <v>5688798</v>
      </c>
      <c r="D571" s="28"/>
      <c r="E571" s="45">
        <v>46169</v>
      </c>
      <c r="F571" s="48">
        <v>0.75577546296296294</v>
      </c>
      <c r="G571" s="44">
        <v>6.3</v>
      </c>
      <c r="H571" s="43" t="s">
        <v>234</v>
      </c>
      <c r="I571" s="40" t="s">
        <v>1300</v>
      </c>
    </row>
    <row r="572" spans="1:9" x14ac:dyDescent="0.2">
      <c r="A572" s="40" t="s">
        <v>116</v>
      </c>
      <c r="B572" s="28">
        <v>722</v>
      </c>
      <c r="C572" s="28">
        <v>5688798</v>
      </c>
      <c r="D572" s="28"/>
      <c r="E572" s="41">
        <v>46169</v>
      </c>
      <c r="F572" s="47">
        <v>0.76686342592592593</v>
      </c>
      <c r="G572" s="44">
        <v>6.3</v>
      </c>
      <c r="H572" s="43" t="s">
        <v>227</v>
      </c>
      <c r="I572" s="40" t="s">
        <v>1300</v>
      </c>
    </row>
    <row r="573" spans="1:9" x14ac:dyDescent="0.2">
      <c r="A573" s="40" t="s">
        <v>116</v>
      </c>
      <c r="B573" s="28">
        <v>722</v>
      </c>
      <c r="C573" s="28">
        <v>5690958</v>
      </c>
      <c r="D573" s="28"/>
      <c r="E573" s="41">
        <v>46170</v>
      </c>
      <c r="F573" s="47">
        <v>0.38988425925925924</v>
      </c>
      <c r="G573" s="44">
        <v>6.3</v>
      </c>
      <c r="H573" s="43" t="s">
        <v>228</v>
      </c>
      <c r="I573" s="40" t="s">
        <v>1300</v>
      </c>
    </row>
    <row r="574" spans="1:9" x14ac:dyDescent="0.2">
      <c r="A574" s="40" t="s">
        <v>116</v>
      </c>
      <c r="B574" s="28">
        <v>722</v>
      </c>
      <c r="C574" s="28">
        <v>5690934</v>
      </c>
      <c r="D574" s="28"/>
      <c r="E574" s="41">
        <v>46170</v>
      </c>
      <c r="F574" s="47">
        <v>0.50822916666666662</v>
      </c>
      <c r="G574" s="44">
        <v>6.3</v>
      </c>
      <c r="H574" s="43" t="s">
        <v>231</v>
      </c>
      <c r="I574" s="40" t="s">
        <v>1300</v>
      </c>
    </row>
    <row r="575" spans="1:9" x14ac:dyDescent="0.2">
      <c r="A575" s="40" t="s">
        <v>116</v>
      </c>
      <c r="B575" s="28">
        <v>722</v>
      </c>
      <c r="C575" s="28">
        <v>5690934</v>
      </c>
      <c r="D575" s="28"/>
      <c r="E575" s="41">
        <v>46170</v>
      </c>
      <c r="F575" s="47">
        <v>0.51364583333333336</v>
      </c>
      <c r="G575" s="44">
        <v>6.3</v>
      </c>
      <c r="H575" s="43" t="s">
        <v>227</v>
      </c>
      <c r="I575" s="40" t="s">
        <v>1300</v>
      </c>
    </row>
    <row r="576" spans="1:9" x14ac:dyDescent="0.2">
      <c r="A576" s="40" t="s">
        <v>116</v>
      </c>
      <c r="B576" s="28">
        <v>722</v>
      </c>
      <c r="C576" s="28">
        <v>5691467</v>
      </c>
      <c r="D576" s="28"/>
      <c r="E576" s="41">
        <v>46170</v>
      </c>
      <c r="F576" s="47">
        <v>0.58765046296296297</v>
      </c>
      <c r="G576" s="44">
        <v>6.3</v>
      </c>
      <c r="H576" s="43" t="s">
        <v>230</v>
      </c>
      <c r="I576" s="40" t="s">
        <v>1300</v>
      </c>
    </row>
    <row r="577" spans="1:9" x14ac:dyDescent="0.2">
      <c r="A577" s="40" t="s">
        <v>116</v>
      </c>
      <c r="B577" s="28">
        <v>722</v>
      </c>
      <c r="C577" s="28">
        <v>5691467</v>
      </c>
      <c r="D577" s="28"/>
      <c r="E577" s="41">
        <v>46170</v>
      </c>
      <c r="F577" s="47">
        <v>0.59378472222222223</v>
      </c>
      <c r="G577" s="44">
        <v>6.3</v>
      </c>
      <c r="H577" s="43" t="s">
        <v>227</v>
      </c>
      <c r="I577" s="40" t="s">
        <v>1300</v>
      </c>
    </row>
    <row r="578" spans="1:9" x14ac:dyDescent="0.2">
      <c r="A578" s="40" t="s">
        <v>116</v>
      </c>
      <c r="B578" s="28">
        <v>722</v>
      </c>
      <c r="C578" s="28">
        <v>5692925</v>
      </c>
      <c r="D578" s="28"/>
      <c r="E578" s="41">
        <v>46171</v>
      </c>
      <c r="F578" s="47">
        <v>0.46778935185185183</v>
      </c>
      <c r="G578" s="44">
        <v>6.3</v>
      </c>
      <c r="H578" s="43" t="s">
        <v>231</v>
      </c>
      <c r="I578" s="40" t="s">
        <v>1300</v>
      </c>
    </row>
    <row r="579" spans="1:9" x14ac:dyDescent="0.2">
      <c r="A579" s="40" t="s">
        <v>116</v>
      </c>
      <c r="B579" s="28">
        <v>722</v>
      </c>
      <c r="C579" s="28">
        <v>5692925</v>
      </c>
      <c r="D579" s="28"/>
      <c r="E579" s="41">
        <v>46171</v>
      </c>
      <c r="F579" s="47">
        <v>0.47355324074074073</v>
      </c>
      <c r="G579" s="44">
        <v>6.3</v>
      </c>
      <c r="H579" s="43" t="s">
        <v>227</v>
      </c>
      <c r="I579" s="40" t="s">
        <v>1300</v>
      </c>
    </row>
    <row r="580" spans="1:9" x14ac:dyDescent="0.2">
      <c r="A580" s="40" t="s">
        <v>116</v>
      </c>
      <c r="B580" s="28">
        <v>722</v>
      </c>
      <c r="C580" s="28" t="s">
        <v>35</v>
      </c>
      <c r="D580" s="28" t="s">
        <v>38</v>
      </c>
      <c r="E580" s="41">
        <v>46171</v>
      </c>
      <c r="F580" s="47">
        <v>0.88765046296296302</v>
      </c>
      <c r="G580" s="44">
        <v>6.3</v>
      </c>
      <c r="H580" s="43" t="s">
        <v>228</v>
      </c>
      <c r="I580" s="40" t="s">
        <v>1300</v>
      </c>
    </row>
    <row r="581" spans="1:9" x14ac:dyDescent="0.2">
      <c r="A581" s="40" t="s">
        <v>116</v>
      </c>
      <c r="B581" s="28">
        <v>722</v>
      </c>
      <c r="C581" s="28" t="s">
        <v>35</v>
      </c>
      <c r="D581" s="28" t="s">
        <v>38</v>
      </c>
      <c r="E581" s="41">
        <v>46171</v>
      </c>
      <c r="F581" s="47">
        <v>0.89542824074074079</v>
      </c>
      <c r="G581" s="44">
        <v>6.3</v>
      </c>
      <c r="H581" s="43" t="s">
        <v>229</v>
      </c>
      <c r="I581" s="40" t="s">
        <v>1300</v>
      </c>
    </row>
    <row r="582" spans="1:9" x14ac:dyDescent="0.2">
      <c r="A582" s="40" t="s">
        <v>173</v>
      </c>
      <c r="B582" s="28">
        <v>735</v>
      </c>
      <c r="C582" s="28">
        <v>5692762</v>
      </c>
      <c r="D582" s="28"/>
      <c r="E582" s="41">
        <v>46171</v>
      </c>
      <c r="F582" s="47">
        <v>0.40513888888888888</v>
      </c>
      <c r="G582" s="44">
        <v>6.3</v>
      </c>
      <c r="H582" s="43" t="s">
        <v>230</v>
      </c>
      <c r="I582" s="40" t="s">
        <v>1300</v>
      </c>
    </row>
    <row r="583" spans="1:9" x14ac:dyDescent="0.2">
      <c r="A583" s="40" t="s">
        <v>173</v>
      </c>
      <c r="B583" s="28">
        <v>735</v>
      </c>
      <c r="C583" s="28">
        <v>5692762</v>
      </c>
      <c r="D583" s="28"/>
      <c r="E583" s="41">
        <v>46171</v>
      </c>
      <c r="F583" s="47">
        <v>0.41531249999999997</v>
      </c>
      <c r="G583" s="44">
        <v>6.3</v>
      </c>
      <c r="H583" s="43" t="s">
        <v>227</v>
      </c>
      <c r="I583" s="40" t="s">
        <v>1300</v>
      </c>
    </row>
    <row r="584" spans="1:9" x14ac:dyDescent="0.2">
      <c r="A584" s="40" t="s">
        <v>173</v>
      </c>
      <c r="B584" s="28">
        <v>735</v>
      </c>
      <c r="C584" s="28">
        <v>5692947</v>
      </c>
      <c r="D584" s="28"/>
      <c r="E584" s="41">
        <v>46171</v>
      </c>
      <c r="F584" s="47">
        <v>0.48245370370370372</v>
      </c>
      <c r="G584" s="44">
        <v>6.3</v>
      </c>
      <c r="H584" s="43" t="s">
        <v>228</v>
      </c>
      <c r="I584" s="40" t="s">
        <v>1300</v>
      </c>
    </row>
    <row r="585" spans="1:9" x14ac:dyDescent="0.2">
      <c r="A585" s="40" t="s">
        <v>173</v>
      </c>
      <c r="B585" s="28">
        <v>735</v>
      </c>
      <c r="C585" s="28">
        <v>5692947</v>
      </c>
      <c r="D585" s="28"/>
      <c r="E585" s="41">
        <v>46171</v>
      </c>
      <c r="F585" s="47">
        <v>0.5018055555555555</v>
      </c>
      <c r="G585" s="44">
        <v>6.3</v>
      </c>
      <c r="H585" s="43" t="s">
        <v>229</v>
      </c>
      <c r="I585" s="40" t="s">
        <v>1300</v>
      </c>
    </row>
    <row r="586" spans="1:9" x14ac:dyDescent="0.2">
      <c r="A586" s="40" t="s">
        <v>173</v>
      </c>
      <c r="B586" s="28">
        <v>735</v>
      </c>
      <c r="C586" s="28">
        <v>5693060</v>
      </c>
      <c r="D586" s="28"/>
      <c r="E586" s="41">
        <v>46171</v>
      </c>
      <c r="F586" s="47">
        <v>0.54017361111111106</v>
      </c>
      <c r="G586" s="42">
        <v>6.3</v>
      </c>
      <c r="H586" s="40" t="s">
        <v>230</v>
      </c>
      <c r="I586" s="40" t="s">
        <v>1300</v>
      </c>
    </row>
    <row r="587" spans="1:9" x14ac:dyDescent="0.2">
      <c r="A587" s="40" t="s">
        <v>173</v>
      </c>
      <c r="B587" s="28">
        <v>735</v>
      </c>
      <c r="C587" s="28">
        <v>5693060</v>
      </c>
      <c r="D587" s="28"/>
      <c r="E587" s="41">
        <v>46171</v>
      </c>
      <c r="F587" s="47">
        <v>0.55236111111111108</v>
      </c>
      <c r="G587" s="42">
        <v>6.3</v>
      </c>
      <c r="H587" s="40" t="s">
        <v>227</v>
      </c>
      <c r="I587" s="40" t="s">
        <v>1300</v>
      </c>
    </row>
    <row r="588" spans="1:9" x14ac:dyDescent="0.2">
      <c r="A588" s="40" t="s">
        <v>173</v>
      </c>
      <c r="B588" s="28">
        <v>735</v>
      </c>
      <c r="C588" s="28">
        <v>5694489</v>
      </c>
      <c r="D588" s="28"/>
      <c r="E588" s="41">
        <v>46172</v>
      </c>
      <c r="F588" s="47">
        <v>0.42104166666666665</v>
      </c>
      <c r="G588" s="42">
        <v>6.3</v>
      </c>
      <c r="H588" s="40" t="s">
        <v>228</v>
      </c>
      <c r="I588" s="40" t="s">
        <v>1300</v>
      </c>
    </row>
    <row r="589" spans="1:9" x14ac:dyDescent="0.2">
      <c r="A589" s="40" t="s">
        <v>173</v>
      </c>
      <c r="B589" s="28">
        <v>735</v>
      </c>
      <c r="C589" s="28">
        <v>5694489</v>
      </c>
      <c r="D589" s="28"/>
      <c r="E589" s="41">
        <v>46172</v>
      </c>
      <c r="F589" s="47">
        <v>0.43038194444444444</v>
      </c>
      <c r="G589" s="42">
        <v>6.3</v>
      </c>
      <c r="H589" s="40" t="s">
        <v>229</v>
      </c>
      <c r="I589" s="40" t="s">
        <v>1300</v>
      </c>
    </row>
    <row r="590" spans="1:9" x14ac:dyDescent="0.2">
      <c r="A590" s="40" t="s">
        <v>173</v>
      </c>
      <c r="B590" s="28">
        <v>735</v>
      </c>
      <c r="C590" s="28">
        <v>5695404</v>
      </c>
      <c r="D590" s="28"/>
      <c r="E590" s="45">
        <v>46173</v>
      </c>
      <c r="F590" s="48">
        <v>0.20494212962962963</v>
      </c>
      <c r="G590" s="44">
        <v>6.3</v>
      </c>
      <c r="H590" s="43" t="s">
        <v>230</v>
      </c>
      <c r="I590" s="40" t="s">
        <v>1300</v>
      </c>
    </row>
    <row r="591" spans="1:9" x14ac:dyDescent="0.2">
      <c r="A591" s="40" t="s">
        <v>173</v>
      </c>
      <c r="B591" s="28">
        <v>735</v>
      </c>
      <c r="C591" s="28">
        <v>5695404</v>
      </c>
      <c r="D591" s="28"/>
      <c r="E591" s="41">
        <v>46173</v>
      </c>
      <c r="F591" s="47">
        <v>0.21099537037037036</v>
      </c>
      <c r="G591" s="44">
        <v>6.3</v>
      </c>
      <c r="H591" s="43" t="s">
        <v>227</v>
      </c>
      <c r="I591" s="40" t="s">
        <v>1300</v>
      </c>
    </row>
    <row r="592" spans="1:9" x14ac:dyDescent="0.2">
      <c r="A592" s="40" t="s">
        <v>173</v>
      </c>
      <c r="B592" s="28">
        <v>735</v>
      </c>
      <c r="C592" s="28" t="s">
        <v>536</v>
      </c>
      <c r="D592" s="28"/>
      <c r="E592" s="41">
        <v>46173</v>
      </c>
      <c r="F592" s="47">
        <v>0.62908564814814816</v>
      </c>
      <c r="G592" s="44">
        <v>6.3</v>
      </c>
      <c r="H592" s="43" t="s">
        <v>228</v>
      </c>
      <c r="I592" s="40" t="s">
        <v>1300</v>
      </c>
    </row>
    <row r="593" spans="1:9" x14ac:dyDescent="0.2">
      <c r="A593" s="40" t="s">
        <v>173</v>
      </c>
      <c r="B593" s="28">
        <v>735</v>
      </c>
      <c r="C593" s="28" t="s">
        <v>536</v>
      </c>
      <c r="D593" s="28"/>
      <c r="E593" s="41">
        <v>46173</v>
      </c>
      <c r="F593" s="47">
        <v>0.63572916666666668</v>
      </c>
      <c r="G593" s="44">
        <v>6.3</v>
      </c>
      <c r="H593" s="43" t="s">
        <v>232</v>
      </c>
      <c r="I593" s="40" t="s">
        <v>1300</v>
      </c>
    </row>
    <row r="594" spans="1:9" x14ac:dyDescent="0.2">
      <c r="A594" s="40" t="s">
        <v>173</v>
      </c>
      <c r="B594" s="28">
        <v>735</v>
      </c>
      <c r="C594" s="28" t="s">
        <v>35</v>
      </c>
      <c r="D594" s="28" t="s">
        <v>38</v>
      </c>
      <c r="E594" s="41">
        <v>46173</v>
      </c>
      <c r="F594" s="47">
        <v>0.67407407407407405</v>
      </c>
      <c r="G594" s="44">
        <v>6.3</v>
      </c>
      <c r="H594" s="43" t="s">
        <v>226</v>
      </c>
      <c r="I594" s="40" t="s">
        <v>1300</v>
      </c>
    </row>
    <row r="595" spans="1:9" x14ac:dyDescent="0.2">
      <c r="A595" s="40" t="s">
        <v>537</v>
      </c>
      <c r="B595" s="28">
        <v>747</v>
      </c>
      <c r="C595" s="28">
        <v>5687911</v>
      </c>
      <c r="D595" s="28"/>
      <c r="E595" s="41">
        <v>46169</v>
      </c>
      <c r="F595" s="47">
        <v>0.53309027777777773</v>
      </c>
      <c r="G595" s="44">
        <v>6.3</v>
      </c>
      <c r="H595" s="43" t="s">
        <v>230</v>
      </c>
      <c r="I595" s="40" t="s">
        <v>1300</v>
      </c>
    </row>
    <row r="596" spans="1:9" x14ac:dyDescent="0.2">
      <c r="A596" s="40" t="s">
        <v>537</v>
      </c>
      <c r="B596" s="28">
        <v>747</v>
      </c>
      <c r="C596" s="28">
        <v>5687911</v>
      </c>
      <c r="D596" s="28"/>
      <c r="E596" s="41">
        <v>46169</v>
      </c>
      <c r="F596" s="47">
        <v>0.53965277777777776</v>
      </c>
      <c r="G596" s="44">
        <v>6.3</v>
      </c>
      <c r="H596" s="43" t="s">
        <v>227</v>
      </c>
      <c r="I596" s="40" t="s">
        <v>1300</v>
      </c>
    </row>
    <row r="597" spans="1:9" x14ac:dyDescent="0.2">
      <c r="A597" s="40" t="s">
        <v>59</v>
      </c>
      <c r="B597" s="28">
        <v>754</v>
      </c>
      <c r="C597" s="28">
        <v>5692846</v>
      </c>
      <c r="D597" s="28"/>
      <c r="E597" s="41">
        <v>46171</v>
      </c>
      <c r="F597" s="47">
        <v>0.97462962962962962</v>
      </c>
      <c r="G597" s="44">
        <v>6.3</v>
      </c>
      <c r="H597" s="43" t="s">
        <v>228</v>
      </c>
      <c r="I597" s="40" t="s">
        <v>1300</v>
      </c>
    </row>
    <row r="598" spans="1:9" x14ac:dyDescent="0.2">
      <c r="A598" s="40" t="s">
        <v>59</v>
      </c>
      <c r="B598" s="28">
        <v>754</v>
      </c>
      <c r="C598" s="28">
        <v>5692846</v>
      </c>
      <c r="D598" s="28"/>
      <c r="E598" s="41">
        <v>46171</v>
      </c>
      <c r="F598" s="47">
        <v>0.98165509259259254</v>
      </c>
      <c r="G598" s="44">
        <v>6.3</v>
      </c>
      <c r="H598" s="43" t="s">
        <v>229</v>
      </c>
      <c r="I598" s="40" t="s">
        <v>1300</v>
      </c>
    </row>
    <row r="599" spans="1:9" x14ac:dyDescent="0.2">
      <c r="A599" s="40" t="s">
        <v>59</v>
      </c>
      <c r="B599" s="28">
        <v>754</v>
      </c>
      <c r="C599" s="28">
        <v>5696168</v>
      </c>
      <c r="D599" s="28"/>
      <c r="E599" s="41">
        <v>46173</v>
      </c>
      <c r="F599" s="47">
        <v>0.78863425925925923</v>
      </c>
      <c r="G599" s="44">
        <v>6.3</v>
      </c>
      <c r="H599" s="43" t="s">
        <v>228</v>
      </c>
      <c r="I599" s="40" t="s">
        <v>1300</v>
      </c>
    </row>
    <row r="600" spans="1:9" x14ac:dyDescent="0.2">
      <c r="A600" s="40" t="s">
        <v>60</v>
      </c>
      <c r="B600" s="28">
        <v>766</v>
      </c>
      <c r="C600" s="28" t="s">
        <v>538</v>
      </c>
      <c r="D600" s="28"/>
      <c r="E600" s="41">
        <v>46167</v>
      </c>
      <c r="F600" s="47">
        <v>0.4780787037037037</v>
      </c>
      <c r="G600" s="44">
        <v>6.3</v>
      </c>
      <c r="H600" s="43" t="s">
        <v>228</v>
      </c>
      <c r="I600" s="40" t="s">
        <v>1300</v>
      </c>
    </row>
    <row r="601" spans="1:9" x14ac:dyDescent="0.2">
      <c r="A601" s="40" t="s">
        <v>60</v>
      </c>
      <c r="B601" s="28">
        <v>766</v>
      </c>
      <c r="C601" s="28" t="s">
        <v>538</v>
      </c>
      <c r="D601" s="28"/>
      <c r="E601" s="41">
        <v>46167</v>
      </c>
      <c r="F601" s="47">
        <v>0.48732638888888891</v>
      </c>
      <c r="G601" s="44">
        <v>6.3</v>
      </c>
      <c r="H601" s="43" t="s">
        <v>232</v>
      </c>
      <c r="I601" s="40" t="s">
        <v>1300</v>
      </c>
    </row>
    <row r="602" spans="1:9" x14ac:dyDescent="0.2">
      <c r="A602" s="40" t="s">
        <v>60</v>
      </c>
      <c r="B602" s="28">
        <v>766</v>
      </c>
      <c r="C602" s="28">
        <v>5686214</v>
      </c>
      <c r="D602" s="28"/>
      <c r="E602" s="41">
        <v>46167</v>
      </c>
      <c r="F602" s="47">
        <v>0.6308449074074074</v>
      </c>
      <c r="G602" s="44">
        <v>6.3</v>
      </c>
      <c r="H602" s="43" t="s">
        <v>228</v>
      </c>
      <c r="I602" s="40" t="s">
        <v>1300</v>
      </c>
    </row>
    <row r="603" spans="1:9" x14ac:dyDescent="0.2">
      <c r="A603" s="40" t="s">
        <v>60</v>
      </c>
      <c r="B603" s="28">
        <v>766</v>
      </c>
      <c r="C603" s="28">
        <v>5686214</v>
      </c>
      <c r="D603" s="28"/>
      <c r="E603" s="45">
        <v>46167</v>
      </c>
      <c r="F603" s="48">
        <v>0.64106481481481481</v>
      </c>
      <c r="G603" s="44">
        <v>6.3</v>
      </c>
      <c r="H603" s="43" t="s">
        <v>229</v>
      </c>
      <c r="I603" s="40" t="s">
        <v>1300</v>
      </c>
    </row>
    <row r="604" spans="1:9" x14ac:dyDescent="0.2">
      <c r="A604" s="40" t="s">
        <v>60</v>
      </c>
      <c r="B604" s="28">
        <v>766</v>
      </c>
      <c r="C604" s="28" t="s">
        <v>539</v>
      </c>
      <c r="D604" s="28"/>
      <c r="E604" s="41">
        <v>46167</v>
      </c>
      <c r="F604" s="47">
        <v>0.78099537037037037</v>
      </c>
      <c r="G604" s="44">
        <v>6.3</v>
      </c>
      <c r="H604" s="43" t="s">
        <v>228</v>
      </c>
      <c r="I604" s="40" t="s">
        <v>1300</v>
      </c>
    </row>
    <row r="605" spans="1:9" x14ac:dyDescent="0.2">
      <c r="A605" s="40" t="s">
        <v>60</v>
      </c>
      <c r="B605" s="28">
        <v>766</v>
      </c>
      <c r="C605" s="28" t="s">
        <v>539</v>
      </c>
      <c r="D605" s="28"/>
      <c r="E605" s="41">
        <v>46167</v>
      </c>
      <c r="F605" s="47">
        <v>0.78907407407407404</v>
      </c>
      <c r="G605" s="44">
        <v>6.3</v>
      </c>
      <c r="H605" s="43" t="s">
        <v>232</v>
      </c>
      <c r="I605" s="40" t="s">
        <v>1300</v>
      </c>
    </row>
    <row r="606" spans="1:9" x14ac:dyDescent="0.2">
      <c r="A606" s="40" t="s">
        <v>60</v>
      </c>
      <c r="B606" s="28">
        <v>766</v>
      </c>
      <c r="C606" s="28">
        <v>5689688</v>
      </c>
      <c r="D606" s="28"/>
      <c r="E606" s="41">
        <v>46169</v>
      </c>
      <c r="F606" s="47">
        <v>0.58427083333333329</v>
      </c>
      <c r="G606" s="44">
        <v>6.3</v>
      </c>
      <c r="H606" s="43" t="s">
        <v>228</v>
      </c>
      <c r="I606" s="40" t="s">
        <v>1300</v>
      </c>
    </row>
    <row r="607" spans="1:9" x14ac:dyDescent="0.2">
      <c r="A607" s="40" t="s">
        <v>60</v>
      </c>
      <c r="B607" s="28">
        <v>766</v>
      </c>
      <c r="C607" s="28">
        <v>5689688</v>
      </c>
      <c r="D607" s="28"/>
      <c r="E607" s="41">
        <v>46169</v>
      </c>
      <c r="F607" s="47">
        <v>0.59554398148148147</v>
      </c>
      <c r="G607" s="44">
        <v>6.3</v>
      </c>
      <c r="H607" s="43" t="s">
        <v>229</v>
      </c>
      <c r="I607" s="40" t="s">
        <v>1300</v>
      </c>
    </row>
    <row r="608" spans="1:9" x14ac:dyDescent="0.2">
      <c r="A608" s="40" t="s">
        <v>61</v>
      </c>
      <c r="B608" s="28">
        <v>772</v>
      </c>
      <c r="C608" s="28" t="s">
        <v>540</v>
      </c>
      <c r="D608" s="28"/>
      <c r="E608" s="45">
        <v>46167</v>
      </c>
      <c r="F608" s="48">
        <v>0.44870370370370372</v>
      </c>
      <c r="G608" s="44">
        <v>6.3</v>
      </c>
      <c r="H608" s="43" t="s">
        <v>228</v>
      </c>
      <c r="I608" s="40" t="s">
        <v>1300</v>
      </c>
    </row>
    <row r="609" spans="1:9" x14ac:dyDescent="0.2">
      <c r="A609" s="40" t="s">
        <v>61</v>
      </c>
      <c r="B609" s="28">
        <v>772</v>
      </c>
      <c r="C609" s="28" t="s">
        <v>540</v>
      </c>
      <c r="D609" s="28"/>
      <c r="E609" s="41">
        <v>46167</v>
      </c>
      <c r="F609" s="47">
        <v>0.45885416666666667</v>
      </c>
      <c r="G609" s="42">
        <v>6.3</v>
      </c>
      <c r="H609" s="40" t="s">
        <v>229</v>
      </c>
      <c r="I609" s="40" t="s">
        <v>1300</v>
      </c>
    </row>
    <row r="610" spans="1:9" x14ac:dyDescent="0.2">
      <c r="A610" s="40" t="s">
        <v>61</v>
      </c>
      <c r="B610" s="28">
        <v>772</v>
      </c>
      <c r="C610" s="28" t="s">
        <v>541</v>
      </c>
      <c r="D610" s="28"/>
      <c r="E610" s="45">
        <v>46168</v>
      </c>
      <c r="F610" s="48">
        <v>0.74517361111111113</v>
      </c>
      <c r="G610" s="44">
        <v>6.3</v>
      </c>
      <c r="H610" s="43" t="s">
        <v>228</v>
      </c>
      <c r="I610" s="40" t="s">
        <v>1300</v>
      </c>
    </row>
    <row r="611" spans="1:9" x14ac:dyDescent="0.2">
      <c r="A611" s="40" t="s">
        <v>61</v>
      </c>
      <c r="B611" s="28">
        <v>772</v>
      </c>
      <c r="C611" s="28" t="s">
        <v>541</v>
      </c>
      <c r="D611" s="28"/>
      <c r="E611" s="41">
        <v>46168</v>
      </c>
      <c r="F611" s="47">
        <v>0.76339120370370372</v>
      </c>
      <c r="G611" s="44">
        <v>6.3</v>
      </c>
      <c r="H611" s="43" t="s">
        <v>229</v>
      </c>
      <c r="I611" s="40" t="s">
        <v>1300</v>
      </c>
    </row>
    <row r="612" spans="1:9" x14ac:dyDescent="0.2">
      <c r="A612" s="40" t="s">
        <v>350</v>
      </c>
      <c r="B612" s="28">
        <v>774</v>
      </c>
      <c r="C612" s="28">
        <v>5685781</v>
      </c>
      <c r="D612" s="28"/>
      <c r="E612" s="41">
        <v>46167</v>
      </c>
      <c r="F612" s="47">
        <v>0.49589120370370371</v>
      </c>
      <c r="G612" s="44">
        <v>6.3</v>
      </c>
      <c r="H612" s="43" t="s">
        <v>234</v>
      </c>
      <c r="I612" s="40" t="s">
        <v>1300</v>
      </c>
    </row>
    <row r="613" spans="1:9" x14ac:dyDescent="0.2">
      <c r="A613" s="40" t="s">
        <v>350</v>
      </c>
      <c r="B613" s="28">
        <v>774</v>
      </c>
      <c r="C613" s="28">
        <v>5685781</v>
      </c>
      <c r="D613" s="28"/>
      <c r="E613" s="41">
        <v>46167</v>
      </c>
      <c r="F613" s="47">
        <v>0.49932870370370369</v>
      </c>
      <c r="G613" s="44">
        <v>6.3</v>
      </c>
      <c r="H613" s="43" t="s">
        <v>227</v>
      </c>
      <c r="I613" s="40" t="s">
        <v>1300</v>
      </c>
    </row>
    <row r="614" spans="1:9" x14ac:dyDescent="0.2">
      <c r="A614" s="40" t="s">
        <v>350</v>
      </c>
      <c r="B614" s="28">
        <v>774</v>
      </c>
      <c r="C614" s="28">
        <v>5686384</v>
      </c>
      <c r="D614" s="28"/>
      <c r="E614" s="41">
        <v>46167</v>
      </c>
      <c r="F614" s="47">
        <v>0.70423611111111106</v>
      </c>
      <c r="G614" s="44">
        <v>6.3</v>
      </c>
      <c r="H614" s="43" t="s">
        <v>228</v>
      </c>
      <c r="I614" s="40" t="s">
        <v>1300</v>
      </c>
    </row>
    <row r="615" spans="1:9" x14ac:dyDescent="0.2">
      <c r="A615" s="40" t="s">
        <v>350</v>
      </c>
      <c r="B615" s="28">
        <v>774</v>
      </c>
      <c r="C615" s="28">
        <v>5686384</v>
      </c>
      <c r="D615" s="28"/>
      <c r="E615" s="41">
        <v>46167</v>
      </c>
      <c r="F615" s="47">
        <v>0.71392361111111113</v>
      </c>
      <c r="G615" s="44">
        <v>6.3</v>
      </c>
      <c r="H615" s="43" t="s">
        <v>232</v>
      </c>
      <c r="I615" s="40" t="s">
        <v>1300</v>
      </c>
    </row>
    <row r="616" spans="1:9" x14ac:dyDescent="0.2">
      <c r="A616" s="40" t="s">
        <v>350</v>
      </c>
      <c r="B616" s="28">
        <v>774</v>
      </c>
      <c r="C616" s="28">
        <v>5685023</v>
      </c>
      <c r="D616" s="28" t="s">
        <v>37</v>
      </c>
      <c r="E616" s="45">
        <v>46167</v>
      </c>
      <c r="F616" s="48">
        <v>0.78410879629629626</v>
      </c>
      <c r="G616" s="44">
        <v>6.3</v>
      </c>
      <c r="H616" s="43" t="s">
        <v>231</v>
      </c>
      <c r="I616" s="40" t="s">
        <v>1300</v>
      </c>
    </row>
    <row r="617" spans="1:9" x14ac:dyDescent="0.2">
      <c r="A617" s="40" t="s">
        <v>350</v>
      </c>
      <c r="B617" s="28">
        <v>774</v>
      </c>
      <c r="C617" s="28">
        <v>5685023</v>
      </c>
      <c r="D617" s="28" t="s">
        <v>37</v>
      </c>
      <c r="E617" s="41">
        <v>46167</v>
      </c>
      <c r="F617" s="47">
        <v>0.80202546296296295</v>
      </c>
      <c r="G617" s="44">
        <v>6.3</v>
      </c>
      <c r="H617" s="43" t="s">
        <v>227</v>
      </c>
      <c r="I617" s="40" t="s">
        <v>1300</v>
      </c>
    </row>
    <row r="618" spans="1:9" x14ac:dyDescent="0.2">
      <c r="A618" s="40" t="s">
        <v>350</v>
      </c>
      <c r="B618" s="28">
        <v>774</v>
      </c>
      <c r="C618" s="28" t="s">
        <v>35</v>
      </c>
      <c r="D618" s="28" t="s">
        <v>38</v>
      </c>
      <c r="E618" s="41">
        <v>46168</v>
      </c>
      <c r="F618" s="47">
        <v>0.48310185185185184</v>
      </c>
      <c r="G618" s="44">
        <v>6.3</v>
      </c>
      <c r="H618" s="43" t="s">
        <v>226</v>
      </c>
      <c r="I618" s="40" t="s">
        <v>1300</v>
      </c>
    </row>
    <row r="619" spans="1:9" x14ac:dyDescent="0.2">
      <c r="A619" s="40" t="s">
        <v>350</v>
      </c>
      <c r="B619" s="28">
        <v>774</v>
      </c>
      <c r="C619" s="28" t="s">
        <v>35</v>
      </c>
      <c r="D619" s="28" t="s">
        <v>38</v>
      </c>
      <c r="E619" s="41">
        <v>46168</v>
      </c>
      <c r="F619" s="47">
        <v>0.4896064814814815</v>
      </c>
      <c r="G619" s="44">
        <v>6.3</v>
      </c>
      <c r="H619" s="43" t="s">
        <v>227</v>
      </c>
      <c r="I619" s="40" t="s">
        <v>1300</v>
      </c>
    </row>
    <row r="620" spans="1:9" x14ac:dyDescent="0.2">
      <c r="A620" s="40" t="s">
        <v>350</v>
      </c>
      <c r="B620" s="28">
        <v>774</v>
      </c>
      <c r="C620" s="28" t="s">
        <v>35</v>
      </c>
      <c r="D620" s="28" t="s">
        <v>38</v>
      </c>
      <c r="E620" s="41">
        <v>46168</v>
      </c>
      <c r="F620" s="47">
        <v>0.56475694444444446</v>
      </c>
      <c r="G620" s="44">
        <v>6.3</v>
      </c>
      <c r="H620" s="43" t="s">
        <v>228</v>
      </c>
      <c r="I620" s="40" t="s">
        <v>1300</v>
      </c>
    </row>
    <row r="621" spans="1:9" x14ac:dyDescent="0.2">
      <c r="A621" s="40" t="s">
        <v>350</v>
      </c>
      <c r="B621" s="28">
        <v>774</v>
      </c>
      <c r="C621" s="28" t="s">
        <v>35</v>
      </c>
      <c r="D621" s="28" t="s">
        <v>38</v>
      </c>
      <c r="E621" s="45">
        <v>46168</v>
      </c>
      <c r="F621" s="48">
        <v>0.57528935185185182</v>
      </c>
      <c r="G621" s="44">
        <v>6.3</v>
      </c>
      <c r="H621" s="43" t="s">
        <v>229</v>
      </c>
      <c r="I621" s="40" t="s">
        <v>1300</v>
      </c>
    </row>
    <row r="622" spans="1:9" x14ac:dyDescent="0.2">
      <c r="A622" s="40" t="s">
        <v>350</v>
      </c>
      <c r="B622" s="28">
        <v>774</v>
      </c>
      <c r="C622" s="28">
        <v>5688279</v>
      </c>
      <c r="D622" s="28"/>
      <c r="E622" s="41">
        <v>46168</v>
      </c>
      <c r="F622" s="47">
        <v>0.76471064814814815</v>
      </c>
      <c r="G622" s="44">
        <v>6.3</v>
      </c>
      <c r="H622" s="43" t="s">
        <v>228</v>
      </c>
      <c r="I622" s="40" t="s">
        <v>1300</v>
      </c>
    </row>
    <row r="623" spans="1:9" x14ac:dyDescent="0.2">
      <c r="A623" s="40" t="s">
        <v>350</v>
      </c>
      <c r="B623" s="28">
        <v>774</v>
      </c>
      <c r="C623" s="28">
        <v>5688279</v>
      </c>
      <c r="D623" s="28"/>
      <c r="E623" s="41">
        <v>46168</v>
      </c>
      <c r="F623" s="47">
        <v>0.7822337962962963</v>
      </c>
      <c r="G623" s="42">
        <v>6.3</v>
      </c>
      <c r="H623" s="40" t="s">
        <v>229</v>
      </c>
      <c r="I623" s="40" t="s">
        <v>1300</v>
      </c>
    </row>
    <row r="624" spans="1:9" x14ac:dyDescent="0.2">
      <c r="A624" s="40" t="s">
        <v>350</v>
      </c>
      <c r="B624" s="28">
        <v>774</v>
      </c>
      <c r="C624" s="28">
        <v>5683174</v>
      </c>
      <c r="D624" s="28"/>
      <c r="E624" s="41">
        <v>46169</v>
      </c>
      <c r="F624" s="47">
        <v>0.41569444444444442</v>
      </c>
      <c r="G624" s="42">
        <v>6.3</v>
      </c>
      <c r="H624" s="40" t="s">
        <v>226</v>
      </c>
      <c r="I624" s="40" t="s">
        <v>1300</v>
      </c>
    </row>
    <row r="625" spans="1:9" x14ac:dyDescent="0.2">
      <c r="A625" s="40" t="s">
        <v>350</v>
      </c>
      <c r="B625" s="28">
        <v>774</v>
      </c>
      <c r="C625" s="28">
        <v>5683174</v>
      </c>
      <c r="D625" s="28"/>
      <c r="E625" s="41">
        <v>46169</v>
      </c>
      <c r="F625" s="47">
        <v>0.42182870370370368</v>
      </c>
      <c r="G625" s="44">
        <v>6.3</v>
      </c>
      <c r="H625" s="43" t="s">
        <v>227</v>
      </c>
      <c r="I625" s="40" t="s">
        <v>1300</v>
      </c>
    </row>
    <row r="626" spans="1:9" x14ac:dyDescent="0.2">
      <c r="A626" s="40" t="s">
        <v>350</v>
      </c>
      <c r="B626" s="28">
        <v>774</v>
      </c>
      <c r="C626" s="28" t="s">
        <v>35</v>
      </c>
      <c r="D626" s="28" t="s">
        <v>38</v>
      </c>
      <c r="E626" s="45">
        <v>46170</v>
      </c>
      <c r="F626" s="48">
        <v>0.45164351851851853</v>
      </c>
      <c r="G626" s="44">
        <v>6.3</v>
      </c>
      <c r="H626" s="43" t="s">
        <v>226</v>
      </c>
      <c r="I626" s="40" t="s">
        <v>1300</v>
      </c>
    </row>
    <row r="627" spans="1:9" x14ac:dyDescent="0.2">
      <c r="A627" s="40" t="s">
        <v>350</v>
      </c>
      <c r="B627" s="28">
        <v>774</v>
      </c>
      <c r="C627" s="28" t="s">
        <v>35</v>
      </c>
      <c r="D627" s="28" t="s">
        <v>38</v>
      </c>
      <c r="E627" s="41">
        <v>46170</v>
      </c>
      <c r="F627" s="47">
        <v>0.45822916666666669</v>
      </c>
      <c r="G627" s="44">
        <v>6.3</v>
      </c>
      <c r="H627" s="43" t="s">
        <v>227</v>
      </c>
      <c r="I627" s="40" t="s">
        <v>1300</v>
      </c>
    </row>
    <row r="628" spans="1:9" x14ac:dyDescent="0.2">
      <c r="A628" s="40" t="s">
        <v>350</v>
      </c>
      <c r="B628" s="28">
        <v>774</v>
      </c>
      <c r="C628" s="28" t="s">
        <v>542</v>
      </c>
      <c r="D628" s="28"/>
      <c r="E628" s="41">
        <v>46170</v>
      </c>
      <c r="F628" s="47">
        <v>0.55858796296296298</v>
      </c>
      <c r="G628" s="44">
        <v>6.3</v>
      </c>
      <c r="H628" s="43" t="s">
        <v>228</v>
      </c>
      <c r="I628" s="40" t="s">
        <v>1300</v>
      </c>
    </row>
    <row r="629" spans="1:9" x14ac:dyDescent="0.2">
      <c r="A629" s="40" t="s">
        <v>350</v>
      </c>
      <c r="B629" s="28">
        <v>774</v>
      </c>
      <c r="C629" s="28" t="s">
        <v>542</v>
      </c>
      <c r="D629" s="28"/>
      <c r="E629" s="41">
        <v>46170</v>
      </c>
      <c r="F629" s="47">
        <v>0.56997685185185187</v>
      </c>
      <c r="G629" s="44">
        <v>6.3</v>
      </c>
      <c r="H629" s="43" t="s">
        <v>229</v>
      </c>
      <c r="I629" s="40" t="s">
        <v>1300</v>
      </c>
    </row>
    <row r="630" spans="1:9" x14ac:dyDescent="0.2">
      <c r="A630" s="40" t="s">
        <v>350</v>
      </c>
      <c r="B630" s="28">
        <v>774</v>
      </c>
      <c r="C630" s="28" t="s">
        <v>543</v>
      </c>
      <c r="D630" s="28"/>
      <c r="E630" s="41">
        <v>46170</v>
      </c>
      <c r="F630" s="47">
        <v>0.73409722222222218</v>
      </c>
      <c r="G630" s="44">
        <v>6.3</v>
      </c>
      <c r="H630" s="43" t="s">
        <v>228</v>
      </c>
      <c r="I630" s="40" t="s">
        <v>1300</v>
      </c>
    </row>
    <row r="631" spans="1:9" x14ac:dyDescent="0.2">
      <c r="A631" s="40" t="s">
        <v>350</v>
      </c>
      <c r="B631" s="28">
        <v>774</v>
      </c>
      <c r="C631" s="28" t="s">
        <v>35</v>
      </c>
      <c r="D631" s="28" t="s">
        <v>38</v>
      </c>
      <c r="E631" s="41">
        <v>46170</v>
      </c>
      <c r="F631" s="47">
        <v>0.7481944444444445</v>
      </c>
      <c r="G631" s="44">
        <v>6.3</v>
      </c>
      <c r="H631" s="43" t="s">
        <v>229</v>
      </c>
      <c r="I631" s="40" t="s">
        <v>1300</v>
      </c>
    </row>
    <row r="632" spans="1:9" x14ac:dyDescent="0.2">
      <c r="A632" s="40" t="s">
        <v>350</v>
      </c>
      <c r="B632" s="28">
        <v>774</v>
      </c>
      <c r="C632" s="28">
        <v>5692979</v>
      </c>
      <c r="D632" s="28"/>
      <c r="E632" s="45">
        <v>46171</v>
      </c>
      <c r="F632" s="48">
        <v>0.55203703703703699</v>
      </c>
      <c r="G632" s="42">
        <v>6.3</v>
      </c>
      <c r="H632" s="40" t="s">
        <v>231</v>
      </c>
      <c r="I632" s="40" t="s">
        <v>1300</v>
      </c>
    </row>
    <row r="633" spans="1:9" x14ac:dyDescent="0.2">
      <c r="A633" s="40" t="s">
        <v>350</v>
      </c>
      <c r="B633" s="28">
        <v>774</v>
      </c>
      <c r="C633" s="28">
        <v>5692979</v>
      </c>
      <c r="D633" s="28"/>
      <c r="E633" s="41">
        <v>46171</v>
      </c>
      <c r="F633" s="47">
        <v>0.56125000000000003</v>
      </c>
      <c r="G633" s="44">
        <v>6.3</v>
      </c>
      <c r="H633" s="43" t="s">
        <v>227</v>
      </c>
      <c r="I633" s="40" t="s">
        <v>1300</v>
      </c>
    </row>
    <row r="634" spans="1:9" x14ac:dyDescent="0.2">
      <c r="A634" s="40" t="s">
        <v>350</v>
      </c>
      <c r="B634" s="28">
        <v>774</v>
      </c>
      <c r="C634" s="28">
        <v>5695892</v>
      </c>
      <c r="D634" s="28"/>
      <c r="E634" s="41">
        <v>46173</v>
      </c>
      <c r="F634" s="47">
        <v>0.70210648148148147</v>
      </c>
      <c r="G634" s="44">
        <v>6.3</v>
      </c>
      <c r="H634" s="43" t="s">
        <v>226</v>
      </c>
      <c r="I634" s="40" t="s">
        <v>1300</v>
      </c>
    </row>
    <row r="635" spans="1:9" x14ac:dyDescent="0.2">
      <c r="A635" s="40" t="s">
        <v>350</v>
      </c>
      <c r="B635" s="28">
        <v>774</v>
      </c>
      <c r="C635" s="28">
        <v>5695892</v>
      </c>
      <c r="D635" s="28"/>
      <c r="E635" s="41">
        <v>46173</v>
      </c>
      <c r="F635" s="47">
        <v>0.70797453703703705</v>
      </c>
      <c r="G635" s="44">
        <v>6.3</v>
      </c>
      <c r="H635" s="43" t="s">
        <v>227</v>
      </c>
      <c r="I635" s="40" t="s">
        <v>1300</v>
      </c>
    </row>
    <row r="636" spans="1:9" x14ac:dyDescent="0.2">
      <c r="A636" s="40" t="s">
        <v>350</v>
      </c>
      <c r="B636" s="28">
        <v>774</v>
      </c>
      <c r="C636" s="28" t="s">
        <v>544</v>
      </c>
      <c r="D636" s="28"/>
      <c r="E636" s="41">
        <v>46173</v>
      </c>
      <c r="F636" s="47">
        <v>0.78677083333333331</v>
      </c>
      <c r="G636" s="42">
        <v>6.3</v>
      </c>
      <c r="H636" s="40" t="s">
        <v>228</v>
      </c>
      <c r="I636" s="40" t="s">
        <v>1300</v>
      </c>
    </row>
    <row r="637" spans="1:9" x14ac:dyDescent="0.2">
      <c r="A637" s="40" t="s">
        <v>350</v>
      </c>
      <c r="B637" s="28">
        <v>774</v>
      </c>
      <c r="C637" s="28" t="s">
        <v>35</v>
      </c>
      <c r="D637" s="28" t="s">
        <v>38</v>
      </c>
      <c r="E637" s="41">
        <v>46173</v>
      </c>
      <c r="F637" s="47">
        <v>0.85651620370370374</v>
      </c>
      <c r="G637" s="42">
        <v>6.3</v>
      </c>
      <c r="H637" s="40" t="s">
        <v>230</v>
      </c>
      <c r="I637" s="40" t="s">
        <v>1300</v>
      </c>
    </row>
    <row r="638" spans="1:9" x14ac:dyDescent="0.2">
      <c r="A638" s="40" t="s">
        <v>350</v>
      </c>
      <c r="B638" s="28">
        <v>774</v>
      </c>
      <c r="C638" s="28" t="s">
        <v>35</v>
      </c>
      <c r="D638" s="28" t="s">
        <v>38</v>
      </c>
      <c r="E638" s="41">
        <v>46173</v>
      </c>
      <c r="F638" s="47">
        <v>0.86179398148148145</v>
      </c>
      <c r="G638" s="44">
        <v>6.3</v>
      </c>
      <c r="H638" s="43" t="s">
        <v>227</v>
      </c>
      <c r="I638" s="40" t="s">
        <v>1300</v>
      </c>
    </row>
    <row r="639" spans="1:9" x14ac:dyDescent="0.2">
      <c r="A639" s="40" t="s">
        <v>350</v>
      </c>
      <c r="B639" s="28">
        <v>774</v>
      </c>
      <c r="C639" s="28">
        <v>5696416</v>
      </c>
      <c r="D639" s="28"/>
      <c r="E639" s="45">
        <v>46173</v>
      </c>
      <c r="F639" s="48">
        <v>0.91621527777777778</v>
      </c>
      <c r="G639" s="44">
        <v>6.3</v>
      </c>
      <c r="H639" s="43" t="s">
        <v>228</v>
      </c>
      <c r="I639" s="40" t="s">
        <v>1300</v>
      </c>
    </row>
    <row r="640" spans="1:9" x14ac:dyDescent="0.2">
      <c r="A640" s="40" t="s">
        <v>401</v>
      </c>
      <c r="B640" s="28">
        <v>781</v>
      </c>
      <c r="C640" s="28">
        <v>5688590</v>
      </c>
      <c r="D640" s="28" t="s">
        <v>37</v>
      </c>
      <c r="E640" s="41">
        <v>46168</v>
      </c>
      <c r="F640" s="47">
        <v>0.81723379629629633</v>
      </c>
      <c r="G640" s="44">
        <v>6.3</v>
      </c>
      <c r="H640" s="43" t="s">
        <v>228</v>
      </c>
      <c r="I640" s="40" t="s">
        <v>1300</v>
      </c>
    </row>
    <row r="641" spans="1:9" x14ac:dyDescent="0.2">
      <c r="A641" s="40" t="s">
        <v>401</v>
      </c>
      <c r="B641" s="28">
        <v>781</v>
      </c>
      <c r="C641" s="28">
        <v>5688590</v>
      </c>
      <c r="D641" s="28" t="s">
        <v>37</v>
      </c>
      <c r="E641" s="41">
        <v>46168</v>
      </c>
      <c r="F641" s="47">
        <v>0.82784722222222218</v>
      </c>
      <c r="G641" s="44">
        <v>6.3</v>
      </c>
      <c r="H641" s="43" t="s">
        <v>229</v>
      </c>
      <c r="I641" s="40" t="s">
        <v>1300</v>
      </c>
    </row>
    <row r="642" spans="1:9" x14ac:dyDescent="0.2">
      <c r="A642" s="40" t="s">
        <v>401</v>
      </c>
      <c r="B642" s="28">
        <v>781</v>
      </c>
      <c r="C642" s="28" t="s">
        <v>545</v>
      </c>
      <c r="D642" s="28"/>
      <c r="E642" s="41">
        <v>46168</v>
      </c>
      <c r="F642" s="47">
        <v>0.91781250000000003</v>
      </c>
      <c r="G642" s="44">
        <v>6.3</v>
      </c>
      <c r="H642" s="43" t="s">
        <v>228</v>
      </c>
      <c r="I642" s="40" t="s">
        <v>1300</v>
      </c>
    </row>
    <row r="643" spans="1:9" x14ac:dyDescent="0.2">
      <c r="A643" s="40" t="s">
        <v>401</v>
      </c>
      <c r="B643" s="28">
        <v>781</v>
      </c>
      <c r="C643" s="28" t="s">
        <v>545</v>
      </c>
      <c r="D643" s="28"/>
      <c r="E643" s="41">
        <v>46168</v>
      </c>
      <c r="F643" s="47">
        <v>0.92465277777777777</v>
      </c>
      <c r="G643" s="44">
        <v>6.3</v>
      </c>
      <c r="H643" s="43" t="s">
        <v>229</v>
      </c>
      <c r="I643" s="40" t="s">
        <v>1300</v>
      </c>
    </row>
    <row r="644" spans="1:9" x14ac:dyDescent="0.2">
      <c r="A644" s="40" t="s">
        <v>401</v>
      </c>
      <c r="B644" s="28">
        <v>781</v>
      </c>
      <c r="C644" s="28">
        <v>5689019</v>
      </c>
      <c r="D644" s="28"/>
      <c r="E644" s="41">
        <v>46169</v>
      </c>
      <c r="F644" s="47">
        <v>1.2604166666666666E-2</v>
      </c>
      <c r="G644" s="44">
        <v>6.3</v>
      </c>
      <c r="H644" s="43" t="s">
        <v>228</v>
      </c>
      <c r="I644" s="40" t="s">
        <v>1300</v>
      </c>
    </row>
    <row r="645" spans="1:9" x14ac:dyDescent="0.2">
      <c r="A645" s="40" t="s">
        <v>401</v>
      </c>
      <c r="B645" s="28">
        <v>781</v>
      </c>
      <c r="C645" s="28" t="s">
        <v>546</v>
      </c>
      <c r="D645" s="28"/>
      <c r="E645" s="41">
        <v>46169</v>
      </c>
      <c r="F645" s="47">
        <v>0.92356481481481478</v>
      </c>
      <c r="G645" s="44">
        <v>6.3</v>
      </c>
      <c r="H645" s="43" t="s">
        <v>228</v>
      </c>
      <c r="I645" s="40" t="s">
        <v>1300</v>
      </c>
    </row>
    <row r="646" spans="1:9" x14ac:dyDescent="0.2">
      <c r="A646" s="40" t="s">
        <v>401</v>
      </c>
      <c r="B646" s="28">
        <v>781</v>
      </c>
      <c r="C646" s="28" t="s">
        <v>546</v>
      </c>
      <c r="D646" s="28"/>
      <c r="E646" s="45">
        <v>46169</v>
      </c>
      <c r="F646" s="48">
        <v>0.93069444444444449</v>
      </c>
      <c r="G646" s="44">
        <v>6.3</v>
      </c>
      <c r="H646" s="43" t="s">
        <v>229</v>
      </c>
      <c r="I646" s="40" t="s">
        <v>1300</v>
      </c>
    </row>
    <row r="647" spans="1:9" x14ac:dyDescent="0.2">
      <c r="A647" s="40" t="s">
        <v>401</v>
      </c>
      <c r="B647" s="28">
        <v>781</v>
      </c>
      <c r="C647" s="28" t="s">
        <v>547</v>
      </c>
      <c r="D647" s="28"/>
      <c r="E647" s="45">
        <v>46170</v>
      </c>
      <c r="F647" s="48">
        <v>4.7685185185185183E-3</v>
      </c>
      <c r="G647" s="44">
        <v>6.3</v>
      </c>
      <c r="H647" s="43" t="s">
        <v>228</v>
      </c>
      <c r="I647" s="40" t="s">
        <v>1300</v>
      </c>
    </row>
    <row r="648" spans="1:9" x14ac:dyDescent="0.2">
      <c r="A648" s="40" t="s">
        <v>401</v>
      </c>
      <c r="B648" s="28">
        <v>781</v>
      </c>
      <c r="C648" s="28" t="s">
        <v>547</v>
      </c>
      <c r="D648" s="28"/>
      <c r="E648" s="41">
        <v>46170</v>
      </c>
      <c r="F648" s="47">
        <v>1.2268518518518519E-2</v>
      </c>
      <c r="G648" s="44">
        <v>6.3</v>
      </c>
      <c r="H648" s="43" t="s">
        <v>229</v>
      </c>
      <c r="I648" s="40" t="s">
        <v>1300</v>
      </c>
    </row>
    <row r="649" spans="1:9" x14ac:dyDescent="0.2">
      <c r="A649" s="40" t="s">
        <v>401</v>
      </c>
      <c r="B649" s="28">
        <v>781</v>
      </c>
      <c r="C649" s="28">
        <v>5690858</v>
      </c>
      <c r="D649" s="28"/>
      <c r="E649" s="41">
        <v>46170</v>
      </c>
      <c r="F649" s="47">
        <v>0.23100694444444445</v>
      </c>
      <c r="G649" s="44">
        <v>6.3</v>
      </c>
      <c r="H649" s="43" t="s">
        <v>231</v>
      </c>
      <c r="I649" s="40" t="s">
        <v>1300</v>
      </c>
    </row>
    <row r="650" spans="1:9" x14ac:dyDescent="0.2">
      <c r="A650" s="40" t="s">
        <v>401</v>
      </c>
      <c r="B650" s="28">
        <v>781</v>
      </c>
      <c r="C650" s="28">
        <v>5690858</v>
      </c>
      <c r="D650" s="28"/>
      <c r="E650" s="41">
        <v>46170</v>
      </c>
      <c r="F650" s="47">
        <v>0.23538194444444444</v>
      </c>
      <c r="G650" s="44">
        <v>6.3</v>
      </c>
      <c r="H650" s="43" t="s">
        <v>227</v>
      </c>
      <c r="I650" s="40" t="s">
        <v>1300</v>
      </c>
    </row>
    <row r="651" spans="1:9" x14ac:dyDescent="0.2">
      <c r="A651" s="40" t="s">
        <v>401</v>
      </c>
      <c r="B651" s="28">
        <v>781</v>
      </c>
      <c r="C651" s="28">
        <v>5692027</v>
      </c>
      <c r="D651" s="28"/>
      <c r="E651" s="45">
        <v>46170</v>
      </c>
      <c r="F651" s="48">
        <v>0.82670138888888889</v>
      </c>
      <c r="G651" s="44">
        <v>6.3</v>
      </c>
      <c r="H651" s="43" t="s">
        <v>228</v>
      </c>
      <c r="I651" s="40" t="s">
        <v>1300</v>
      </c>
    </row>
    <row r="652" spans="1:9" x14ac:dyDescent="0.2">
      <c r="A652" s="40" t="s">
        <v>401</v>
      </c>
      <c r="B652" s="28">
        <v>781</v>
      </c>
      <c r="C652" s="28">
        <v>5692027</v>
      </c>
      <c r="D652" s="28"/>
      <c r="E652" s="45">
        <v>46170</v>
      </c>
      <c r="F652" s="48">
        <v>0.83527777777777779</v>
      </c>
      <c r="G652" s="44">
        <v>6.3</v>
      </c>
      <c r="H652" s="43" t="s">
        <v>229</v>
      </c>
      <c r="I652" s="40" t="s">
        <v>1300</v>
      </c>
    </row>
    <row r="653" spans="1:9" x14ac:dyDescent="0.2">
      <c r="A653" s="40" t="s">
        <v>401</v>
      </c>
      <c r="B653" s="28">
        <v>781</v>
      </c>
      <c r="C653" s="28" t="s">
        <v>548</v>
      </c>
      <c r="D653" s="28"/>
      <c r="E653" s="41">
        <v>46171</v>
      </c>
      <c r="F653" s="47">
        <v>0.85590277777777779</v>
      </c>
      <c r="G653" s="44">
        <v>6.3</v>
      </c>
      <c r="H653" s="43" t="s">
        <v>228</v>
      </c>
      <c r="I653" s="40" t="s">
        <v>1300</v>
      </c>
    </row>
    <row r="654" spans="1:9" x14ac:dyDescent="0.2">
      <c r="A654" s="40" t="s">
        <v>401</v>
      </c>
      <c r="B654" s="28">
        <v>781</v>
      </c>
      <c r="C654" s="28" t="s">
        <v>548</v>
      </c>
      <c r="D654" s="28"/>
      <c r="E654" s="45">
        <v>46171</v>
      </c>
      <c r="F654" s="48">
        <v>0.86396990740740742</v>
      </c>
      <c r="G654" s="44">
        <v>6.3</v>
      </c>
      <c r="H654" s="43" t="s">
        <v>229</v>
      </c>
      <c r="I654" s="40" t="s">
        <v>1300</v>
      </c>
    </row>
    <row r="655" spans="1:9" x14ac:dyDescent="0.2">
      <c r="A655" s="40" t="s">
        <v>401</v>
      </c>
      <c r="B655" s="28">
        <v>781</v>
      </c>
      <c r="C655" s="28">
        <v>5694244</v>
      </c>
      <c r="D655" s="28" t="s">
        <v>37</v>
      </c>
      <c r="E655" s="41">
        <v>46172</v>
      </c>
      <c r="F655" s="47">
        <v>1.5266203703703704E-2</v>
      </c>
      <c r="G655" s="44">
        <v>6.3</v>
      </c>
      <c r="H655" s="43" t="s">
        <v>228</v>
      </c>
      <c r="I655" s="40" t="s">
        <v>1300</v>
      </c>
    </row>
    <row r="656" spans="1:9" x14ac:dyDescent="0.2">
      <c r="A656" s="40" t="s">
        <v>401</v>
      </c>
      <c r="B656" s="28">
        <v>781</v>
      </c>
      <c r="C656" s="28">
        <v>5694244</v>
      </c>
      <c r="D656" s="28" t="s">
        <v>37</v>
      </c>
      <c r="E656" s="41">
        <v>46172</v>
      </c>
      <c r="F656" s="47">
        <v>2.193287037037037E-2</v>
      </c>
      <c r="G656" s="44">
        <v>6.3</v>
      </c>
      <c r="H656" s="43" t="s">
        <v>232</v>
      </c>
      <c r="I656" s="40" t="s">
        <v>1300</v>
      </c>
    </row>
    <row r="657" spans="1:9" x14ac:dyDescent="0.2">
      <c r="A657" s="40" t="s">
        <v>401</v>
      </c>
      <c r="B657" s="28">
        <v>781</v>
      </c>
      <c r="C657" s="28">
        <v>5693862</v>
      </c>
      <c r="D657" s="28"/>
      <c r="E657" s="41">
        <v>46172</v>
      </c>
      <c r="F657" s="47">
        <v>0.1620138888888889</v>
      </c>
      <c r="G657" s="44">
        <v>6.3</v>
      </c>
      <c r="H657" s="43" t="s">
        <v>230</v>
      </c>
      <c r="I657" s="40" t="s">
        <v>1300</v>
      </c>
    </row>
    <row r="658" spans="1:9" x14ac:dyDescent="0.2">
      <c r="A658" s="40" t="s">
        <v>401</v>
      </c>
      <c r="B658" s="28">
        <v>781</v>
      </c>
      <c r="C658" s="28">
        <v>5693862</v>
      </c>
      <c r="D658" s="28"/>
      <c r="E658" s="45">
        <v>46172</v>
      </c>
      <c r="F658" s="48">
        <v>0.16680555555555557</v>
      </c>
      <c r="G658" s="44">
        <v>6.3</v>
      </c>
      <c r="H658" s="43" t="s">
        <v>227</v>
      </c>
      <c r="I658" s="40" t="s">
        <v>1300</v>
      </c>
    </row>
    <row r="659" spans="1:9" x14ac:dyDescent="0.2">
      <c r="A659" s="40" t="s">
        <v>549</v>
      </c>
      <c r="B659" s="28">
        <v>784</v>
      </c>
      <c r="C659" s="28" t="s">
        <v>550</v>
      </c>
      <c r="D659" s="28"/>
      <c r="E659" s="41">
        <v>46173</v>
      </c>
      <c r="F659" s="47">
        <v>0.42748842592592595</v>
      </c>
      <c r="G659" s="44">
        <v>6.3</v>
      </c>
      <c r="H659" s="43" t="s">
        <v>228</v>
      </c>
      <c r="I659" s="40" t="s">
        <v>1300</v>
      </c>
    </row>
    <row r="660" spans="1:9" x14ac:dyDescent="0.2">
      <c r="A660" s="40" t="s">
        <v>549</v>
      </c>
      <c r="B660" s="28">
        <v>784</v>
      </c>
      <c r="C660" s="28">
        <v>5696120</v>
      </c>
      <c r="D660" s="28"/>
      <c r="E660" s="41">
        <v>46173</v>
      </c>
      <c r="F660" s="47">
        <v>0.89809027777777772</v>
      </c>
      <c r="G660" s="42">
        <v>6.3</v>
      </c>
      <c r="H660" s="40" t="s">
        <v>228</v>
      </c>
      <c r="I660" s="40" t="s">
        <v>1300</v>
      </c>
    </row>
    <row r="661" spans="1:9" x14ac:dyDescent="0.2">
      <c r="A661" s="40" t="s">
        <v>549</v>
      </c>
      <c r="B661" s="28">
        <v>784</v>
      </c>
      <c r="C661" s="28">
        <v>5696120</v>
      </c>
      <c r="D661" s="28"/>
      <c r="E661" s="45">
        <v>46173</v>
      </c>
      <c r="F661" s="48">
        <v>0.90407407407407403</v>
      </c>
      <c r="G661" s="42">
        <v>6.3</v>
      </c>
      <c r="H661" s="40" t="s">
        <v>232</v>
      </c>
      <c r="I661" s="40" t="s">
        <v>1300</v>
      </c>
    </row>
    <row r="662" spans="1:9" x14ac:dyDescent="0.2">
      <c r="A662" s="40" t="s">
        <v>309</v>
      </c>
      <c r="B662" s="28">
        <v>785</v>
      </c>
      <c r="C662" s="28" t="s">
        <v>551</v>
      </c>
      <c r="D662" s="28"/>
      <c r="E662" s="41">
        <v>46167</v>
      </c>
      <c r="F662" s="47">
        <v>0.64428240740740739</v>
      </c>
      <c r="G662" s="44">
        <v>6.3</v>
      </c>
      <c r="H662" s="43" t="s">
        <v>228</v>
      </c>
      <c r="I662" s="40" t="s">
        <v>1300</v>
      </c>
    </row>
    <row r="663" spans="1:9" x14ac:dyDescent="0.2">
      <c r="A663" s="40" t="s">
        <v>309</v>
      </c>
      <c r="B663" s="28">
        <v>785</v>
      </c>
      <c r="C663" s="28" t="s">
        <v>551</v>
      </c>
      <c r="D663" s="28"/>
      <c r="E663" s="41">
        <v>46167</v>
      </c>
      <c r="F663" s="47">
        <v>0.65495370370370365</v>
      </c>
      <c r="G663" s="44">
        <v>6.3</v>
      </c>
      <c r="H663" s="43" t="s">
        <v>229</v>
      </c>
      <c r="I663" s="40" t="s">
        <v>1300</v>
      </c>
    </row>
    <row r="664" spans="1:9" x14ac:dyDescent="0.2">
      <c r="A664" s="40" t="s">
        <v>309</v>
      </c>
      <c r="B664" s="28">
        <v>785</v>
      </c>
      <c r="C664" s="28" t="s">
        <v>35</v>
      </c>
      <c r="D664" s="28" t="s">
        <v>38</v>
      </c>
      <c r="E664" s="41">
        <v>46167</v>
      </c>
      <c r="F664" s="47">
        <v>0.6750694444444445</v>
      </c>
      <c r="G664" s="44">
        <v>6.3</v>
      </c>
      <c r="H664" s="43" t="s">
        <v>230</v>
      </c>
      <c r="I664" s="40" t="s">
        <v>1300</v>
      </c>
    </row>
    <row r="665" spans="1:9" x14ac:dyDescent="0.2">
      <c r="A665" s="40" t="s">
        <v>309</v>
      </c>
      <c r="B665" s="28">
        <v>785</v>
      </c>
      <c r="C665" s="28" t="s">
        <v>35</v>
      </c>
      <c r="D665" s="28" t="s">
        <v>38</v>
      </c>
      <c r="E665" s="41">
        <v>46167</v>
      </c>
      <c r="F665" s="47">
        <v>0.68060185185185185</v>
      </c>
      <c r="G665" s="44">
        <v>6.3</v>
      </c>
      <c r="H665" s="43" t="s">
        <v>227</v>
      </c>
      <c r="I665" s="40" t="s">
        <v>1300</v>
      </c>
    </row>
    <row r="666" spans="1:9" x14ac:dyDescent="0.2">
      <c r="A666" s="40" t="s">
        <v>309</v>
      </c>
      <c r="B666" s="28">
        <v>785</v>
      </c>
      <c r="C666" s="28" t="s">
        <v>552</v>
      </c>
      <c r="D666" s="28"/>
      <c r="E666" s="41">
        <v>46170</v>
      </c>
      <c r="F666" s="47">
        <v>6.8865740740740745E-3</v>
      </c>
      <c r="G666" s="44">
        <v>6.3</v>
      </c>
      <c r="H666" s="43" t="s">
        <v>228</v>
      </c>
      <c r="I666" s="40" t="s">
        <v>1300</v>
      </c>
    </row>
    <row r="667" spans="1:9" x14ac:dyDescent="0.2">
      <c r="A667" s="40" t="s">
        <v>309</v>
      </c>
      <c r="B667" s="28">
        <v>785</v>
      </c>
      <c r="C667" s="28" t="s">
        <v>552</v>
      </c>
      <c r="D667" s="28"/>
      <c r="E667" s="45">
        <v>46170</v>
      </c>
      <c r="F667" s="48">
        <v>1.5428240740740741E-2</v>
      </c>
      <c r="G667" s="44">
        <v>6.3</v>
      </c>
      <c r="H667" s="43" t="s">
        <v>229</v>
      </c>
      <c r="I667" s="40" t="s">
        <v>1300</v>
      </c>
    </row>
    <row r="668" spans="1:9" x14ac:dyDescent="0.2">
      <c r="A668" s="40" t="s">
        <v>309</v>
      </c>
      <c r="B668" s="28">
        <v>785</v>
      </c>
      <c r="C668" s="28">
        <v>5681630</v>
      </c>
      <c r="D668" s="28"/>
      <c r="E668" s="41">
        <v>46171</v>
      </c>
      <c r="F668" s="47">
        <v>1.638888888888889E-2</v>
      </c>
      <c r="G668" s="44">
        <v>6.3</v>
      </c>
      <c r="H668" s="43" t="s">
        <v>228</v>
      </c>
      <c r="I668" s="40" t="s">
        <v>1300</v>
      </c>
    </row>
    <row r="669" spans="1:9" x14ac:dyDescent="0.2">
      <c r="A669" s="40" t="s">
        <v>309</v>
      </c>
      <c r="B669" s="28">
        <v>785</v>
      </c>
      <c r="C669" s="28">
        <v>5681630</v>
      </c>
      <c r="D669" s="28"/>
      <c r="E669" s="41">
        <v>46171</v>
      </c>
      <c r="F669" s="47">
        <v>2.4571759259259258E-2</v>
      </c>
      <c r="G669" s="44">
        <v>6.3</v>
      </c>
      <c r="H669" s="43" t="s">
        <v>233</v>
      </c>
      <c r="I669" s="40" t="s">
        <v>1300</v>
      </c>
    </row>
    <row r="670" spans="1:9" x14ac:dyDescent="0.2">
      <c r="A670" s="40" t="s">
        <v>309</v>
      </c>
      <c r="B670" s="28">
        <v>785</v>
      </c>
      <c r="C670" s="28" t="s">
        <v>35</v>
      </c>
      <c r="D670" s="28" t="s">
        <v>38</v>
      </c>
      <c r="E670" s="41">
        <v>46171</v>
      </c>
      <c r="F670" s="47">
        <v>5.6805555555555554E-2</v>
      </c>
      <c r="G670" s="44">
        <v>6.3</v>
      </c>
      <c r="H670" s="43" t="s">
        <v>229</v>
      </c>
      <c r="I670" s="40" t="s">
        <v>1300</v>
      </c>
    </row>
    <row r="671" spans="1:9" x14ac:dyDescent="0.2">
      <c r="A671" s="40" t="s">
        <v>309</v>
      </c>
      <c r="B671" s="28">
        <v>785</v>
      </c>
      <c r="C671" s="28">
        <v>5694490</v>
      </c>
      <c r="D671" s="28"/>
      <c r="E671" s="41">
        <v>46172</v>
      </c>
      <c r="F671" s="47">
        <v>0.42289351851851853</v>
      </c>
      <c r="G671" s="44">
        <v>6.3</v>
      </c>
      <c r="H671" s="43" t="s">
        <v>228</v>
      </c>
      <c r="I671" s="40" t="s">
        <v>1300</v>
      </c>
    </row>
    <row r="672" spans="1:9" x14ac:dyDescent="0.2">
      <c r="A672" s="40" t="s">
        <v>309</v>
      </c>
      <c r="B672" s="28">
        <v>785</v>
      </c>
      <c r="C672" s="28">
        <v>5694490</v>
      </c>
      <c r="D672" s="28"/>
      <c r="E672" s="41">
        <v>46172</v>
      </c>
      <c r="F672" s="47">
        <v>0.43293981481481481</v>
      </c>
      <c r="G672" s="44">
        <v>6.3</v>
      </c>
      <c r="H672" s="43" t="s">
        <v>229</v>
      </c>
      <c r="I672" s="40" t="s">
        <v>1300</v>
      </c>
    </row>
    <row r="673" spans="1:9" x14ac:dyDescent="0.2">
      <c r="A673" s="40" t="s">
        <v>309</v>
      </c>
      <c r="B673" s="28">
        <v>785</v>
      </c>
      <c r="C673" s="28" t="s">
        <v>35</v>
      </c>
      <c r="D673" s="28" t="s">
        <v>38</v>
      </c>
      <c r="E673" s="41">
        <v>46172</v>
      </c>
      <c r="F673" s="47">
        <v>0.48008101851851853</v>
      </c>
      <c r="G673" s="44">
        <v>6.3</v>
      </c>
      <c r="H673" s="43" t="s">
        <v>226</v>
      </c>
      <c r="I673" s="40" t="s">
        <v>1300</v>
      </c>
    </row>
    <row r="674" spans="1:9" x14ac:dyDescent="0.2">
      <c r="A674" s="40" t="s">
        <v>309</v>
      </c>
      <c r="B674" s="28">
        <v>785</v>
      </c>
      <c r="C674" s="28" t="s">
        <v>35</v>
      </c>
      <c r="D674" s="28" t="s">
        <v>38</v>
      </c>
      <c r="E674" s="41">
        <v>46172</v>
      </c>
      <c r="F674" s="47">
        <v>0.48645833333333333</v>
      </c>
      <c r="G674" s="44">
        <v>6.3</v>
      </c>
      <c r="H674" s="43" t="s">
        <v>227</v>
      </c>
      <c r="I674" s="40" t="s">
        <v>1300</v>
      </c>
    </row>
    <row r="675" spans="1:9" x14ac:dyDescent="0.2">
      <c r="A675" s="40" t="s">
        <v>309</v>
      </c>
      <c r="B675" s="28">
        <v>785</v>
      </c>
      <c r="C675" s="28" t="s">
        <v>553</v>
      </c>
      <c r="D675" s="28"/>
      <c r="E675" s="41">
        <v>46173</v>
      </c>
      <c r="F675" s="47">
        <v>0.73045138888888894</v>
      </c>
      <c r="G675" s="44">
        <v>6.3</v>
      </c>
      <c r="H675" s="43" t="s">
        <v>228</v>
      </c>
      <c r="I675" s="40" t="s">
        <v>1300</v>
      </c>
    </row>
    <row r="676" spans="1:9" x14ac:dyDescent="0.2">
      <c r="A676" s="40" t="s">
        <v>309</v>
      </c>
      <c r="B676" s="28">
        <v>785</v>
      </c>
      <c r="C676" s="28" t="s">
        <v>553</v>
      </c>
      <c r="D676" s="28"/>
      <c r="E676" s="41">
        <v>46173</v>
      </c>
      <c r="F676" s="47">
        <v>0.75011574074074072</v>
      </c>
      <c r="G676" s="44">
        <v>6.3</v>
      </c>
      <c r="H676" s="43" t="s">
        <v>230</v>
      </c>
      <c r="I676" s="40" t="s">
        <v>1300</v>
      </c>
    </row>
    <row r="677" spans="1:9" x14ac:dyDescent="0.2">
      <c r="A677" s="40" t="s">
        <v>309</v>
      </c>
      <c r="B677" s="28">
        <v>785</v>
      </c>
      <c r="C677" s="28" t="s">
        <v>35</v>
      </c>
      <c r="D677" s="28" t="s">
        <v>38</v>
      </c>
      <c r="E677" s="41">
        <v>46173</v>
      </c>
      <c r="F677" s="47">
        <v>0.75611111111111107</v>
      </c>
      <c r="G677" s="44">
        <v>6.3</v>
      </c>
      <c r="H677" s="43" t="s">
        <v>227</v>
      </c>
      <c r="I677" s="40" t="s">
        <v>1300</v>
      </c>
    </row>
    <row r="678" spans="1:9" x14ac:dyDescent="0.2">
      <c r="A678" s="40" t="s">
        <v>309</v>
      </c>
      <c r="B678" s="28">
        <v>785</v>
      </c>
      <c r="C678" s="28">
        <v>5687662</v>
      </c>
      <c r="D678" s="28"/>
      <c r="E678" s="41">
        <v>46173</v>
      </c>
      <c r="F678" s="47">
        <v>0.88667824074074075</v>
      </c>
      <c r="G678" s="44">
        <v>6.3</v>
      </c>
      <c r="H678" s="43" t="s">
        <v>228</v>
      </c>
      <c r="I678" s="40" t="s">
        <v>1300</v>
      </c>
    </row>
    <row r="679" spans="1:9" x14ac:dyDescent="0.2">
      <c r="A679" s="40" t="s">
        <v>309</v>
      </c>
      <c r="B679" s="28">
        <v>785</v>
      </c>
      <c r="C679" s="28" t="s">
        <v>35</v>
      </c>
      <c r="D679" s="28" t="s">
        <v>38</v>
      </c>
      <c r="E679" s="41">
        <v>46173</v>
      </c>
      <c r="F679" s="47">
        <v>0.90923611111111113</v>
      </c>
      <c r="G679" s="44">
        <v>6.3</v>
      </c>
      <c r="H679" s="43" t="s">
        <v>230</v>
      </c>
      <c r="I679" s="40" t="s">
        <v>1300</v>
      </c>
    </row>
    <row r="680" spans="1:9" x14ac:dyDescent="0.2">
      <c r="A680" s="40" t="s">
        <v>309</v>
      </c>
      <c r="B680" s="28">
        <v>785</v>
      </c>
      <c r="C680" s="28" t="s">
        <v>35</v>
      </c>
      <c r="D680" s="28" t="s">
        <v>38</v>
      </c>
      <c r="E680" s="41">
        <v>46173</v>
      </c>
      <c r="F680" s="47">
        <v>0.91511574074074076</v>
      </c>
      <c r="G680" s="44">
        <v>6.3</v>
      </c>
      <c r="H680" s="43" t="s">
        <v>227</v>
      </c>
      <c r="I680" s="40" t="s">
        <v>1300</v>
      </c>
    </row>
    <row r="681" spans="1:9" x14ac:dyDescent="0.2">
      <c r="A681" s="40" t="s">
        <v>62</v>
      </c>
      <c r="B681" s="28">
        <v>790</v>
      </c>
      <c r="C681" s="28" t="s">
        <v>554</v>
      </c>
      <c r="D681" s="28"/>
      <c r="E681" s="41">
        <v>46167</v>
      </c>
      <c r="F681" s="47">
        <v>4.8935185185185186E-2</v>
      </c>
      <c r="G681" s="44">
        <v>6.3</v>
      </c>
      <c r="H681" s="43" t="s">
        <v>228</v>
      </c>
      <c r="I681" s="40" t="s">
        <v>1300</v>
      </c>
    </row>
    <row r="682" spans="1:9" x14ac:dyDescent="0.2">
      <c r="A682" s="40" t="s">
        <v>62</v>
      </c>
      <c r="B682" s="28">
        <v>790</v>
      </c>
      <c r="C682" s="28" t="s">
        <v>554</v>
      </c>
      <c r="D682" s="28"/>
      <c r="E682" s="41">
        <v>46167</v>
      </c>
      <c r="F682" s="47">
        <v>5.5810185185185185E-2</v>
      </c>
      <c r="G682" s="44">
        <v>6.3</v>
      </c>
      <c r="H682" s="43" t="s">
        <v>229</v>
      </c>
      <c r="I682" s="40" t="s">
        <v>1300</v>
      </c>
    </row>
    <row r="683" spans="1:9" x14ac:dyDescent="0.2">
      <c r="A683" s="40" t="s">
        <v>62</v>
      </c>
      <c r="B683" s="28">
        <v>790</v>
      </c>
      <c r="C683" s="28">
        <v>5685366</v>
      </c>
      <c r="D683" s="28"/>
      <c r="E683" s="41">
        <v>46167</v>
      </c>
      <c r="F683" s="47">
        <v>0.1678587962962963</v>
      </c>
      <c r="G683" s="44">
        <v>6.3</v>
      </c>
      <c r="H683" s="43" t="s">
        <v>230</v>
      </c>
      <c r="I683" s="40" t="s">
        <v>1300</v>
      </c>
    </row>
    <row r="684" spans="1:9" x14ac:dyDescent="0.2">
      <c r="A684" s="40" t="s">
        <v>62</v>
      </c>
      <c r="B684" s="28">
        <v>790</v>
      </c>
      <c r="C684" s="28">
        <v>5685366</v>
      </c>
      <c r="D684" s="28"/>
      <c r="E684" s="41">
        <v>46167</v>
      </c>
      <c r="F684" s="47">
        <v>0.17288194444444444</v>
      </c>
      <c r="G684" s="44">
        <v>6.3</v>
      </c>
      <c r="H684" s="43" t="s">
        <v>227</v>
      </c>
      <c r="I684" s="40" t="s">
        <v>1300</v>
      </c>
    </row>
    <row r="685" spans="1:9" x14ac:dyDescent="0.2">
      <c r="A685" s="40" t="s">
        <v>62</v>
      </c>
      <c r="B685" s="28">
        <v>790</v>
      </c>
      <c r="C685" s="28">
        <v>5687221</v>
      </c>
      <c r="D685" s="28"/>
      <c r="E685" s="41">
        <v>46168</v>
      </c>
      <c r="F685" s="47">
        <v>0.144375</v>
      </c>
      <c r="G685" s="44">
        <v>6.3</v>
      </c>
      <c r="H685" s="43" t="s">
        <v>228</v>
      </c>
      <c r="I685" s="40" t="s">
        <v>1300</v>
      </c>
    </row>
    <row r="686" spans="1:9" x14ac:dyDescent="0.2">
      <c r="A686" s="40" t="s">
        <v>62</v>
      </c>
      <c r="B686" s="28">
        <v>790</v>
      </c>
      <c r="C686" s="28">
        <v>5687221</v>
      </c>
      <c r="D686" s="28"/>
      <c r="E686" s="45">
        <v>46168</v>
      </c>
      <c r="F686" s="48">
        <v>0.15199074074074073</v>
      </c>
      <c r="G686" s="44">
        <v>6.3</v>
      </c>
      <c r="H686" s="43" t="s">
        <v>229</v>
      </c>
      <c r="I686" s="40" t="s">
        <v>1300</v>
      </c>
    </row>
    <row r="687" spans="1:9" x14ac:dyDescent="0.2">
      <c r="A687" s="40" t="s">
        <v>62</v>
      </c>
      <c r="B687" s="28">
        <v>790</v>
      </c>
      <c r="C687" s="28">
        <v>5688442</v>
      </c>
      <c r="D687" s="28"/>
      <c r="E687" s="41">
        <v>46168</v>
      </c>
      <c r="F687" s="47">
        <v>0.93982638888888892</v>
      </c>
      <c r="G687" s="44">
        <v>6.3</v>
      </c>
      <c r="H687" s="43" t="s">
        <v>228</v>
      </c>
      <c r="I687" s="40" t="s">
        <v>1300</v>
      </c>
    </row>
    <row r="688" spans="1:9" x14ac:dyDescent="0.2">
      <c r="A688" s="40" t="s">
        <v>62</v>
      </c>
      <c r="B688" s="28">
        <v>790</v>
      </c>
      <c r="C688" s="28">
        <v>5688442</v>
      </c>
      <c r="D688" s="28"/>
      <c r="E688" s="41">
        <v>46168</v>
      </c>
      <c r="F688" s="47">
        <v>0.94655092592592593</v>
      </c>
      <c r="G688" s="44">
        <v>6.3</v>
      </c>
      <c r="H688" s="43" t="s">
        <v>229</v>
      </c>
      <c r="I688" s="40" t="s">
        <v>1300</v>
      </c>
    </row>
    <row r="689" spans="1:9" x14ac:dyDescent="0.2">
      <c r="A689" s="40" t="s">
        <v>62</v>
      </c>
      <c r="B689" s="28">
        <v>790</v>
      </c>
      <c r="C689" s="28" t="s">
        <v>35</v>
      </c>
      <c r="D689" s="28" t="s">
        <v>38</v>
      </c>
      <c r="E689" s="45">
        <v>46168</v>
      </c>
      <c r="F689" s="48">
        <v>0.97976851851851854</v>
      </c>
      <c r="G689" s="42">
        <v>6.3</v>
      </c>
      <c r="H689" s="40" t="s">
        <v>230</v>
      </c>
      <c r="I689" s="40" t="s">
        <v>1300</v>
      </c>
    </row>
    <row r="690" spans="1:9" x14ac:dyDescent="0.2">
      <c r="A690" s="40" t="s">
        <v>62</v>
      </c>
      <c r="B690" s="28">
        <v>790</v>
      </c>
      <c r="C690" s="28">
        <v>5690596</v>
      </c>
      <c r="D690" s="28"/>
      <c r="E690" s="41">
        <v>46169</v>
      </c>
      <c r="F690" s="47">
        <v>0.90825231481481483</v>
      </c>
      <c r="G690" s="42">
        <v>6.3</v>
      </c>
      <c r="H690" s="40" t="s">
        <v>228</v>
      </c>
      <c r="I690" s="40" t="s">
        <v>1300</v>
      </c>
    </row>
    <row r="691" spans="1:9" x14ac:dyDescent="0.2">
      <c r="A691" s="40" t="s">
        <v>62</v>
      </c>
      <c r="B691" s="28">
        <v>790</v>
      </c>
      <c r="C691" s="28">
        <v>5690888</v>
      </c>
      <c r="D691" s="28"/>
      <c r="E691" s="41">
        <v>46170</v>
      </c>
      <c r="F691" s="47">
        <v>0.23053240740740741</v>
      </c>
      <c r="G691" s="44">
        <v>6.3</v>
      </c>
      <c r="H691" s="43" t="s">
        <v>228</v>
      </c>
      <c r="I691" s="40" t="s">
        <v>1300</v>
      </c>
    </row>
    <row r="692" spans="1:9" x14ac:dyDescent="0.2">
      <c r="A692" s="40" t="s">
        <v>62</v>
      </c>
      <c r="B692" s="28">
        <v>790</v>
      </c>
      <c r="C692" s="28">
        <v>5690888</v>
      </c>
      <c r="D692" s="28"/>
      <c r="E692" s="41">
        <v>46170</v>
      </c>
      <c r="F692" s="47">
        <v>0.239375</v>
      </c>
      <c r="G692" s="44">
        <v>6.3</v>
      </c>
      <c r="H692" s="43" t="s">
        <v>229</v>
      </c>
      <c r="I692" s="40" t="s">
        <v>1300</v>
      </c>
    </row>
    <row r="693" spans="1:9" x14ac:dyDescent="0.2">
      <c r="A693" s="40" t="s">
        <v>62</v>
      </c>
      <c r="B693" s="28">
        <v>790</v>
      </c>
      <c r="C693" s="28">
        <v>5690671</v>
      </c>
      <c r="D693" s="28"/>
      <c r="E693" s="41">
        <v>46170</v>
      </c>
      <c r="F693" s="47">
        <v>0.32275462962962964</v>
      </c>
      <c r="G693" s="44">
        <v>6.3</v>
      </c>
      <c r="H693" s="43" t="s">
        <v>226</v>
      </c>
      <c r="I693" s="40" t="s">
        <v>1300</v>
      </c>
    </row>
    <row r="694" spans="1:9" x14ac:dyDescent="0.2">
      <c r="A694" s="40" t="s">
        <v>62</v>
      </c>
      <c r="B694" s="28">
        <v>790</v>
      </c>
      <c r="C694" s="28">
        <v>5690671</v>
      </c>
      <c r="D694" s="28"/>
      <c r="E694" s="41">
        <v>46170</v>
      </c>
      <c r="F694" s="47">
        <v>0.33268518518518519</v>
      </c>
      <c r="G694" s="44">
        <v>6.3</v>
      </c>
      <c r="H694" s="43" t="s">
        <v>227</v>
      </c>
      <c r="I694" s="40" t="s">
        <v>1300</v>
      </c>
    </row>
    <row r="695" spans="1:9" x14ac:dyDescent="0.2">
      <c r="A695" s="40" t="s">
        <v>62</v>
      </c>
      <c r="B695" s="28">
        <v>790</v>
      </c>
      <c r="C695" s="28">
        <v>5693717</v>
      </c>
      <c r="D695" s="28"/>
      <c r="E695" s="41">
        <v>46171</v>
      </c>
      <c r="F695" s="47">
        <v>0.84592592592592597</v>
      </c>
      <c r="G695" s="44">
        <v>6.3</v>
      </c>
      <c r="H695" s="43" t="s">
        <v>228</v>
      </c>
      <c r="I695" s="40" t="s">
        <v>1300</v>
      </c>
    </row>
    <row r="696" spans="1:9" x14ac:dyDescent="0.2">
      <c r="A696" s="40" t="s">
        <v>62</v>
      </c>
      <c r="B696" s="28">
        <v>790</v>
      </c>
      <c r="C696" s="28">
        <v>5693717</v>
      </c>
      <c r="D696" s="28"/>
      <c r="E696" s="41">
        <v>46171</v>
      </c>
      <c r="F696" s="47">
        <v>0.85704861111111108</v>
      </c>
      <c r="G696" s="44">
        <v>6.3</v>
      </c>
      <c r="H696" s="43" t="s">
        <v>233</v>
      </c>
      <c r="I696" s="40" t="s">
        <v>1300</v>
      </c>
    </row>
    <row r="697" spans="1:9" x14ac:dyDescent="0.2">
      <c r="A697" s="40" t="s">
        <v>62</v>
      </c>
      <c r="B697" s="28">
        <v>790</v>
      </c>
      <c r="C697" s="28" t="s">
        <v>35</v>
      </c>
      <c r="D697" s="28" t="s">
        <v>38</v>
      </c>
      <c r="E697" s="41">
        <v>46171</v>
      </c>
      <c r="F697" s="47">
        <v>0.86842592592592593</v>
      </c>
      <c r="G697" s="44">
        <v>6.3</v>
      </c>
      <c r="H697" s="43" t="s">
        <v>234</v>
      </c>
      <c r="I697" s="40" t="s">
        <v>1300</v>
      </c>
    </row>
    <row r="698" spans="1:9" x14ac:dyDescent="0.2">
      <c r="A698" s="40" t="s">
        <v>62</v>
      </c>
      <c r="B698" s="28">
        <v>790</v>
      </c>
      <c r="C698" s="28" t="s">
        <v>35</v>
      </c>
      <c r="D698" s="28" t="s">
        <v>38</v>
      </c>
      <c r="E698" s="41">
        <v>46171</v>
      </c>
      <c r="F698" s="47">
        <v>0.89430555555555558</v>
      </c>
      <c r="G698" s="44">
        <v>6.3</v>
      </c>
      <c r="H698" s="43" t="s">
        <v>227</v>
      </c>
      <c r="I698" s="40" t="s">
        <v>1300</v>
      </c>
    </row>
    <row r="699" spans="1:9" x14ac:dyDescent="0.2">
      <c r="A699" s="40" t="s">
        <v>62</v>
      </c>
      <c r="B699" s="28">
        <v>790</v>
      </c>
      <c r="C699" s="28" t="s">
        <v>555</v>
      </c>
      <c r="D699" s="28"/>
      <c r="E699" s="41">
        <v>46172</v>
      </c>
      <c r="F699" s="47">
        <v>0.3134837962962963</v>
      </c>
      <c r="G699" s="44">
        <v>6.3</v>
      </c>
      <c r="H699" s="43" t="s">
        <v>228</v>
      </c>
      <c r="I699" s="40" t="s">
        <v>1300</v>
      </c>
    </row>
    <row r="700" spans="1:9" x14ac:dyDescent="0.2">
      <c r="A700" s="40" t="s">
        <v>62</v>
      </c>
      <c r="B700" s="28">
        <v>790</v>
      </c>
      <c r="C700" s="28" t="s">
        <v>555</v>
      </c>
      <c r="D700" s="28"/>
      <c r="E700" s="41">
        <v>46172</v>
      </c>
      <c r="F700" s="47">
        <v>0.32297453703703705</v>
      </c>
      <c r="G700" s="44">
        <v>6.3</v>
      </c>
      <c r="H700" s="43" t="s">
        <v>229</v>
      </c>
      <c r="I700" s="40" t="s">
        <v>1300</v>
      </c>
    </row>
    <row r="701" spans="1:9" x14ac:dyDescent="0.2">
      <c r="A701" s="40" t="s">
        <v>62</v>
      </c>
      <c r="B701" s="28">
        <v>790</v>
      </c>
      <c r="C701" s="28" t="s">
        <v>35</v>
      </c>
      <c r="D701" s="28" t="s">
        <v>38</v>
      </c>
      <c r="E701" s="41">
        <v>46172</v>
      </c>
      <c r="F701" s="47">
        <v>0.33438657407407407</v>
      </c>
      <c r="G701" s="44">
        <v>6.3</v>
      </c>
      <c r="H701" s="43" t="s">
        <v>230</v>
      </c>
      <c r="I701" s="40" t="s">
        <v>1300</v>
      </c>
    </row>
    <row r="702" spans="1:9" x14ac:dyDescent="0.2">
      <c r="A702" s="40" t="s">
        <v>62</v>
      </c>
      <c r="B702" s="28">
        <v>790</v>
      </c>
      <c r="C702" s="28" t="s">
        <v>35</v>
      </c>
      <c r="D702" s="28" t="s">
        <v>38</v>
      </c>
      <c r="E702" s="41">
        <v>46173</v>
      </c>
      <c r="F702" s="47">
        <v>0.23424768518518518</v>
      </c>
      <c r="G702" s="42">
        <v>6.3</v>
      </c>
      <c r="H702" s="40" t="s">
        <v>228</v>
      </c>
      <c r="I702" s="40" t="s">
        <v>1300</v>
      </c>
    </row>
    <row r="703" spans="1:9" x14ac:dyDescent="0.2">
      <c r="A703" s="40" t="s">
        <v>223</v>
      </c>
      <c r="B703" s="28">
        <v>793</v>
      </c>
      <c r="C703" s="28" t="s">
        <v>35</v>
      </c>
      <c r="D703" s="28" t="s">
        <v>38</v>
      </c>
      <c r="E703" s="45">
        <v>46167</v>
      </c>
      <c r="F703" s="48">
        <v>0.86609953703703701</v>
      </c>
      <c r="G703" s="44">
        <v>6.3</v>
      </c>
      <c r="H703" s="43" t="s">
        <v>227</v>
      </c>
      <c r="I703" s="40" t="s">
        <v>1300</v>
      </c>
    </row>
    <row r="704" spans="1:9" x14ac:dyDescent="0.2">
      <c r="A704" s="40" t="s">
        <v>223</v>
      </c>
      <c r="B704" s="28">
        <v>793</v>
      </c>
      <c r="C704" s="28" t="s">
        <v>35</v>
      </c>
      <c r="D704" s="28" t="s">
        <v>38</v>
      </c>
      <c r="E704" s="45">
        <v>46168</v>
      </c>
      <c r="F704" s="48">
        <v>0.5306481481481482</v>
      </c>
      <c r="G704" s="44">
        <v>6.3</v>
      </c>
      <c r="H704" s="43" t="s">
        <v>227</v>
      </c>
      <c r="I704" s="40" t="s">
        <v>1300</v>
      </c>
    </row>
    <row r="705" spans="1:9" x14ac:dyDescent="0.2">
      <c r="A705" s="40" t="s">
        <v>223</v>
      </c>
      <c r="B705" s="28">
        <v>793</v>
      </c>
      <c r="C705" s="28" t="s">
        <v>35</v>
      </c>
      <c r="D705" s="28" t="s">
        <v>38</v>
      </c>
      <c r="E705" s="41">
        <v>46170</v>
      </c>
      <c r="F705" s="47">
        <v>0.44459490740740742</v>
      </c>
      <c r="G705" s="42">
        <v>6.3</v>
      </c>
      <c r="H705" s="40" t="s">
        <v>228</v>
      </c>
      <c r="I705" s="40" t="s">
        <v>1300</v>
      </c>
    </row>
    <row r="706" spans="1:9" x14ac:dyDescent="0.2">
      <c r="A706" s="40" t="s">
        <v>223</v>
      </c>
      <c r="B706" s="28">
        <v>793</v>
      </c>
      <c r="C706" s="28" t="s">
        <v>35</v>
      </c>
      <c r="D706" s="28" t="s">
        <v>38</v>
      </c>
      <c r="E706" s="45">
        <v>46170</v>
      </c>
      <c r="F706" s="48">
        <v>0.45210648148148147</v>
      </c>
      <c r="G706" s="44">
        <v>6.3</v>
      </c>
      <c r="H706" s="43" t="s">
        <v>229</v>
      </c>
      <c r="I706" s="40" t="s">
        <v>1300</v>
      </c>
    </row>
    <row r="707" spans="1:9" x14ac:dyDescent="0.2">
      <c r="A707" s="40" t="s">
        <v>223</v>
      </c>
      <c r="B707" s="28">
        <v>793</v>
      </c>
      <c r="C707" s="28" t="s">
        <v>556</v>
      </c>
      <c r="D707" s="28"/>
      <c r="E707" s="41">
        <v>46170</v>
      </c>
      <c r="F707" s="47">
        <v>0.6355439814814815</v>
      </c>
      <c r="G707" s="44">
        <v>6.3</v>
      </c>
      <c r="H707" s="43" t="s">
        <v>228</v>
      </c>
      <c r="I707" s="40" t="s">
        <v>1300</v>
      </c>
    </row>
    <row r="708" spans="1:9" x14ac:dyDescent="0.2">
      <c r="A708" s="40" t="s">
        <v>223</v>
      </c>
      <c r="B708" s="28">
        <v>793</v>
      </c>
      <c r="C708" s="28" t="s">
        <v>556</v>
      </c>
      <c r="D708" s="28"/>
      <c r="E708" s="41">
        <v>46170</v>
      </c>
      <c r="F708" s="47">
        <v>0.65300925925925923</v>
      </c>
      <c r="G708" s="44">
        <v>6.3</v>
      </c>
      <c r="H708" s="43" t="s">
        <v>229</v>
      </c>
      <c r="I708" s="40" t="s">
        <v>1300</v>
      </c>
    </row>
    <row r="709" spans="1:9" x14ac:dyDescent="0.2">
      <c r="A709" s="40" t="s">
        <v>223</v>
      </c>
      <c r="B709" s="28">
        <v>793</v>
      </c>
      <c r="C709" s="28" t="s">
        <v>35</v>
      </c>
      <c r="D709" s="28" t="s">
        <v>38</v>
      </c>
      <c r="E709" s="41">
        <v>46170</v>
      </c>
      <c r="F709" s="47">
        <v>0.72040509259259256</v>
      </c>
      <c r="G709" s="44">
        <v>6.3</v>
      </c>
      <c r="H709" s="43" t="s">
        <v>227</v>
      </c>
      <c r="I709" s="40" t="s">
        <v>1300</v>
      </c>
    </row>
    <row r="710" spans="1:9" x14ac:dyDescent="0.2">
      <c r="A710" s="40" t="s">
        <v>223</v>
      </c>
      <c r="B710" s="28">
        <v>793</v>
      </c>
      <c r="C710" s="28">
        <v>5692850</v>
      </c>
      <c r="D710" s="28" t="s">
        <v>37</v>
      </c>
      <c r="E710" s="45">
        <v>46171</v>
      </c>
      <c r="F710" s="48">
        <v>0.43311342592592594</v>
      </c>
      <c r="G710" s="44">
        <v>6.3</v>
      </c>
      <c r="H710" s="43" t="s">
        <v>228</v>
      </c>
      <c r="I710" s="40" t="s">
        <v>1300</v>
      </c>
    </row>
    <row r="711" spans="1:9" x14ac:dyDescent="0.2">
      <c r="A711" s="40" t="s">
        <v>223</v>
      </c>
      <c r="B711" s="28">
        <v>793</v>
      </c>
      <c r="C711" s="28">
        <v>5692850</v>
      </c>
      <c r="D711" s="28" t="s">
        <v>37</v>
      </c>
      <c r="E711" s="41">
        <v>46171</v>
      </c>
      <c r="F711" s="47">
        <v>0.4460763888888889</v>
      </c>
      <c r="G711" s="44">
        <v>6.3</v>
      </c>
      <c r="H711" s="43" t="s">
        <v>232</v>
      </c>
      <c r="I711" s="40" t="s">
        <v>1300</v>
      </c>
    </row>
    <row r="712" spans="1:9" x14ac:dyDescent="0.2">
      <c r="A712" s="40" t="s">
        <v>223</v>
      </c>
      <c r="B712" s="28">
        <v>793</v>
      </c>
      <c r="C712" s="28">
        <v>5693692</v>
      </c>
      <c r="D712" s="28" t="s">
        <v>37</v>
      </c>
      <c r="E712" s="45">
        <v>46171</v>
      </c>
      <c r="F712" s="48">
        <v>0.96666666666666667</v>
      </c>
      <c r="G712" s="42">
        <v>6.3</v>
      </c>
      <c r="H712" s="40" t="s">
        <v>228</v>
      </c>
      <c r="I712" s="40" t="s">
        <v>1300</v>
      </c>
    </row>
    <row r="713" spans="1:9" x14ac:dyDescent="0.2">
      <c r="A713" s="40" t="s">
        <v>223</v>
      </c>
      <c r="B713" s="28">
        <v>793</v>
      </c>
      <c r="C713" s="28">
        <v>5693692</v>
      </c>
      <c r="D713" s="28" t="s">
        <v>37</v>
      </c>
      <c r="E713" s="45">
        <v>46171</v>
      </c>
      <c r="F713" s="48">
        <v>0.9735300925925926</v>
      </c>
      <c r="G713" s="42">
        <v>6.3</v>
      </c>
      <c r="H713" s="40" t="s">
        <v>229</v>
      </c>
      <c r="I713" s="40" t="s">
        <v>1300</v>
      </c>
    </row>
    <row r="714" spans="1:9" x14ac:dyDescent="0.2">
      <c r="A714" s="40" t="s">
        <v>223</v>
      </c>
      <c r="B714" s="28">
        <v>793</v>
      </c>
      <c r="C714" s="28" t="s">
        <v>35</v>
      </c>
      <c r="D714" s="28" t="s">
        <v>38</v>
      </c>
      <c r="E714" s="41">
        <v>46173</v>
      </c>
      <c r="F714" s="47">
        <v>0.67608796296296292</v>
      </c>
      <c r="G714" s="42">
        <v>6.3</v>
      </c>
      <c r="H714" s="40" t="s">
        <v>231</v>
      </c>
      <c r="I714" s="40" t="s">
        <v>1300</v>
      </c>
    </row>
    <row r="715" spans="1:9" x14ac:dyDescent="0.2">
      <c r="A715" s="40" t="s">
        <v>223</v>
      </c>
      <c r="B715" s="28">
        <v>793</v>
      </c>
      <c r="C715" s="28">
        <v>5696110</v>
      </c>
      <c r="D715" s="28"/>
      <c r="E715" s="41">
        <v>46173</v>
      </c>
      <c r="F715" s="47">
        <v>0.76572916666666668</v>
      </c>
      <c r="G715" s="42">
        <v>6.3</v>
      </c>
      <c r="H715" s="40" t="s">
        <v>228</v>
      </c>
      <c r="I715" s="40" t="s">
        <v>1300</v>
      </c>
    </row>
    <row r="716" spans="1:9" x14ac:dyDescent="0.2">
      <c r="A716" s="40" t="s">
        <v>557</v>
      </c>
      <c r="B716" s="28">
        <v>794</v>
      </c>
      <c r="C716" s="28" t="s">
        <v>35</v>
      </c>
      <c r="D716" s="28" t="s">
        <v>38</v>
      </c>
      <c r="E716" s="45">
        <v>46167</v>
      </c>
      <c r="F716" s="48">
        <v>0.92607638888888888</v>
      </c>
      <c r="G716" s="44">
        <v>6.3</v>
      </c>
      <c r="H716" s="43" t="s">
        <v>228</v>
      </c>
      <c r="I716" s="40" t="s">
        <v>1300</v>
      </c>
    </row>
    <row r="717" spans="1:9" x14ac:dyDescent="0.2">
      <c r="A717" s="40" t="s">
        <v>557</v>
      </c>
      <c r="B717" s="28">
        <v>794</v>
      </c>
      <c r="C717" s="28" t="s">
        <v>35</v>
      </c>
      <c r="D717" s="28" t="s">
        <v>38</v>
      </c>
      <c r="E717" s="41">
        <v>46167</v>
      </c>
      <c r="F717" s="47">
        <v>0.93336805555555558</v>
      </c>
      <c r="G717" s="44">
        <v>6.3</v>
      </c>
      <c r="H717" s="43" t="s">
        <v>229</v>
      </c>
      <c r="I717" s="40" t="s">
        <v>1300</v>
      </c>
    </row>
    <row r="718" spans="1:9" x14ac:dyDescent="0.2">
      <c r="A718" s="40" t="s">
        <v>557</v>
      </c>
      <c r="B718" s="28">
        <v>794</v>
      </c>
      <c r="C718" s="28" t="s">
        <v>35</v>
      </c>
      <c r="D718" s="28" t="s">
        <v>38</v>
      </c>
      <c r="E718" s="45">
        <v>46167</v>
      </c>
      <c r="F718" s="48">
        <v>0.93938657407407411</v>
      </c>
      <c r="G718" s="44">
        <v>6.3</v>
      </c>
      <c r="H718" s="43" t="s">
        <v>230</v>
      </c>
      <c r="I718" s="40" t="s">
        <v>1300</v>
      </c>
    </row>
    <row r="719" spans="1:9" x14ac:dyDescent="0.2">
      <c r="A719" s="40" t="s">
        <v>557</v>
      </c>
      <c r="B719" s="28">
        <v>794</v>
      </c>
      <c r="C719" s="28" t="s">
        <v>35</v>
      </c>
      <c r="D719" s="28" t="s">
        <v>38</v>
      </c>
      <c r="E719" s="41">
        <v>46167</v>
      </c>
      <c r="F719" s="47">
        <v>0.94510416666666663</v>
      </c>
      <c r="G719" s="44">
        <v>6.3</v>
      </c>
      <c r="H719" s="43" t="s">
        <v>227</v>
      </c>
      <c r="I719" s="40" t="s">
        <v>1300</v>
      </c>
    </row>
    <row r="720" spans="1:9" x14ac:dyDescent="0.2">
      <c r="A720" s="40" t="s">
        <v>557</v>
      </c>
      <c r="B720" s="28">
        <v>794</v>
      </c>
      <c r="C720" s="28" t="s">
        <v>558</v>
      </c>
      <c r="D720" s="28"/>
      <c r="E720" s="45">
        <v>46169</v>
      </c>
      <c r="F720" s="48">
        <v>0.91461805555555553</v>
      </c>
      <c r="G720" s="44">
        <v>6.3</v>
      </c>
      <c r="H720" s="43" t="s">
        <v>228</v>
      </c>
      <c r="I720" s="40" t="s">
        <v>1300</v>
      </c>
    </row>
    <row r="721" spans="1:9" x14ac:dyDescent="0.2">
      <c r="A721" s="40" t="s">
        <v>557</v>
      </c>
      <c r="B721" s="28">
        <v>794</v>
      </c>
      <c r="C721" s="28" t="s">
        <v>558</v>
      </c>
      <c r="D721" s="28"/>
      <c r="E721" s="45">
        <v>46169</v>
      </c>
      <c r="F721" s="48">
        <v>0.92180555555555554</v>
      </c>
      <c r="G721" s="44">
        <v>6.3</v>
      </c>
      <c r="H721" s="43" t="s">
        <v>232</v>
      </c>
      <c r="I721" s="40" t="s">
        <v>1300</v>
      </c>
    </row>
    <row r="722" spans="1:9" x14ac:dyDescent="0.2">
      <c r="A722" s="40" t="s">
        <v>557</v>
      </c>
      <c r="B722" s="28">
        <v>794</v>
      </c>
      <c r="C722" s="28" t="s">
        <v>35</v>
      </c>
      <c r="D722" s="28" t="s">
        <v>38</v>
      </c>
      <c r="E722" s="41">
        <v>46169</v>
      </c>
      <c r="F722" s="47">
        <v>0.9513194444444445</v>
      </c>
      <c r="G722" s="44">
        <v>6.3</v>
      </c>
      <c r="H722" s="43" t="s">
        <v>226</v>
      </c>
      <c r="I722" s="40" t="s">
        <v>1300</v>
      </c>
    </row>
    <row r="723" spans="1:9" x14ac:dyDescent="0.2">
      <c r="A723" s="40" t="s">
        <v>557</v>
      </c>
      <c r="B723" s="28">
        <v>794</v>
      </c>
      <c r="C723" s="28" t="s">
        <v>559</v>
      </c>
      <c r="D723" s="28"/>
      <c r="E723" s="41">
        <v>46171</v>
      </c>
      <c r="F723" s="47">
        <v>0.88748842592592592</v>
      </c>
      <c r="G723" s="44">
        <v>6.3</v>
      </c>
      <c r="H723" s="43" t="s">
        <v>228</v>
      </c>
      <c r="I723" s="40" t="s">
        <v>1300</v>
      </c>
    </row>
    <row r="724" spans="1:9" x14ac:dyDescent="0.2">
      <c r="A724" s="40" t="s">
        <v>557</v>
      </c>
      <c r="B724" s="28">
        <v>794</v>
      </c>
      <c r="C724" s="28" t="s">
        <v>559</v>
      </c>
      <c r="D724" s="28"/>
      <c r="E724" s="41">
        <v>46171</v>
      </c>
      <c r="F724" s="47">
        <v>0.89513888888888893</v>
      </c>
      <c r="G724" s="44">
        <v>6.3</v>
      </c>
      <c r="H724" s="43" t="s">
        <v>229</v>
      </c>
      <c r="I724" s="40" t="s">
        <v>1300</v>
      </c>
    </row>
    <row r="725" spans="1:9" x14ac:dyDescent="0.2">
      <c r="A725" s="40" t="s">
        <v>557</v>
      </c>
      <c r="B725" s="28">
        <v>794</v>
      </c>
      <c r="C725" s="28">
        <v>5694271</v>
      </c>
      <c r="D725" s="28"/>
      <c r="E725" s="41">
        <v>46172</v>
      </c>
      <c r="F725" s="47">
        <v>2.0185185185185184E-2</v>
      </c>
      <c r="G725" s="44">
        <v>6.3</v>
      </c>
      <c r="H725" s="43" t="s">
        <v>228</v>
      </c>
      <c r="I725" s="40" t="s">
        <v>1300</v>
      </c>
    </row>
    <row r="726" spans="1:9" x14ac:dyDescent="0.2">
      <c r="A726" s="40" t="s">
        <v>557</v>
      </c>
      <c r="B726" s="28">
        <v>794</v>
      </c>
      <c r="C726" s="28">
        <v>5694271</v>
      </c>
      <c r="D726" s="28"/>
      <c r="E726" s="41">
        <v>46172</v>
      </c>
      <c r="F726" s="47">
        <v>2.7094907407407408E-2</v>
      </c>
      <c r="G726" s="44">
        <v>6.3</v>
      </c>
      <c r="H726" s="43" t="s">
        <v>232</v>
      </c>
      <c r="I726" s="40" t="s">
        <v>1300</v>
      </c>
    </row>
    <row r="727" spans="1:9" x14ac:dyDescent="0.2">
      <c r="A727" s="40" t="s">
        <v>63</v>
      </c>
      <c r="B727" s="28">
        <v>795</v>
      </c>
      <c r="C727" s="28" t="s">
        <v>35</v>
      </c>
      <c r="D727" s="28" t="s">
        <v>38</v>
      </c>
      <c r="E727" s="41">
        <v>46168</v>
      </c>
      <c r="F727" s="47">
        <v>0.7986226851851852</v>
      </c>
      <c r="G727" s="44">
        <v>6.3</v>
      </c>
      <c r="H727" s="43" t="s">
        <v>230</v>
      </c>
      <c r="I727" s="40" t="s">
        <v>1300</v>
      </c>
    </row>
    <row r="728" spans="1:9" x14ac:dyDescent="0.2">
      <c r="A728" s="40" t="s">
        <v>63</v>
      </c>
      <c r="B728" s="28">
        <v>795</v>
      </c>
      <c r="C728" s="28" t="s">
        <v>35</v>
      </c>
      <c r="D728" s="28" t="s">
        <v>38</v>
      </c>
      <c r="E728" s="41">
        <v>46168</v>
      </c>
      <c r="F728" s="47">
        <v>0.81418981481481478</v>
      </c>
      <c r="G728" s="44">
        <v>6.3</v>
      </c>
      <c r="H728" s="43" t="s">
        <v>227</v>
      </c>
      <c r="I728" s="40" t="s">
        <v>1300</v>
      </c>
    </row>
    <row r="729" spans="1:9" x14ac:dyDescent="0.2">
      <c r="A729" s="40" t="s">
        <v>63</v>
      </c>
      <c r="B729" s="28">
        <v>795</v>
      </c>
      <c r="C729" s="28" t="s">
        <v>560</v>
      </c>
      <c r="D729" s="28"/>
      <c r="E729" s="45">
        <v>46171</v>
      </c>
      <c r="F729" s="48">
        <v>0.98177083333333337</v>
      </c>
      <c r="G729" s="44">
        <v>6.3</v>
      </c>
      <c r="H729" s="43" t="s">
        <v>228</v>
      </c>
      <c r="I729" s="40" t="s">
        <v>1300</v>
      </c>
    </row>
    <row r="730" spans="1:9" x14ac:dyDescent="0.2">
      <c r="A730" s="40" t="s">
        <v>63</v>
      </c>
      <c r="B730" s="28">
        <v>795</v>
      </c>
      <c r="C730" s="28" t="s">
        <v>560</v>
      </c>
      <c r="D730" s="28"/>
      <c r="E730" s="41">
        <v>46171</v>
      </c>
      <c r="F730" s="47">
        <v>0.98927083333333332</v>
      </c>
      <c r="G730" s="44">
        <v>6.3</v>
      </c>
      <c r="H730" s="43" t="s">
        <v>229</v>
      </c>
      <c r="I730" s="40" t="s">
        <v>1300</v>
      </c>
    </row>
    <row r="731" spans="1:9" x14ac:dyDescent="0.2">
      <c r="A731" s="40" t="s">
        <v>402</v>
      </c>
      <c r="B731" s="28">
        <v>803</v>
      </c>
      <c r="C731" s="28">
        <v>5685824</v>
      </c>
      <c r="D731" s="28"/>
      <c r="E731" s="41">
        <v>46167</v>
      </c>
      <c r="F731" s="47">
        <v>0.48085648148148147</v>
      </c>
      <c r="G731" s="44">
        <v>6.3</v>
      </c>
      <c r="H731" s="43" t="s">
        <v>230</v>
      </c>
      <c r="I731" s="40" t="s">
        <v>1300</v>
      </c>
    </row>
    <row r="732" spans="1:9" x14ac:dyDescent="0.2">
      <c r="A732" s="40" t="s">
        <v>402</v>
      </c>
      <c r="B732" s="28">
        <v>803</v>
      </c>
      <c r="C732" s="28">
        <v>5685824</v>
      </c>
      <c r="D732" s="28"/>
      <c r="E732" s="41">
        <v>46167</v>
      </c>
      <c r="F732" s="47">
        <v>0.48645833333333333</v>
      </c>
      <c r="G732" s="44">
        <v>6.3</v>
      </c>
      <c r="H732" s="43" t="s">
        <v>227</v>
      </c>
      <c r="I732" s="40" t="s">
        <v>1300</v>
      </c>
    </row>
    <row r="733" spans="1:9" x14ac:dyDescent="0.2">
      <c r="A733" s="40" t="s">
        <v>402</v>
      </c>
      <c r="B733" s="28">
        <v>803</v>
      </c>
      <c r="C733" s="28" t="s">
        <v>35</v>
      </c>
      <c r="D733" s="28" t="s">
        <v>38</v>
      </c>
      <c r="E733" s="41">
        <v>46167</v>
      </c>
      <c r="F733" s="47">
        <v>0.61353009259259261</v>
      </c>
      <c r="G733" s="44">
        <v>6.3</v>
      </c>
      <c r="H733" s="43" t="s">
        <v>228</v>
      </c>
      <c r="I733" s="40" t="s">
        <v>1300</v>
      </c>
    </row>
    <row r="734" spans="1:9" x14ac:dyDescent="0.2">
      <c r="A734" s="40" t="s">
        <v>402</v>
      </c>
      <c r="B734" s="28">
        <v>803</v>
      </c>
      <c r="C734" s="28" t="s">
        <v>35</v>
      </c>
      <c r="D734" s="28" t="s">
        <v>38</v>
      </c>
      <c r="E734" s="41">
        <v>46167</v>
      </c>
      <c r="F734" s="47">
        <v>0.62553240740740745</v>
      </c>
      <c r="G734" s="44">
        <v>6.3</v>
      </c>
      <c r="H734" s="43" t="s">
        <v>232</v>
      </c>
      <c r="I734" s="40" t="s">
        <v>1300</v>
      </c>
    </row>
    <row r="735" spans="1:9" x14ac:dyDescent="0.2">
      <c r="A735" s="40" t="s">
        <v>402</v>
      </c>
      <c r="B735" s="28">
        <v>803</v>
      </c>
      <c r="C735" s="28">
        <v>5685779</v>
      </c>
      <c r="D735" s="28"/>
      <c r="E735" s="41">
        <v>46167</v>
      </c>
      <c r="F735" s="47">
        <v>0.69519675925925928</v>
      </c>
      <c r="G735" s="44">
        <v>6.3</v>
      </c>
      <c r="H735" s="43" t="s">
        <v>231</v>
      </c>
      <c r="I735" s="40" t="s">
        <v>1300</v>
      </c>
    </row>
    <row r="736" spans="1:9" x14ac:dyDescent="0.2">
      <c r="A736" s="40" t="s">
        <v>402</v>
      </c>
      <c r="B736" s="28">
        <v>803</v>
      </c>
      <c r="C736" s="28">
        <v>5685779</v>
      </c>
      <c r="D736" s="28"/>
      <c r="E736" s="41">
        <v>46167</v>
      </c>
      <c r="F736" s="47">
        <v>0.70211805555555551</v>
      </c>
      <c r="G736" s="44">
        <v>6.3</v>
      </c>
      <c r="H736" s="43" t="s">
        <v>227</v>
      </c>
      <c r="I736" s="40" t="s">
        <v>1300</v>
      </c>
    </row>
    <row r="737" spans="1:9" x14ac:dyDescent="0.2">
      <c r="A737" s="40" t="s">
        <v>402</v>
      </c>
      <c r="B737" s="28">
        <v>803</v>
      </c>
      <c r="C737" s="28">
        <v>5688083</v>
      </c>
      <c r="D737" s="28"/>
      <c r="E737" s="41">
        <v>46168</v>
      </c>
      <c r="F737" s="47">
        <v>0.77849537037037042</v>
      </c>
      <c r="G737" s="44">
        <v>6.3</v>
      </c>
      <c r="H737" s="43" t="s">
        <v>230</v>
      </c>
      <c r="I737" s="40" t="s">
        <v>1300</v>
      </c>
    </row>
    <row r="738" spans="1:9" x14ac:dyDescent="0.2">
      <c r="A738" s="40" t="s">
        <v>402</v>
      </c>
      <c r="B738" s="28">
        <v>803</v>
      </c>
      <c r="C738" s="28">
        <v>5688083</v>
      </c>
      <c r="D738" s="28"/>
      <c r="E738" s="41">
        <v>46168</v>
      </c>
      <c r="F738" s="47">
        <v>0.79395833333333332</v>
      </c>
      <c r="G738" s="44">
        <v>6.3</v>
      </c>
      <c r="H738" s="43" t="s">
        <v>227</v>
      </c>
      <c r="I738" s="40" t="s">
        <v>1300</v>
      </c>
    </row>
    <row r="739" spans="1:9" x14ac:dyDescent="0.2">
      <c r="A739" s="40" t="s">
        <v>402</v>
      </c>
      <c r="B739" s="28">
        <v>803</v>
      </c>
      <c r="C739" s="28">
        <v>5689682</v>
      </c>
      <c r="D739" s="28"/>
      <c r="E739" s="41">
        <v>46169</v>
      </c>
      <c r="F739" s="47">
        <v>0.57856481481481481</v>
      </c>
      <c r="G739" s="44">
        <v>6.3</v>
      </c>
      <c r="H739" s="43" t="s">
        <v>228</v>
      </c>
      <c r="I739" s="40" t="s">
        <v>1300</v>
      </c>
    </row>
    <row r="740" spans="1:9" x14ac:dyDescent="0.2">
      <c r="A740" s="40" t="s">
        <v>402</v>
      </c>
      <c r="B740" s="28">
        <v>803</v>
      </c>
      <c r="C740" s="28">
        <v>5689682</v>
      </c>
      <c r="D740" s="28"/>
      <c r="E740" s="41">
        <v>46169</v>
      </c>
      <c r="F740" s="47">
        <v>0.5894328703703704</v>
      </c>
      <c r="G740" s="44">
        <v>6.3</v>
      </c>
      <c r="H740" s="43" t="s">
        <v>229</v>
      </c>
      <c r="I740" s="40" t="s">
        <v>1300</v>
      </c>
    </row>
    <row r="741" spans="1:9" x14ac:dyDescent="0.2">
      <c r="A741" s="40" t="s">
        <v>402</v>
      </c>
      <c r="B741" s="28">
        <v>803</v>
      </c>
      <c r="C741" s="28">
        <v>5689777</v>
      </c>
      <c r="D741" s="28"/>
      <c r="E741" s="41">
        <v>46169</v>
      </c>
      <c r="F741" s="47">
        <v>0.65921296296296295</v>
      </c>
      <c r="G741" s="44">
        <v>6.3</v>
      </c>
      <c r="H741" s="43" t="s">
        <v>226</v>
      </c>
      <c r="I741" s="40" t="s">
        <v>1300</v>
      </c>
    </row>
    <row r="742" spans="1:9" x14ac:dyDescent="0.2">
      <c r="A742" s="40" t="s">
        <v>402</v>
      </c>
      <c r="B742" s="28">
        <v>803</v>
      </c>
      <c r="C742" s="28">
        <v>5689777</v>
      </c>
      <c r="D742" s="28"/>
      <c r="E742" s="41">
        <v>46169</v>
      </c>
      <c r="F742" s="47">
        <v>0.66464120370370372</v>
      </c>
      <c r="G742" s="44">
        <v>6.3</v>
      </c>
      <c r="H742" s="43" t="s">
        <v>227</v>
      </c>
      <c r="I742" s="40" t="s">
        <v>1300</v>
      </c>
    </row>
    <row r="743" spans="1:9" x14ac:dyDescent="0.2">
      <c r="A743" s="40" t="s">
        <v>402</v>
      </c>
      <c r="B743" s="28">
        <v>803</v>
      </c>
      <c r="C743" s="28" t="s">
        <v>35</v>
      </c>
      <c r="D743" s="28" t="s">
        <v>38</v>
      </c>
      <c r="E743" s="41">
        <v>46169</v>
      </c>
      <c r="F743" s="47">
        <v>0.85400462962962964</v>
      </c>
      <c r="G743" s="44">
        <v>6.3</v>
      </c>
      <c r="H743" s="43" t="s">
        <v>230</v>
      </c>
      <c r="I743" s="40" t="s">
        <v>1300</v>
      </c>
    </row>
    <row r="744" spans="1:9" x14ac:dyDescent="0.2">
      <c r="A744" s="40" t="s">
        <v>64</v>
      </c>
      <c r="B744" s="28">
        <v>807</v>
      </c>
      <c r="C744" s="28" t="s">
        <v>561</v>
      </c>
      <c r="D744" s="28"/>
      <c r="E744" s="41">
        <v>46168</v>
      </c>
      <c r="F744" s="47">
        <v>0.54446759259259259</v>
      </c>
      <c r="G744" s="44">
        <v>6.3</v>
      </c>
      <c r="H744" s="43" t="s">
        <v>228</v>
      </c>
      <c r="I744" s="40" t="s">
        <v>1300</v>
      </c>
    </row>
    <row r="745" spans="1:9" x14ac:dyDescent="0.2">
      <c r="A745" s="40" t="s">
        <v>64</v>
      </c>
      <c r="B745" s="28">
        <v>807</v>
      </c>
      <c r="C745" s="28" t="s">
        <v>561</v>
      </c>
      <c r="D745" s="28"/>
      <c r="E745" s="41">
        <v>46168</v>
      </c>
      <c r="F745" s="47">
        <v>0.55582175925925925</v>
      </c>
      <c r="G745" s="44">
        <v>6.3</v>
      </c>
      <c r="H745" s="43" t="s">
        <v>232</v>
      </c>
      <c r="I745" s="40" t="s">
        <v>1300</v>
      </c>
    </row>
    <row r="746" spans="1:9" x14ac:dyDescent="0.2">
      <c r="A746" s="40" t="s">
        <v>64</v>
      </c>
      <c r="B746" s="28">
        <v>807</v>
      </c>
      <c r="C746" s="28" t="s">
        <v>35</v>
      </c>
      <c r="D746" s="28" t="s">
        <v>38</v>
      </c>
      <c r="E746" s="45">
        <v>46168</v>
      </c>
      <c r="F746" s="48">
        <v>0.58915509259259258</v>
      </c>
      <c r="G746" s="44">
        <v>6.3</v>
      </c>
      <c r="H746" s="43" t="s">
        <v>227</v>
      </c>
      <c r="I746" s="40" t="s">
        <v>1300</v>
      </c>
    </row>
    <row r="747" spans="1:9" x14ac:dyDescent="0.2">
      <c r="A747" s="40" t="s">
        <v>64</v>
      </c>
      <c r="B747" s="28">
        <v>807</v>
      </c>
      <c r="C747" s="28">
        <v>5692641</v>
      </c>
      <c r="D747" s="28"/>
      <c r="E747" s="41">
        <v>46171</v>
      </c>
      <c r="F747" s="47">
        <v>0.45262731481481483</v>
      </c>
      <c r="G747" s="44">
        <v>6.3</v>
      </c>
      <c r="H747" s="43" t="s">
        <v>232</v>
      </c>
      <c r="I747" s="40" t="s">
        <v>1300</v>
      </c>
    </row>
    <row r="748" spans="1:9" x14ac:dyDescent="0.2">
      <c r="A748" s="40" t="s">
        <v>64</v>
      </c>
      <c r="B748" s="28">
        <v>807</v>
      </c>
      <c r="C748" s="28" t="s">
        <v>35</v>
      </c>
      <c r="D748" s="28" t="s">
        <v>38</v>
      </c>
      <c r="E748" s="41">
        <v>46171</v>
      </c>
      <c r="F748" s="47">
        <v>0.46797453703703706</v>
      </c>
      <c r="G748" s="44">
        <v>6.3</v>
      </c>
      <c r="H748" s="43" t="s">
        <v>231</v>
      </c>
      <c r="I748" s="40" t="s">
        <v>1300</v>
      </c>
    </row>
    <row r="749" spans="1:9" x14ac:dyDescent="0.2">
      <c r="A749" s="40" t="s">
        <v>64</v>
      </c>
      <c r="B749" s="28">
        <v>807</v>
      </c>
      <c r="C749" s="28" t="s">
        <v>35</v>
      </c>
      <c r="D749" s="28" t="s">
        <v>38</v>
      </c>
      <c r="E749" s="41">
        <v>46171</v>
      </c>
      <c r="F749" s="47">
        <v>0.47344907407407405</v>
      </c>
      <c r="G749" s="44">
        <v>6.3</v>
      </c>
      <c r="H749" s="43" t="s">
        <v>227</v>
      </c>
      <c r="I749" s="40" t="s">
        <v>1300</v>
      </c>
    </row>
    <row r="750" spans="1:9" x14ac:dyDescent="0.2">
      <c r="A750" s="40" t="s">
        <v>64</v>
      </c>
      <c r="B750" s="28">
        <v>807</v>
      </c>
      <c r="C750" s="28" t="s">
        <v>35</v>
      </c>
      <c r="D750" s="28" t="s">
        <v>38</v>
      </c>
      <c r="E750" s="45">
        <v>46172</v>
      </c>
      <c r="F750" s="48">
        <v>0.39989583333333334</v>
      </c>
      <c r="G750" s="44">
        <v>6.3</v>
      </c>
      <c r="H750" s="43" t="s">
        <v>230</v>
      </c>
      <c r="I750" s="40" t="s">
        <v>1300</v>
      </c>
    </row>
    <row r="751" spans="1:9" x14ac:dyDescent="0.2">
      <c r="A751" s="40" t="s">
        <v>64</v>
      </c>
      <c r="B751" s="28">
        <v>807</v>
      </c>
      <c r="C751" s="28" t="s">
        <v>562</v>
      </c>
      <c r="D751" s="28"/>
      <c r="E751" s="41">
        <v>46172</v>
      </c>
      <c r="F751" s="47">
        <v>0.57094907407407403</v>
      </c>
      <c r="G751" s="44">
        <v>6.3</v>
      </c>
      <c r="H751" s="43" t="s">
        <v>228</v>
      </c>
      <c r="I751" s="40" t="s">
        <v>1300</v>
      </c>
    </row>
    <row r="752" spans="1:9" x14ac:dyDescent="0.2">
      <c r="A752" s="40" t="s">
        <v>64</v>
      </c>
      <c r="B752" s="28">
        <v>807</v>
      </c>
      <c r="C752" s="28" t="s">
        <v>562</v>
      </c>
      <c r="D752" s="28"/>
      <c r="E752" s="41">
        <v>46172</v>
      </c>
      <c r="F752" s="47">
        <v>0.58057870370370368</v>
      </c>
      <c r="G752" s="44">
        <v>6.3</v>
      </c>
      <c r="H752" s="43" t="s">
        <v>229</v>
      </c>
      <c r="I752" s="40" t="s">
        <v>1300</v>
      </c>
    </row>
    <row r="753" spans="1:9" x14ac:dyDescent="0.2">
      <c r="A753" s="40" t="s">
        <v>323</v>
      </c>
      <c r="B753" s="28">
        <v>818</v>
      </c>
      <c r="C753" s="28">
        <v>5687142</v>
      </c>
      <c r="D753" s="28"/>
      <c r="E753" s="41">
        <v>46167</v>
      </c>
      <c r="F753" s="47">
        <v>0.98789351851851848</v>
      </c>
      <c r="G753" s="44">
        <v>6.3</v>
      </c>
      <c r="H753" s="43" t="s">
        <v>228</v>
      </c>
      <c r="I753" s="40" t="s">
        <v>1300</v>
      </c>
    </row>
    <row r="754" spans="1:9" x14ac:dyDescent="0.2">
      <c r="A754" s="40" t="s">
        <v>323</v>
      </c>
      <c r="B754" s="28">
        <v>818</v>
      </c>
      <c r="C754" s="28" t="s">
        <v>35</v>
      </c>
      <c r="D754" s="28" t="s">
        <v>38</v>
      </c>
      <c r="E754" s="41">
        <v>46169</v>
      </c>
      <c r="F754" s="47">
        <v>0.84938657407407403</v>
      </c>
      <c r="G754" s="44">
        <v>6.3</v>
      </c>
      <c r="H754" s="43" t="s">
        <v>227</v>
      </c>
      <c r="I754" s="40" t="s">
        <v>1300</v>
      </c>
    </row>
    <row r="755" spans="1:9" x14ac:dyDescent="0.2">
      <c r="A755" s="40" t="s">
        <v>323</v>
      </c>
      <c r="B755" s="28">
        <v>818</v>
      </c>
      <c r="C755" s="28">
        <v>5690553</v>
      </c>
      <c r="D755" s="28"/>
      <c r="E755" s="41">
        <v>46169</v>
      </c>
      <c r="F755" s="47">
        <v>0.89020833333333338</v>
      </c>
      <c r="G755" s="44">
        <v>6.3</v>
      </c>
      <c r="H755" s="43" t="s">
        <v>228</v>
      </c>
      <c r="I755" s="40" t="s">
        <v>1300</v>
      </c>
    </row>
    <row r="756" spans="1:9" x14ac:dyDescent="0.2">
      <c r="A756" s="40" t="s">
        <v>323</v>
      </c>
      <c r="B756" s="28">
        <v>818</v>
      </c>
      <c r="C756" s="28">
        <v>5690553</v>
      </c>
      <c r="D756" s="28"/>
      <c r="E756" s="41">
        <v>46169</v>
      </c>
      <c r="F756" s="47">
        <v>0.89800925925925923</v>
      </c>
      <c r="G756" s="44">
        <v>6.3</v>
      </c>
      <c r="H756" s="43" t="s">
        <v>229</v>
      </c>
      <c r="I756" s="40" t="s">
        <v>1300</v>
      </c>
    </row>
    <row r="757" spans="1:9" x14ac:dyDescent="0.2">
      <c r="A757" s="40" t="s">
        <v>323</v>
      </c>
      <c r="B757" s="28">
        <v>818</v>
      </c>
      <c r="C757" s="28" t="s">
        <v>35</v>
      </c>
      <c r="D757" s="28" t="s">
        <v>38</v>
      </c>
      <c r="E757" s="41">
        <v>46169</v>
      </c>
      <c r="F757" s="47">
        <v>0.90998842592592588</v>
      </c>
      <c r="G757" s="44">
        <v>6.3</v>
      </c>
      <c r="H757" s="43" t="s">
        <v>230</v>
      </c>
      <c r="I757" s="40" t="s">
        <v>1300</v>
      </c>
    </row>
    <row r="758" spans="1:9" x14ac:dyDescent="0.2">
      <c r="A758" s="40" t="s">
        <v>323</v>
      </c>
      <c r="B758" s="28">
        <v>818</v>
      </c>
      <c r="C758" s="28" t="s">
        <v>35</v>
      </c>
      <c r="D758" s="28" t="s">
        <v>38</v>
      </c>
      <c r="E758" s="41">
        <v>46169</v>
      </c>
      <c r="F758" s="47">
        <v>0.91539351851851847</v>
      </c>
      <c r="G758" s="44">
        <v>6.3</v>
      </c>
      <c r="H758" s="43" t="s">
        <v>227</v>
      </c>
      <c r="I758" s="40" t="s">
        <v>1300</v>
      </c>
    </row>
    <row r="759" spans="1:9" x14ac:dyDescent="0.2">
      <c r="A759" s="40" t="s">
        <v>323</v>
      </c>
      <c r="B759" s="28">
        <v>818</v>
      </c>
      <c r="C759" s="28" t="s">
        <v>35</v>
      </c>
      <c r="D759" s="28" t="s">
        <v>38</v>
      </c>
      <c r="E759" s="45">
        <v>46170</v>
      </c>
      <c r="F759" s="48">
        <v>0.87621527777777775</v>
      </c>
      <c r="G759" s="44">
        <v>6.3</v>
      </c>
      <c r="H759" s="43" t="s">
        <v>227</v>
      </c>
      <c r="I759" s="40" t="s">
        <v>1300</v>
      </c>
    </row>
    <row r="760" spans="1:9" x14ac:dyDescent="0.2">
      <c r="A760" s="40" t="s">
        <v>323</v>
      </c>
      <c r="B760" s="28">
        <v>818</v>
      </c>
      <c r="C760" s="28" t="s">
        <v>35</v>
      </c>
      <c r="D760" s="28" t="s">
        <v>38</v>
      </c>
      <c r="E760" s="41">
        <v>46171</v>
      </c>
      <c r="F760" s="47">
        <v>0.92318287037037039</v>
      </c>
      <c r="G760" s="44">
        <v>6.3</v>
      </c>
      <c r="H760" s="43" t="s">
        <v>227</v>
      </c>
      <c r="I760" s="40" t="s">
        <v>1300</v>
      </c>
    </row>
    <row r="761" spans="1:9" x14ac:dyDescent="0.2">
      <c r="A761" s="40" t="s">
        <v>323</v>
      </c>
      <c r="B761" s="28">
        <v>818</v>
      </c>
      <c r="C761" s="28" t="s">
        <v>35</v>
      </c>
      <c r="D761" s="28" t="s">
        <v>38</v>
      </c>
      <c r="E761" s="41">
        <v>46171</v>
      </c>
      <c r="F761" s="47">
        <v>0.98959490740740741</v>
      </c>
      <c r="G761" s="44">
        <v>6.3</v>
      </c>
      <c r="H761" s="43" t="s">
        <v>227</v>
      </c>
      <c r="I761" s="40" t="s">
        <v>1300</v>
      </c>
    </row>
    <row r="762" spans="1:9" x14ac:dyDescent="0.2">
      <c r="A762" s="40" t="s">
        <v>323</v>
      </c>
      <c r="B762" s="28">
        <v>818</v>
      </c>
      <c r="C762" s="28" t="s">
        <v>563</v>
      </c>
      <c r="D762" s="28"/>
      <c r="E762" s="41">
        <v>46172</v>
      </c>
      <c r="F762" s="47">
        <v>1.6122685185185184E-2</v>
      </c>
      <c r="G762" s="44">
        <v>6.3</v>
      </c>
      <c r="H762" s="43" t="s">
        <v>228</v>
      </c>
      <c r="I762" s="40" t="s">
        <v>1300</v>
      </c>
    </row>
    <row r="763" spans="1:9" x14ac:dyDescent="0.2">
      <c r="A763" s="40" t="s">
        <v>323</v>
      </c>
      <c r="B763" s="28">
        <v>818</v>
      </c>
      <c r="C763" s="28">
        <v>5694462</v>
      </c>
      <c r="D763" s="28"/>
      <c r="E763" s="41">
        <v>46172</v>
      </c>
      <c r="F763" s="47">
        <v>0.49989583333333332</v>
      </c>
      <c r="G763" s="44">
        <v>6.3</v>
      </c>
      <c r="H763" s="43" t="s">
        <v>227</v>
      </c>
      <c r="I763" s="40" t="s">
        <v>1300</v>
      </c>
    </row>
    <row r="764" spans="1:9" x14ac:dyDescent="0.2">
      <c r="A764" s="40" t="s">
        <v>323</v>
      </c>
      <c r="B764" s="28">
        <v>818</v>
      </c>
      <c r="C764" s="28" t="s">
        <v>35</v>
      </c>
      <c r="D764" s="28" t="s">
        <v>38</v>
      </c>
      <c r="E764" s="41">
        <v>46172</v>
      </c>
      <c r="F764" s="47">
        <v>0.72628472222222218</v>
      </c>
      <c r="G764" s="44">
        <v>6.3</v>
      </c>
      <c r="H764" s="43" t="s">
        <v>231</v>
      </c>
      <c r="I764" s="40" t="s">
        <v>1300</v>
      </c>
    </row>
    <row r="765" spans="1:9" x14ac:dyDescent="0.2">
      <c r="A765" s="40" t="s">
        <v>323</v>
      </c>
      <c r="B765" s="28">
        <v>818</v>
      </c>
      <c r="C765" s="28" t="s">
        <v>35</v>
      </c>
      <c r="D765" s="28" t="s">
        <v>38</v>
      </c>
      <c r="E765" s="41">
        <v>46172</v>
      </c>
      <c r="F765" s="47">
        <v>0.74072916666666666</v>
      </c>
      <c r="G765" s="44">
        <v>6.3</v>
      </c>
      <c r="H765" s="43" t="s">
        <v>227</v>
      </c>
      <c r="I765" s="40" t="s">
        <v>1300</v>
      </c>
    </row>
    <row r="766" spans="1:9" x14ac:dyDescent="0.2">
      <c r="A766" s="40" t="s">
        <v>323</v>
      </c>
      <c r="B766" s="28">
        <v>818</v>
      </c>
      <c r="C766" s="28" t="s">
        <v>35</v>
      </c>
      <c r="D766" s="28" t="s">
        <v>38</v>
      </c>
      <c r="E766" s="45">
        <v>46172</v>
      </c>
      <c r="F766" s="48">
        <v>0.79008101851851853</v>
      </c>
      <c r="G766" s="44">
        <v>6.3</v>
      </c>
      <c r="H766" s="43" t="s">
        <v>228</v>
      </c>
      <c r="I766" s="40" t="s">
        <v>1300</v>
      </c>
    </row>
    <row r="767" spans="1:9" x14ac:dyDescent="0.2">
      <c r="A767" s="40" t="s">
        <v>181</v>
      </c>
      <c r="B767" s="28">
        <v>821</v>
      </c>
      <c r="C767" s="28" t="s">
        <v>564</v>
      </c>
      <c r="D767" s="28"/>
      <c r="E767" s="41">
        <v>46168</v>
      </c>
      <c r="F767" s="47">
        <v>0.41793981481481479</v>
      </c>
      <c r="G767" s="42">
        <v>6.3</v>
      </c>
      <c r="H767" s="40" t="s">
        <v>228</v>
      </c>
      <c r="I767" s="40" t="s">
        <v>1300</v>
      </c>
    </row>
    <row r="768" spans="1:9" x14ac:dyDescent="0.2">
      <c r="A768" s="40" t="s">
        <v>181</v>
      </c>
      <c r="B768" s="28">
        <v>821</v>
      </c>
      <c r="C768" s="28" t="s">
        <v>564</v>
      </c>
      <c r="D768" s="28"/>
      <c r="E768" s="41">
        <v>46168</v>
      </c>
      <c r="F768" s="47">
        <v>0.43202546296296296</v>
      </c>
      <c r="G768" s="42">
        <v>6.3</v>
      </c>
      <c r="H768" s="40" t="s">
        <v>229</v>
      </c>
      <c r="I768" s="40" t="s">
        <v>1300</v>
      </c>
    </row>
    <row r="769" spans="1:9" x14ac:dyDescent="0.2">
      <c r="A769" s="40" t="s">
        <v>181</v>
      </c>
      <c r="B769" s="28">
        <v>821</v>
      </c>
      <c r="C769" s="28" t="s">
        <v>565</v>
      </c>
      <c r="D769" s="28"/>
      <c r="E769" s="45">
        <v>46168</v>
      </c>
      <c r="F769" s="48">
        <v>0.55431712962962965</v>
      </c>
      <c r="G769" s="42">
        <v>6.3</v>
      </c>
      <c r="H769" s="40" t="s">
        <v>228</v>
      </c>
      <c r="I769" s="40" t="s">
        <v>1300</v>
      </c>
    </row>
    <row r="770" spans="1:9" x14ac:dyDescent="0.2">
      <c r="A770" s="40" t="s">
        <v>181</v>
      </c>
      <c r="B770" s="28">
        <v>821</v>
      </c>
      <c r="C770" s="28" t="s">
        <v>565</v>
      </c>
      <c r="D770" s="28"/>
      <c r="E770" s="41">
        <v>46168</v>
      </c>
      <c r="F770" s="47">
        <v>0.56524305555555554</v>
      </c>
      <c r="G770" s="42">
        <v>6.3</v>
      </c>
      <c r="H770" s="40" t="s">
        <v>229</v>
      </c>
      <c r="I770" s="40" t="s">
        <v>1300</v>
      </c>
    </row>
    <row r="771" spans="1:9" x14ac:dyDescent="0.2">
      <c r="A771" s="40" t="s">
        <v>181</v>
      </c>
      <c r="B771" s="28">
        <v>821</v>
      </c>
      <c r="C771" s="28" t="s">
        <v>35</v>
      </c>
      <c r="D771" s="28" t="s">
        <v>38</v>
      </c>
      <c r="E771" s="41">
        <v>46168</v>
      </c>
      <c r="F771" s="47">
        <v>0.59490740740740744</v>
      </c>
      <c r="G771" s="42">
        <v>6.3</v>
      </c>
      <c r="H771" s="40" t="s">
        <v>230</v>
      </c>
      <c r="I771" s="40" t="s">
        <v>1300</v>
      </c>
    </row>
    <row r="772" spans="1:9" x14ac:dyDescent="0.2">
      <c r="A772" s="40" t="s">
        <v>181</v>
      </c>
      <c r="B772" s="28">
        <v>821</v>
      </c>
      <c r="C772" s="28" t="s">
        <v>566</v>
      </c>
      <c r="D772" s="28"/>
      <c r="E772" s="41">
        <v>46172</v>
      </c>
      <c r="F772" s="47">
        <v>0.5779050925925926</v>
      </c>
      <c r="G772" s="42">
        <v>6.3</v>
      </c>
      <c r="H772" s="40" t="s">
        <v>228</v>
      </c>
      <c r="I772" s="40" t="s">
        <v>1300</v>
      </c>
    </row>
    <row r="773" spans="1:9" x14ac:dyDescent="0.2">
      <c r="A773" s="40" t="s">
        <v>181</v>
      </c>
      <c r="B773" s="28">
        <v>821</v>
      </c>
      <c r="C773" s="28" t="s">
        <v>566</v>
      </c>
      <c r="D773" s="28"/>
      <c r="E773" s="41">
        <v>46172</v>
      </c>
      <c r="F773" s="47">
        <v>0.58688657407407407</v>
      </c>
      <c r="G773" s="42">
        <v>6.3</v>
      </c>
      <c r="H773" s="40" t="s">
        <v>229</v>
      </c>
      <c r="I773" s="40" t="s">
        <v>1300</v>
      </c>
    </row>
    <row r="774" spans="1:9" x14ac:dyDescent="0.2">
      <c r="A774" s="40" t="s">
        <v>181</v>
      </c>
      <c r="B774" s="28">
        <v>821</v>
      </c>
      <c r="C774" s="28">
        <v>5694909</v>
      </c>
      <c r="D774" s="28"/>
      <c r="E774" s="45">
        <v>46172</v>
      </c>
      <c r="F774" s="48">
        <v>0.72065972222222219</v>
      </c>
      <c r="G774" s="44">
        <v>6.3</v>
      </c>
      <c r="H774" s="43" t="s">
        <v>228</v>
      </c>
      <c r="I774" s="40" t="s">
        <v>1300</v>
      </c>
    </row>
    <row r="775" spans="1:9" x14ac:dyDescent="0.2">
      <c r="A775" s="40" t="s">
        <v>181</v>
      </c>
      <c r="B775" s="28">
        <v>821</v>
      </c>
      <c r="C775" s="28">
        <v>5694909</v>
      </c>
      <c r="D775" s="28"/>
      <c r="E775" s="41">
        <v>46172</v>
      </c>
      <c r="F775" s="47">
        <v>0.72848379629629634</v>
      </c>
      <c r="G775" s="44">
        <v>6.3</v>
      </c>
      <c r="H775" s="43" t="s">
        <v>229</v>
      </c>
      <c r="I775" s="40" t="s">
        <v>1300</v>
      </c>
    </row>
    <row r="776" spans="1:9" x14ac:dyDescent="0.2">
      <c r="A776" s="40" t="s">
        <v>253</v>
      </c>
      <c r="B776" s="28">
        <v>826</v>
      </c>
      <c r="C776" s="28" t="s">
        <v>35</v>
      </c>
      <c r="D776" s="28" t="s">
        <v>38</v>
      </c>
      <c r="E776" s="41">
        <v>46167</v>
      </c>
      <c r="F776" s="47">
        <v>0.22640046296296296</v>
      </c>
      <c r="G776" s="44">
        <v>6.3</v>
      </c>
      <c r="H776" s="43" t="s">
        <v>228</v>
      </c>
      <c r="I776" s="40" t="s">
        <v>1300</v>
      </c>
    </row>
    <row r="777" spans="1:9" x14ac:dyDescent="0.2">
      <c r="A777" s="40" t="s">
        <v>253</v>
      </c>
      <c r="B777" s="28">
        <v>826</v>
      </c>
      <c r="C777" s="28" t="s">
        <v>35</v>
      </c>
      <c r="D777" s="28" t="s">
        <v>38</v>
      </c>
      <c r="E777" s="41">
        <v>46167</v>
      </c>
      <c r="F777" s="47">
        <v>0.23630787037037038</v>
      </c>
      <c r="G777" s="44">
        <v>6.3</v>
      </c>
      <c r="H777" s="43" t="s">
        <v>232</v>
      </c>
      <c r="I777" s="40" t="s">
        <v>1300</v>
      </c>
    </row>
    <row r="778" spans="1:9" x14ac:dyDescent="0.2">
      <c r="A778" s="40" t="s">
        <v>253</v>
      </c>
      <c r="B778" s="28">
        <v>826</v>
      </c>
      <c r="C778" s="28">
        <v>5685091</v>
      </c>
      <c r="D778" s="28" t="s">
        <v>36</v>
      </c>
      <c r="E778" s="41">
        <v>46167</v>
      </c>
      <c r="F778" s="47">
        <v>0.27701388888888889</v>
      </c>
      <c r="G778" s="44">
        <v>6.3</v>
      </c>
      <c r="H778" s="43" t="s">
        <v>226</v>
      </c>
      <c r="I778" s="40" t="s">
        <v>1300</v>
      </c>
    </row>
    <row r="779" spans="1:9" x14ac:dyDescent="0.2">
      <c r="A779" s="40" t="s">
        <v>253</v>
      </c>
      <c r="B779" s="28">
        <v>826</v>
      </c>
      <c r="C779" s="28">
        <v>5685091</v>
      </c>
      <c r="D779" s="28" t="s">
        <v>36</v>
      </c>
      <c r="E779" s="41">
        <v>46167</v>
      </c>
      <c r="F779" s="47">
        <v>0.28457175925925926</v>
      </c>
      <c r="G779" s="44">
        <v>6.3</v>
      </c>
      <c r="H779" s="43" t="s">
        <v>227</v>
      </c>
      <c r="I779" s="40" t="s">
        <v>1300</v>
      </c>
    </row>
    <row r="780" spans="1:9" x14ac:dyDescent="0.2">
      <c r="A780" s="40" t="s">
        <v>253</v>
      </c>
      <c r="B780" s="28">
        <v>826</v>
      </c>
      <c r="C780" s="28">
        <v>5688987</v>
      </c>
      <c r="D780" s="28" t="s">
        <v>37</v>
      </c>
      <c r="E780" s="41">
        <v>46169</v>
      </c>
      <c r="F780" s="47">
        <v>9.2592592592592588E-5</v>
      </c>
      <c r="G780" s="44">
        <v>6.3</v>
      </c>
      <c r="H780" s="43" t="s">
        <v>228</v>
      </c>
      <c r="I780" s="40" t="s">
        <v>1300</v>
      </c>
    </row>
    <row r="781" spans="1:9" x14ac:dyDescent="0.2">
      <c r="A781" s="40" t="s">
        <v>253</v>
      </c>
      <c r="B781" s="28">
        <v>826</v>
      </c>
      <c r="C781" s="28" t="s">
        <v>567</v>
      </c>
      <c r="D781" s="28"/>
      <c r="E781" s="41">
        <v>46169</v>
      </c>
      <c r="F781" s="47">
        <v>0.64733796296296298</v>
      </c>
      <c r="G781" s="44">
        <v>6.3</v>
      </c>
      <c r="H781" s="43" t="s">
        <v>228</v>
      </c>
      <c r="I781" s="40" t="s">
        <v>1300</v>
      </c>
    </row>
    <row r="782" spans="1:9" x14ac:dyDescent="0.2">
      <c r="A782" s="40" t="s">
        <v>253</v>
      </c>
      <c r="B782" s="28">
        <v>826</v>
      </c>
      <c r="C782" s="28" t="s">
        <v>567</v>
      </c>
      <c r="D782" s="28"/>
      <c r="E782" s="41">
        <v>46169</v>
      </c>
      <c r="F782" s="47">
        <v>0.66012731481481479</v>
      </c>
      <c r="G782" s="44">
        <v>6.3</v>
      </c>
      <c r="H782" s="43" t="s">
        <v>229</v>
      </c>
      <c r="I782" s="40" t="s">
        <v>1300</v>
      </c>
    </row>
    <row r="783" spans="1:9" x14ac:dyDescent="0.2">
      <c r="A783" s="40" t="s">
        <v>253</v>
      </c>
      <c r="B783" s="28">
        <v>826</v>
      </c>
      <c r="C783" s="28" t="s">
        <v>35</v>
      </c>
      <c r="D783" s="28" t="s">
        <v>38</v>
      </c>
      <c r="E783" s="41">
        <v>46169</v>
      </c>
      <c r="F783" s="47">
        <v>0.70452546296296292</v>
      </c>
      <c r="G783" s="44">
        <v>6.3</v>
      </c>
      <c r="H783" s="43" t="s">
        <v>230</v>
      </c>
      <c r="I783" s="40" t="s">
        <v>1300</v>
      </c>
    </row>
    <row r="784" spans="1:9" x14ac:dyDescent="0.2">
      <c r="A784" s="40" t="s">
        <v>253</v>
      </c>
      <c r="B784" s="28">
        <v>826</v>
      </c>
      <c r="C784" s="28" t="s">
        <v>35</v>
      </c>
      <c r="D784" s="28" t="s">
        <v>38</v>
      </c>
      <c r="E784" s="45">
        <v>46169</v>
      </c>
      <c r="F784" s="48">
        <v>0.71564814814814814</v>
      </c>
      <c r="G784" s="44">
        <v>6.3</v>
      </c>
      <c r="H784" s="43" t="s">
        <v>227</v>
      </c>
      <c r="I784" s="40" t="s">
        <v>1300</v>
      </c>
    </row>
    <row r="785" spans="1:9" x14ac:dyDescent="0.2">
      <c r="A785" s="40" t="s">
        <v>253</v>
      </c>
      <c r="B785" s="28">
        <v>826</v>
      </c>
      <c r="C785" s="28" t="s">
        <v>568</v>
      </c>
      <c r="D785" s="28"/>
      <c r="E785" s="41">
        <v>46170</v>
      </c>
      <c r="F785" s="47">
        <v>0.82996527777777773</v>
      </c>
      <c r="G785" s="44">
        <v>6.3</v>
      </c>
      <c r="H785" s="43" t="s">
        <v>228</v>
      </c>
      <c r="I785" s="40" t="s">
        <v>1300</v>
      </c>
    </row>
    <row r="786" spans="1:9" x14ac:dyDescent="0.2">
      <c r="A786" s="40" t="s">
        <v>253</v>
      </c>
      <c r="B786" s="28">
        <v>826</v>
      </c>
      <c r="C786" s="28" t="s">
        <v>568</v>
      </c>
      <c r="D786" s="28"/>
      <c r="E786" s="41">
        <v>46170</v>
      </c>
      <c r="F786" s="47">
        <v>0.83899305555555559</v>
      </c>
      <c r="G786" s="44">
        <v>6.3</v>
      </c>
      <c r="H786" s="43" t="s">
        <v>229</v>
      </c>
      <c r="I786" s="40" t="s">
        <v>1300</v>
      </c>
    </row>
    <row r="787" spans="1:9" x14ac:dyDescent="0.2">
      <c r="A787" s="40" t="s">
        <v>253</v>
      </c>
      <c r="B787" s="28">
        <v>826</v>
      </c>
      <c r="C787" s="28" t="s">
        <v>569</v>
      </c>
      <c r="D787" s="28"/>
      <c r="E787" s="45">
        <v>46171</v>
      </c>
      <c r="F787" s="48">
        <v>0.84233796296296293</v>
      </c>
      <c r="G787" s="44">
        <v>6.3</v>
      </c>
      <c r="H787" s="43" t="s">
        <v>228</v>
      </c>
      <c r="I787" s="40" t="s">
        <v>1300</v>
      </c>
    </row>
    <row r="788" spans="1:9" x14ac:dyDescent="0.2">
      <c r="A788" s="40" t="s">
        <v>253</v>
      </c>
      <c r="B788" s="28">
        <v>826</v>
      </c>
      <c r="C788" s="28" t="s">
        <v>569</v>
      </c>
      <c r="D788" s="28"/>
      <c r="E788" s="41">
        <v>46171</v>
      </c>
      <c r="F788" s="47">
        <v>0.85107638888888892</v>
      </c>
      <c r="G788" s="44">
        <v>6.3</v>
      </c>
      <c r="H788" s="43" t="s">
        <v>229</v>
      </c>
      <c r="I788" s="40" t="s">
        <v>1300</v>
      </c>
    </row>
    <row r="789" spans="1:9" x14ac:dyDescent="0.2">
      <c r="A789" s="40" t="s">
        <v>253</v>
      </c>
      <c r="B789" s="28">
        <v>826</v>
      </c>
      <c r="C789" s="28">
        <v>5695908</v>
      </c>
      <c r="D789" s="28"/>
      <c r="E789" s="45">
        <v>46173</v>
      </c>
      <c r="F789" s="48">
        <v>0.57965277777777779</v>
      </c>
      <c r="G789" s="44">
        <v>6.3</v>
      </c>
      <c r="H789" s="43" t="s">
        <v>228</v>
      </c>
      <c r="I789" s="40" t="s">
        <v>1300</v>
      </c>
    </row>
    <row r="790" spans="1:9" x14ac:dyDescent="0.2">
      <c r="A790" s="40" t="s">
        <v>253</v>
      </c>
      <c r="B790" s="28">
        <v>826</v>
      </c>
      <c r="C790" s="28">
        <v>5695908</v>
      </c>
      <c r="D790" s="28"/>
      <c r="E790" s="41">
        <v>46173</v>
      </c>
      <c r="F790" s="47">
        <v>0.58986111111111106</v>
      </c>
      <c r="G790" s="44">
        <v>6.3</v>
      </c>
      <c r="H790" s="43" t="s">
        <v>232</v>
      </c>
      <c r="I790" s="40" t="s">
        <v>1300</v>
      </c>
    </row>
    <row r="791" spans="1:9" x14ac:dyDescent="0.2">
      <c r="A791" s="40" t="s">
        <v>253</v>
      </c>
      <c r="B791" s="28">
        <v>826</v>
      </c>
      <c r="C791" s="28" t="s">
        <v>35</v>
      </c>
      <c r="D791" s="28" t="s">
        <v>38</v>
      </c>
      <c r="E791" s="41">
        <v>46173</v>
      </c>
      <c r="F791" s="47">
        <v>0.61769675925925926</v>
      </c>
      <c r="G791" s="44">
        <v>6.3</v>
      </c>
      <c r="H791" s="43" t="s">
        <v>226</v>
      </c>
      <c r="I791" s="40" t="s">
        <v>1300</v>
      </c>
    </row>
    <row r="792" spans="1:9" x14ac:dyDescent="0.2">
      <c r="A792" s="40" t="s">
        <v>253</v>
      </c>
      <c r="B792" s="28">
        <v>826</v>
      </c>
      <c r="C792" s="28" t="s">
        <v>35</v>
      </c>
      <c r="D792" s="28" t="s">
        <v>38</v>
      </c>
      <c r="E792" s="41">
        <v>46173</v>
      </c>
      <c r="F792" s="47">
        <v>0.62337962962962967</v>
      </c>
      <c r="G792" s="44">
        <v>6.3</v>
      </c>
      <c r="H792" s="43" t="s">
        <v>227</v>
      </c>
      <c r="I792" s="40" t="s">
        <v>1300</v>
      </c>
    </row>
    <row r="793" spans="1:9" x14ac:dyDescent="0.2">
      <c r="A793" s="40" t="s">
        <v>253</v>
      </c>
      <c r="B793" s="28">
        <v>826</v>
      </c>
      <c r="C793" s="28" t="s">
        <v>570</v>
      </c>
      <c r="D793" s="28"/>
      <c r="E793" s="45">
        <v>46173</v>
      </c>
      <c r="F793" s="48">
        <v>0.85803240740740738</v>
      </c>
      <c r="G793" s="44">
        <v>6.3</v>
      </c>
      <c r="H793" s="43" t="s">
        <v>228</v>
      </c>
      <c r="I793" s="40" t="s">
        <v>1300</v>
      </c>
    </row>
    <row r="794" spans="1:9" x14ac:dyDescent="0.2">
      <c r="A794" s="40" t="s">
        <v>253</v>
      </c>
      <c r="B794" s="28">
        <v>826</v>
      </c>
      <c r="C794" s="28" t="s">
        <v>570</v>
      </c>
      <c r="D794" s="28"/>
      <c r="E794" s="41">
        <v>46173</v>
      </c>
      <c r="F794" s="47">
        <v>0.86615740740740743</v>
      </c>
      <c r="G794" s="44">
        <v>6.3</v>
      </c>
      <c r="H794" s="43" t="s">
        <v>232</v>
      </c>
      <c r="I794" s="40" t="s">
        <v>1300</v>
      </c>
    </row>
    <row r="795" spans="1:9" x14ac:dyDescent="0.2">
      <c r="A795" s="40" t="s">
        <v>65</v>
      </c>
      <c r="B795" s="28">
        <v>830</v>
      </c>
      <c r="C795" s="28">
        <v>5689367</v>
      </c>
      <c r="D795" s="28"/>
      <c r="E795" s="41">
        <v>46169</v>
      </c>
      <c r="F795" s="47">
        <v>0.43261574074074072</v>
      </c>
      <c r="G795" s="44">
        <v>6.3</v>
      </c>
      <c r="H795" s="43" t="s">
        <v>228</v>
      </c>
      <c r="I795" s="40" t="s">
        <v>1300</v>
      </c>
    </row>
    <row r="796" spans="1:9" x14ac:dyDescent="0.2">
      <c r="A796" s="40" t="s">
        <v>65</v>
      </c>
      <c r="B796" s="28">
        <v>830</v>
      </c>
      <c r="C796" s="28">
        <v>5689367</v>
      </c>
      <c r="D796" s="28"/>
      <c r="E796" s="41">
        <v>46169</v>
      </c>
      <c r="F796" s="47">
        <v>0.44516203703703705</v>
      </c>
      <c r="G796" s="44">
        <v>6.3</v>
      </c>
      <c r="H796" s="43" t="s">
        <v>229</v>
      </c>
      <c r="I796" s="40" t="s">
        <v>1300</v>
      </c>
    </row>
    <row r="797" spans="1:9" x14ac:dyDescent="0.2">
      <c r="A797" s="40" t="s">
        <v>65</v>
      </c>
      <c r="B797" s="28">
        <v>830</v>
      </c>
      <c r="C797" s="28">
        <v>5689675</v>
      </c>
      <c r="D797" s="28"/>
      <c r="E797" s="45">
        <v>46169</v>
      </c>
      <c r="F797" s="48">
        <v>0.57381944444444444</v>
      </c>
      <c r="G797" s="44">
        <v>6.3</v>
      </c>
      <c r="H797" s="43" t="s">
        <v>228</v>
      </c>
      <c r="I797" s="40" t="s">
        <v>1300</v>
      </c>
    </row>
    <row r="798" spans="1:9" x14ac:dyDescent="0.2">
      <c r="A798" s="40" t="s">
        <v>65</v>
      </c>
      <c r="B798" s="28">
        <v>830</v>
      </c>
      <c r="C798" s="28">
        <v>5689675</v>
      </c>
      <c r="D798" s="28"/>
      <c r="E798" s="41">
        <v>46169</v>
      </c>
      <c r="F798" s="47">
        <v>0.5852546296296296</v>
      </c>
      <c r="G798" s="44">
        <v>6.3</v>
      </c>
      <c r="H798" s="43" t="s">
        <v>232</v>
      </c>
      <c r="I798" s="40" t="s">
        <v>1300</v>
      </c>
    </row>
    <row r="799" spans="1:9" x14ac:dyDescent="0.2">
      <c r="A799" s="40" t="s">
        <v>65</v>
      </c>
      <c r="B799" s="28">
        <v>830</v>
      </c>
      <c r="C799" s="28">
        <v>5692231</v>
      </c>
      <c r="D799" s="28"/>
      <c r="E799" s="41">
        <v>46170</v>
      </c>
      <c r="F799" s="47">
        <v>0.87173611111111116</v>
      </c>
      <c r="G799" s="44">
        <v>6.3</v>
      </c>
      <c r="H799" s="43" t="s">
        <v>228</v>
      </c>
      <c r="I799" s="40" t="s">
        <v>1300</v>
      </c>
    </row>
    <row r="800" spans="1:9" x14ac:dyDescent="0.2">
      <c r="A800" s="40" t="s">
        <v>65</v>
      </c>
      <c r="B800" s="28">
        <v>830</v>
      </c>
      <c r="C800" s="28">
        <v>5692231</v>
      </c>
      <c r="D800" s="28"/>
      <c r="E800" s="41">
        <v>46170</v>
      </c>
      <c r="F800" s="47">
        <v>0.87885416666666671</v>
      </c>
      <c r="G800" s="44">
        <v>6.3</v>
      </c>
      <c r="H800" s="43" t="s">
        <v>229</v>
      </c>
      <c r="I800" s="40" t="s">
        <v>1300</v>
      </c>
    </row>
    <row r="801" spans="1:9" x14ac:dyDescent="0.2">
      <c r="A801" s="40" t="s">
        <v>65</v>
      </c>
      <c r="B801" s="28">
        <v>830</v>
      </c>
      <c r="C801" s="28">
        <v>5692427</v>
      </c>
      <c r="D801" s="28" t="s">
        <v>36</v>
      </c>
      <c r="E801" s="41">
        <v>46170</v>
      </c>
      <c r="F801" s="47">
        <v>0.99929398148148152</v>
      </c>
      <c r="G801" s="44">
        <v>6.3</v>
      </c>
      <c r="H801" s="43" t="s">
        <v>228</v>
      </c>
      <c r="I801" s="40" t="s">
        <v>1300</v>
      </c>
    </row>
    <row r="802" spans="1:9" x14ac:dyDescent="0.2">
      <c r="A802" s="40" t="s">
        <v>65</v>
      </c>
      <c r="B802" s="28">
        <v>830</v>
      </c>
      <c r="C802" s="28" t="s">
        <v>35</v>
      </c>
      <c r="D802" s="28" t="s">
        <v>38</v>
      </c>
      <c r="E802" s="41">
        <v>46171</v>
      </c>
      <c r="F802" s="47">
        <v>0.68121527777777779</v>
      </c>
      <c r="G802" s="44">
        <v>6.3</v>
      </c>
      <c r="H802" s="43" t="s">
        <v>228</v>
      </c>
      <c r="I802" s="40" t="s">
        <v>1300</v>
      </c>
    </row>
    <row r="803" spans="1:9" x14ac:dyDescent="0.2">
      <c r="A803" s="40" t="s">
        <v>65</v>
      </c>
      <c r="B803" s="28">
        <v>830</v>
      </c>
      <c r="C803" s="28" t="s">
        <v>35</v>
      </c>
      <c r="D803" s="28" t="s">
        <v>38</v>
      </c>
      <c r="E803" s="41">
        <v>46171</v>
      </c>
      <c r="F803" s="47">
        <v>0.82215277777777773</v>
      </c>
      <c r="G803" s="44">
        <v>6.3</v>
      </c>
      <c r="H803" s="43" t="s">
        <v>227</v>
      </c>
      <c r="I803" s="40" t="s">
        <v>1300</v>
      </c>
    </row>
    <row r="804" spans="1:9" x14ac:dyDescent="0.2">
      <c r="A804" s="40" t="s">
        <v>65</v>
      </c>
      <c r="B804" s="28">
        <v>830</v>
      </c>
      <c r="C804" s="28">
        <v>5695027</v>
      </c>
      <c r="D804" s="28"/>
      <c r="E804" s="41">
        <v>46172</v>
      </c>
      <c r="F804" s="47">
        <v>0.94329861111111113</v>
      </c>
      <c r="G804" s="44">
        <v>6.3</v>
      </c>
      <c r="H804" s="43" t="s">
        <v>228</v>
      </c>
      <c r="I804" s="40" t="s">
        <v>1300</v>
      </c>
    </row>
    <row r="805" spans="1:9" x14ac:dyDescent="0.2">
      <c r="A805" s="40" t="s">
        <v>65</v>
      </c>
      <c r="B805" s="28">
        <v>830</v>
      </c>
      <c r="C805" s="28">
        <v>5695027</v>
      </c>
      <c r="D805" s="28"/>
      <c r="E805" s="41">
        <v>46172</v>
      </c>
      <c r="F805" s="47">
        <v>0.95068287037037036</v>
      </c>
      <c r="G805" s="44">
        <v>6.3</v>
      </c>
      <c r="H805" s="43" t="s">
        <v>229</v>
      </c>
      <c r="I805" s="40" t="s">
        <v>1300</v>
      </c>
    </row>
    <row r="806" spans="1:9" x14ac:dyDescent="0.2">
      <c r="A806" s="40" t="s">
        <v>65</v>
      </c>
      <c r="B806" s="28">
        <v>830</v>
      </c>
      <c r="C806" s="28" t="s">
        <v>35</v>
      </c>
      <c r="D806" s="28" t="s">
        <v>38</v>
      </c>
      <c r="E806" s="45">
        <v>46173</v>
      </c>
      <c r="F806" s="48">
        <v>0.34339120370370368</v>
      </c>
      <c r="G806" s="44">
        <v>6.3</v>
      </c>
      <c r="H806" s="43" t="s">
        <v>232</v>
      </c>
      <c r="I806" s="40" t="s">
        <v>1300</v>
      </c>
    </row>
    <row r="807" spans="1:9" x14ac:dyDescent="0.2">
      <c r="A807" s="40" t="s">
        <v>65</v>
      </c>
      <c r="B807" s="28">
        <v>830</v>
      </c>
      <c r="C807" s="28" t="s">
        <v>35</v>
      </c>
      <c r="D807" s="28" t="s">
        <v>38</v>
      </c>
      <c r="E807" s="41">
        <v>46173</v>
      </c>
      <c r="F807" s="47">
        <v>0.36381944444444442</v>
      </c>
      <c r="G807" s="44">
        <v>6.3</v>
      </c>
      <c r="H807" s="43" t="s">
        <v>227</v>
      </c>
      <c r="I807" s="40" t="s">
        <v>1300</v>
      </c>
    </row>
    <row r="808" spans="1:9" x14ac:dyDescent="0.2">
      <c r="A808" s="40" t="s">
        <v>66</v>
      </c>
      <c r="B808" s="28">
        <v>831</v>
      </c>
      <c r="C808" s="28" t="s">
        <v>571</v>
      </c>
      <c r="D808" s="28"/>
      <c r="E808" s="45">
        <v>46167</v>
      </c>
      <c r="F808" s="48">
        <v>0.83056712962962964</v>
      </c>
      <c r="G808" s="44">
        <v>6.3</v>
      </c>
      <c r="H808" s="43" t="s">
        <v>228</v>
      </c>
      <c r="I808" s="40" t="s">
        <v>1300</v>
      </c>
    </row>
    <row r="809" spans="1:9" x14ac:dyDescent="0.2">
      <c r="A809" s="40" t="s">
        <v>66</v>
      </c>
      <c r="B809" s="28">
        <v>831</v>
      </c>
      <c r="C809" s="28" t="s">
        <v>571</v>
      </c>
      <c r="D809" s="28"/>
      <c r="E809" s="41">
        <v>46167</v>
      </c>
      <c r="F809" s="47">
        <v>0.8394907407407407</v>
      </c>
      <c r="G809" s="44">
        <v>6.3</v>
      </c>
      <c r="H809" s="43" t="s">
        <v>229</v>
      </c>
      <c r="I809" s="40" t="s">
        <v>1300</v>
      </c>
    </row>
    <row r="810" spans="1:9" x14ac:dyDescent="0.2">
      <c r="A810" s="40" t="s">
        <v>66</v>
      </c>
      <c r="B810" s="28">
        <v>831</v>
      </c>
      <c r="C810" s="28" t="s">
        <v>35</v>
      </c>
      <c r="D810" s="28" t="s">
        <v>38</v>
      </c>
      <c r="E810" s="41">
        <v>46167</v>
      </c>
      <c r="F810" s="47">
        <v>0.86089120370370376</v>
      </c>
      <c r="G810" s="44">
        <v>6.3</v>
      </c>
      <c r="H810" s="43" t="s">
        <v>231</v>
      </c>
      <c r="I810" s="40" t="s">
        <v>1300</v>
      </c>
    </row>
    <row r="811" spans="1:9" x14ac:dyDescent="0.2">
      <c r="A811" s="40" t="s">
        <v>66</v>
      </c>
      <c r="B811" s="28">
        <v>831</v>
      </c>
      <c r="C811" s="28" t="s">
        <v>35</v>
      </c>
      <c r="D811" s="28" t="s">
        <v>38</v>
      </c>
      <c r="E811" s="41">
        <v>46167</v>
      </c>
      <c r="F811" s="47">
        <v>0.86601851851851852</v>
      </c>
      <c r="G811" s="44">
        <v>6.3</v>
      </c>
      <c r="H811" s="43" t="s">
        <v>227</v>
      </c>
      <c r="I811" s="40" t="s">
        <v>1300</v>
      </c>
    </row>
    <row r="812" spans="1:9" x14ac:dyDescent="0.2">
      <c r="A812" s="40" t="s">
        <v>66</v>
      </c>
      <c r="B812" s="28">
        <v>831</v>
      </c>
      <c r="C812" s="28">
        <v>5688180</v>
      </c>
      <c r="D812" s="28"/>
      <c r="E812" s="41">
        <v>46168</v>
      </c>
      <c r="F812" s="47">
        <v>0.72052083333333339</v>
      </c>
      <c r="G812" s="44">
        <v>6.3</v>
      </c>
      <c r="H812" s="43" t="s">
        <v>228</v>
      </c>
      <c r="I812" s="40" t="s">
        <v>1300</v>
      </c>
    </row>
    <row r="813" spans="1:9" x14ac:dyDescent="0.2">
      <c r="A813" s="40" t="s">
        <v>66</v>
      </c>
      <c r="B813" s="28">
        <v>831</v>
      </c>
      <c r="C813" s="28">
        <v>5688180</v>
      </c>
      <c r="D813" s="28"/>
      <c r="E813" s="45">
        <v>46168</v>
      </c>
      <c r="F813" s="48">
        <v>0.73372685185185182</v>
      </c>
      <c r="G813" s="44">
        <v>6.3</v>
      </c>
      <c r="H813" s="43" t="s">
        <v>229</v>
      </c>
      <c r="I813" s="40" t="s">
        <v>1300</v>
      </c>
    </row>
    <row r="814" spans="1:9" x14ac:dyDescent="0.2">
      <c r="A814" s="40" t="s">
        <v>66</v>
      </c>
      <c r="B814" s="28">
        <v>831</v>
      </c>
      <c r="C814" s="28" t="s">
        <v>572</v>
      </c>
      <c r="D814" s="28"/>
      <c r="E814" s="41">
        <v>46168</v>
      </c>
      <c r="F814" s="47">
        <v>0.96556712962962965</v>
      </c>
      <c r="G814" s="44">
        <v>6.3</v>
      </c>
      <c r="H814" s="43" t="s">
        <v>228</v>
      </c>
      <c r="I814" s="40" t="s">
        <v>1300</v>
      </c>
    </row>
    <row r="815" spans="1:9" x14ac:dyDescent="0.2">
      <c r="A815" s="40" t="s">
        <v>66</v>
      </c>
      <c r="B815" s="28">
        <v>831</v>
      </c>
      <c r="C815" s="28" t="s">
        <v>572</v>
      </c>
      <c r="D815" s="28"/>
      <c r="E815" s="45">
        <v>46168</v>
      </c>
      <c r="F815" s="48">
        <v>0.97222222222222221</v>
      </c>
      <c r="G815" s="44">
        <v>6.3</v>
      </c>
      <c r="H815" s="43" t="s">
        <v>229</v>
      </c>
      <c r="I815" s="40" t="s">
        <v>1300</v>
      </c>
    </row>
    <row r="816" spans="1:9" x14ac:dyDescent="0.2">
      <c r="A816" s="40" t="s">
        <v>67</v>
      </c>
      <c r="B816" s="28">
        <v>837</v>
      </c>
      <c r="C816" s="28" t="s">
        <v>573</v>
      </c>
      <c r="D816" s="28"/>
      <c r="E816" s="45">
        <v>46168</v>
      </c>
      <c r="F816" s="48">
        <v>0.36682870370370368</v>
      </c>
      <c r="G816" s="42">
        <v>6.3</v>
      </c>
      <c r="H816" s="40" t="s">
        <v>228</v>
      </c>
      <c r="I816" s="40" t="s">
        <v>1300</v>
      </c>
    </row>
    <row r="817" spans="1:9" x14ac:dyDescent="0.2">
      <c r="A817" s="40" t="s">
        <v>67</v>
      </c>
      <c r="B817" s="28">
        <v>837</v>
      </c>
      <c r="C817" s="28" t="s">
        <v>573</v>
      </c>
      <c r="D817" s="28"/>
      <c r="E817" s="41">
        <v>46168</v>
      </c>
      <c r="F817" s="47">
        <v>0.38947916666666665</v>
      </c>
      <c r="G817" s="42">
        <v>6.3</v>
      </c>
      <c r="H817" s="40" t="s">
        <v>232</v>
      </c>
      <c r="I817" s="40" t="s">
        <v>1300</v>
      </c>
    </row>
    <row r="818" spans="1:9" x14ac:dyDescent="0.2">
      <c r="A818" s="40" t="s">
        <v>67</v>
      </c>
      <c r="B818" s="28">
        <v>837</v>
      </c>
      <c r="C818" s="28" t="s">
        <v>35</v>
      </c>
      <c r="D818" s="28" t="s">
        <v>38</v>
      </c>
      <c r="E818" s="41">
        <v>46170</v>
      </c>
      <c r="F818" s="47">
        <v>0.44799768518518518</v>
      </c>
      <c r="G818" s="42">
        <v>6.3</v>
      </c>
      <c r="H818" s="40" t="s">
        <v>227</v>
      </c>
      <c r="I818" s="40" t="s">
        <v>1300</v>
      </c>
    </row>
    <row r="819" spans="1:9" x14ac:dyDescent="0.2">
      <c r="A819" s="40" t="s">
        <v>67</v>
      </c>
      <c r="B819" s="28">
        <v>837</v>
      </c>
      <c r="C819" s="28" t="s">
        <v>35</v>
      </c>
      <c r="D819" s="28" t="s">
        <v>38</v>
      </c>
      <c r="E819" s="41">
        <v>46171</v>
      </c>
      <c r="F819" s="47">
        <v>0.58206018518518521</v>
      </c>
      <c r="G819" s="42">
        <v>6.3</v>
      </c>
      <c r="H819" s="40" t="s">
        <v>227</v>
      </c>
      <c r="I819" s="40" t="s">
        <v>1300</v>
      </c>
    </row>
    <row r="820" spans="1:9" x14ac:dyDescent="0.2">
      <c r="A820" s="40" t="s">
        <v>68</v>
      </c>
      <c r="B820" s="28">
        <v>846</v>
      </c>
      <c r="C820" s="28" t="s">
        <v>35</v>
      </c>
      <c r="D820" s="28" t="s">
        <v>38</v>
      </c>
      <c r="E820" s="41">
        <v>46167</v>
      </c>
      <c r="F820" s="47">
        <v>7.5011574074074078E-2</v>
      </c>
      <c r="G820" s="44">
        <v>6.3</v>
      </c>
      <c r="H820" s="43" t="s">
        <v>228</v>
      </c>
      <c r="I820" s="40" t="s">
        <v>1300</v>
      </c>
    </row>
    <row r="821" spans="1:9" x14ac:dyDescent="0.2">
      <c r="A821" s="40" t="s">
        <v>68</v>
      </c>
      <c r="B821" s="28">
        <v>846</v>
      </c>
      <c r="C821" s="28" t="s">
        <v>35</v>
      </c>
      <c r="D821" s="28" t="s">
        <v>38</v>
      </c>
      <c r="E821" s="41">
        <v>46167</v>
      </c>
      <c r="F821" s="47">
        <v>8.2280092592592599E-2</v>
      </c>
      <c r="G821" s="44">
        <v>6.3</v>
      </c>
      <c r="H821" s="43" t="s">
        <v>232</v>
      </c>
      <c r="I821" s="40" t="s">
        <v>1300</v>
      </c>
    </row>
    <row r="822" spans="1:9" x14ac:dyDescent="0.2">
      <c r="A822" s="40" t="s">
        <v>68</v>
      </c>
      <c r="B822" s="28">
        <v>846</v>
      </c>
      <c r="C822" s="28">
        <v>5685369</v>
      </c>
      <c r="D822" s="28"/>
      <c r="E822" s="41">
        <v>46167</v>
      </c>
      <c r="F822" s="47">
        <v>0.15817129629629631</v>
      </c>
      <c r="G822" s="44">
        <v>6.3</v>
      </c>
      <c r="H822" s="43" t="s">
        <v>226</v>
      </c>
      <c r="I822" s="40" t="s">
        <v>1300</v>
      </c>
    </row>
    <row r="823" spans="1:9" x14ac:dyDescent="0.2">
      <c r="A823" s="40" t="s">
        <v>68</v>
      </c>
      <c r="B823" s="28">
        <v>846</v>
      </c>
      <c r="C823" s="28">
        <v>5685369</v>
      </c>
      <c r="D823" s="28"/>
      <c r="E823" s="45">
        <v>46167</v>
      </c>
      <c r="F823" s="48">
        <v>0.16341435185185185</v>
      </c>
      <c r="G823" s="44">
        <v>6.3</v>
      </c>
      <c r="H823" s="43" t="s">
        <v>227</v>
      </c>
      <c r="I823" s="40" t="s">
        <v>1300</v>
      </c>
    </row>
    <row r="824" spans="1:9" x14ac:dyDescent="0.2">
      <c r="A824" s="40" t="s">
        <v>68</v>
      </c>
      <c r="B824" s="28">
        <v>846</v>
      </c>
      <c r="C824" s="28">
        <v>5686901</v>
      </c>
      <c r="D824" s="28" t="s">
        <v>36</v>
      </c>
      <c r="E824" s="41">
        <v>46167</v>
      </c>
      <c r="F824" s="47">
        <v>0.99982638888888886</v>
      </c>
      <c r="G824" s="44">
        <v>6.3</v>
      </c>
      <c r="H824" s="43" t="s">
        <v>228</v>
      </c>
      <c r="I824" s="40" t="s">
        <v>1300</v>
      </c>
    </row>
    <row r="825" spans="1:9" x14ac:dyDescent="0.2">
      <c r="A825" s="40" t="s">
        <v>68</v>
      </c>
      <c r="B825" s="28">
        <v>846</v>
      </c>
      <c r="C825" s="28" t="s">
        <v>574</v>
      </c>
      <c r="D825" s="28"/>
      <c r="E825" s="41">
        <v>46168</v>
      </c>
      <c r="F825" s="47">
        <v>0.10636574074074075</v>
      </c>
      <c r="G825" s="44">
        <v>6.3</v>
      </c>
      <c r="H825" s="43" t="s">
        <v>228</v>
      </c>
      <c r="I825" s="40" t="s">
        <v>1300</v>
      </c>
    </row>
    <row r="826" spans="1:9" x14ac:dyDescent="0.2">
      <c r="A826" s="40" t="s">
        <v>68</v>
      </c>
      <c r="B826" s="28">
        <v>846</v>
      </c>
      <c r="C826" s="28" t="s">
        <v>574</v>
      </c>
      <c r="D826" s="28"/>
      <c r="E826" s="41">
        <v>46168</v>
      </c>
      <c r="F826" s="47">
        <v>0.11247685185185186</v>
      </c>
      <c r="G826" s="44">
        <v>6.3</v>
      </c>
      <c r="H826" s="43" t="s">
        <v>229</v>
      </c>
      <c r="I826" s="40" t="s">
        <v>1300</v>
      </c>
    </row>
    <row r="827" spans="1:9" x14ac:dyDescent="0.2">
      <c r="A827" s="40" t="s">
        <v>68</v>
      </c>
      <c r="B827" s="28">
        <v>846</v>
      </c>
      <c r="C827" s="28" t="s">
        <v>575</v>
      </c>
      <c r="D827" s="28"/>
      <c r="E827" s="45">
        <v>46169</v>
      </c>
      <c r="F827" s="48">
        <v>0.489375</v>
      </c>
      <c r="G827" s="44">
        <v>6.3</v>
      </c>
      <c r="H827" s="43" t="s">
        <v>232</v>
      </c>
      <c r="I827" s="40" t="s">
        <v>1300</v>
      </c>
    </row>
    <row r="828" spans="1:9" x14ac:dyDescent="0.2">
      <c r="A828" s="40" t="s">
        <v>68</v>
      </c>
      <c r="B828" s="28">
        <v>846</v>
      </c>
      <c r="C828" s="28">
        <v>5694552</v>
      </c>
      <c r="D828" s="28"/>
      <c r="E828" s="41">
        <v>46172</v>
      </c>
      <c r="F828" s="47">
        <v>0.48891203703703706</v>
      </c>
      <c r="G828" s="44">
        <v>6.3</v>
      </c>
      <c r="H828" s="43" t="s">
        <v>228</v>
      </c>
      <c r="I828" s="40" t="s">
        <v>1300</v>
      </c>
    </row>
    <row r="829" spans="1:9" x14ac:dyDescent="0.2">
      <c r="A829" s="40" t="s">
        <v>68</v>
      </c>
      <c r="B829" s="28">
        <v>846</v>
      </c>
      <c r="C829" s="28">
        <v>5694552</v>
      </c>
      <c r="D829" s="28"/>
      <c r="E829" s="41">
        <v>46172</v>
      </c>
      <c r="F829" s="47">
        <v>0.50024305555555559</v>
      </c>
      <c r="G829" s="44">
        <v>6.3</v>
      </c>
      <c r="H829" s="43" t="s">
        <v>229</v>
      </c>
      <c r="I829" s="40" t="s">
        <v>1300</v>
      </c>
    </row>
    <row r="830" spans="1:9" x14ac:dyDescent="0.2">
      <c r="A830" s="40" t="s">
        <v>144</v>
      </c>
      <c r="B830" s="28">
        <v>847</v>
      </c>
      <c r="C830" s="28" t="s">
        <v>576</v>
      </c>
      <c r="D830" s="28"/>
      <c r="E830" s="41">
        <v>46169</v>
      </c>
      <c r="F830" s="47">
        <v>0.49038194444444444</v>
      </c>
      <c r="G830" s="44">
        <v>6.3</v>
      </c>
      <c r="H830" s="43" t="s">
        <v>229</v>
      </c>
      <c r="I830" s="40" t="s">
        <v>1300</v>
      </c>
    </row>
    <row r="831" spans="1:9" x14ac:dyDescent="0.2">
      <c r="A831" s="40" t="s">
        <v>144</v>
      </c>
      <c r="B831" s="28">
        <v>847</v>
      </c>
      <c r="C831" s="28" t="s">
        <v>576</v>
      </c>
      <c r="D831" s="28"/>
      <c r="E831" s="41">
        <v>46169</v>
      </c>
      <c r="F831" s="47">
        <v>0.5020486111111111</v>
      </c>
      <c r="G831" s="44">
        <v>6.3</v>
      </c>
      <c r="H831" s="43" t="s">
        <v>230</v>
      </c>
      <c r="I831" s="40" t="s">
        <v>1300</v>
      </c>
    </row>
    <row r="832" spans="1:9" x14ac:dyDescent="0.2">
      <c r="A832" s="40" t="s">
        <v>144</v>
      </c>
      <c r="B832" s="28">
        <v>847</v>
      </c>
      <c r="C832" s="28" t="s">
        <v>35</v>
      </c>
      <c r="D832" s="28" t="s">
        <v>38</v>
      </c>
      <c r="E832" s="41">
        <v>46169</v>
      </c>
      <c r="F832" s="47">
        <v>0.5084953703703704</v>
      </c>
      <c r="G832" s="44">
        <v>6.3</v>
      </c>
      <c r="H832" s="43" t="s">
        <v>227</v>
      </c>
      <c r="I832" s="40" t="s">
        <v>1300</v>
      </c>
    </row>
    <row r="833" spans="1:9" x14ac:dyDescent="0.2">
      <c r="A833" s="40" t="s">
        <v>144</v>
      </c>
      <c r="B833" s="28">
        <v>847</v>
      </c>
      <c r="C833" s="28" t="s">
        <v>577</v>
      </c>
      <c r="D833" s="28"/>
      <c r="E833" s="41">
        <v>46170</v>
      </c>
      <c r="F833" s="47">
        <v>0.37619212962962961</v>
      </c>
      <c r="G833" s="44">
        <v>6.3</v>
      </c>
      <c r="H833" s="43" t="s">
        <v>228</v>
      </c>
      <c r="I833" s="40" t="s">
        <v>1300</v>
      </c>
    </row>
    <row r="834" spans="1:9" x14ac:dyDescent="0.2">
      <c r="A834" s="40" t="s">
        <v>144</v>
      </c>
      <c r="B834" s="28">
        <v>847</v>
      </c>
      <c r="C834" s="28" t="s">
        <v>577</v>
      </c>
      <c r="D834" s="28"/>
      <c r="E834" s="41">
        <v>46170</v>
      </c>
      <c r="F834" s="47">
        <v>0.39590277777777777</v>
      </c>
      <c r="G834" s="44">
        <v>6.3</v>
      </c>
      <c r="H834" s="43" t="s">
        <v>229</v>
      </c>
      <c r="I834" s="40" t="s">
        <v>1300</v>
      </c>
    </row>
    <row r="835" spans="1:9" x14ac:dyDescent="0.2">
      <c r="A835" s="40" t="s">
        <v>144</v>
      </c>
      <c r="B835" s="28">
        <v>847</v>
      </c>
      <c r="C835" s="28">
        <v>5692740</v>
      </c>
      <c r="D835" s="28"/>
      <c r="E835" s="41">
        <v>46171</v>
      </c>
      <c r="F835" s="47">
        <v>0.36914351851851851</v>
      </c>
      <c r="G835" s="44">
        <v>6.3</v>
      </c>
      <c r="H835" s="43" t="s">
        <v>228</v>
      </c>
      <c r="I835" s="40" t="s">
        <v>1300</v>
      </c>
    </row>
    <row r="836" spans="1:9" x14ac:dyDescent="0.2">
      <c r="A836" s="40" t="s">
        <v>144</v>
      </c>
      <c r="B836" s="28">
        <v>847</v>
      </c>
      <c r="C836" s="28">
        <v>5692740</v>
      </c>
      <c r="D836" s="28"/>
      <c r="E836" s="41">
        <v>46171</v>
      </c>
      <c r="F836" s="47">
        <v>0.38298611111111114</v>
      </c>
      <c r="G836" s="42">
        <v>6.3</v>
      </c>
      <c r="H836" s="40" t="s">
        <v>229</v>
      </c>
      <c r="I836" s="40" t="s">
        <v>1300</v>
      </c>
    </row>
    <row r="837" spans="1:9" x14ac:dyDescent="0.2">
      <c r="A837" s="40" t="s">
        <v>144</v>
      </c>
      <c r="B837" s="28">
        <v>847</v>
      </c>
      <c r="C837" s="28" t="s">
        <v>35</v>
      </c>
      <c r="D837" s="28" t="s">
        <v>38</v>
      </c>
      <c r="E837" s="41">
        <v>46171</v>
      </c>
      <c r="F837" s="47">
        <v>0.39753472222222225</v>
      </c>
      <c r="G837" s="42">
        <v>6.3</v>
      </c>
      <c r="H837" s="40" t="s">
        <v>230</v>
      </c>
      <c r="I837" s="40" t="s">
        <v>1300</v>
      </c>
    </row>
    <row r="838" spans="1:9" x14ac:dyDescent="0.2">
      <c r="A838" s="40" t="s">
        <v>144</v>
      </c>
      <c r="B838" s="28">
        <v>847</v>
      </c>
      <c r="C838" s="28" t="s">
        <v>35</v>
      </c>
      <c r="D838" s="28" t="s">
        <v>38</v>
      </c>
      <c r="E838" s="41">
        <v>46171</v>
      </c>
      <c r="F838" s="47">
        <v>0.40684027777777776</v>
      </c>
      <c r="G838" s="42">
        <v>6.3</v>
      </c>
      <c r="H838" s="40" t="s">
        <v>227</v>
      </c>
      <c r="I838" s="40" t="s">
        <v>1300</v>
      </c>
    </row>
    <row r="839" spans="1:9" x14ac:dyDescent="0.2">
      <c r="A839" s="40" t="s">
        <v>274</v>
      </c>
      <c r="B839" s="28">
        <v>858</v>
      </c>
      <c r="C839" s="28" t="s">
        <v>35</v>
      </c>
      <c r="D839" s="28" t="s">
        <v>38</v>
      </c>
      <c r="E839" s="41">
        <v>46167</v>
      </c>
      <c r="F839" s="47">
        <v>0.70114583333333336</v>
      </c>
      <c r="G839" s="42">
        <v>6.3</v>
      </c>
      <c r="H839" s="40" t="s">
        <v>226</v>
      </c>
      <c r="I839" s="40" t="s">
        <v>1300</v>
      </c>
    </row>
    <row r="840" spans="1:9" x14ac:dyDescent="0.2">
      <c r="A840" s="40" t="s">
        <v>69</v>
      </c>
      <c r="B840" s="28">
        <v>865</v>
      </c>
      <c r="C840" s="28">
        <v>5685679</v>
      </c>
      <c r="D840" s="28"/>
      <c r="E840" s="41">
        <v>46167</v>
      </c>
      <c r="F840" s="47">
        <v>0.4241550925925926</v>
      </c>
      <c r="G840" s="42">
        <v>6.3</v>
      </c>
      <c r="H840" s="40" t="s">
        <v>228</v>
      </c>
      <c r="I840" s="40" t="s">
        <v>1300</v>
      </c>
    </row>
    <row r="841" spans="1:9" x14ac:dyDescent="0.2">
      <c r="A841" s="40" t="s">
        <v>69</v>
      </c>
      <c r="B841" s="28">
        <v>865</v>
      </c>
      <c r="C841" s="28">
        <v>5685679</v>
      </c>
      <c r="D841" s="28"/>
      <c r="E841" s="41">
        <v>46167</v>
      </c>
      <c r="F841" s="47">
        <v>0.43622685185185184</v>
      </c>
      <c r="G841" s="44">
        <v>6.3</v>
      </c>
      <c r="H841" s="43" t="s">
        <v>229</v>
      </c>
      <c r="I841" s="40" t="s">
        <v>1300</v>
      </c>
    </row>
    <row r="842" spans="1:9" x14ac:dyDescent="0.2">
      <c r="A842" s="40" t="s">
        <v>69</v>
      </c>
      <c r="B842" s="28">
        <v>865</v>
      </c>
      <c r="C842" s="28">
        <v>5686145</v>
      </c>
      <c r="D842" s="28"/>
      <c r="E842" s="41">
        <v>46167</v>
      </c>
      <c r="F842" s="47">
        <v>0.58218749999999997</v>
      </c>
      <c r="G842" s="44">
        <v>6.3</v>
      </c>
      <c r="H842" s="43" t="s">
        <v>228</v>
      </c>
      <c r="I842" s="40" t="s">
        <v>1300</v>
      </c>
    </row>
    <row r="843" spans="1:9" x14ac:dyDescent="0.2">
      <c r="A843" s="40" t="s">
        <v>69</v>
      </c>
      <c r="B843" s="28">
        <v>865</v>
      </c>
      <c r="C843" s="28">
        <v>5686145</v>
      </c>
      <c r="D843" s="28"/>
      <c r="E843" s="45">
        <v>46167</v>
      </c>
      <c r="F843" s="48">
        <v>0.58974537037037034</v>
      </c>
      <c r="G843" s="44">
        <v>6.3</v>
      </c>
      <c r="H843" s="43" t="s">
        <v>232</v>
      </c>
      <c r="I843" s="40" t="s">
        <v>1300</v>
      </c>
    </row>
    <row r="844" spans="1:9" x14ac:dyDescent="0.2">
      <c r="A844" s="40" t="s">
        <v>69</v>
      </c>
      <c r="B844" s="28">
        <v>865</v>
      </c>
      <c r="C844" s="28" t="s">
        <v>35</v>
      </c>
      <c r="D844" s="28" t="s">
        <v>38</v>
      </c>
      <c r="E844" s="41">
        <v>46171</v>
      </c>
      <c r="F844" s="47">
        <v>0.41916666666666669</v>
      </c>
      <c r="G844" s="44">
        <v>6.3</v>
      </c>
      <c r="H844" s="43" t="s">
        <v>227</v>
      </c>
      <c r="I844" s="40" t="s">
        <v>1300</v>
      </c>
    </row>
    <row r="845" spans="1:9" x14ac:dyDescent="0.2">
      <c r="A845" s="40" t="s">
        <v>69</v>
      </c>
      <c r="B845" s="28">
        <v>865</v>
      </c>
      <c r="C845" s="28">
        <v>5691835</v>
      </c>
      <c r="D845" s="28"/>
      <c r="E845" s="41">
        <v>46171</v>
      </c>
      <c r="F845" s="47">
        <v>0.64216435185185183</v>
      </c>
      <c r="G845" s="44">
        <v>6.3</v>
      </c>
      <c r="H845" s="43" t="s">
        <v>228</v>
      </c>
      <c r="I845" s="40" t="s">
        <v>1300</v>
      </c>
    </row>
    <row r="846" spans="1:9" x14ac:dyDescent="0.2">
      <c r="A846" s="40" t="s">
        <v>69</v>
      </c>
      <c r="B846" s="28">
        <v>865</v>
      </c>
      <c r="C846" s="28">
        <v>5691835</v>
      </c>
      <c r="D846" s="28"/>
      <c r="E846" s="41">
        <v>46171</v>
      </c>
      <c r="F846" s="47">
        <v>0.65203703703703708</v>
      </c>
      <c r="G846" s="44">
        <v>6.3</v>
      </c>
      <c r="H846" s="43" t="s">
        <v>229</v>
      </c>
      <c r="I846" s="40" t="s">
        <v>1300</v>
      </c>
    </row>
    <row r="847" spans="1:9" x14ac:dyDescent="0.2">
      <c r="A847" s="40" t="s">
        <v>69</v>
      </c>
      <c r="B847" s="28">
        <v>865</v>
      </c>
      <c r="C847" s="28" t="s">
        <v>35</v>
      </c>
      <c r="D847" s="28" t="s">
        <v>38</v>
      </c>
      <c r="E847" s="45">
        <v>46172</v>
      </c>
      <c r="F847" s="48">
        <v>0.49243055555555554</v>
      </c>
      <c r="G847" s="42">
        <v>6.3</v>
      </c>
      <c r="H847" s="40" t="s">
        <v>227</v>
      </c>
      <c r="I847" s="40" t="s">
        <v>1300</v>
      </c>
    </row>
    <row r="848" spans="1:9" x14ac:dyDescent="0.2">
      <c r="A848" s="40" t="s">
        <v>69</v>
      </c>
      <c r="B848" s="28">
        <v>865</v>
      </c>
      <c r="C848" s="28" t="s">
        <v>35</v>
      </c>
      <c r="D848" s="28" t="s">
        <v>38</v>
      </c>
      <c r="E848" s="41">
        <v>46173</v>
      </c>
      <c r="F848" s="47">
        <v>0.48376157407407405</v>
      </c>
      <c r="G848" s="42">
        <v>6.3</v>
      </c>
      <c r="H848" s="40" t="s">
        <v>227</v>
      </c>
      <c r="I848" s="40" t="s">
        <v>1300</v>
      </c>
    </row>
    <row r="849" spans="1:9" x14ac:dyDescent="0.2">
      <c r="A849" s="40" t="s">
        <v>139</v>
      </c>
      <c r="B849" s="28">
        <v>870</v>
      </c>
      <c r="C849" s="28">
        <v>5683834</v>
      </c>
      <c r="D849" s="28"/>
      <c r="E849" s="41">
        <v>46167</v>
      </c>
      <c r="F849" s="47">
        <v>0.18679398148148149</v>
      </c>
      <c r="G849" s="42">
        <v>6.3</v>
      </c>
      <c r="H849" s="40" t="s">
        <v>234</v>
      </c>
      <c r="I849" s="40" t="s">
        <v>1300</v>
      </c>
    </row>
    <row r="850" spans="1:9" x14ac:dyDescent="0.2">
      <c r="A850" s="40" t="s">
        <v>139</v>
      </c>
      <c r="B850" s="28">
        <v>870</v>
      </c>
      <c r="C850" s="28">
        <v>5683834</v>
      </c>
      <c r="D850" s="28"/>
      <c r="E850" s="41">
        <v>46167</v>
      </c>
      <c r="F850" s="47">
        <v>0.18931712962962963</v>
      </c>
      <c r="G850" s="44">
        <v>6.3</v>
      </c>
      <c r="H850" s="43" t="s">
        <v>227</v>
      </c>
      <c r="I850" s="40" t="s">
        <v>1300</v>
      </c>
    </row>
    <row r="851" spans="1:9" x14ac:dyDescent="0.2">
      <c r="A851" s="40" t="s">
        <v>139</v>
      </c>
      <c r="B851" s="28">
        <v>870</v>
      </c>
      <c r="C851" s="28">
        <v>5684683</v>
      </c>
      <c r="D851" s="28"/>
      <c r="E851" s="41">
        <v>46167</v>
      </c>
      <c r="F851" s="47">
        <v>0.26616898148148149</v>
      </c>
      <c r="G851" s="44">
        <v>6.3</v>
      </c>
      <c r="H851" s="43" t="s">
        <v>227</v>
      </c>
      <c r="I851" s="40" t="s">
        <v>1300</v>
      </c>
    </row>
    <row r="852" spans="1:9" x14ac:dyDescent="0.2">
      <c r="A852" s="40" t="s">
        <v>139</v>
      </c>
      <c r="B852" s="28">
        <v>870</v>
      </c>
      <c r="C852" s="28">
        <v>5685600</v>
      </c>
      <c r="D852" s="28"/>
      <c r="E852" s="41">
        <v>46168</v>
      </c>
      <c r="F852" s="47">
        <v>0.17311342592592593</v>
      </c>
      <c r="G852" s="44">
        <v>6.3</v>
      </c>
      <c r="H852" s="43" t="s">
        <v>230</v>
      </c>
      <c r="I852" s="40" t="s">
        <v>1300</v>
      </c>
    </row>
    <row r="853" spans="1:9" x14ac:dyDescent="0.2">
      <c r="A853" s="40" t="s">
        <v>139</v>
      </c>
      <c r="B853" s="28">
        <v>870</v>
      </c>
      <c r="C853" s="28">
        <v>5685600</v>
      </c>
      <c r="D853" s="28"/>
      <c r="E853" s="41">
        <v>46168</v>
      </c>
      <c r="F853" s="47">
        <v>0.17783564814814815</v>
      </c>
      <c r="G853" s="44">
        <v>6.3</v>
      </c>
      <c r="H853" s="43" t="s">
        <v>227</v>
      </c>
      <c r="I853" s="40" t="s">
        <v>1300</v>
      </c>
    </row>
    <row r="854" spans="1:9" x14ac:dyDescent="0.2">
      <c r="A854" s="40" t="s">
        <v>139</v>
      </c>
      <c r="B854" s="28">
        <v>870</v>
      </c>
      <c r="C854" s="28">
        <v>5688625</v>
      </c>
      <c r="D854" s="28"/>
      <c r="E854" s="41">
        <v>46169</v>
      </c>
      <c r="F854" s="47">
        <v>0.28435185185185186</v>
      </c>
      <c r="G854" s="44">
        <v>6.3</v>
      </c>
      <c r="H854" s="43" t="s">
        <v>230</v>
      </c>
      <c r="I854" s="40" t="s">
        <v>1300</v>
      </c>
    </row>
    <row r="855" spans="1:9" x14ac:dyDescent="0.2">
      <c r="A855" s="40" t="s">
        <v>139</v>
      </c>
      <c r="B855" s="28">
        <v>870</v>
      </c>
      <c r="C855" s="28">
        <v>5688625</v>
      </c>
      <c r="D855" s="28"/>
      <c r="E855" s="41">
        <v>46169</v>
      </c>
      <c r="F855" s="47">
        <v>0.29296296296296298</v>
      </c>
      <c r="G855" s="44">
        <v>6.3</v>
      </c>
      <c r="H855" s="43" t="s">
        <v>227</v>
      </c>
      <c r="I855" s="40" t="s">
        <v>1300</v>
      </c>
    </row>
    <row r="856" spans="1:9" x14ac:dyDescent="0.2">
      <c r="A856" s="40" t="s">
        <v>139</v>
      </c>
      <c r="B856" s="28">
        <v>870</v>
      </c>
      <c r="C856" s="28">
        <v>5690529</v>
      </c>
      <c r="D856" s="28"/>
      <c r="E856" s="41">
        <v>46170</v>
      </c>
      <c r="F856" s="47">
        <v>0.25636574074074076</v>
      </c>
      <c r="G856" s="44">
        <v>6.3</v>
      </c>
      <c r="H856" s="43" t="s">
        <v>230</v>
      </c>
      <c r="I856" s="40" t="s">
        <v>1300</v>
      </c>
    </row>
    <row r="857" spans="1:9" x14ac:dyDescent="0.2">
      <c r="A857" s="40" t="s">
        <v>139</v>
      </c>
      <c r="B857" s="28">
        <v>870</v>
      </c>
      <c r="C857" s="28">
        <v>5690529</v>
      </c>
      <c r="D857" s="28"/>
      <c r="E857" s="41">
        <v>46170</v>
      </c>
      <c r="F857" s="47">
        <v>0.26164351851851853</v>
      </c>
      <c r="G857" s="44">
        <v>6.3</v>
      </c>
      <c r="H857" s="43" t="s">
        <v>227</v>
      </c>
      <c r="I857" s="40" t="s">
        <v>1300</v>
      </c>
    </row>
    <row r="858" spans="1:9" x14ac:dyDescent="0.2">
      <c r="A858" s="40" t="s">
        <v>139</v>
      </c>
      <c r="B858" s="28">
        <v>870</v>
      </c>
      <c r="C858" s="28" t="s">
        <v>35</v>
      </c>
      <c r="D858" s="28" t="s">
        <v>38</v>
      </c>
      <c r="E858" s="41">
        <v>46170</v>
      </c>
      <c r="F858" s="47">
        <v>0.43221064814814814</v>
      </c>
      <c r="G858" s="44">
        <v>6.3</v>
      </c>
      <c r="H858" s="43" t="s">
        <v>228</v>
      </c>
      <c r="I858" s="40" t="s">
        <v>1300</v>
      </c>
    </row>
    <row r="859" spans="1:9" x14ac:dyDescent="0.2">
      <c r="A859" s="40" t="s">
        <v>139</v>
      </c>
      <c r="B859" s="28">
        <v>870</v>
      </c>
      <c r="C859" s="28" t="s">
        <v>35</v>
      </c>
      <c r="D859" s="28" t="s">
        <v>38</v>
      </c>
      <c r="E859" s="41">
        <v>46170</v>
      </c>
      <c r="F859" s="47">
        <v>0.4377314814814815</v>
      </c>
      <c r="G859" s="44">
        <v>6.3</v>
      </c>
      <c r="H859" s="43" t="s">
        <v>233</v>
      </c>
      <c r="I859" s="40" t="s">
        <v>1300</v>
      </c>
    </row>
    <row r="860" spans="1:9" x14ac:dyDescent="0.2">
      <c r="A860" s="40" t="s">
        <v>139</v>
      </c>
      <c r="B860" s="28">
        <v>870</v>
      </c>
      <c r="C860" s="28" t="s">
        <v>35</v>
      </c>
      <c r="D860" s="28" t="s">
        <v>38</v>
      </c>
      <c r="E860" s="41">
        <v>46170</v>
      </c>
      <c r="F860" s="47">
        <v>0.48524305555555558</v>
      </c>
      <c r="G860" s="44">
        <v>6.3</v>
      </c>
      <c r="H860" s="43" t="s">
        <v>234</v>
      </c>
      <c r="I860" s="40" t="s">
        <v>1300</v>
      </c>
    </row>
    <row r="861" spans="1:9" x14ac:dyDescent="0.2">
      <c r="A861" s="40" t="s">
        <v>139</v>
      </c>
      <c r="B861" s="28">
        <v>870</v>
      </c>
      <c r="C861" s="28" t="s">
        <v>35</v>
      </c>
      <c r="D861" s="28" t="s">
        <v>38</v>
      </c>
      <c r="E861" s="41">
        <v>46170</v>
      </c>
      <c r="F861" s="47">
        <v>0.48837962962962961</v>
      </c>
      <c r="G861" s="44">
        <v>6.3</v>
      </c>
      <c r="H861" s="43" t="s">
        <v>227</v>
      </c>
      <c r="I861" s="40" t="s">
        <v>1300</v>
      </c>
    </row>
    <row r="862" spans="1:9" x14ac:dyDescent="0.2">
      <c r="A862" s="40" t="s">
        <v>139</v>
      </c>
      <c r="B862" s="28">
        <v>870</v>
      </c>
      <c r="C862" s="28">
        <v>5693718</v>
      </c>
      <c r="D862" s="28"/>
      <c r="E862" s="41">
        <v>46171</v>
      </c>
      <c r="F862" s="47">
        <v>0.93190972222222224</v>
      </c>
      <c r="G862" s="44">
        <v>6.3</v>
      </c>
      <c r="H862" s="43" t="s">
        <v>228</v>
      </c>
      <c r="I862" s="40" t="s">
        <v>1300</v>
      </c>
    </row>
    <row r="863" spans="1:9" x14ac:dyDescent="0.2">
      <c r="A863" s="40" t="s">
        <v>139</v>
      </c>
      <c r="B863" s="28">
        <v>870</v>
      </c>
      <c r="C863" s="28">
        <v>5693718</v>
      </c>
      <c r="D863" s="28"/>
      <c r="E863" s="41">
        <v>46171</v>
      </c>
      <c r="F863" s="47">
        <v>0.94026620370370373</v>
      </c>
      <c r="G863" s="44">
        <v>6.3</v>
      </c>
      <c r="H863" s="43" t="s">
        <v>229</v>
      </c>
      <c r="I863" s="40" t="s">
        <v>1300</v>
      </c>
    </row>
    <row r="864" spans="1:9" x14ac:dyDescent="0.2">
      <c r="A864" s="40" t="s">
        <v>139</v>
      </c>
      <c r="B864" s="28">
        <v>870</v>
      </c>
      <c r="C864" s="28" t="s">
        <v>35</v>
      </c>
      <c r="D864" s="28" t="s">
        <v>38</v>
      </c>
      <c r="E864" s="41">
        <v>46171</v>
      </c>
      <c r="F864" s="47">
        <v>0.95907407407407408</v>
      </c>
      <c r="G864" s="44">
        <v>6.3</v>
      </c>
      <c r="H864" s="43" t="s">
        <v>230</v>
      </c>
      <c r="I864" s="40" t="s">
        <v>1300</v>
      </c>
    </row>
    <row r="865" spans="1:9" x14ac:dyDescent="0.2">
      <c r="A865" s="40" t="s">
        <v>139</v>
      </c>
      <c r="B865" s="28">
        <v>870</v>
      </c>
      <c r="C865" s="28" t="s">
        <v>35</v>
      </c>
      <c r="D865" s="28" t="s">
        <v>38</v>
      </c>
      <c r="E865" s="41">
        <v>46171</v>
      </c>
      <c r="F865" s="47">
        <v>0.96559027777777773</v>
      </c>
      <c r="G865" s="44">
        <v>6.3</v>
      </c>
      <c r="H865" s="43" t="s">
        <v>227</v>
      </c>
      <c r="I865" s="40" t="s">
        <v>1300</v>
      </c>
    </row>
    <row r="866" spans="1:9" x14ac:dyDescent="0.2">
      <c r="A866" s="40" t="s">
        <v>139</v>
      </c>
      <c r="B866" s="28">
        <v>870</v>
      </c>
      <c r="C866" s="28">
        <v>5694520</v>
      </c>
      <c r="D866" s="28"/>
      <c r="E866" s="41">
        <v>46172</v>
      </c>
      <c r="F866" s="47">
        <v>0.76013888888888892</v>
      </c>
      <c r="G866" s="44">
        <v>6.3</v>
      </c>
      <c r="H866" s="43" t="s">
        <v>228</v>
      </c>
      <c r="I866" s="40" t="s">
        <v>1300</v>
      </c>
    </row>
    <row r="867" spans="1:9" x14ac:dyDescent="0.2">
      <c r="A867" s="40" t="s">
        <v>139</v>
      </c>
      <c r="B867" s="28">
        <v>870</v>
      </c>
      <c r="C867" s="28">
        <v>5694520</v>
      </c>
      <c r="D867" s="28"/>
      <c r="E867" s="45">
        <v>46172</v>
      </c>
      <c r="F867" s="48">
        <v>0.77230324074074075</v>
      </c>
      <c r="G867" s="44">
        <v>6.3</v>
      </c>
      <c r="H867" s="43" t="s">
        <v>232</v>
      </c>
      <c r="I867" s="40" t="s">
        <v>1300</v>
      </c>
    </row>
    <row r="868" spans="1:9" x14ac:dyDescent="0.2">
      <c r="A868" s="40" t="s">
        <v>139</v>
      </c>
      <c r="B868" s="28">
        <v>870</v>
      </c>
      <c r="C868" s="28" t="s">
        <v>35</v>
      </c>
      <c r="D868" s="28" t="s">
        <v>38</v>
      </c>
      <c r="E868" s="41">
        <v>46172</v>
      </c>
      <c r="F868" s="47">
        <v>0.80414351851851851</v>
      </c>
      <c r="G868" s="44">
        <v>6.3</v>
      </c>
      <c r="H868" s="43" t="s">
        <v>227</v>
      </c>
      <c r="I868" s="40" t="s">
        <v>1300</v>
      </c>
    </row>
    <row r="869" spans="1:9" x14ac:dyDescent="0.2">
      <c r="A869" s="40" t="s">
        <v>139</v>
      </c>
      <c r="B869" s="28">
        <v>870</v>
      </c>
      <c r="C869" s="28" t="s">
        <v>35</v>
      </c>
      <c r="D869" s="28" t="s">
        <v>38</v>
      </c>
      <c r="E869" s="41">
        <v>46172</v>
      </c>
      <c r="F869" s="47">
        <v>0.90023148148148147</v>
      </c>
      <c r="G869" s="42">
        <v>6.3</v>
      </c>
      <c r="H869" s="40" t="s">
        <v>228</v>
      </c>
      <c r="I869" s="40" t="s">
        <v>1300</v>
      </c>
    </row>
    <row r="870" spans="1:9" x14ac:dyDescent="0.2">
      <c r="A870" s="40" t="s">
        <v>139</v>
      </c>
      <c r="B870" s="28">
        <v>870</v>
      </c>
      <c r="C870" s="28" t="s">
        <v>35</v>
      </c>
      <c r="D870" s="28" t="s">
        <v>38</v>
      </c>
      <c r="E870" s="41">
        <v>46172</v>
      </c>
      <c r="F870" s="47">
        <v>0.90748842592592593</v>
      </c>
      <c r="G870" s="42">
        <v>6.3</v>
      </c>
      <c r="H870" s="40" t="s">
        <v>229</v>
      </c>
      <c r="I870" s="40" t="s">
        <v>1300</v>
      </c>
    </row>
    <row r="871" spans="1:9" x14ac:dyDescent="0.2">
      <c r="A871" s="40" t="s">
        <v>141</v>
      </c>
      <c r="B871" s="28">
        <v>879</v>
      </c>
      <c r="C871" s="28">
        <v>5686059</v>
      </c>
      <c r="D871" s="28"/>
      <c r="E871" s="41">
        <v>46167</v>
      </c>
      <c r="F871" s="47">
        <v>0.63966435185185189</v>
      </c>
      <c r="G871" s="42">
        <v>6.3</v>
      </c>
      <c r="H871" s="40" t="s">
        <v>228</v>
      </c>
      <c r="I871" s="40" t="s">
        <v>1300</v>
      </c>
    </row>
    <row r="872" spans="1:9" x14ac:dyDescent="0.2">
      <c r="A872" s="40" t="s">
        <v>141</v>
      </c>
      <c r="B872" s="28">
        <v>879</v>
      </c>
      <c r="C872" s="28">
        <v>5686059</v>
      </c>
      <c r="D872" s="28"/>
      <c r="E872" s="41">
        <v>46167</v>
      </c>
      <c r="F872" s="47">
        <v>0.64938657407407407</v>
      </c>
      <c r="G872" s="42">
        <v>6.3</v>
      </c>
      <c r="H872" s="40" t="s">
        <v>232</v>
      </c>
      <c r="I872" s="40" t="s">
        <v>1300</v>
      </c>
    </row>
    <row r="873" spans="1:9" x14ac:dyDescent="0.2">
      <c r="A873" s="40" t="s">
        <v>141</v>
      </c>
      <c r="B873" s="28">
        <v>879</v>
      </c>
      <c r="C873" s="28">
        <v>5684253</v>
      </c>
      <c r="D873" s="28"/>
      <c r="E873" s="41">
        <v>46167</v>
      </c>
      <c r="F873" s="47">
        <v>0.79060185185185183</v>
      </c>
      <c r="G873" s="44">
        <v>6.3</v>
      </c>
      <c r="H873" s="43" t="s">
        <v>226</v>
      </c>
      <c r="I873" s="40" t="s">
        <v>1300</v>
      </c>
    </row>
    <row r="874" spans="1:9" x14ac:dyDescent="0.2">
      <c r="A874" s="40" t="s">
        <v>141</v>
      </c>
      <c r="B874" s="28">
        <v>879</v>
      </c>
      <c r="C874" s="28">
        <v>5684253</v>
      </c>
      <c r="D874" s="28"/>
      <c r="E874" s="41">
        <v>46167</v>
      </c>
      <c r="F874" s="47">
        <v>0.80747685185185181</v>
      </c>
      <c r="G874" s="44">
        <v>6.3</v>
      </c>
      <c r="H874" s="43" t="s">
        <v>227</v>
      </c>
      <c r="I874" s="40" t="s">
        <v>1300</v>
      </c>
    </row>
    <row r="875" spans="1:9" x14ac:dyDescent="0.2">
      <c r="A875" s="40" t="s">
        <v>141</v>
      </c>
      <c r="B875" s="28">
        <v>879</v>
      </c>
      <c r="C875" s="28">
        <v>5687523</v>
      </c>
      <c r="D875" s="28"/>
      <c r="E875" s="41">
        <v>46168</v>
      </c>
      <c r="F875" s="47">
        <v>0.60693287037037036</v>
      </c>
      <c r="G875" s="44">
        <v>6.3</v>
      </c>
      <c r="H875" s="43" t="s">
        <v>228</v>
      </c>
      <c r="I875" s="40" t="s">
        <v>1300</v>
      </c>
    </row>
    <row r="876" spans="1:9" x14ac:dyDescent="0.2">
      <c r="A876" s="40" t="s">
        <v>141</v>
      </c>
      <c r="B876" s="28">
        <v>879</v>
      </c>
      <c r="C876" s="28">
        <v>5687523</v>
      </c>
      <c r="D876" s="28"/>
      <c r="E876" s="41">
        <v>46168</v>
      </c>
      <c r="F876" s="47">
        <v>0.61681712962962965</v>
      </c>
      <c r="G876" s="44">
        <v>6.3</v>
      </c>
      <c r="H876" s="43" t="s">
        <v>229</v>
      </c>
      <c r="I876" s="40" t="s">
        <v>1300</v>
      </c>
    </row>
    <row r="877" spans="1:9" x14ac:dyDescent="0.2">
      <c r="A877" s="40" t="s">
        <v>141</v>
      </c>
      <c r="B877" s="28">
        <v>879</v>
      </c>
      <c r="C877" s="28" t="s">
        <v>35</v>
      </c>
      <c r="D877" s="28" t="s">
        <v>38</v>
      </c>
      <c r="E877" s="41">
        <v>46169</v>
      </c>
      <c r="F877" s="47">
        <v>1.8414351851851852E-2</v>
      </c>
      <c r="G877" s="44">
        <v>6.3</v>
      </c>
      <c r="H877" s="43" t="s">
        <v>226</v>
      </c>
      <c r="I877" s="40" t="s">
        <v>1300</v>
      </c>
    </row>
    <row r="878" spans="1:9" x14ac:dyDescent="0.2">
      <c r="A878" s="40" t="s">
        <v>141</v>
      </c>
      <c r="B878" s="28">
        <v>879</v>
      </c>
      <c r="C878" s="28">
        <v>5691765</v>
      </c>
      <c r="D878" s="28"/>
      <c r="E878" s="41">
        <v>46170</v>
      </c>
      <c r="F878" s="47">
        <v>0.74425925925925929</v>
      </c>
      <c r="G878" s="44">
        <v>6.3</v>
      </c>
      <c r="H878" s="43" t="s">
        <v>228</v>
      </c>
      <c r="I878" s="40" t="s">
        <v>1300</v>
      </c>
    </row>
    <row r="879" spans="1:9" x14ac:dyDescent="0.2">
      <c r="A879" s="40" t="s">
        <v>141</v>
      </c>
      <c r="B879" s="28">
        <v>879</v>
      </c>
      <c r="C879" s="28">
        <v>5691765</v>
      </c>
      <c r="D879" s="28"/>
      <c r="E879" s="41">
        <v>46170</v>
      </c>
      <c r="F879" s="47">
        <v>0.75681712962962966</v>
      </c>
      <c r="G879" s="44">
        <v>6.3</v>
      </c>
      <c r="H879" s="43" t="s">
        <v>229</v>
      </c>
      <c r="I879" s="40" t="s">
        <v>1300</v>
      </c>
    </row>
    <row r="880" spans="1:9" x14ac:dyDescent="0.2">
      <c r="A880" s="40" t="s">
        <v>141</v>
      </c>
      <c r="B880" s="28">
        <v>879</v>
      </c>
      <c r="C880" s="28" t="s">
        <v>578</v>
      </c>
      <c r="D880" s="28"/>
      <c r="E880" s="45">
        <v>46171</v>
      </c>
      <c r="F880" s="48">
        <v>0.50094907407407407</v>
      </c>
      <c r="G880" s="44">
        <v>6.3</v>
      </c>
      <c r="H880" s="43" t="s">
        <v>228</v>
      </c>
      <c r="I880" s="40" t="s">
        <v>1300</v>
      </c>
    </row>
    <row r="881" spans="1:9" x14ac:dyDescent="0.2">
      <c r="A881" s="40" t="s">
        <v>141</v>
      </c>
      <c r="B881" s="28">
        <v>879</v>
      </c>
      <c r="C881" s="28" t="s">
        <v>578</v>
      </c>
      <c r="D881" s="28"/>
      <c r="E881" s="41">
        <v>46171</v>
      </c>
      <c r="F881" s="47">
        <v>0.52269675925925929</v>
      </c>
      <c r="G881" s="44">
        <v>6.3</v>
      </c>
      <c r="H881" s="43" t="s">
        <v>229</v>
      </c>
      <c r="I881" s="40" t="s">
        <v>1300</v>
      </c>
    </row>
    <row r="882" spans="1:9" x14ac:dyDescent="0.2">
      <c r="A882" s="40" t="s">
        <v>276</v>
      </c>
      <c r="B882" s="28">
        <v>899</v>
      </c>
      <c r="C882" s="28" t="s">
        <v>579</v>
      </c>
      <c r="D882" s="28"/>
      <c r="E882" s="45">
        <v>46167</v>
      </c>
      <c r="F882" s="48">
        <v>0.28828703703703706</v>
      </c>
      <c r="G882" s="44">
        <v>6.3</v>
      </c>
      <c r="H882" s="43" t="s">
        <v>228</v>
      </c>
      <c r="I882" s="40" t="s">
        <v>1300</v>
      </c>
    </row>
    <row r="883" spans="1:9" x14ac:dyDescent="0.2">
      <c r="A883" s="40" t="s">
        <v>276</v>
      </c>
      <c r="B883" s="28">
        <v>899</v>
      </c>
      <c r="C883" s="28" t="s">
        <v>579</v>
      </c>
      <c r="D883" s="28"/>
      <c r="E883" s="41">
        <v>46167</v>
      </c>
      <c r="F883" s="47">
        <v>0.30070601851851853</v>
      </c>
      <c r="G883" s="44">
        <v>6.3</v>
      </c>
      <c r="H883" s="43" t="s">
        <v>229</v>
      </c>
      <c r="I883" s="40" t="s">
        <v>1300</v>
      </c>
    </row>
    <row r="884" spans="1:9" x14ac:dyDescent="0.2">
      <c r="A884" s="40" t="s">
        <v>276</v>
      </c>
      <c r="B884" s="28">
        <v>899</v>
      </c>
      <c r="C884" s="28">
        <v>5687623</v>
      </c>
      <c r="D884" s="28"/>
      <c r="E884" s="41">
        <v>46168</v>
      </c>
      <c r="F884" s="47">
        <v>0.46642361111111114</v>
      </c>
      <c r="G884" s="44">
        <v>6.3</v>
      </c>
      <c r="H884" s="43" t="s">
        <v>228</v>
      </c>
      <c r="I884" s="40" t="s">
        <v>1300</v>
      </c>
    </row>
    <row r="885" spans="1:9" x14ac:dyDescent="0.2">
      <c r="A885" s="40" t="s">
        <v>276</v>
      </c>
      <c r="B885" s="28">
        <v>899</v>
      </c>
      <c r="C885" s="28">
        <v>5687623</v>
      </c>
      <c r="D885" s="28"/>
      <c r="E885" s="41">
        <v>46168</v>
      </c>
      <c r="F885" s="47">
        <v>0.47644675925925928</v>
      </c>
      <c r="G885" s="44">
        <v>6.3</v>
      </c>
      <c r="H885" s="43" t="s">
        <v>229</v>
      </c>
      <c r="I885" s="40" t="s">
        <v>1300</v>
      </c>
    </row>
    <row r="886" spans="1:9" x14ac:dyDescent="0.2">
      <c r="A886" s="40" t="s">
        <v>276</v>
      </c>
      <c r="B886" s="28">
        <v>899</v>
      </c>
      <c r="C886" s="28" t="s">
        <v>580</v>
      </c>
      <c r="D886" s="28"/>
      <c r="E886" s="41">
        <v>46168</v>
      </c>
      <c r="F886" s="47">
        <v>0.85001157407407413</v>
      </c>
      <c r="G886" s="44">
        <v>6.3</v>
      </c>
      <c r="H886" s="43" t="s">
        <v>228</v>
      </c>
      <c r="I886" s="40" t="s">
        <v>1300</v>
      </c>
    </row>
    <row r="887" spans="1:9" x14ac:dyDescent="0.2">
      <c r="A887" s="40" t="s">
        <v>276</v>
      </c>
      <c r="B887" s="28">
        <v>899</v>
      </c>
      <c r="C887" s="28" t="s">
        <v>580</v>
      </c>
      <c r="D887" s="28"/>
      <c r="E887" s="41">
        <v>46168</v>
      </c>
      <c r="F887" s="47">
        <v>0.85807870370370365</v>
      </c>
      <c r="G887" s="42">
        <v>6.3</v>
      </c>
      <c r="H887" s="40" t="s">
        <v>229</v>
      </c>
      <c r="I887" s="40" t="s">
        <v>1300</v>
      </c>
    </row>
    <row r="888" spans="1:9" x14ac:dyDescent="0.2">
      <c r="A888" s="40" t="s">
        <v>276</v>
      </c>
      <c r="B888" s="28">
        <v>899</v>
      </c>
      <c r="C888" s="28" t="s">
        <v>581</v>
      </c>
      <c r="D888" s="28"/>
      <c r="E888" s="41">
        <v>46170</v>
      </c>
      <c r="F888" s="47">
        <v>0.40358796296296295</v>
      </c>
      <c r="G888" s="42">
        <v>6.3</v>
      </c>
      <c r="H888" s="40" t="s">
        <v>228</v>
      </c>
      <c r="I888" s="40" t="s">
        <v>1300</v>
      </c>
    </row>
    <row r="889" spans="1:9" x14ac:dyDescent="0.2">
      <c r="A889" s="40" t="s">
        <v>276</v>
      </c>
      <c r="B889" s="28">
        <v>899</v>
      </c>
      <c r="C889" s="28" t="s">
        <v>35</v>
      </c>
      <c r="D889" s="28" t="s">
        <v>38</v>
      </c>
      <c r="E889" s="41">
        <v>46170</v>
      </c>
      <c r="F889" s="47">
        <v>0.45355324074074072</v>
      </c>
      <c r="G889" s="42">
        <v>6.3</v>
      </c>
      <c r="H889" s="40" t="s">
        <v>227</v>
      </c>
      <c r="I889" s="40" t="s">
        <v>1300</v>
      </c>
    </row>
    <row r="890" spans="1:9" x14ac:dyDescent="0.2">
      <c r="A890" s="40" t="s">
        <v>276</v>
      </c>
      <c r="B890" s="28">
        <v>899</v>
      </c>
      <c r="C890" s="28">
        <v>5691876</v>
      </c>
      <c r="D890" s="28"/>
      <c r="E890" s="41">
        <v>46170</v>
      </c>
      <c r="F890" s="47">
        <v>0.85568287037037039</v>
      </c>
      <c r="G890" s="42">
        <v>6.3</v>
      </c>
      <c r="H890" s="40" t="s">
        <v>228</v>
      </c>
      <c r="I890" s="40" t="s">
        <v>1300</v>
      </c>
    </row>
    <row r="891" spans="1:9" x14ac:dyDescent="0.2">
      <c r="A891" s="40" t="s">
        <v>276</v>
      </c>
      <c r="B891" s="28">
        <v>899</v>
      </c>
      <c r="C891" s="28">
        <v>5691876</v>
      </c>
      <c r="D891" s="28"/>
      <c r="E891" s="41">
        <v>46170</v>
      </c>
      <c r="F891" s="47">
        <v>0.86575231481481485</v>
      </c>
      <c r="G891" s="42">
        <v>6.3</v>
      </c>
      <c r="H891" s="40" t="s">
        <v>229</v>
      </c>
      <c r="I891" s="40" t="s">
        <v>1300</v>
      </c>
    </row>
    <row r="892" spans="1:9" x14ac:dyDescent="0.2">
      <c r="A892" s="40" t="s">
        <v>178</v>
      </c>
      <c r="B892" s="28">
        <v>917</v>
      </c>
      <c r="C892" s="28" t="s">
        <v>35</v>
      </c>
      <c r="D892" s="28" t="s">
        <v>38</v>
      </c>
      <c r="E892" s="41">
        <v>46169</v>
      </c>
      <c r="F892" s="47">
        <v>0.14710648148148148</v>
      </c>
      <c r="G892" s="44">
        <v>6.3</v>
      </c>
      <c r="H892" s="43" t="s">
        <v>230</v>
      </c>
      <c r="I892" s="40" t="s">
        <v>1300</v>
      </c>
    </row>
    <row r="893" spans="1:9" x14ac:dyDescent="0.2">
      <c r="A893" s="40" t="s">
        <v>178</v>
      </c>
      <c r="B893" s="28">
        <v>917</v>
      </c>
      <c r="C893" s="28" t="s">
        <v>35</v>
      </c>
      <c r="D893" s="28" t="s">
        <v>38</v>
      </c>
      <c r="E893" s="41">
        <v>46169</v>
      </c>
      <c r="F893" s="47">
        <v>0.15285879629629628</v>
      </c>
      <c r="G893" s="44">
        <v>6.3</v>
      </c>
      <c r="H893" s="43" t="s">
        <v>227</v>
      </c>
      <c r="I893" s="40" t="s">
        <v>1300</v>
      </c>
    </row>
    <row r="894" spans="1:9" x14ac:dyDescent="0.2">
      <c r="A894" s="40" t="s">
        <v>178</v>
      </c>
      <c r="B894" s="28">
        <v>917</v>
      </c>
      <c r="C894" s="28" t="s">
        <v>35</v>
      </c>
      <c r="D894" s="28" t="s">
        <v>38</v>
      </c>
      <c r="E894" s="41">
        <v>46169</v>
      </c>
      <c r="F894" s="47">
        <v>0.78119212962962958</v>
      </c>
      <c r="G894" s="44">
        <v>6.3</v>
      </c>
      <c r="H894" s="43" t="s">
        <v>228</v>
      </c>
      <c r="I894" s="40" t="s">
        <v>1300</v>
      </c>
    </row>
    <row r="895" spans="1:9" x14ac:dyDescent="0.2">
      <c r="A895" s="40" t="s">
        <v>178</v>
      </c>
      <c r="B895" s="28">
        <v>917</v>
      </c>
      <c r="C895" s="28" t="s">
        <v>35</v>
      </c>
      <c r="D895" s="28" t="s">
        <v>38</v>
      </c>
      <c r="E895" s="41">
        <v>46169</v>
      </c>
      <c r="F895" s="47">
        <v>0.79118055555555555</v>
      </c>
      <c r="G895" s="44">
        <v>6.3</v>
      </c>
      <c r="H895" s="43" t="s">
        <v>229</v>
      </c>
      <c r="I895" s="40" t="s">
        <v>1300</v>
      </c>
    </row>
    <row r="896" spans="1:9" x14ac:dyDescent="0.2">
      <c r="A896" s="40" t="s">
        <v>178</v>
      </c>
      <c r="B896" s="28">
        <v>917</v>
      </c>
      <c r="C896" s="28">
        <v>5690600</v>
      </c>
      <c r="D896" s="28"/>
      <c r="E896" s="41">
        <v>46170</v>
      </c>
      <c r="F896" s="47">
        <v>0.21700231481481483</v>
      </c>
      <c r="G896" s="44">
        <v>6.3</v>
      </c>
      <c r="H896" s="43" t="s">
        <v>227</v>
      </c>
      <c r="I896" s="40" t="s">
        <v>1300</v>
      </c>
    </row>
    <row r="897" spans="1:9" x14ac:dyDescent="0.2">
      <c r="A897" s="40" t="s">
        <v>178</v>
      </c>
      <c r="B897" s="28">
        <v>917</v>
      </c>
      <c r="C897" s="28">
        <v>5695269</v>
      </c>
      <c r="D897" s="28"/>
      <c r="E897" s="45">
        <v>46172</v>
      </c>
      <c r="F897" s="48">
        <v>0.96737268518518515</v>
      </c>
      <c r="G897" s="44">
        <v>6.3</v>
      </c>
      <c r="H897" s="43" t="s">
        <v>228</v>
      </c>
      <c r="I897" s="40" t="s">
        <v>1300</v>
      </c>
    </row>
    <row r="898" spans="1:9" x14ac:dyDescent="0.2">
      <c r="A898" s="40" t="s">
        <v>178</v>
      </c>
      <c r="B898" s="28">
        <v>917</v>
      </c>
      <c r="C898" s="28">
        <v>5695269</v>
      </c>
      <c r="D898" s="28"/>
      <c r="E898" s="41">
        <v>46172</v>
      </c>
      <c r="F898" s="47">
        <v>0.97424768518518523</v>
      </c>
      <c r="G898" s="44">
        <v>6.3</v>
      </c>
      <c r="H898" s="43" t="s">
        <v>232</v>
      </c>
      <c r="I898" s="40" t="s">
        <v>1300</v>
      </c>
    </row>
    <row r="899" spans="1:9" x14ac:dyDescent="0.2">
      <c r="A899" s="40" t="s">
        <v>178</v>
      </c>
      <c r="B899" s="28">
        <v>917</v>
      </c>
      <c r="C899" s="28">
        <v>5693745</v>
      </c>
      <c r="D899" s="28"/>
      <c r="E899" s="41">
        <v>46173</v>
      </c>
      <c r="F899" s="47">
        <v>0.22689814814814815</v>
      </c>
      <c r="G899" s="44">
        <v>6.3</v>
      </c>
      <c r="H899" s="43" t="s">
        <v>228</v>
      </c>
      <c r="I899" s="40" t="s">
        <v>1300</v>
      </c>
    </row>
    <row r="900" spans="1:9" x14ac:dyDescent="0.2">
      <c r="A900" s="40" t="s">
        <v>178</v>
      </c>
      <c r="B900" s="28">
        <v>917</v>
      </c>
      <c r="C900" s="28">
        <v>5693745</v>
      </c>
      <c r="D900" s="28"/>
      <c r="E900" s="41">
        <v>46173</v>
      </c>
      <c r="F900" s="47">
        <v>0.2338888888888889</v>
      </c>
      <c r="G900" s="44">
        <v>6.3</v>
      </c>
      <c r="H900" s="43" t="s">
        <v>229</v>
      </c>
      <c r="I900" s="40" t="s">
        <v>1300</v>
      </c>
    </row>
    <row r="901" spans="1:9" x14ac:dyDescent="0.2">
      <c r="A901" s="40" t="s">
        <v>70</v>
      </c>
      <c r="B901" s="28">
        <v>923</v>
      </c>
      <c r="C901" s="28">
        <v>5684574</v>
      </c>
      <c r="D901" s="28"/>
      <c r="E901" s="41">
        <v>46167</v>
      </c>
      <c r="F901" s="47">
        <v>0.14885416666666668</v>
      </c>
      <c r="G901" s="44">
        <v>6.3</v>
      </c>
      <c r="H901" s="43" t="s">
        <v>230</v>
      </c>
      <c r="I901" s="40" t="s">
        <v>1300</v>
      </c>
    </row>
    <row r="902" spans="1:9" x14ac:dyDescent="0.2">
      <c r="A902" s="40" t="s">
        <v>70</v>
      </c>
      <c r="B902" s="28">
        <v>923</v>
      </c>
      <c r="C902" s="28">
        <v>5684574</v>
      </c>
      <c r="D902" s="28"/>
      <c r="E902" s="41">
        <v>46167</v>
      </c>
      <c r="F902" s="47">
        <v>0.15408564814814815</v>
      </c>
      <c r="G902" s="44">
        <v>6.3</v>
      </c>
      <c r="H902" s="43" t="s">
        <v>227</v>
      </c>
      <c r="I902" s="40" t="s">
        <v>1300</v>
      </c>
    </row>
    <row r="903" spans="1:9" x14ac:dyDescent="0.2">
      <c r="A903" s="40" t="s">
        <v>70</v>
      </c>
      <c r="B903" s="28">
        <v>923</v>
      </c>
      <c r="C903" s="28">
        <v>5684385</v>
      </c>
      <c r="D903" s="28"/>
      <c r="E903" s="41">
        <v>46167</v>
      </c>
      <c r="F903" s="47">
        <v>0.22783564814814813</v>
      </c>
      <c r="G903" s="44">
        <v>6.3</v>
      </c>
      <c r="H903" s="43" t="s">
        <v>230</v>
      </c>
      <c r="I903" s="40" t="s">
        <v>1300</v>
      </c>
    </row>
    <row r="904" spans="1:9" x14ac:dyDescent="0.2">
      <c r="A904" s="40" t="s">
        <v>70</v>
      </c>
      <c r="B904" s="28">
        <v>923</v>
      </c>
      <c r="C904" s="28">
        <v>5684385</v>
      </c>
      <c r="D904" s="28"/>
      <c r="E904" s="41">
        <v>46167</v>
      </c>
      <c r="F904" s="47">
        <v>0.23278935185185184</v>
      </c>
      <c r="G904" s="44">
        <v>6.3</v>
      </c>
      <c r="H904" s="43" t="s">
        <v>227</v>
      </c>
      <c r="I904" s="40" t="s">
        <v>1300</v>
      </c>
    </row>
    <row r="905" spans="1:9" x14ac:dyDescent="0.2">
      <c r="A905" s="40" t="s">
        <v>70</v>
      </c>
      <c r="B905" s="28">
        <v>923</v>
      </c>
      <c r="C905" s="28">
        <v>5685723</v>
      </c>
      <c r="D905" s="28"/>
      <c r="E905" s="41">
        <v>46167</v>
      </c>
      <c r="F905" s="47">
        <v>0.49201388888888886</v>
      </c>
      <c r="G905" s="44">
        <v>6.3</v>
      </c>
      <c r="H905" s="43" t="s">
        <v>230</v>
      </c>
      <c r="I905" s="40" t="s">
        <v>1300</v>
      </c>
    </row>
    <row r="906" spans="1:9" x14ac:dyDescent="0.2">
      <c r="A906" s="40" t="s">
        <v>70</v>
      </c>
      <c r="B906" s="28">
        <v>923</v>
      </c>
      <c r="C906" s="28">
        <v>5685723</v>
      </c>
      <c r="D906" s="28"/>
      <c r="E906" s="41">
        <v>46167</v>
      </c>
      <c r="F906" s="47">
        <v>0.49853009259259257</v>
      </c>
      <c r="G906" s="44">
        <v>6.3</v>
      </c>
      <c r="H906" s="43" t="s">
        <v>227</v>
      </c>
      <c r="I906" s="40" t="s">
        <v>1300</v>
      </c>
    </row>
    <row r="907" spans="1:9" x14ac:dyDescent="0.2">
      <c r="A907" s="40" t="s">
        <v>70</v>
      </c>
      <c r="B907" s="28">
        <v>923</v>
      </c>
      <c r="C907" s="28">
        <v>5686788</v>
      </c>
      <c r="D907" s="28"/>
      <c r="E907" s="41">
        <v>46168</v>
      </c>
      <c r="F907" s="47">
        <v>6.4895833333333333E-2</v>
      </c>
      <c r="G907" s="44">
        <v>6.3</v>
      </c>
      <c r="H907" s="43" t="s">
        <v>228</v>
      </c>
      <c r="I907" s="40" t="s">
        <v>1300</v>
      </c>
    </row>
    <row r="908" spans="1:9" x14ac:dyDescent="0.2">
      <c r="A908" s="40" t="s">
        <v>70</v>
      </c>
      <c r="B908" s="28">
        <v>923</v>
      </c>
      <c r="C908" s="28">
        <v>5686788</v>
      </c>
      <c r="D908" s="28"/>
      <c r="E908" s="41">
        <v>46168</v>
      </c>
      <c r="F908" s="47">
        <v>7.2129629629629627E-2</v>
      </c>
      <c r="G908" s="44">
        <v>6.3</v>
      </c>
      <c r="H908" s="43" t="s">
        <v>229</v>
      </c>
      <c r="I908" s="40" t="s">
        <v>1300</v>
      </c>
    </row>
    <row r="909" spans="1:9" x14ac:dyDescent="0.2">
      <c r="A909" s="40" t="s">
        <v>70</v>
      </c>
      <c r="B909" s="28">
        <v>923</v>
      </c>
      <c r="C909" s="28">
        <v>5686480</v>
      </c>
      <c r="D909" s="28"/>
      <c r="E909" s="41">
        <v>46168</v>
      </c>
      <c r="F909" s="47">
        <v>0.22108796296296296</v>
      </c>
      <c r="G909" s="44">
        <v>6.3</v>
      </c>
      <c r="H909" s="43" t="s">
        <v>230</v>
      </c>
      <c r="I909" s="40" t="s">
        <v>1300</v>
      </c>
    </row>
    <row r="910" spans="1:9" x14ac:dyDescent="0.2">
      <c r="A910" s="40" t="s">
        <v>70</v>
      </c>
      <c r="B910" s="28">
        <v>923</v>
      </c>
      <c r="C910" s="28">
        <v>5686480</v>
      </c>
      <c r="D910" s="28"/>
      <c r="E910" s="41">
        <v>46168</v>
      </c>
      <c r="F910" s="47">
        <v>0.22626157407407407</v>
      </c>
      <c r="G910" s="44">
        <v>6.3</v>
      </c>
      <c r="H910" s="43" t="s">
        <v>227</v>
      </c>
      <c r="I910" s="40" t="s">
        <v>1300</v>
      </c>
    </row>
    <row r="911" spans="1:9" x14ac:dyDescent="0.2">
      <c r="A911" s="40" t="s">
        <v>70</v>
      </c>
      <c r="B911" s="28">
        <v>923</v>
      </c>
      <c r="C911" s="28">
        <v>5686388</v>
      </c>
      <c r="D911" s="28"/>
      <c r="E911" s="41">
        <v>46168</v>
      </c>
      <c r="F911" s="47">
        <v>0.36591435185185184</v>
      </c>
      <c r="G911" s="44">
        <v>6.3</v>
      </c>
      <c r="H911" s="43" t="s">
        <v>230</v>
      </c>
      <c r="I911" s="40" t="s">
        <v>1300</v>
      </c>
    </row>
    <row r="912" spans="1:9" x14ac:dyDescent="0.2">
      <c r="A912" s="40" t="s">
        <v>70</v>
      </c>
      <c r="B912" s="28">
        <v>923</v>
      </c>
      <c r="C912" s="28">
        <v>5686388</v>
      </c>
      <c r="D912" s="28"/>
      <c r="E912" s="41">
        <v>46168</v>
      </c>
      <c r="F912" s="47">
        <v>0.37210648148148145</v>
      </c>
      <c r="G912" s="44">
        <v>6.3</v>
      </c>
      <c r="H912" s="43" t="s">
        <v>227</v>
      </c>
      <c r="I912" s="40" t="s">
        <v>1300</v>
      </c>
    </row>
    <row r="913" spans="1:9" x14ac:dyDescent="0.2">
      <c r="A913" s="40" t="s">
        <v>70</v>
      </c>
      <c r="B913" s="28">
        <v>923</v>
      </c>
      <c r="C913" s="28">
        <v>5688558</v>
      </c>
      <c r="D913" s="28"/>
      <c r="E913" s="45">
        <v>46168</v>
      </c>
      <c r="F913" s="48">
        <v>0.93792824074074077</v>
      </c>
      <c r="G913" s="44">
        <v>6.3</v>
      </c>
      <c r="H913" s="43" t="s">
        <v>228</v>
      </c>
      <c r="I913" s="40" t="s">
        <v>1300</v>
      </c>
    </row>
    <row r="914" spans="1:9" x14ac:dyDescent="0.2">
      <c r="A914" s="40" t="s">
        <v>70</v>
      </c>
      <c r="B914" s="28">
        <v>923</v>
      </c>
      <c r="C914" s="28">
        <v>5688558</v>
      </c>
      <c r="D914" s="28"/>
      <c r="E914" s="45">
        <v>46168</v>
      </c>
      <c r="F914" s="48">
        <v>0.94469907407407405</v>
      </c>
      <c r="G914" s="44">
        <v>6.3</v>
      </c>
      <c r="H914" s="43" t="s">
        <v>229</v>
      </c>
      <c r="I914" s="40" t="s">
        <v>1300</v>
      </c>
    </row>
    <row r="915" spans="1:9" x14ac:dyDescent="0.2">
      <c r="A915" s="40" t="s">
        <v>70</v>
      </c>
      <c r="B915" s="28">
        <v>923</v>
      </c>
      <c r="C915" s="28">
        <v>5688843</v>
      </c>
      <c r="D915" s="28" t="s">
        <v>37</v>
      </c>
      <c r="E915" s="41">
        <v>46169</v>
      </c>
      <c r="F915" s="47">
        <v>0.37994212962962964</v>
      </c>
      <c r="G915" s="44">
        <v>6.3</v>
      </c>
      <c r="H915" s="43" t="s">
        <v>230</v>
      </c>
      <c r="I915" s="40" t="s">
        <v>1300</v>
      </c>
    </row>
    <row r="916" spans="1:9" x14ac:dyDescent="0.2">
      <c r="A916" s="40" t="s">
        <v>70</v>
      </c>
      <c r="B916" s="28">
        <v>923</v>
      </c>
      <c r="C916" s="28">
        <v>5688843</v>
      </c>
      <c r="D916" s="28" t="s">
        <v>37</v>
      </c>
      <c r="E916" s="41">
        <v>46169</v>
      </c>
      <c r="F916" s="47">
        <v>0.39005787037037037</v>
      </c>
      <c r="G916" s="44">
        <v>6.3</v>
      </c>
      <c r="H916" s="43" t="s">
        <v>227</v>
      </c>
      <c r="I916" s="40" t="s">
        <v>1300</v>
      </c>
    </row>
    <row r="917" spans="1:9" x14ac:dyDescent="0.2">
      <c r="A917" s="40" t="s">
        <v>70</v>
      </c>
      <c r="B917" s="28">
        <v>923</v>
      </c>
      <c r="C917" s="28" t="s">
        <v>582</v>
      </c>
      <c r="D917" s="28"/>
      <c r="E917" s="41">
        <v>46169</v>
      </c>
      <c r="F917" s="47">
        <v>0.77622685185185181</v>
      </c>
      <c r="G917" s="44">
        <v>6.3</v>
      </c>
      <c r="H917" s="43" t="s">
        <v>228</v>
      </c>
      <c r="I917" s="40" t="s">
        <v>1300</v>
      </c>
    </row>
    <row r="918" spans="1:9" x14ac:dyDescent="0.2">
      <c r="A918" s="40" t="s">
        <v>70</v>
      </c>
      <c r="B918" s="28">
        <v>923</v>
      </c>
      <c r="C918" s="28" t="s">
        <v>582</v>
      </c>
      <c r="D918" s="28"/>
      <c r="E918" s="41">
        <v>46169</v>
      </c>
      <c r="F918" s="47">
        <v>0.78512731481481479</v>
      </c>
      <c r="G918" s="44">
        <v>6.3</v>
      </c>
      <c r="H918" s="43" t="s">
        <v>229</v>
      </c>
      <c r="I918" s="40" t="s">
        <v>1300</v>
      </c>
    </row>
    <row r="919" spans="1:9" x14ac:dyDescent="0.2">
      <c r="A919" s="40" t="s">
        <v>70</v>
      </c>
      <c r="B919" s="28">
        <v>923</v>
      </c>
      <c r="C919" s="28" t="s">
        <v>35</v>
      </c>
      <c r="D919" s="28" t="s">
        <v>38</v>
      </c>
      <c r="E919" s="41">
        <v>46169</v>
      </c>
      <c r="F919" s="47">
        <v>0.84843749999999996</v>
      </c>
      <c r="G919" s="44">
        <v>6.3</v>
      </c>
      <c r="H919" s="43" t="s">
        <v>230</v>
      </c>
      <c r="I919" s="40" t="s">
        <v>1300</v>
      </c>
    </row>
    <row r="920" spans="1:9" x14ac:dyDescent="0.2">
      <c r="A920" s="40" t="s">
        <v>70</v>
      </c>
      <c r="B920" s="28">
        <v>923</v>
      </c>
      <c r="C920" s="28" t="s">
        <v>35</v>
      </c>
      <c r="D920" s="28" t="s">
        <v>38</v>
      </c>
      <c r="E920" s="41">
        <v>46169</v>
      </c>
      <c r="F920" s="47">
        <v>0.858912037037037</v>
      </c>
      <c r="G920" s="44">
        <v>6.3</v>
      </c>
      <c r="H920" s="43" t="s">
        <v>227</v>
      </c>
      <c r="I920" s="40" t="s">
        <v>1300</v>
      </c>
    </row>
    <row r="921" spans="1:9" x14ac:dyDescent="0.2">
      <c r="A921" s="40" t="s">
        <v>70</v>
      </c>
      <c r="B921" s="28">
        <v>923</v>
      </c>
      <c r="C921" s="28" t="s">
        <v>583</v>
      </c>
      <c r="D921" s="28"/>
      <c r="E921" s="41">
        <v>46169</v>
      </c>
      <c r="F921" s="47">
        <v>0.91682870370370373</v>
      </c>
      <c r="G921" s="44">
        <v>6.3</v>
      </c>
      <c r="H921" s="43" t="s">
        <v>228</v>
      </c>
      <c r="I921" s="40" t="s">
        <v>1300</v>
      </c>
    </row>
    <row r="922" spans="1:9" x14ac:dyDescent="0.2">
      <c r="A922" s="40" t="s">
        <v>70</v>
      </c>
      <c r="B922" s="28">
        <v>923</v>
      </c>
      <c r="C922" s="28" t="s">
        <v>583</v>
      </c>
      <c r="D922" s="28"/>
      <c r="E922" s="41">
        <v>46169</v>
      </c>
      <c r="F922" s="47">
        <v>0.92393518518518514</v>
      </c>
      <c r="G922" s="44">
        <v>6.3</v>
      </c>
      <c r="H922" s="43" t="s">
        <v>229</v>
      </c>
      <c r="I922" s="40" t="s">
        <v>1300</v>
      </c>
    </row>
    <row r="923" spans="1:9" x14ac:dyDescent="0.2">
      <c r="A923" s="40" t="s">
        <v>70</v>
      </c>
      <c r="B923" s="28">
        <v>923</v>
      </c>
      <c r="C923" s="28">
        <v>5684935</v>
      </c>
      <c r="D923" s="28"/>
      <c r="E923" s="41">
        <v>46170</v>
      </c>
      <c r="F923" s="47">
        <v>0.17347222222222222</v>
      </c>
      <c r="G923" s="44">
        <v>6.3</v>
      </c>
      <c r="H923" s="43" t="s">
        <v>230</v>
      </c>
      <c r="I923" s="40" t="s">
        <v>1300</v>
      </c>
    </row>
    <row r="924" spans="1:9" x14ac:dyDescent="0.2">
      <c r="A924" s="40" t="s">
        <v>70</v>
      </c>
      <c r="B924" s="28">
        <v>923</v>
      </c>
      <c r="C924" s="28">
        <v>5684935</v>
      </c>
      <c r="D924" s="28"/>
      <c r="E924" s="41">
        <v>46170</v>
      </c>
      <c r="F924" s="47">
        <v>0.17827546296296296</v>
      </c>
      <c r="G924" s="44">
        <v>6.3</v>
      </c>
      <c r="H924" s="43" t="s">
        <v>227</v>
      </c>
      <c r="I924" s="40" t="s">
        <v>1300</v>
      </c>
    </row>
    <row r="925" spans="1:9" x14ac:dyDescent="0.2">
      <c r="A925" s="40" t="s">
        <v>70</v>
      </c>
      <c r="B925" s="28">
        <v>923</v>
      </c>
      <c r="C925" s="28">
        <v>5690895</v>
      </c>
      <c r="D925" s="28" t="s">
        <v>36</v>
      </c>
      <c r="E925" s="41">
        <v>46170</v>
      </c>
      <c r="F925" s="47">
        <v>0.28177083333333336</v>
      </c>
      <c r="G925" s="44">
        <v>6.3</v>
      </c>
      <c r="H925" s="43" t="s">
        <v>228</v>
      </c>
      <c r="I925" s="40" t="s">
        <v>1300</v>
      </c>
    </row>
    <row r="926" spans="1:9" x14ac:dyDescent="0.2">
      <c r="A926" s="40" t="s">
        <v>70</v>
      </c>
      <c r="B926" s="28">
        <v>923</v>
      </c>
      <c r="C926" s="28">
        <v>5690895</v>
      </c>
      <c r="D926" s="28" t="s">
        <v>36</v>
      </c>
      <c r="E926" s="41">
        <v>46170</v>
      </c>
      <c r="F926" s="47">
        <v>0.29375000000000001</v>
      </c>
      <c r="G926" s="42">
        <v>6.3</v>
      </c>
      <c r="H926" s="40" t="s">
        <v>229</v>
      </c>
      <c r="I926" s="40" t="s">
        <v>1300</v>
      </c>
    </row>
    <row r="927" spans="1:9" x14ac:dyDescent="0.2">
      <c r="A927" s="40" t="s">
        <v>70</v>
      </c>
      <c r="B927" s="28">
        <v>923</v>
      </c>
      <c r="C927" s="28">
        <v>5690938</v>
      </c>
      <c r="D927" s="28"/>
      <c r="E927" s="41">
        <v>46170</v>
      </c>
      <c r="F927" s="47">
        <v>0.37287037037037035</v>
      </c>
      <c r="G927" s="42">
        <v>6.3</v>
      </c>
      <c r="H927" s="40" t="s">
        <v>227</v>
      </c>
      <c r="I927" s="40" t="s">
        <v>1300</v>
      </c>
    </row>
    <row r="928" spans="1:9" x14ac:dyDescent="0.2">
      <c r="A928" s="40" t="s">
        <v>70</v>
      </c>
      <c r="B928" s="28">
        <v>923</v>
      </c>
      <c r="C928" s="28" t="s">
        <v>35</v>
      </c>
      <c r="D928" s="28" t="s">
        <v>38</v>
      </c>
      <c r="E928" s="41">
        <v>46170</v>
      </c>
      <c r="F928" s="47">
        <v>0.98917824074074079</v>
      </c>
      <c r="G928" s="42">
        <v>6.3</v>
      </c>
      <c r="H928" s="40" t="s">
        <v>228</v>
      </c>
      <c r="I928" s="40" t="s">
        <v>1300</v>
      </c>
    </row>
    <row r="929" spans="1:9" x14ac:dyDescent="0.2">
      <c r="A929" s="40" t="s">
        <v>70</v>
      </c>
      <c r="B929" s="28">
        <v>923</v>
      </c>
      <c r="C929" s="28" t="s">
        <v>35</v>
      </c>
      <c r="D929" s="28" t="s">
        <v>38</v>
      </c>
      <c r="E929" s="41">
        <v>46170</v>
      </c>
      <c r="F929" s="47">
        <v>0.99587962962962961</v>
      </c>
      <c r="G929" s="44">
        <v>6.3</v>
      </c>
      <c r="H929" s="43" t="s">
        <v>232</v>
      </c>
      <c r="I929" s="40" t="s">
        <v>1300</v>
      </c>
    </row>
    <row r="930" spans="1:9" x14ac:dyDescent="0.2">
      <c r="A930" s="40" t="s">
        <v>70</v>
      </c>
      <c r="B930" s="28">
        <v>923</v>
      </c>
      <c r="C930" s="28" t="s">
        <v>35</v>
      </c>
      <c r="D930" s="28" t="s">
        <v>38</v>
      </c>
      <c r="E930" s="41">
        <v>46171</v>
      </c>
      <c r="F930" s="47">
        <v>0.28192129629629631</v>
      </c>
      <c r="G930" s="44">
        <v>6.3</v>
      </c>
      <c r="H930" s="43" t="s">
        <v>230</v>
      </c>
      <c r="I930" s="40" t="s">
        <v>1300</v>
      </c>
    </row>
    <row r="931" spans="1:9" x14ac:dyDescent="0.2">
      <c r="A931" s="40" t="s">
        <v>70</v>
      </c>
      <c r="B931" s="28">
        <v>923</v>
      </c>
      <c r="C931" s="28" t="s">
        <v>35</v>
      </c>
      <c r="D931" s="28" t="s">
        <v>38</v>
      </c>
      <c r="E931" s="41">
        <v>46171</v>
      </c>
      <c r="F931" s="47">
        <v>0.2892939814814815</v>
      </c>
      <c r="G931" s="44">
        <v>6.3</v>
      </c>
      <c r="H931" s="43" t="s">
        <v>227</v>
      </c>
      <c r="I931" s="40" t="s">
        <v>1300</v>
      </c>
    </row>
    <row r="932" spans="1:9" x14ac:dyDescent="0.2">
      <c r="A932" s="40" t="s">
        <v>70</v>
      </c>
      <c r="B932" s="28">
        <v>923</v>
      </c>
      <c r="C932" s="28">
        <v>5694231</v>
      </c>
      <c r="D932" s="28"/>
      <c r="E932" s="41">
        <v>46171</v>
      </c>
      <c r="F932" s="47">
        <v>0.97777777777777775</v>
      </c>
      <c r="G932" s="44">
        <v>6.3</v>
      </c>
      <c r="H932" s="43" t="s">
        <v>228</v>
      </c>
      <c r="I932" s="40" t="s">
        <v>1300</v>
      </c>
    </row>
    <row r="933" spans="1:9" x14ac:dyDescent="0.2">
      <c r="A933" s="40" t="s">
        <v>70</v>
      </c>
      <c r="B933" s="28">
        <v>923</v>
      </c>
      <c r="C933" s="28" t="s">
        <v>35</v>
      </c>
      <c r="D933" s="28" t="s">
        <v>38</v>
      </c>
      <c r="E933" s="41">
        <v>46172</v>
      </c>
      <c r="F933" s="47">
        <v>1.3310185185185185E-3</v>
      </c>
      <c r="G933" s="44">
        <v>6.3</v>
      </c>
      <c r="H933" s="43" t="s">
        <v>229</v>
      </c>
      <c r="I933" s="40" t="s">
        <v>1300</v>
      </c>
    </row>
    <row r="934" spans="1:9" x14ac:dyDescent="0.2">
      <c r="A934" s="40" t="s">
        <v>70</v>
      </c>
      <c r="B934" s="28">
        <v>923</v>
      </c>
      <c r="C934" s="28">
        <v>5693734</v>
      </c>
      <c r="D934" s="28"/>
      <c r="E934" s="41">
        <v>46172</v>
      </c>
      <c r="F934" s="47">
        <v>0.18418981481481481</v>
      </c>
      <c r="G934" s="44">
        <v>6.3</v>
      </c>
      <c r="H934" s="43" t="s">
        <v>230</v>
      </c>
      <c r="I934" s="40" t="s">
        <v>1300</v>
      </c>
    </row>
    <row r="935" spans="1:9" x14ac:dyDescent="0.2">
      <c r="A935" s="40" t="s">
        <v>70</v>
      </c>
      <c r="B935" s="28">
        <v>923</v>
      </c>
      <c r="C935" s="28">
        <v>5693734</v>
      </c>
      <c r="D935" s="28"/>
      <c r="E935" s="41">
        <v>46172</v>
      </c>
      <c r="F935" s="47">
        <v>0.1894675925925926</v>
      </c>
      <c r="G935" s="44">
        <v>6.3</v>
      </c>
      <c r="H935" s="43" t="s">
        <v>227</v>
      </c>
      <c r="I935" s="40" t="s">
        <v>1300</v>
      </c>
    </row>
    <row r="936" spans="1:9" x14ac:dyDescent="0.2">
      <c r="A936" s="40" t="s">
        <v>70</v>
      </c>
      <c r="B936" s="28">
        <v>923</v>
      </c>
      <c r="C936" s="28">
        <v>5694941</v>
      </c>
      <c r="D936" s="28"/>
      <c r="E936" s="41">
        <v>46172</v>
      </c>
      <c r="F936" s="47">
        <v>0.78593749999999996</v>
      </c>
      <c r="G936" s="44">
        <v>6.3</v>
      </c>
      <c r="H936" s="43" t="s">
        <v>228</v>
      </c>
      <c r="I936" s="40" t="s">
        <v>1300</v>
      </c>
    </row>
    <row r="937" spans="1:9" x14ac:dyDescent="0.2">
      <c r="A937" s="40" t="s">
        <v>70</v>
      </c>
      <c r="B937" s="28">
        <v>923</v>
      </c>
      <c r="C937" s="28" t="s">
        <v>35</v>
      </c>
      <c r="D937" s="28" t="s">
        <v>38</v>
      </c>
      <c r="E937" s="45">
        <v>46172</v>
      </c>
      <c r="F937" s="48">
        <v>0.82863425925925926</v>
      </c>
      <c r="G937" s="44">
        <v>6.3</v>
      </c>
      <c r="H937" s="43" t="s">
        <v>227</v>
      </c>
      <c r="I937" s="40" t="s">
        <v>1300</v>
      </c>
    </row>
    <row r="938" spans="1:9" x14ac:dyDescent="0.2">
      <c r="A938" s="40" t="s">
        <v>70</v>
      </c>
      <c r="B938" s="28">
        <v>923</v>
      </c>
      <c r="C938" s="28">
        <v>5695020</v>
      </c>
      <c r="D938" s="28"/>
      <c r="E938" s="41">
        <v>46172</v>
      </c>
      <c r="F938" s="47">
        <v>0.91440972222222228</v>
      </c>
      <c r="G938" s="44">
        <v>6.3</v>
      </c>
      <c r="H938" s="43" t="s">
        <v>228</v>
      </c>
      <c r="I938" s="40" t="s">
        <v>1300</v>
      </c>
    </row>
    <row r="939" spans="1:9" x14ac:dyDescent="0.2">
      <c r="A939" s="40" t="s">
        <v>70</v>
      </c>
      <c r="B939" s="28">
        <v>923</v>
      </c>
      <c r="C939" s="28">
        <v>5695020</v>
      </c>
      <c r="D939" s="28"/>
      <c r="E939" s="45">
        <v>46172</v>
      </c>
      <c r="F939" s="48">
        <v>0.92197916666666668</v>
      </c>
      <c r="G939" s="44">
        <v>6.3</v>
      </c>
      <c r="H939" s="43" t="s">
        <v>229</v>
      </c>
      <c r="I939" s="40" t="s">
        <v>1300</v>
      </c>
    </row>
    <row r="940" spans="1:9" x14ac:dyDescent="0.2">
      <c r="A940" s="40" t="s">
        <v>70</v>
      </c>
      <c r="B940" s="28">
        <v>923</v>
      </c>
      <c r="C940" s="28" t="s">
        <v>35</v>
      </c>
      <c r="D940" s="28" t="s">
        <v>38</v>
      </c>
      <c r="E940" s="41">
        <v>46172</v>
      </c>
      <c r="F940" s="47">
        <v>0.95597222222222222</v>
      </c>
      <c r="G940" s="44">
        <v>6.3</v>
      </c>
      <c r="H940" s="43" t="s">
        <v>230</v>
      </c>
      <c r="I940" s="40" t="s">
        <v>1300</v>
      </c>
    </row>
    <row r="941" spans="1:9" x14ac:dyDescent="0.2">
      <c r="A941" s="40" t="s">
        <v>70</v>
      </c>
      <c r="B941" s="28">
        <v>923</v>
      </c>
      <c r="C941" s="28" t="s">
        <v>35</v>
      </c>
      <c r="D941" s="28" t="s">
        <v>38</v>
      </c>
      <c r="E941" s="41">
        <v>46172</v>
      </c>
      <c r="F941" s="47">
        <v>0.96127314814814813</v>
      </c>
      <c r="G941" s="44">
        <v>6.3</v>
      </c>
      <c r="H941" s="43" t="s">
        <v>227</v>
      </c>
      <c r="I941" s="40" t="s">
        <v>1300</v>
      </c>
    </row>
    <row r="942" spans="1:9" x14ac:dyDescent="0.2">
      <c r="A942" s="40" t="s">
        <v>294</v>
      </c>
      <c r="B942" s="28">
        <v>926</v>
      </c>
      <c r="C942" s="28">
        <v>5670630</v>
      </c>
      <c r="D942" s="28"/>
      <c r="E942" s="41">
        <v>46167</v>
      </c>
      <c r="F942" s="47">
        <v>0.32837962962962963</v>
      </c>
      <c r="G942" s="44">
        <v>6.3</v>
      </c>
      <c r="H942" s="43" t="s">
        <v>230</v>
      </c>
      <c r="I942" s="40" t="s">
        <v>1300</v>
      </c>
    </row>
    <row r="943" spans="1:9" x14ac:dyDescent="0.2">
      <c r="A943" s="40" t="s">
        <v>294</v>
      </c>
      <c r="B943" s="28">
        <v>926</v>
      </c>
      <c r="C943" s="28">
        <v>5670630</v>
      </c>
      <c r="D943" s="28"/>
      <c r="E943" s="41">
        <v>46167</v>
      </c>
      <c r="F943" s="47">
        <v>0.33471064814814816</v>
      </c>
      <c r="G943" s="44">
        <v>6.3</v>
      </c>
      <c r="H943" s="43" t="s">
        <v>227</v>
      </c>
      <c r="I943" s="40" t="s">
        <v>1300</v>
      </c>
    </row>
    <row r="944" spans="1:9" x14ac:dyDescent="0.2">
      <c r="A944" s="40" t="s">
        <v>294</v>
      </c>
      <c r="B944" s="28">
        <v>926</v>
      </c>
      <c r="C944" s="28" t="s">
        <v>584</v>
      </c>
      <c r="D944" s="28"/>
      <c r="E944" s="41">
        <v>46167</v>
      </c>
      <c r="F944" s="47">
        <v>0.43296296296296294</v>
      </c>
      <c r="G944" s="44">
        <v>6.3</v>
      </c>
      <c r="H944" s="43" t="s">
        <v>228</v>
      </c>
      <c r="I944" s="40" t="s">
        <v>1300</v>
      </c>
    </row>
    <row r="945" spans="1:9" x14ac:dyDescent="0.2">
      <c r="A945" s="40" t="s">
        <v>294</v>
      </c>
      <c r="B945" s="28">
        <v>926</v>
      </c>
      <c r="C945" s="28" t="s">
        <v>584</v>
      </c>
      <c r="D945" s="28"/>
      <c r="E945" s="41">
        <v>46167</v>
      </c>
      <c r="F945" s="47">
        <v>0.44481481481481483</v>
      </c>
      <c r="G945" s="44">
        <v>6.3</v>
      </c>
      <c r="H945" s="43" t="s">
        <v>229</v>
      </c>
      <c r="I945" s="40" t="s">
        <v>1300</v>
      </c>
    </row>
    <row r="946" spans="1:9" x14ac:dyDescent="0.2">
      <c r="A946" s="40" t="s">
        <v>294</v>
      </c>
      <c r="B946" s="28">
        <v>926</v>
      </c>
      <c r="C946" s="28">
        <v>5685721</v>
      </c>
      <c r="D946" s="28"/>
      <c r="E946" s="41">
        <v>46167</v>
      </c>
      <c r="F946" s="47">
        <v>0.48802083333333335</v>
      </c>
      <c r="G946" s="44">
        <v>6.3</v>
      </c>
      <c r="H946" s="43" t="s">
        <v>231</v>
      </c>
      <c r="I946" s="40" t="s">
        <v>1300</v>
      </c>
    </row>
    <row r="947" spans="1:9" x14ac:dyDescent="0.2">
      <c r="A947" s="40" t="s">
        <v>294</v>
      </c>
      <c r="B947" s="28">
        <v>926</v>
      </c>
      <c r="C947" s="28">
        <v>5685721</v>
      </c>
      <c r="D947" s="28"/>
      <c r="E947" s="41">
        <v>46167</v>
      </c>
      <c r="F947" s="47">
        <v>0.49297453703703703</v>
      </c>
      <c r="G947" s="44">
        <v>6.3</v>
      </c>
      <c r="H947" s="43" t="s">
        <v>227</v>
      </c>
      <c r="I947" s="40" t="s">
        <v>1300</v>
      </c>
    </row>
    <row r="948" spans="1:9" x14ac:dyDescent="0.2">
      <c r="A948" s="40" t="s">
        <v>294</v>
      </c>
      <c r="B948" s="28">
        <v>926</v>
      </c>
      <c r="C948" s="28" t="s">
        <v>585</v>
      </c>
      <c r="D948" s="28"/>
      <c r="E948" s="41">
        <v>46168</v>
      </c>
      <c r="F948" s="47">
        <v>0.62709490740740736</v>
      </c>
      <c r="G948" s="44">
        <v>6.3</v>
      </c>
      <c r="H948" s="43" t="s">
        <v>228</v>
      </c>
      <c r="I948" s="40" t="s">
        <v>1300</v>
      </c>
    </row>
    <row r="949" spans="1:9" x14ac:dyDescent="0.2">
      <c r="A949" s="40" t="s">
        <v>294</v>
      </c>
      <c r="B949" s="28">
        <v>926</v>
      </c>
      <c r="C949" s="28" t="s">
        <v>35</v>
      </c>
      <c r="D949" s="28" t="s">
        <v>38</v>
      </c>
      <c r="E949" s="41">
        <v>46168</v>
      </c>
      <c r="F949" s="47">
        <v>0.88370370370370366</v>
      </c>
      <c r="G949" s="44">
        <v>6.3</v>
      </c>
      <c r="H949" s="43" t="s">
        <v>230</v>
      </c>
      <c r="I949" s="40" t="s">
        <v>1300</v>
      </c>
    </row>
    <row r="950" spans="1:9" x14ac:dyDescent="0.2">
      <c r="A950" s="40" t="s">
        <v>294</v>
      </c>
      <c r="B950" s="28">
        <v>926</v>
      </c>
      <c r="C950" s="28" t="s">
        <v>35</v>
      </c>
      <c r="D950" s="28" t="s">
        <v>38</v>
      </c>
      <c r="E950" s="41">
        <v>46168</v>
      </c>
      <c r="F950" s="47">
        <v>0.97993055555555553</v>
      </c>
      <c r="G950" s="44">
        <v>6.3</v>
      </c>
      <c r="H950" s="43" t="s">
        <v>229</v>
      </c>
      <c r="I950" s="40" t="s">
        <v>1300</v>
      </c>
    </row>
    <row r="951" spans="1:9" x14ac:dyDescent="0.2">
      <c r="A951" s="40" t="s">
        <v>294</v>
      </c>
      <c r="B951" s="28">
        <v>926</v>
      </c>
      <c r="C951" s="28">
        <v>5690306</v>
      </c>
      <c r="D951" s="28"/>
      <c r="E951" s="45">
        <v>46170</v>
      </c>
      <c r="F951" s="48">
        <v>0.17506944444444444</v>
      </c>
      <c r="G951" s="44">
        <v>6.3</v>
      </c>
      <c r="H951" s="43" t="s">
        <v>230</v>
      </c>
      <c r="I951" s="40" t="s">
        <v>1300</v>
      </c>
    </row>
    <row r="952" spans="1:9" x14ac:dyDescent="0.2">
      <c r="A952" s="40" t="s">
        <v>294</v>
      </c>
      <c r="B952" s="28">
        <v>926</v>
      </c>
      <c r="C952" s="28">
        <v>5690306</v>
      </c>
      <c r="D952" s="28"/>
      <c r="E952" s="41">
        <v>46170</v>
      </c>
      <c r="F952" s="47">
        <v>0.18025462962962963</v>
      </c>
      <c r="G952" s="44">
        <v>6.3</v>
      </c>
      <c r="H952" s="43" t="s">
        <v>227</v>
      </c>
      <c r="I952" s="40" t="s">
        <v>1300</v>
      </c>
    </row>
    <row r="953" spans="1:9" x14ac:dyDescent="0.2">
      <c r="A953" s="40" t="s">
        <v>294</v>
      </c>
      <c r="B953" s="28">
        <v>926</v>
      </c>
      <c r="C953" s="28">
        <v>5691178</v>
      </c>
      <c r="D953" s="28"/>
      <c r="E953" s="41">
        <v>46170</v>
      </c>
      <c r="F953" s="47">
        <v>0.55855324074074075</v>
      </c>
      <c r="G953" s="44">
        <v>6.3</v>
      </c>
      <c r="H953" s="43" t="s">
        <v>228</v>
      </c>
      <c r="I953" s="40" t="s">
        <v>1300</v>
      </c>
    </row>
    <row r="954" spans="1:9" x14ac:dyDescent="0.2">
      <c r="A954" s="40" t="s">
        <v>294</v>
      </c>
      <c r="B954" s="28">
        <v>926</v>
      </c>
      <c r="C954" s="28">
        <v>5691178</v>
      </c>
      <c r="D954" s="28"/>
      <c r="E954" s="45">
        <v>46170</v>
      </c>
      <c r="F954" s="48">
        <v>0.56972222222222224</v>
      </c>
      <c r="G954" s="44">
        <v>6.3</v>
      </c>
      <c r="H954" s="43" t="s">
        <v>229</v>
      </c>
      <c r="I954" s="40" t="s">
        <v>1300</v>
      </c>
    </row>
    <row r="955" spans="1:9" x14ac:dyDescent="0.2">
      <c r="A955" s="40" t="s">
        <v>294</v>
      </c>
      <c r="B955" s="28">
        <v>926</v>
      </c>
      <c r="C955" s="28" t="s">
        <v>35</v>
      </c>
      <c r="D955" s="28" t="s">
        <v>38</v>
      </c>
      <c r="E955" s="41">
        <v>46170</v>
      </c>
      <c r="F955" s="47">
        <v>0.64153935185185185</v>
      </c>
      <c r="G955" s="44">
        <v>6.3</v>
      </c>
      <c r="H955" s="43" t="s">
        <v>230</v>
      </c>
      <c r="I955" s="40" t="s">
        <v>1300</v>
      </c>
    </row>
    <row r="956" spans="1:9" x14ac:dyDescent="0.2">
      <c r="A956" s="40" t="s">
        <v>294</v>
      </c>
      <c r="B956" s="28">
        <v>926</v>
      </c>
      <c r="C956" s="28" t="s">
        <v>35</v>
      </c>
      <c r="D956" s="28" t="s">
        <v>38</v>
      </c>
      <c r="E956" s="41">
        <v>46170</v>
      </c>
      <c r="F956" s="47">
        <v>0.64815972222222218</v>
      </c>
      <c r="G956" s="44">
        <v>6.3</v>
      </c>
      <c r="H956" s="43" t="s">
        <v>227</v>
      </c>
      <c r="I956" s="40" t="s">
        <v>1300</v>
      </c>
    </row>
    <row r="957" spans="1:9" x14ac:dyDescent="0.2">
      <c r="A957" s="40" t="s">
        <v>294</v>
      </c>
      <c r="B957" s="28">
        <v>926</v>
      </c>
      <c r="C957" s="28">
        <v>5692777</v>
      </c>
      <c r="D957" s="28"/>
      <c r="E957" s="41">
        <v>46171</v>
      </c>
      <c r="F957" s="47">
        <v>0.40737268518518521</v>
      </c>
      <c r="G957" s="44">
        <v>6.3</v>
      </c>
      <c r="H957" s="43" t="s">
        <v>228</v>
      </c>
      <c r="I957" s="40" t="s">
        <v>1300</v>
      </c>
    </row>
    <row r="958" spans="1:9" x14ac:dyDescent="0.2">
      <c r="A958" s="40" t="s">
        <v>294</v>
      </c>
      <c r="B958" s="28">
        <v>926</v>
      </c>
      <c r="C958" s="28" t="s">
        <v>35</v>
      </c>
      <c r="D958" s="28" t="s">
        <v>38</v>
      </c>
      <c r="E958" s="41">
        <v>46171</v>
      </c>
      <c r="F958" s="47">
        <v>0.47444444444444445</v>
      </c>
      <c r="G958" s="44">
        <v>6.3</v>
      </c>
      <c r="H958" s="43" t="s">
        <v>227</v>
      </c>
      <c r="I958" s="40" t="s">
        <v>1300</v>
      </c>
    </row>
    <row r="959" spans="1:9" x14ac:dyDescent="0.2">
      <c r="A959" s="40" t="s">
        <v>294</v>
      </c>
      <c r="B959" s="28">
        <v>926</v>
      </c>
      <c r="C959" s="28" t="s">
        <v>586</v>
      </c>
      <c r="D959" s="28"/>
      <c r="E959" s="41">
        <v>46171</v>
      </c>
      <c r="F959" s="47">
        <v>0.55983796296296295</v>
      </c>
      <c r="G959" s="44">
        <v>6.3</v>
      </c>
      <c r="H959" s="43" t="s">
        <v>228</v>
      </c>
      <c r="I959" s="40" t="s">
        <v>1300</v>
      </c>
    </row>
    <row r="960" spans="1:9" x14ac:dyDescent="0.2">
      <c r="A960" s="40" t="s">
        <v>294</v>
      </c>
      <c r="B960" s="28">
        <v>926</v>
      </c>
      <c r="C960" s="28" t="s">
        <v>586</v>
      </c>
      <c r="D960" s="28"/>
      <c r="E960" s="41">
        <v>46171</v>
      </c>
      <c r="F960" s="47">
        <v>0.56990740740740742</v>
      </c>
      <c r="G960" s="44">
        <v>6.3</v>
      </c>
      <c r="H960" s="43" t="s">
        <v>229</v>
      </c>
      <c r="I960" s="40" t="s">
        <v>1300</v>
      </c>
    </row>
    <row r="961" spans="1:9" x14ac:dyDescent="0.2">
      <c r="A961" s="40" t="s">
        <v>294</v>
      </c>
      <c r="B961" s="28">
        <v>926</v>
      </c>
      <c r="C961" s="28" t="s">
        <v>587</v>
      </c>
      <c r="D961" s="28"/>
      <c r="E961" s="41">
        <v>46171</v>
      </c>
      <c r="F961" s="47">
        <v>0.72840277777777773</v>
      </c>
      <c r="G961" s="44">
        <v>6.3</v>
      </c>
      <c r="H961" s="43" t="s">
        <v>228</v>
      </c>
      <c r="I961" s="40" t="s">
        <v>1300</v>
      </c>
    </row>
    <row r="962" spans="1:9" x14ac:dyDescent="0.2">
      <c r="A962" s="40" t="s">
        <v>294</v>
      </c>
      <c r="B962" s="28">
        <v>926</v>
      </c>
      <c r="C962" s="28" t="s">
        <v>587</v>
      </c>
      <c r="D962" s="28"/>
      <c r="E962" s="41">
        <v>46171</v>
      </c>
      <c r="F962" s="47">
        <v>0.749537037037037</v>
      </c>
      <c r="G962" s="44">
        <v>6.3</v>
      </c>
      <c r="H962" s="43" t="s">
        <v>229</v>
      </c>
      <c r="I962" s="40" t="s">
        <v>1300</v>
      </c>
    </row>
    <row r="963" spans="1:9" x14ac:dyDescent="0.2">
      <c r="A963" s="40" t="s">
        <v>294</v>
      </c>
      <c r="B963" s="28">
        <v>926</v>
      </c>
      <c r="C963" s="28">
        <v>5695201</v>
      </c>
      <c r="D963" s="28" t="s">
        <v>37</v>
      </c>
      <c r="E963" s="41">
        <v>46173</v>
      </c>
      <c r="F963" s="47">
        <v>0.34574074074074074</v>
      </c>
      <c r="G963" s="44">
        <v>6.3</v>
      </c>
      <c r="H963" s="43" t="s">
        <v>230</v>
      </c>
      <c r="I963" s="40" t="s">
        <v>1300</v>
      </c>
    </row>
    <row r="964" spans="1:9" x14ac:dyDescent="0.2">
      <c r="A964" s="40" t="s">
        <v>172</v>
      </c>
      <c r="B964" s="28">
        <v>927</v>
      </c>
      <c r="C964" s="28">
        <v>5685368</v>
      </c>
      <c r="D964" s="28"/>
      <c r="E964" s="41">
        <v>46167</v>
      </c>
      <c r="F964" s="47">
        <v>0.20129629629629631</v>
      </c>
      <c r="G964" s="44">
        <v>6.3</v>
      </c>
      <c r="H964" s="43" t="s">
        <v>230</v>
      </c>
      <c r="I964" s="40" t="s">
        <v>1300</v>
      </c>
    </row>
    <row r="965" spans="1:9" x14ac:dyDescent="0.2">
      <c r="A965" s="40" t="s">
        <v>172</v>
      </c>
      <c r="B965" s="28">
        <v>927</v>
      </c>
      <c r="C965" s="28">
        <v>5685368</v>
      </c>
      <c r="D965" s="28"/>
      <c r="E965" s="41">
        <v>46167</v>
      </c>
      <c r="F965" s="47">
        <v>0.20643518518518519</v>
      </c>
      <c r="G965" s="44">
        <v>6.3</v>
      </c>
      <c r="H965" s="43" t="s">
        <v>227</v>
      </c>
      <c r="I965" s="40" t="s">
        <v>1300</v>
      </c>
    </row>
    <row r="966" spans="1:9" x14ac:dyDescent="0.2">
      <c r="A966" s="40" t="s">
        <v>172</v>
      </c>
      <c r="B966" s="28">
        <v>927</v>
      </c>
      <c r="C966" s="28">
        <v>5685444</v>
      </c>
      <c r="D966" s="28"/>
      <c r="E966" s="41">
        <v>46167</v>
      </c>
      <c r="F966" s="47">
        <v>0.25353009259259257</v>
      </c>
      <c r="G966" s="44">
        <v>6.3</v>
      </c>
      <c r="H966" s="43" t="s">
        <v>230</v>
      </c>
      <c r="I966" s="40" t="s">
        <v>1300</v>
      </c>
    </row>
    <row r="967" spans="1:9" x14ac:dyDescent="0.2">
      <c r="A967" s="40" t="s">
        <v>172</v>
      </c>
      <c r="B967" s="28">
        <v>927</v>
      </c>
      <c r="C967" s="28">
        <v>5685444</v>
      </c>
      <c r="D967" s="28"/>
      <c r="E967" s="41">
        <v>46167</v>
      </c>
      <c r="F967" s="47">
        <v>0.25913194444444443</v>
      </c>
      <c r="G967" s="44">
        <v>6.3</v>
      </c>
      <c r="H967" s="43" t="s">
        <v>227</v>
      </c>
      <c r="I967" s="40" t="s">
        <v>1300</v>
      </c>
    </row>
    <row r="968" spans="1:9" x14ac:dyDescent="0.2">
      <c r="A968" s="40" t="s">
        <v>172</v>
      </c>
      <c r="B968" s="28">
        <v>927</v>
      </c>
      <c r="C968" s="28" t="s">
        <v>588</v>
      </c>
      <c r="D968" s="28"/>
      <c r="E968" s="41">
        <v>46167</v>
      </c>
      <c r="F968" s="47">
        <v>0.94289351851851855</v>
      </c>
      <c r="G968" s="44">
        <v>6.3</v>
      </c>
      <c r="H968" s="43" t="s">
        <v>229</v>
      </c>
      <c r="I968" s="40" t="s">
        <v>1300</v>
      </c>
    </row>
    <row r="969" spans="1:9" x14ac:dyDescent="0.2">
      <c r="A969" s="40" t="s">
        <v>172</v>
      </c>
      <c r="B969" s="28">
        <v>927</v>
      </c>
      <c r="C969" s="28" t="s">
        <v>589</v>
      </c>
      <c r="D969" s="28"/>
      <c r="E969" s="41">
        <v>46168</v>
      </c>
      <c r="F969" s="47">
        <v>0.875462962962963</v>
      </c>
      <c r="G969" s="44">
        <v>6.3</v>
      </c>
      <c r="H969" s="43" t="s">
        <v>228</v>
      </c>
      <c r="I969" s="40" t="s">
        <v>1300</v>
      </c>
    </row>
    <row r="970" spans="1:9" x14ac:dyDescent="0.2">
      <c r="A970" s="40" t="s">
        <v>172</v>
      </c>
      <c r="B970" s="28">
        <v>927</v>
      </c>
      <c r="C970" s="28" t="s">
        <v>589</v>
      </c>
      <c r="D970" s="28"/>
      <c r="E970" s="41">
        <v>46168</v>
      </c>
      <c r="F970" s="47">
        <v>0.88168981481481479</v>
      </c>
      <c r="G970" s="42">
        <v>6.3</v>
      </c>
      <c r="H970" s="40" t="s">
        <v>229</v>
      </c>
      <c r="I970" s="40" t="s">
        <v>1300</v>
      </c>
    </row>
    <row r="971" spans="1:9" x14ac:dyDescent="0.2">
      <c r="A971" s="40" t="s">
        <v>172</v>
      </c>
      <c r="B971" s="28">
        <v>927</v>
      </c>
      <c r="C971" s="28" t="s">
        <v>35</v>
      </c>
      <c r="D971" s="28" t="s">
        <v>38</v>
      </c>
      <c r="E971" s="45">
        <v>46168</v>
      </c>
      <c r="F971" s="48">
        <v>0.89906249999999999</v>
      </c>
      <c r="G971" s="42">
        <v>6.3</v>
      </c>
      <c r="H971" s="40" t="s">
        <v>230</v>
      </c>
      <c r="I971" s="40" t="s">
        <v>1300</v>
      </c>
    </row>
    <row r="972" spans="1:9" x14ac:dyDescent="0.2">
      <c r="A972" s="40" t="s">
        <v>172</v>
      </c>
      <c r="B972" s="28">
        <v>927</v>
      </c>
      <c r="C972" s="28" t="s">
        <v>35</v>
      </c>
      <c r="D972" s="28" t="s">
        <v>38</v>
      </c>
      <c r="E972" s="41">
        <v>46168</v>
      </c>
      <c r="F972" s="47">
        <v>0.90497685185185184</v>
      </c>
      <c r="G972" s="42">
        <v>6.3</v>
      </c>
      <c r="H972" s="40" t="s">
        <v>227</v>
      </c>
      <c r="I972" s="40" t="s">
        <v>1300</v>
      </c>
    </row>
    <row r="973" spans="1:9" x14ac:dyDescent="0.2">
      <c r="A973" s="40" t="s">
        <v>172</v>
      </c>
      <c r="B973" s="28">
        <v>927</v>
      </c>
      <c r="C973" s="28">
        <v>5689049</v>
      </c>
      <c r="D973" s="28"/>
      <c r="E973" s="41">
        <v>46169</v>
      </c>
      <c r="F973" s="47">
        <v>0.13502314814814814</v>
      </c>
      <c r="G973" s="42">
        <v>6.3</v>
      </c>
      <c r="H973" s="40" t="s">
        <v>230</v>
      </c>
      <c r="I973" s="40" t="s">
        <v>1300</v>
      </c>
    </row>
    <row r="974" spans="1:9" x14ac:dyDescent="0.2">
      <c r="A974" s="40" t="s">
        <v>172</v>
      </c>
      <c r="B974" s="28">
        <v>927</v>
      </c>
      <c r="C974" s="28">
        <v>5689049</v>
      </c>
      <c r="D974" s="28"/>
      <c r="E974" s="45">
        <v>46169</v>
      </c>
      <c r="F974" s="48">
        <v>0.13982638888888888</v>
      </c>
      <c r="G974" s="44">
        <v>6.3</v>
      </c>
      <c r="H974" s="43" t="s">
        <v>227</v>
      </c>
      <c r="I974" s="40" t="s">
        <v>1300</v>
      </c>
    </row>
    <row r="975" spans="1:9" x14ac:dyDescent="0.2">
      <c r="A975" s="40" t="s">
        <v>172</v>
      </c>
      <c r="B975" s="28">
        <v>927</v>
      </c>
      <c r="C975" s="28">
        <v>5689052</v>
      </c>
      <c r="D975" s="28"/>
      <c r="E975" s="41">
        <v>46169</v>
      </c>
      <c r="F975" s="47">
        <v>0.26158564814814816</v>
      </c>
      <c r="G975" s="44">
        <v>6.3</v>
      </c>
      <c r="H975" s="43" t="s">
        <v>230</v>
      </c>
      <c r="I975" s="40" t="s">
        <v>1300</v>
      </c>
    </row>
    <row r="976" spans="1:9" x14ac:dyDescent="0.2">
      <c r="A976" s="40" t="s">
        <v>172</v>
      </c>
      <c r="B976" s="28">
        <v>927</v>
      </c>
      <c r="C976" s="28">
        <v>5689052</v>
      </c>
      <c r="D976" s="28"/>
      <c r="E976" s="41">
        <v>46169</v>
      </c>
      <c r="F976" s="47">
        <v>0.26728009259259261</v>
      </c>
      <c r="G976" s="44">
        <v>6.3</v>
      </c>
      <c r="H976" s="43" t="s">
        <v>227</v>
      </c>
      <c r="I976" s="40" t="s">
        <v>1300</v>
      </c>
    </row>
    <row r="977" spans="1:9" x14ac:dyDescent="0.2">
      <c r="A977" s="40" t="s">
        <v>172</v>
      </c>
      <c r="B977" s="28">
        <v>927</v>
      </c>
      <c r="C977" s="28">
        <v>5690688</v>
      </c>
      <c r="D977" s="28"/>
      <c r="E977" s="41">
        <v>46169</v>
      </c>
      <c r="F977" s="47">
        <v>0.95386574074074071</v>
      </c>
      <c r="G977" s="44">
        <v>6.3</v>
      </c>
      <c r="H977" s="43" t="s">
        <v>228</v>
      </c>
      <c r="I977" s="40" t="s">
        <v>1300</v>
      </c>
    </row>
    <row r="978" spans="1:9" x14ac:dyDescent="0.2">
      <c r="A978" s="40" t="s">
        <v>172</v>
      </c>
      <c r="B978" s="28">
        <v>927</v>
      </c>
      <c r="C978" s="28">
        <v>5690688</v>
      </c>
      <c r="D978" s="28"/>
      <c r="E978" s="45">
        <v>46169</v>
      </c>
      <c r="F978" s="48">
        <v>0.96083333333333332</v>
      </c>
      <c r="G978" s="44">
        <v>6.3</v>
      </c>
      <c r="H978" s="43" t="s">
        <v>229</v>
      </c>
      <c r="I978" s="40" t="s">
        <v>1300</v>
      </c>
    </row>
    <row r="979" spans="1:9" x14ac:dyDescent="0.2">
      <c r="A979" s="40" t="s">
        <v>172</v>
      </c>
      <c r="B979" s="28">
        <v>927</v>
      </c>
      <c r="C979" s="28" t="s">
        <v>35</v>
      </c>
      <c r="D979" s="28" t="s">
        <v>38</v>
      </c>
      <c r="E979" s="41">
        <v>46169</v>
      </c>
      <c r="F979" s="47">
        <v>0.97586805555555556</v>
      </c>
      <c r="G979" s="44">
        <v>6.3</v>
      </c>
      <c r="H979" s="43" t="s">
        <v>230</v>
      </c>
      <c r="I979" s="40" t="s">
        <v>1300</v>
      </c>
    </row>
    <row r="980" spans="1:9" x14ac:dyDescent="0.2">
      <c r="A980" s="40" t="s">
        <v>172</v>
      </c>
      <c r="B980" s="28">
        <v>927</v>
      </c>
      <c r="C980" s="28" t="s">
        <v>590</v>
      </c>
      <c r="D980" s="28"/>
      <c r="E980" s="41">
        <v>46171</v>
      </c>
      <c r="F980" s="47">
        <v>0.97334490740740742</v>
      </c>
      <c r="G980" s="44">
        <v>6.3</v>
      </c>
      <c r="H980" s="43" t="s">
        <v>228</v>
      </c>
      <c r="I980" s="40" t="s">
        <v>1300</v>
      </c>
    </row>
    <row r="981" spans="1:9" x14ac:dyDescent="0.2">
      <c r="A981" s="40" t="s">
        <v>172</v>
      </c>
      <c r="B981" s="28">
        <v>927</v>
      </c>
      <c r="C981" s="28" t="s">
        <v>590</v>
      </c>
      <c r="D981" s="28"/>
      <c r="E981" s="41">
        <v>46171</v>
      </c>
      <c r="F981" s="47">
        <v>0.98064814814814816</v>
      </c>
      <c r="G981" s="44">
        <v>6.3</v>
      </c>
      <c r="H981" s="43" t="s">
        <v>229</v>
      </c>
      <c r="I981" s="40" t="s">
        <v>1300</v>
      </c>
    </row>
    <row r="982" spans="1:9" x14ac:dyDescent="0.2">
      <c r="A982" s="40" t="s">
        <v>172</v>
      </c>
      <c r="B982" s="28">
        <v>927</v>
      </c>
      <c r="C982" s="28">
        <v>5694279</v>
      </c>
      <c r="D982" s="28"/>
      <c r="E982" s="41">
        <v>46172</v>
      </c>
      <c r="F982" s="47">
        <v>7.3495370370370364E-2</v>
      </c>
      <c r="G982" s="44">
        <v>6.3</v>
      </c>
      <c r="H982" s="43" t="s">
        <v>230</v>
      </c>
      <c r="I982" s="40" t="s">
        <v>1300</v>
      </c>
    </row>
    <row r="983" spans="1:9" x14ac:dyDescent="0.2">
      <c r="A983" s="40" t="s">
        <v>172</v>
      </c>
      <c r="B983" s="28">
        <v>927</v>
      </c>
      <c r="C983" s="28">
        <v>5694279</v>
      </c>
      <c r="D983" s="28"/>
      <c r="E983" s="41">
        <v>46172</v>
      </c>
      <c r="F983" s="47">
        <v>7.8171296296296294E-2</v>
      </c>
      <c r="G983" s="44">
        <v>6.3</v>
      </c>
      <c r="H983" s="43" t="s">
        <v>227</v>
      </c>
      <c r="I983" s="40" t="s">
        <v>1300</v>
      </c>
    </row>
    <row r="984" spans="1:9" x14ac:dyDescent="0.2">
      <c r="A984" s="40" t="s">
        <v>172</v>
      </c>
      <c r="B984" s="28">
        <v>927</v>
      </c>
      <c r="C984" s="28">
        <v>5694128</v>
      </c>
      <c r="D984" s="28"/>
      <c r="E984" s="41">
        <v>46172</v>
      </c>
      <c r="F984" s="47">
        <v>0.35158564814814813</v>
      </c>
      <c r="G984" s="44">
        <v>6.3</v>
      </c>
      <c r="H984" s="43" t="s">
        <v>227</v>
      </c>
      <c r="I984" s="40" t="s">
        <v>1300</v>
      </c>
    </row>
    <row r="985" spans="1:9" x14ac:dyDescent="0.2">
      <c r="A985" s="40" t="s">
        <v>172</v>
      </c>
      <c r="B985" s="28">
        <v>927</v>
      </c>
      <c r="C985" s="28">
        <v>5695334</v>
      </c>
      <c r="D985" s="28"/>
      <c r="E985" s="41">
        <v>46173</v>
      </c>
      <c r="F985" s="47">
        <v>2.476851851851852E-2</v>
      </c>
      <c r="G985" s="44">
        <v>6.3</v>
      </c>
      <c r="H985" s="43" t="s">
        <v>228</v>
      </c>
      <c r="I985" s="40" t="s">
        <v>1300</v>
      </c>
    </row>
    <row r="986" spans="1:9" x14ac:dyDescent="0.2">
      <c r="A986" s="40" t="s">
        <v>172</v>
      </c>
      <c r="B986" s="28">
        <v>927</v>
      </c>
      <c r="C986" s="28">
        <v>5695334</v>
      </c>
      <c r="D986" s="28"/>
      <c r="E986" s="41">
        <v>46173</v>
      </c>
      <c r="F986" s="47">
        <v>3.1261574074074074E-2</v>
      </c>
      <c r="G986" s="44">
        <v>6.3</v>
      </c>
      <c r="H986" s="43" t="s">
        <v>229</v>
      </c>
      <c r="I986" s="40" t="s">
        <v>1300</v>
      </c>
    </row>
    <row r="987" spans="1:9" x14ac:dyDescent="0.2">
      <c r="A987" s="40" t="s">
        <v>172</v>
      </c>
      <c r="B987" s="28">
        <v>927</v>
      </c>
      <c r="C987" s="28">
        <v>5695330</v>
      </c>
      <c r="D987" s="28"/>
      <c r="E987" s="45">
        <v>46173</v>
      </c>
      <c r="F987" s="48">
        <v>0.22462962962962962</v>
      </c>
      <c r="G987" s="44">
        <v>6.3</v>
      </c>
      <c r="H987" s="43" t="s">
        <v>227</v>
      </c>
      <c r="I987" s="40" t="s">
        <v>1300</v>
      </c>
    </row>
    <row r="988" spans="1:9" x14ac:dyDescent="0.2">
      <c r="A988" s="40" t="s">
        <v>172</v>
      </c>
      <c r="B988" s="28">
        <v>927</v>
      </c>
      <c r="C988" s="28">
        <v>5696372</v>
      </c>
      <c r="D988" s="28"/>
      <c r="E988" s="41">
        <v>46173</v>
      </c>
      <c r="F988" s="47">
        <v>0.89261574074074079</v>
      </c>
      <c r="G988" s="44">
        <v>6.3</v>
      </c>
      <c r="H988" s="43" t="s">
        <v>228</v>
      </c>
      <c r="I988" s="40" t="s">
        <v>1300</v>
      </c>
    </row>
    <row r="989" spans="1:9" x14ac:dyDescent="0.2">
      <c r="A989" s="40" t="s">
        <v>172</v>
      </c>
      <c r="B989" s="28">
        <v>927</v>
      </c>
      <c r="C989" s="28" t="s">
        <v>35</v>
      </c>
      <c r="D989" s="28" t="s">
        <v>38</v>
      </c>
      <c r="E989" s="41">
        <v>46173</v>
      </c>
      <c r="F989" s="47">
        <v>0.91229166666666661</v>
      </c>
      <c r="G989" s="44">
        <v>6.3</v>
      </c>
      <c r="H989" s="43" t="s">
        <v>230</v>
      </c>
      <c r="I989" s="40" t="s">
        <v>1300</v>
      </c>
    </row>
    <row r="990" spans="1:9" x14ac:dyDescent="0.2">
      <c r="A990" s="40" t="s">
        <v>403</v>
      </c>
      <c r="B990" s="28">
        <v>951</v>
      </c>
      <c r="C990" s="28">
        <v>5683219</v>
      </c>
      <c r="D990" s="28"/>
      <c r="E990" s="41">
        <v>46167</v>
      </c>
      <c r="F990" s="47">
        <v>0.70018518518518513</v>
      </c>
      <c r="G990" s="44">
        <v>6.3</v>
      </c>
      <c r="H990" s="43" t="s">
        <v>230</v>
      </c>
      <c r="I990" s="40" t="s">
        <v>1300</v>
      </c>
    </row>
    <row r="991" spans="1:9" x14ac:dyDescent="0.2">
      <c r="A991" s="40" t="s">
        <v>403</v>
      </c>
      <c r="B991" s="28">
        <v>951</v>
      </c>
      <c r="C991" s="28">
        <v>5683219</v>
      </c>
      <c r="D991" s="28"/>
      <c r="E991" s="41">
        <v>46167</v>
      </c>
      <c r="F991" s="47">
        <v>0.70990740740740743</v>
      </c>
      <c r="G991" s="44">
        <v>6.3</v>
      </c>
      <c r="H991" s="43" t="s">
        <v>227</v>
      </c>
      <c r="I991" s="40" t="s">
        <v>1300</v>
      </c>
    </row>
    <row r="992" spans="1:9" x14ac:dyDescent="0.2">
      <c r="A992" s="40" t="s">
        <v>403</v>
      </c>
      <c r="B992" s="28">
        <v>951</v>
      </c>
      <c r="C992" s="28" t="s">
        <v>591</v>
      </c>
      <c r="D992" s="28"/>
      <c r="E992" s="41">
        <v>46168</v>
      </c>
      <c r="F992" s="47">
        <v>0.1705787037037037</v>
      </c>
      <c r="G992" s="42">
        <v>6.3</v>
      </c>
      <c r="H992" s="40" t="s">
        <v>228</v>
      </c>
      <c r="I992" s="40" t="s">
        <v>1300</v>
      </c>
    </row>
    <row r="993" spans="1:9" x14ac:dyDescent="0.2">
      <c r="A993" s="40" t="s">
        <v>403</v>
      </c>
      <c r="B993" s="28">
        <v>951</v>
      </c>
      <c r="C993" s="28" t="s">
        <v>591</v>
      </c>
      <c r="D993" s="28"/>
      <c r="E993" s="41">
        <v>46168</v>
      </c>
      <c r="F993" s="47">
        <v>0.17613425925925927</v>
      </c>
      <c r="G993" s="42">
        <v>6.3</v>
      </c>
      <c r="H993" s="40" t="s">
        <v>229</v>
      </c>
      <c r="I993" s="40" t="s">
        <v>1300</v>
      </c>
    </row>
    <row r="994" spans="1:9" x14ac:dyDescent="0.2">
      <c r="A994" s="40" t="s">
        <v>403</v>
      </c>
      <c r="B994" s="28">
        <v>951</v>
      </c>
      <c r="C994" s="28" t="s">
        <v>35</v>
      </c>
      <c r="D994" s="28" t="s">
        <v>38</v>
      </c>
      <c r="E994" s="45">
        <v>46168</v>
      </c>
      <c r="F994" s="48">
        <v>0.22864583333333333</v>
      </c>
      <c r="G994" s="42">
        <v>6.3</v>
      </c>
      <c r="H994" s="40" t="s">
        <v>230</v>
      </c>
      <c r="I994" s="40" t="s">
        <v>1300</v>
      </c>
    </row>
    <row r="995" spans="1:9" x14ac:dyDescent="0.2">
      <c r="A995" s="40" t="s">
        <v>403</v>
      </c>
      <c r="B995" s="28">
        <v>951</v>
      </c>
      <c r="C995" s="28" t="s">
        <v>35</v>
      </c>
      <c r="D995" s="28" t="s">
        <v>38</v>
      </c>
      <c r="E995" s="41">
        <v>46168</v>
      </c>
      <c r="F995" s="47">
        <v>0.23337962962962963</v>
      </c>
      <c r="G995" s="42">
        <v>6.3</v>
      </c>
      <c r="H995" s="40" t="s">
        <v>227</v>
      </c>
      <c r="I995" s="40" t="s">
        <v>1300</v>
      </c>
    </row>
    <row r="996" spans="1:9" x14ac:dyDescent="0.2">
      <c r="A996" s="40" t="s">
        <v>403</v>
      </c>
      <c r="B996" s="28">
        <v>951</v>
      </c>
      <c r="C996" s="28" t="s">
        <v>592</v>
      </c>
      <c r="D996" s="28"/>
      <c r="E996" s="41">
        <v>46170</v>
      </c>
      <c r="F996" s="47">
        <v>0.87958333333333338</v>
      </c>
      <c r="G996" s="44">
        <v>6.3</v>
      </c>
      <c r="H996" s="43" t="s">
        <v>228</v>
      </c>
      <c r="I996" s="40" t="s">
        <v>1300</v>
      </c>
    </row>
    <row r="997" spans="1:9" x14ac:dyDescent="0.2">
      <c r="A997" s="40" t="s">
        <v>403</v>
      </c>
      <c r="B997" s="28">
        <v>951</v>
      </c>
      <c r="C997" s="28" t="s">
        <v>592</v>
      </c>
      <c r="D997" s="28"/>
      <c r="E997" s="41">
        <v>46170</v>
      </c>
      <c r="F997" s="47">
        <v>0.88680555555555551</v>
      </c>
      <c r="G997" s="44">
        <v>6.3</v>
      </c>
      <c r="H997" s="43" t="s">
        <v>229</v>
      </c>
      <c r="I997" s="40" t="s">
        <v>1300</v>
      </c>
    </row>
    <row r="998" spans="1:9" x14ac:dyDescent="0.2">
      <c r="A998" s="40" t="s">
        <v>403</v>
      </c>
      <c r="B998" s="28">
        <v>951</v>
      </c>
      <c r="C998" s="28">
        <v>5692468</v>
      </c>
      <c r="D998" s="28" t="s">
        <v>36</v>
      </c>
      <c r="E998" s="41">
        <v>46171</v>
      </c>
      <c r="F998" s="47">
        <v>2.2777777777777779E-2</v>
      </c>
      <c r="G998" s="44">
        <v>6.3</v>
      </c>
      <c r="H998" s="43" t="s">
        <v>228</v>
      </c>
      <c r="I998" s="40" t="s">
        <v>1300</v>
      </c>
    </row>
    <row r="999" spans="1:9" x14ac:dyDescent="0.2">
      <c r="A999" s="40" t="s">
        <v>403</v>
      </c>
      <c r="B999" s="28">
        <v>951</v>
      </c>
      <c r="C999" s="28" t="s">
        <v>593</v>
      </c>
      <c r="D999" s="28"/>
      <c r="E999" s="41">
        <v>46171</v>
      </c>
      <c r="F999" s="47">
        <v>0.19811342592592593</v>
      </c>
      <c r="G999" s="44">
        <v>6.3</v>
      </c>
      <c r="H999" s="43" t="s">
        <v>229</v>
      </c>
      <c r="I999" s="40" t="s">
        <v>1300</v>
      </c>
    </row>
    <row r="1000" spans="1:9" x14ac:dyDescent="0.2">
      <c r="A1000" s="40" t="s">
        <v>403</v>
      </c>
      <c r="B1000" s="28">
        <v>951</v>
      </c>
      <c r="C1000" s="28" t="s">
        <v>35</v>
      </c>
      <c r="D1000" s="28" t="s">
        <v>38</v>
      </c>
      <c r="E1000" s="41">
        <v>46171</v>
      </c>
      <c r="F1000" s="47">
        <v>0.23690972222222223</v>
      </c>
      <c r="G1000" s="44">
        <v>6.3</v>
      </c>
      <c r="H1000" s="43" t="s">
        <v>230</v>
      </c>
      <c r="I1000" s="40" t="s">
        <v>1300</v>
      </c>
    </row>
    <row r="1001" spans="1:9" x14ac:dyDescent="0.2">
      <c r="A1001" s="40" t="s">
        <v>403</v>
      </c>
      <c r="B1001" s="28">
        <v>951</v>
      </c>
      <c r="C1001" s="28" t="s">
        <v>35</v>
      </c>
      <c r="D1001" s="28" t="s">
        <v>38</v>
      </c>
      <c r="E1001" s="41">
        <v>46171</v>
      </c>
      <c r="F1001" s="47">
        <v>0.24269675925925926</v>
      </c>
      <c r="G1001" s="44">
        <v>6.3</v>
      </c>
      <c r="H1001" s="43" t="s">
        <v>227</v>
      </c>
      <c r="I1001" s="40" t="s">
        <v>1300</v>
      </c>
    </row>
    <row r="1002" spans="1:9" x14ac:dyDescent="0.2">
      <c r="A1002" s="40" t="s">
        <v>403</v>
      </c>
      <c r="B1002" s="28">
        <v>951</v>
      </c>
      <c r="C1002" s="28">
        <v>5694200</v>
      </c>
      <c r="D1002" s="28"/>
      <c r="E1002" s="41">
        <v>46172</v>
      </c>
      <c r="F1002" s="47">
        <v>2.1840277777777778E-2</v>
      </c>
      <c r="G1002" s="42">
        <v>6.3</v>
      </c>
      <c r="H1002" s="40" t="s">
        <v>228</v>
      </c>
      <c r="I1002" s="40" t="s">
        <v>1300</v>
      </c>
    </row>
    <row r="1003" spans="1:9" x14ac:dyDescent="0.2">
      <c r="A1003" s="40" t="s">
        <v>403</v>
      </c>
      <c r="B1003" s="28">
        <v>951</v>
      </c>
      <c r="C1003" s="28" t="s">
        <v>35</v>
      </c>
      <c r="D1003" s="28" t="s">
        <v>38</v>
      </c>
      <c r="E1003" s="45">
        <v>46172</v>
      </c>
      <c r="F1003" s="48">
        <v>0.31708333333333333</v>
      </c>
      <c r="G1003" s="42">
        <v>6.3</v>
      </c>
      <c r="H1003" s="40" t="s">
        <v>227</v>
      </c>
      <c r="I1003" s="40" t="s">
        <v>1300</v>
      </c>
    </row>
    <row r="1004" spans="1:9" x14ac:dyDescent="0.2">
      <c r="A1004" s="40" t="s">
        <v>403</v>
      </c>
      <c r="B1004" s="28">
        <v>951</v>
      </c>
      <c r="C1004" s="28" t="s">
        <v>594</v>
      </c>
      <c r="D1004" s="28"/>
      <c r="E1004" s="41">
        <v>46173</v>
      </c>
      <c r="F1004" s="47">
        <v>0.56866898148148148</v>
      </c>
      <c r="G1004" s="42">
        <v>6.3</v>
      </c>
      <c r="H1004" s="40" t="s">
        <v>228</v>
      </c>
      <c r="I1004" s="40" t="s">
        <v>1300</v>
      </c>
    </row>
    <row r="1005" spans="1:9" x14ac:dyDescent="0.2">
      <c r="A1005" s="40" t="s">
        <v>403</v>
      </c>
      <c r="B1005" s="28">
        <v>951</v>
      </c>
      <c r="C1005" s="28" t="s">
        <v>35</v>
      </c>
      <c r="D1005" s="28" t="s">
        <v>38</v>
      </c>
      <c r="E1005" s="41">
        <v>46173</v>
      </c>
      <c r="F1005" s="47">
        <v>0.71254629629629629</v>
      </c>
      <c r="G1005" s="42">
        <v>6.3</v>
      </c>
      <c r="H1005" s="40" t="s">
        <v>227</v>
      </c>
      <c r="I1005" s="40" t="s">
        <v>1300</v>
      </c>
    </row>
    <row r="1006" spans="1:9" x14ac:dyDescent="0.2">
      <c r="A1006" s="40" t="s">
        <v>403</v>
      </c>
      <c r="B1006" s="28">
        <v>951</v>
      </c>
      <c r="C1006" s="28">
        <v>5696157</v>
      </c>
      <c r="D1006" s="28"/>
      <c r="E1006" s="41">
        <v>46173</v>
      </c>
      <c r="F1006" s="47">
        <v>0.7839814814814815</v>
      </c>
      <c r="G1006" s="42">
        <v>6.3</v>
      </c>
      <c r="H1006" s="40" t="s">
        <v>228</v>
      </c>
      <c r="I1006" s="40" t="s">
        <v>1300</v>
      </c>
    </row>
    <row r="1007" spans="1:9" x14ac:dyDescent="0.2">
      <c r="A1007" s="40" t="s">
        <v>403</v>
      </c>
      <c r="B1007" s="28">
        <v>951</v>
      </c>
      <c r="C1007" s="28" t="s">
        <v>35</v>
      </c>
      <c r="D1007" s="28" t="s">
        <v>38</v>
      </c>
      <c r="E1007" s="41">
        <v>46173</v>
      </c>
      <c r="F1007" s="47">
        <v>0.88983796296296291</v>
      </c>
      <c r="G1007" s="44">
        <v>6.3</v>
      </c>
      <c r="H1007" s="43" t="s">
        <v>226</v>
      </c>
      <c r="I1007" s="40" t="s">
        <v>1300</v>
      </c>
    </row>
    <row r="1008" spans="1:9" x14ac:dyDescent="0.2">
      <c r="A1008" s="40" t="s">
        <v>256</v>
      </c>
      <c r="B1008" s="28">
        <v>952</v>
      </c>
      <c r="C1008" s="28" t="s">
        <v>595</v>
      </c>
      <c r="D1008" s="28"/>
      <c r="E1008" s="41">
        <v>46168</v>
      </c>
      <c r="F1008" s="47">
        <v>0.43447916666666669</v>
      </c>
      <c r="G1008" s="44">
        <v>6.3</v>
      </c>
      <c r="H1008" s="43" t="s">
        <v>230</v>
      </c>
      <c r="I1008" s="40" t="s">
        <v>1300</v>
      </c>
    </row>
    <row r="1009" spans="1:9" x14ac:dyDescent="0.2">
      <c r="A1009" s="40" t="s">
        <v>256</v>
      </c>
      <c r="B1009" s="28">
        <v>952</v>
      </c>
      <c r="C1009" s="28" t="s">
        <v>595</v>
      </c>
      <c r="D1009" s="28"/>
      <c r="E1009" s="45">
        <v>46168</v>
      </c>
      <c r="F1009" s="48">
        <v>0.44646990740740738</v>
      </c>
      <c r="G1009" s="44">
        <v>6.3</v>
      </c>
      <c r="H1009" s="43" t="s">
        <v>227</v>
      </c>
      <c r="I1009" s="40" t="s">
        <v>1300</v>
      </c>
    </row>
    <row r="1010" spans="1:9" x14ac:dyDescent="0.2">
      <c r="A1010" s="40" t="s">
        <v>256</v>
      </c>
      <c r="B1010" s="28">
        <v>952</v>
      </c>
      <c r="C1010" s="28">
        <v>5685966</v>
      </c>
      <c r="D1010" s="28"/>
      <c r="E1010" s="41">
        <v>46168</v>
      </c>
      <c r="F1010" s="47">
        <v>0.60439814814814818</v>
      </c>
      <c r="G1010" s="44">
        <v>6.3</v>
      </c>
      <c r="H1010" s="43" t="s">
        <v>228</v>
      </c>
      <c r="I1010" s="40" t="s">
        <v>1300</v>
      </c>
    </row>
    <row r="1011" spans="1:9" x14ac:dyDescent="0.2">
      <c r="A1011" s="40" t="s">
        <v>256</v>
      </c>
      <c r="B1011" s="28">
        <v>952</v>
      </c>
      <c r="C1011" s="28">
        <v>5685966</v>
      </c>
      <c r="D1011" s="28"/>
      <c r="E1011" s="41">
        <v>46168</v>
      </c>
      <c r="F1011" s="47">
        <v>0.61423611111111109</v>
      </c>
      <c r="G1011" s="44">
        <v>6.3</v>
      </c>
      <c r="H1011" s="43" t="s">
        <v>229</v>
      </c>
      <c r="I1011" s="40" t="s">
        <v>1300</v>
      </c>
    </row>
    <row r="1012" spans="1:9" x14ac:dyDescent="0.2">
      <c r="A1012" s="40" t="s">
        <v>256</v>
      </c>
      <c r="B1012" s="28">
        <v>952</v>
      </c>
      <c r="C1012" s="28" t="s">
        <v>35</v>
      </c>
      <c r="D1012" s="28" t="s">
        <v>38</v>
      </c>
      <c r="E1012" s="41">
        <v>46168</v>
      </c>
      <c r="F1012" s="47">
        <v>0.66606481481481483</v>
      </c>
      <c r="G1012" s="44">
        <v>6.3</v>
      </c>
      <c r="H1012" s="43" t="s">
        <v>226</v>
      </c>
      <c r="I1012" s="40" t="s">
        <v>1300</v>
      </c>
    </row>
    <row r="1013" spans="1:9" x14ac:dyDescent="0.2">
      <c r="A1013" s="40" t="s">
        <v>256</v>
      </c>
      <c r="B1013" s="28">
        <v>952</v>
      </c>
      <c r="C1013" s="28">
        <v>10744298</v>
      </c>
      <c r="D1013" s="28"/>
      <c r="E1013" s="41">
        <v>46168</v>
      </c>
      <c r="F1013" s="47">
        <v>0.67271990740740739</v>
      </c>
      <c r="G1013" s="44">
        <v>6.3</v>
      </c>
      <c r="H1013" s="43" t="s">
        <v>227</v>
      </c>
      <c r="I1013" s="40" t="s">
        <v>1300</v>
      </c>
    </row>
    <row r="1014" spans="1:9" x14ac:dyDescent="0.2">
      <c r="A1014" s="40" t="s">
        <v>256</v>
      </c>
      <c r="B1014" s="28">
        <v>952</v>
      </c>
      <c r="C1014" s="28">
        <v>5686025</v>
      </c>
      <c r="D1014" s="28"/>
      <c r="E1014" s="41">
        <v>46170</v>
      </c>
      <c r="F1014" s="47">
        <v>0.38113425925925926</v>
      </c>
      <c r="G1014" s="44">
        <v>6.3</v>
      </c>
      <c r="H1014" s="43" t="s">
        <v>228</v>
      </c>
      <c r="I1014" s="40" t="s">
        <v>1300</v>
      </c>
    </row>
    <row r="1015" spans="1:9" x14ac:dyDescent="0.2">
      <c r="A1015" s="40" t="s">
        <v>256</v>
      </c>
      <c r="B1015" s="28">
        <v>952</v>
      </c>
      <c r="C1015" s="28">
        <v>5686025</v>
      </c>
      <c r="D1015" s="28"/>
      <c r="E1015" s="41">
        <v>46170</v>
      </c>
      <c r="F1015" s="47">
        <v>0.3999537037037037</v>
      </c>
      <c r="G1015" s="44">
        <v>6.3</v>
      </c>
      <c r="H1015" s="43" t="s">
        <v>229</v>
      </c>
      <c r="I1015" s="40" t="s">
        <v>1300</v>
      </c>
    </row>
    <row r="1016" spans="1:9" x14ac:dyDescent="0.2">
      <c r="A1016" s="40" t="s">
        <v>256</v>
      </c>
      <c r="B1016" s="28">
        <v>952</v>
      </c>
      <c r="C1016" s="28">
        <v>5693284</v>
      </c>
      <c r="D1016" s="28"/>
      <c r="E1016" s="41">
        <v>46172</v>
      </c>
      <c r="F1016" s="47">
        <v>0.54026620370370371</v>
      </c>
      <c r="G1016" s="44">
        <v>6.3</v>
      </c>
      <c r="H1016" s="43" t="s">
        <v>228</v>
      </c>
      <c r="I1016" s="40" t="s">
        <v>1300</v>
      </c>
    </row>
    <row r="1017" spans="1:9" x14ac:dyDescent="0.2">
      <c r="A1017" s="40" t="s">
        <v>256</v>
      </c>
      <c r="B1017" s="28">
        <v>952</v>
      </c>
      <c r="C1017" s="28">
        <v>5693284</v>
      </c>
      <c r="D1017" s="28"/>
      <c r="E1017" s="41">
        <v>46172</v>
      </c>
      <c r="F1017" s="47">
        <v>0.55200231481481477</v>
      </c>
      <c r="G1017" s="44">
        <v>6.3</v>
      </c>
      <c r="H1017" s="43" t="s">
        <v>229</v>
      </c>
      <c r="I1017" s="40" t="s">
        <v>1300</v>
      </c>
    </row>
    <row r="1018" spans="1:9" x14ac:dyDescent="0.2">
      <c r="A1018" s="40" t="s">
        <v>256</v>
      </c>
      <c r="B1018" s="28">
        <v>952</v>
      </c>
      <c r="C1018" s="28" t="s">
        <v>35</v>
      </c>
      <c r="D1018" s="28" t="s">
        <v>38</v>
      </c>
      <c r="E1018" s="41">
        <v>46172</v>
      </c>
      <c r="F1018" s="47">
        <v>0.84412037037037035</v>
      </c>
      <c r="G1018" s="44">
        <v>6.3</v>
      </c>
      <c r="H1018" s="43" t="s">
        <v>230</v>
      </c>
      <c r="I1018" s="40" t="s">
        <v>1300</v>
      </c>
    </row>
    <row r="1019" spans="1:9" x14ac:dyDescent="0.2">
      <c r="A1019" s="40" t="s">
        <v>404</v>
      </c>
      <c r="B1019" s="28">
        <v>957</v>
      </c>
      <c r="C1019" s="28">
        <v>5685985</v>
      </c>
      <c r="D1019" s="28"/>
      <c r="E1019" s="41">
        <v>46168</v>
      </c>
      <c r="F1019" s="47">
        <v>0.36810185185185185</v>
      </c>
      <c r="G1019" s="44">
        <v>6.3</v>
      </c>
      <c r="H1019" s="43" t="s">
        <v>230</v>
      </c>
      <c r="I1019" s="40" t="s">
        <v>1300</v>
      </c>
    </row>
    <row r="1020" spans="1:9" x14ac:dyDescent="0.2">
      <c r="A1020" s="40" t="s">
        <v>404</v>
      </c>
      <c r="B1020" s="28">
        <v>957</v>
      </c>
      <c r="C1020" s="28">
        <v>5685985</v>
      </c>
      <c r="D1020" s="28"/>
      <c r="E1020" s="41">
        <v>46168</v>
      </c>
      <c r="F1020" s="47">
        <v>0.37425925925925924</v>
      </c>
      <c r="G1020" s="44">
        <v>6.3</v>
      </c>
      <c r="H1020" s="43" t="s">
        <v>227</v>
      </c>
      <c r="I1020" s="40" t="s">
        <v>1300</v>
      </c>
    </row>
    <row r="1021" spans="1:9" x14ac:dyDescent="0.2">
      <c r="A1021" s="40" t="s">
        <v>404</v>
      </c>
      <c r="B1021" s="28">
        <v>957</v>
      </c>
      <c r="C1021" s="28">
        <v>5688684</v>
      </c>
      <c r="D1021" s="28"/>
      <c r="E1021" s="45">
        <v>46169</v>
      </c>
      <c r="F1021" s="48">
        <v>0.13288194444444446</v>
      </c>
      <c r="G1021" s="44">
        <v>6.3</v>
      </c>
      <c r="H1021" s="43" t="s">
        <v>230</v>
      </c>
      <c r="I1021" s="40" t="s">
        <v>1300</v>
      </c>
    </row>
    <row r="1022" spans="1:9" x14ac:dyDescent="0.2">
      <c r="A1022" s="40" t="s">
        <v>404</v>
      </c>
      <c r="B1022" s="28">
        <v>957</v>
      </c>
      <c r="C1022" s="28">
        <v>5688684</v>
      </c>
      <c r="D1022" s="28"/>
      <c r="E1022" s="41">
        <v>46169</v>
      </c>
      <c r="F1022" s="47">
        <v>0.13815972222222223</v>
      </c>
      <c r="G1022" s="44">
        <v>6.3</v>
      </c>
      <c r="H1022" s="43" t="s">
        <v>227</v>
      </c>
      <c r="I1022" s="40" t="s">
        <v>1300</v>
      </c>
    </row>
    <row r="1023" spans="1:9" x14ac:dyDescent="0.2">
      <c r="A1023" s="40" t="s">
        <v>404</v>
      </c>
      <c r="B1023" s="28">
        <v>957</v>
      </c>
      <c r="C1023" s="28">
        <v>5686026</v>
      </c>
      <c r="D1023" s="28"/>
      <c r="E1023" s="41">
        <v>46170</v>
      </c>
      <c r="F1023" s="47">
        <v>0.38049768518518517</v>
      </c>
      <c r="G1023" s="44">
        <v>6.3</v>
      </c>
      <c r="H1023" s="43" t="s">
        <v>228</v>
      </c>
      <c r="I1023" s="40" t="s">
        <v>1300</v>
      </c>
    </row>
    <row r="1024" spans="1:9" x14ac:dyDescent="0.2">
      <c r="A1024" s="40" t="s">
        <v>404</v>
      </c>
      <c r="B1024" s="28">
        <v>957</v>
      </c>
      <c r="C1024" s="28">
        <v>5689824</v>
      </c>
      <c r="D1024" s="28"/>
      <c r="E1024" s="41">
        <v>46170</v>
      </c>
      <c r="F1024" s="47">
        <v>0.4650347222222222</v>
      </c>
      <c r="G1024" s="44">
        <v>6.3</v>
      </c>
      <c r="H1024" s="43" t="s">
        <v>226</v>
      </c>
      <c r="I1024" s="40" t="s">
        <v>1300</v>
      </c>
    </row>
    <row r="1025" spans="1:9" x14ac:dyDescent="0.2">
      <c r="A1025" s="40" t="s">
        <v>404</v>
      </c>
      <c r="B1025" s="28">
        <v>957</v>
      </c>
      <c r="C1025" s="28">
        <v>5689824</v>
      </c>
      <c r="D1025" s="28"/>
      <c r="E1025" s="41">
        <v>46170</v>
      </c>
      <c r="F1025" s="47">
        <v>0.47107638888888886</v>
      </c>
      <c r="G1025" s="44">
        <v>6.3</v>
      </c>
      <c r="H1025" s="43" t="s">
        <v>227</v>
      </c>
      <c r="I1025" s="40" t="s">
        <v>1300</v>
      </c>
    </row>
    <row r="1026" spans="1:9" x14ac:dyDescent="0.2">
      <c r="A1026" s="40" t="s">
        <v>404</v>
      </c>
      <c r="B1026" s="28">
        <v>957</v>
      </c>
      <c r="C1026" s="28">
        <v>5689812</v>
      </c>
      <c r="D1026" s="28"/>
      <c r="E1026" s="45">
        <v>46170</v>
      </c>
      <c r="F1026" s="48">
        <v>0.58107638888888891</v>
      </c>
      <c r="G1026" s="44">
        <v>6.3</v>
      </c>
      <c r="H1026" s="43" t="s">
        <v>228</v>
      </c>
      <c r="I1026" s="40" t="s">
        <v>1300</v>
      </c>
    </row>
    <row r="1027" spans="1:9" x14ac:dyDescent="0.2">
      <c r="A1027" s="40" t="s">
        <v>404</v>
      </c>
      <c r="B1027" s="28">
        <v>957</v>
      </c>
      <c r="C1027" s="28">
        <v>5689812</v>
      </c>
      <c r="D1027" s="28"/>
      <c r="E1027" s="41">
        <v>46170</v>
      </c>
      <c r="F1027" s="47">
        <v>0.59070601851851856</v>
      </c>
      <c r="G1027" s="44">
        <v>6.3</v>
      </c>
      <c r="H1027" s="43" t="s">
        <v>229</v>
      </c>
      <c r="I1027" s="40" t="s">
        <v>1300</v>
      </c>
    </row>
    <row r="1028" spans="1:9" x14ac:dyDescent="0.2">
      <c r="A1028" s="40" t="s">
        <v>404</v>
      </c>
      <c r="B1028" s="28">
        <v>957</v>
      </c>
      <c r="C1028" s="28" t="s">
        <v>596</v>
      </c>
      <c r="D1028" s="28"/>
      <c r="E1028" s="41">
        <v>46171</v>
      </c>
      <c r="F1028" s="47">
        <v>0.23344907407407409</v>
      </c>
      <c r="G1028" s="44">
        <v>6.3</v>
      </c>
      <c r="H1028" s="43" t="s">
        <v>230</v>
      </c>
      <c r="I1028" s="40" t="s">
        <v>1300</v>
      </c>
    </row>
    <row r="1029" spans="1:9" x14ac:dyDescent="0.2">
      <c r="A1029" s="40" t="s">
        <v>404</v>
      </c>
      <c r="B1029" s="28">
        <v>957</v>
      </c>
      <c r="C1029" s="28" t="s">
        <v>596</v>
      </c>
      <c r="D1029" s="28"/>
      <c r="E1029" s="41">
        <v>46171</v>
      </c>
      <c r="F1029" s="47">
        <v>0.23905092592592592</v>
      </c>
      <c r="G1029" s="44">
        <v>6.3</v>
      </c>
      <c r="H1029" s="43" t="s">
        <v>227</v>
      </c>
      <c r="I1029" s="40" t="s">
        <v>1300</v>
      </c>
    </row>
    <row r="1030" spans="1:9" x14ac:dyDescent="0.2">
      <c r="A1030" s="40" t="s">
        <v>71</v>
      </c>
      <c r="B1030" s="28">
        <v>985</v>
      </c>
      <c r="C1030" s="28">
        <v>5684977</v>
      </c>
      <c r="D1030" s="28"/>
      <c r="E1030" s="41">
        <v>46167</v>
      </c>
      <c r="F1030" s="47">
        <v>0.24980324074074073</v>
      </c>
      <c r="G1030" s="44">
        <v>6.3</v>
      </c>
      <c r="H1030" s="43" t="s">
        <v>230</v>
      </c>
      <c r="I1030" s="40" t="s">
        <v>1300</v>
      </c>
    </row>
    <row r="1031" spans="1:9" x14ac:dyDescent="0.2">
      <c r="A1031" s="40" t="s">
        <v>71</v>
      </c>
      <c r="B1031" s="28">
        <v>985</v>
      </c>
      <c r="C1031" s="28">
        <v>5684977</v>
      </c>
      <c r="D1031" s="28"/>
      <c r="E1031" s="41">
        <v>46167</v>
      </c>
      <c r="F1031" s="47">
        <v>0.25570601851851854</v>
      </c>
      <c r="G1031" s="44">
        <v>6.3</v>
      </c>
      <c r="H1031" s="43" t="s">
        <v>227</v>
      </c>
      <c r="I1031" s="40" t="s">
        <v>1300</v>
      </c>
    </row>
    <row r="1032" spans="1:9" x14ac:dyDescent="0.2">
      <c r="A1032" s="40" t="s">
        <v>71</v>
      </c>
      <c r="B1032" s="28">
        <v>985</v>
      </c>
      <c r="C1032" s="28">
        <v>5691625</v>
      </c>
      <c r="D1032" s="28"/>
      <c r="E1032" s="45">
        <v>46170</v>
      </c>
      <c r="F1032" s="48">
        <v>0.62381944444444448</v>
      </c>
      <c r="G1032" s="44">
        <v>6.3</v>
      </c>
      <c r="H1032" s="43" t="s">
        <v>228</v>
      </c>
      <c r="I1032" s="40" t="s">
        <v>1300</v>
      </c>
    </row>
    <row r="1033" spans="1:9" x14ac:dyDescent="0.2">
      <c r="A1033" s="40" t="s">
        <v>71</v>
      </c>
      <c r="B1033" s="28">
        <v>985</v>
      </c>
      <c r="C1033" s="28">
        <v>5691625</v>
      </c>
      <c r="D1033" s="28"/>
      <c r="E1033" s="41">
        <v>46170</v>
      </c>
      <c r="F1033" s="47">
        <v>0.6422106481481481</v>
      </c>
      <c r="G1033" s="44">
        <v>6.3</v>
      </c>
      <c r="H1033" s="43" t="s">
        <v>229</v>
      </c>
      <c r="I1033" s="40" t="s">
        <v>1300</v>
      </c>
    </row>
    <row r="1034" spans="1:9" x14ac:dyDescent="0.2">
      <c r="A1034" s="40" t="s">
        <v>71</v>
      </c>
      <c r="B1034" s="28">
        <v>985</v>
      </c>
      <c r="C1034" s="28" t="s">
        <v>597</v>
      </c>
      <c r="D1034" s="28"/>
      <c r="E1034" s="41">
        <v>46170</v>
      </c>
      <c r="F1034" s="47">
        <v>0.89636574074074071</v>
      </c>
      <c r="G1034" s="42">
        <v>6.3</v>
      </c>
      <c r="H1034" s="40" t="s">
        <v>228</v>
      </c>
      <c r="I1034" s="40" t="s">
        <v>1300</v>
      </c>
    </row>
    <row r="1035" spans="1:9" x14ac:dyDescent="0.2">
      <c r="A1035" s="40" t="s">
        <v>71</v>
      </c>
      <c r="B1035" s="28">
        <v>985</v>
      </c>
      <c r="C1035" s="28" t="s">
        <v>597</v>
      </c>
      <c r="D1035" s="28"/>
      <c r="E1035" s="41">
        <v>46170</v>
      </c>
      <c r="F1035" s="47">
        <v>0.90472222222222221</v>
      </c>
      <c r="G1035" s="42">
        <v>6.3</v>
      </c>
      <c r="H1035" s="40" t="s">
        <v>229</v>
      </c>
      <c r="I1035" s="40" t="s">
        <v>1300</v>
      </c>
    </row>
    <row r="1036" spans="1:9" x14ac:dyDescent="0.2">
      <c r="A1036" s="40" t="s">
        <v>71</v>
      </c>
      <c r="B1036" s="28">
        <v>985</v>
      </c>
      <c r="C1036" s="28" t="s">
        <v>35</v>
      </c>
      <c r="D1036" s="28" t="s">
        <v>38</v>
      </c>
      <c r="E1036" s="41">
        <v>46170</v>
      </c>
      <c r="F1036" s="47">
        <v>0.92361111111111116</v>
      </c>
      <c r="G1036" s="44">
        <v>6.3</v>
      </c>
      <c r="H1036" s="43" t="s">
        <v>230</v>
      </c>
      <c r="I1036" s="40" t="s">
        <v>1300</v>
      </c>
    </row>
    <row r="1037" spans="1:9" x14ac:dyDescent="0.2">
      <c r="A1037" s="40" t="s">
        <v>71</v>
      </c>
      <c r="B1037" s="28">
        <v>985</v>
      </c>
      <c r="C1037" s="28" t="s">
        <v>35</v>
      </c>
      <c r="D1037" s="28" t="s">
        <v>38</v>
      </c>
      <c r="E1037" s="45">
        <v>46170</v>
      </c>
      <c r="F1037" s="48">
        <v>0.92951388888888886</v>
      </c>
      <c r="G1037" s="44">
        <v>6.3</v>
      </c>
      <c r="H1037" s="43" t="s">
        <v>227</v>
      </c>
      <c r="I1037" s="40" t="s">
        <v>1300</v>
      </c>
    </row>
    <row r="1038" spans="1:9" x14ac:dyDescent="0.2">
      <c r="A1038" s="40" t="s">
        <v>71</v>
      </c>
      <c r="B1038" s="28">
        <v>985</v>
      </c>
      <c r="C1038" s="28">
        <v>5692605</v>
      </c>
      <c r="D1038" s="28"/>
      <c r="E1038" s="41">
        <v>46171</v>
      </c>
      <c r="F1038" s="47">
        <v>0.24313657407407407</v>
      </c>
      <c r="G1038" s="44">
        <v>6.3</v>
      </c>
      <c r="H1038" s="43" t="s">
        <v>228</v>
      </c>
      <c r="I1038" s="40" t="s">
        <v>1300</v>
      </c>
    </row>
    <row r="1039" spans="1:9" x14ac:dyDescent="0.2">
      <c r="A1039" s="40" t="s">
        <v>71</v>
      </c>
      <c r="B1039" s="28">
        <v>985</v>
      </c>
      <c r="C1039" s="28">
        <v>5692605</v>
      </c>
      <c r="D1039" s="28"/>
      <c r="E1039" s="41">
        <v>46171</v>
      </c>
      <c r="F1039" s="47">
        <v>0.25384259259259262</v>
      </c>
      <c r="G1039" s="44">
        <v>6.3</v>
      </c>
      <c r="H1039" s="43" t="s">
        <v>229</v>
      </c>
      <c r="I1039" s="40" t="s">
        <v>1300</v>
      </c>
    </row>
    <row r="1040" spans="1:9" x14ac:dyDescent="0.2">
      <c r="A1040" s="40" t="s">
        <v>71</v>
      </c>
      <c r="B1040" s="28">
        <v>985</v>
      </c>
      <c r="C1040" s="28" t="s">
        <v>598</v>
      </c>
      <c r="D1040" s="28"/>
      <c r="E1040" s="41">
        <v>46171</v>
      </c>
      <c r="F1040" s="47">
        <v>0.40850694444444446</v>
      </c>
      <c r="G1040" s="44">
        <v>6.3</v>
      </c>
      <c r="H1040" s="43" t="s">
        <v>228</v>
      </c>
      <c r="I1040" s="40" t="s">
        <v>1300</v>
      </c>
    </row>
    <row r="1041" spans="1:9" x14ac:dyDescent="0.2">
      <c r="A1041" s="40" t="s">
        <v>71</v>
      </c>
      <c r="B1041" s="28">
        <v>985</v>
      </c>
      <c r="C1041" s="28" t="s">
        <v>598</v>
      </c>
      <c r="D1041" s="28"/>
      <c r="E1041" s="41">
        <v>46171</v>
      </c>
      <c r="F1041" s="47">
        <v>0.42521990740740739</v>
      </c>
      <c r="G1041" s="44">
        <v>6.3</v>
      </c>
      <c r="H1041" s="43" t="s">
        <v>229</v>
      </c>
      <c r="I1041" s="40" t="s">
        <v>1300</v>
      </c>
    </row>
    <row r="1042" spans="1:9" x14ac:dyDescent="0.2">
      <c r="A1042" s="40" t="s">
        <v>71</v>
      </c>
      <c r="B1042" s="28">
        <v>985</v>
      </c>
      <c r="C1042" s="28" t="s">
        <v>35</v>
      </c>
      <c r="D1042" s="28" t="s">
        <v>38</v>
      </c>
      <c r="E1042" s="41">
        <v>46173</v>
      </c>
      <c r="F1042" s="47">
        <v>0.84458333333333335</v>
      </c>
      <c r="G1042" s="44">
        <v>6.3</v>
      </c>
      <c r="H1042" s="43" t="s">
        <v>226</v>
      </c>
      <c r="I1042" s="40" t="s">
        <v>1300</v>
      </c>
    </row>
    <row r="1043" spans="1:9" x14ac:dyDescent="0.2">
      <c r="A1043" s="40" t="s">
        <v>72</v>
      </c>
      <c r="B1043" s="28">
        <v>988</v>
      </c>
      <c r="C1043" s="28" t="s">
        <v>599</v>
      </c>
      <c r="D1043" s="28"/>
      <c r="E1043" s="41">
        <v>46169</v>
      </c>
      <c r="F1043" s="47">
        <v>4.6990740740740743E-3</v>
      </c>
      <c r="G1043" s="44">
        <v>6.3</v>
      </c>
      <c r="H1043" s="43" t="s">
        <v>228</v>
      </c>
      <c r="I1043" s="40" t="s">
        <v>1300</v>
      </c>
    </row>
    <row r="1044" spans="1:9" x14ac:dyDescent="0.2">
      <c r="A1044" s="40" t="s">
        <v>72</v>
      </c>
      <c r="B1044" s="28">
        <v>988</v>
      </c>
      <c r="C1044" s="28" t="s">
        <v>599</v>
      </c>
      <c r="D1044" s="28"/>
      <c r="E1044" s="41">
        <v>46169</v>
      </c>
      <c r="F1044" s="47">
        <v>1.1226851851851852E-2</v>
      </c>
      <c r="G1044" s="44">
        <v>6.3</v>
      </c>
      <c r="H1044" s="43" t="s">
        <v>232</v>
      </c>
      <c r="I1044" s="40" t="s">
        <v>1300</v>
      </c>
    </row>
    <row r="1045" spans="1:9" x14ac:dyDescent="0.2">
      <c r="A1045" s="40" t="s">
        <v>72</v>
      </c>
      <c r="B1045" s="28">
        <v>988</v>
      </c>
      <c r="C1045" s="28">
        <v>5690840</v>
      </c>
      <c r="D1045" s="28"/>
      <c r="E1045" s="41">
        <v>46173</v>
      </c>
      <c r="F1045" s="47">
        <v>0.82400462962962961</v>
      </c>
      <c r="G1045" s="44">
        <v>6.3</v>
      </c>
      <c r="H1045" s="43" t="s">
        <v>228</v>
      </c>
      <c r="I1045" s="40" t="s">
        <v>1300</v>
      </c>
    </row>
    <row r="1046" spans="1:9" x14ac:dyDescent="0.2">
      <c r="A1046" s="40" t="s">
        <v>72</v>
      </c>
      <c r="B1046" s="28">
        <v>988</v>
      </c>
      <c r="C1046" s="28">
        <v>5690840</v>
      </c>
      <c r="D1046" s="28"/>
      <c r="E1046" s="45">
        <v>46173</v>
      </c>
      <c r="F1046" s="48">
        <v>0.83016203703703706</v>
      </c>
      <c r="G1046" s="44">
        <v>6.3</v>
      </c>
      <c r="H1046" s="43" t="s">
        <v>233</v>
      </c>
      <c r="I1046" s="40" t="s">
        <v>1300</v>
      </c>
    </row>
    <row r="1047" spans="1:9" x14ac:dyDescent="0.2">
      <c r="A1047" s="40" t="s">
        <v>305</v>
      </c>
      <c r="B1047" s="28">
        <v>1146</v>
      </c>
      <c r="C1047" s="28">
        <v>5692574</v>
      </c>
      <c r="D1047" s="28"/>
      <c r="E1047" s="41">
        <v>46171</v>
      </c>
      <c r="F1047" s="47">
        <v>0.1738888888888889</v>
      </c>
      <c r="G1047" s="44">
        <v>6.3</v>
      </c>
      <c r="H1047" s="43" t="s">
        <v>228</v>
      </c>
      <c r="I1047" s="40" t="s">
        <v>1300</v>
      </c>
    </row>
    <row r="1048" spans="1:9" x14ac:dyDescent="0.2">
      <c r="A1048" s="40" t="s">
        <v>305</v>
      </c>
      <c r="B1048" s="28">
        <v>1146</v>
      </c>
      <c r="C1048" s="28">
        <v>5692574</v>
      </c>
      <c r="D1048" s="28"/>
      <c r="E1048" s="41">
        <v>46171</v>
      </c>
      <c r="F1048" s="47">
        <v>0.18072916666666666</v>
      </c>
      <c r="G1048" s="44">
        <v>6.3</v>
      </c>
      <c r="H1048" s="43" t="s">
        <v>229</v>
      </c>
      <c r="I1048" s="40" t="s">
        <v>1300</v>
      </c>
    </row>
    <row r="1049" spans="1:9" x14ac:dyDescent="0.2">
      <c r="A1049" s="40" t="s">
        <v>305</v>
      </c>
      <c r="B1049" s="28">
        <v>1146</v>
      </c>
      <c r="C1049" s="28">
        <v>5693952</v>
      </c>
      <c r="D1049" s="28"/>
      <c r="E1049" s="41">
        <v>46172</v>
      </c>
      <c r="F1049" s="47">
        <v>2.9224537037037038E-2</v>
      </c>
      <c r="G1049" s="44">
        <v>6.3</v>
      </c>
      <c r="H1049" s="43" t="s">
        <v>228</v>
      </c>
      <c r="I1049" s="40" t="s">
        <v>1300</v>
      </c>
    </row>
    <row r="1050" spans="1:9" x14ac:dyDescent="0.2">
      <c r="A1050" s="40" t="s">
        <v>305</v>
      </c>
      <c r="B1050" s="28">
        <v>1146</v>
      </c>
      <c r="C1050" s="28" t="s">
        <v>600</v>
      </c>
      <c r="D1050" s="28"/>
      <c r="E1050" s="41">
        <v>46173</v>
      </c>
      <c r="F1050" s="47">
        <v>0.2245601851851852</v>
      </c>
      <c r="G1050" s="44">
        <v>6.3</v>
      </c>
      <c r="H1050" s="43" t="s">
        <v>228</v>
      </c>
      <c r="I1050" s="40" t="s">
        <v>1300</v>
      </c>
    </row>
    <row r="1051" spans="1:9" x14ac:dyDescent="0.2">
      <c r="A1051" s="40" t="s">
        <v>305</v>
      </c>
      <c r="B1051" s="28">
        <v>1146</v>
      </c>
      <c r="C1051" s="28" t="s">
        <v>600</v>
      </c>
      <c r="D1051" s="28"/>
      <c r="E1051" s="41">
        <v>46173</v>
      </c>
      <c r="F1051" s="47">
        <v>0.23123842592592592</v>
      </c>
      <c r="G1051" s="44">
        <v>6.3</v>
      </c>
      <c r="H1051" s="43" t="s">
        <v>229</v>
      </c>
      <c r="I1051" s="40" t="s">
        <v>1300</v>
      </c>
    </row>
    <row r="1052" spans="1:9" x14ac:dyDescent="0.2">
      <c r="A1052" s="40" t="s">
        <v>405</v>
      </c>
      <c r="B1052" s="28">
        <v>1209</v>
      </c>
      <c r="C1052" s="28">
        <v>5688792</v>
      </c>
      <c r="D1052" s="28"/>
      <c r="E1052" s="45">
        <v>46169</v>
      </c>
      <c r="F1052" s="48">
        <v>0.37908564814814816</v>
      </c>
      <c r="G1052" s="44">
        <v>6.3</v>
      </c>
      <c r="H1052" s="43" t="s">
        <v>226</v>
      </c>
      <c r="I1052" s="40" t="s">
        <v>1300</v>
      </c>
    </row>
    <row r="1053" spans="1:9" x14ac:dyDescent="0.2">
      <c r="A1053" s="40" t="s">
        <v>405</v>
      </c>
      <c r="B1053" s="28">
        <v>1209</v>
      </c>
      <c r="C1053" s="28">
        <v>5688792</v>
      </c>
      <c r="D1053" s="28"/>
      <c r="E1053" s="41">
        <v>46169</v>
      </c>
      <c r="F1053" s="47">
        <v>0.38778935185185187</v>
      </c>
      <c r="G1053" s="44">
        <v>6.3</v>
      </c>
      <c r="H1053" s="43" t="s">
        <v>227</v>
      </c>
      <c r="I1053" s="40" t="s">
        <v>1300</v>
      </c>
    </row>
    <row r="1054" spans="1:9" x14ac:dyDescent="0.2">
      <c r="A1054" s="40" t="s">
        <v>405</v>
      </c>
      <c r="B1054" s="28">
        <v>1209</v>
      </c>
      <c r="C1054" s="28" t="s">
        <v>35</v>
      </c>
      <c r="D1054" s="28" t="s">
        <v>38</v>
      </c>
      <c r="E1054" s="41">
        <v>46172</v>
      </c>
      <c r="F1054" s="47">
        <v>0.57641203703703703</v>
      </c>
      <c r="G1054" s="44">
        <v>6.3</v>
      </c>
      <c r="H1054" s="43" t="s">
        <v>228</v>
      </c>
      <c r="I1054" s="40" t="s">
        <v>1300</v>
      </c>
    </row>
    <row r="1055" spans="1:9" x14ac:dyDescent="0.2">
      <c r="A1055" s="40" t="s">
        <v>405</v>
      </c>
      <c r="B1055" s="28">
        <v>1209</v>
      </c>
      <c r="C1055" s="28" t="s">
        <v>35</v>
      </c>
      <c r="D1055" s="28" t="s">
        <v>38</v>
      </c>
      <c r="E1055" s="41">
        <v>46172</v>
      </c>
      <c r="F1055" s="47">
        <v>0.58546296296296296</v>
      </c>
      <c r="G1055" s="44">
        <v>6.3</v>
      </c>
      <c r="H1055" s="43" t="s">
        <v>229</v>
      </c>
      <c r="I1055" s="40" t="s">
        <v>1300</v>
      </c>
    </row>
    <row r="1056" spans="1:9" x14ac:dyDescent="0.2">
      <c r="A1056" s="40" t="s">
        <v>285</v>
      </c>
      <c r="B1056" s="28">
        <v>1226</v>
      </c>
      <c r="C1056" s="28" t="s">
        <v>601</v>
      </c>
      <c r="D1056" s="28"/>
      <c r="E1056" s="41">
        <v>46168</v>
      </c>
      <c r="F1056" s="47">
        <v>0.72906249999999995</v>
      </c>
      <c r="G1056" s="44">
        <v>6.3</v>
      </c>
      <c r="H1056" s="43" t="s">
        <v>228</v>
      </c>
      <c r="I1056" s="40" t="s">
        <v>1300</v>
      </c>
    </row>
    <row r="1057" spans="1:9" x14ac:dyDescent="0.2">
      <c r="A1057" s="40" t="s">
        <v>285</v>
      </c>
      <c r="B1057" s="28">
        <v>1226</v>
      </c>
      <c r="C1057" s="28" t="s">
        <v>601</v>
      </c>
      <c r="D1057" s="28"/>
      <c r="E1057" s="41">
        <v>46168</v>
      </c>
      <c r="F1057" s="47">
        <v>0.74310185185185185</v>
      </c>
      <c r="G1057" s="44">
        <v>6.3</v>
      </c>
      <c r="H1057" s="43" t="s">
        <v>229</v>
      </c>
      <c r="I1057" s="40" t="s">
        <v>1300</v>
      </c>
    </row>
    <row r="1058" spans="1:9" x14ac:dyDescent="0.2">
      <c r="A1058" s="40" t="s">
        <v>285</v>
      </c>
      <c r="B1058" s="28">
        <v>1226</v>
      </c>
      <c r="C1058" s="28" t="s">
        <v>35</v>
      </c>
      <c r="D1058" s="28" t="s">
        <v>38</v>
      </c>
      <c r="E1058" s="41">
        <v>46169</v>
      </c>
      <c r="F1058" s="47">
        <v>0.78006944444444448</v>
      </c>
      <c r="G1058" s="44">
        <v>6.3</v>
      </c>
      <c r="H1058" s="43" t="s">
        <v>228</v>
      </c>
      <c r="I1058" s="40" t="s">
        <v>1300</v>
      </c>
    </row>
    <row r="1059" spans="1:9" x14ac:dyDescent="0.2">
      <c r="A1059" s="40" t="s">
        <v>285</v>
      </c>
      <c r="B1059" s="28">
        <v>1226</v>
      </c>
      <c r="C1059" s="28" t="s">
        <v>35</v>
      </c>
      <c r="D1059" s="28" t="s">
        <v>38</v>
      </c>
      <c r="E1059" s="41">
        <v>46169</v>
      </c>
      <c r="F1059" s="47">
        <v>0.79055555555555557</v>
      </c>
      <c r="G1059" s="44">
        <v>6.3</v>
      </c>
      <c r="H1059" s="43" t="s">
        <v>229</v>
      </c>
      <c r="I1059" s="40" t="s">
        <v>1300</v>
      </c>
    </row>
    <row r="1060" spans="1:9" x14ac:dyDescent="0.2">
      <c r="A1060" s="40" t="s">
        <v>285</v>
      </c>
      <c r="B1060" s="28">
        <v>1226</v>
      </c>
      <c r="C1060" s="28" t="s">
        <v>35</v>
      </c>
      <c r="D1060" s="28" t="s">
        <v>38</v>
      </c>
      <c r="E1060" s="41">
        <v>46169</v>
      </c>
      <c r="F1060" s="47">
        <v>0.82025462962962958</v>
      </c>
      <c r="G1060" s="44">
        <v>6.3</v>
      </c>
      <c r="H1060" s="43" t="s">
        <v>226</v>
      </c>
      <c r="I1060" s="40" t="s">
        <v>1300</v>
      </c>
    </row>
    <row r="1061" spans="1:9" x14ac:dyDescent="0.2">
      <c r="A1061" s="40" t="s">
        <v>285</v>
      </c>
      <c r="B1061" s="28">
        <v>1226</v>
      </c>
      <c r="C1061" s="28" t="s">
        <v>35</v>
      </c>
      <c r="D1061" s="28" t="s">
        <v>38</v>
      </c>
      <c r="E1061" s="41">
        <v>46169</v>
      </c>
      <c r="F1061" s="47">
        <v>0.83856481481481482</v>
      </c>
      <c r="G1061" s="44">
        <v>6.3</v>
      </c>
      <c r="H1061" s="43" t="s">
        <v>227</v>
      </c>
      <c r="I1061" s="40" t="s">
        <v>1300</v>
      </c>
    </row>
    <row r="1062" spans="1:9" x14ac:dyDescent="0.2">
      <c r="A1062" s="40" t="s">
        <v>285</v>
      </c>
      <c r="B1062" s="28">
        <v>1226</v>
      </c>
      <c r="C1062" s="28">
        <v>5690799</v>
      </c>
      <c r="D1062" s="28"/>
      <c r="E1062" s="41">
        <v>46170</v>
      </c>
      <c r="F1062" s="47">
        <v>2.8229166666666666E-2</v>
      </c>
      <c r="G1062" s="44">
        <v>6.3</v>
      </c>
      <c r="H1062" s="43" t="s">
        <v>228</v>
      </c>
      <c r="I1062" s="40" t="s">
        <v>1300</v>
      </c>
    </row>
    <row r="1063" spans="1:9" x14ac:dyDescent="0.2">
      <c r="A1063" s="40" t="s">
        <v>285</v>
      </c>
      <c r="B1063" s="28">
        <v>1226</v>
      </c>
      <c r="C1063" s="28">
        <v>5690799</v>
      </c>
      <c r="D1063" s="28"/>
      <c r="E1063" s="41">
        <v>46170</v>
      </c>
      <c r="F1063" s="47">
        <v>3.9131944444444441E-2</v>
      </c>
      <c r="G1063" s="42">
        <v>6.3</v>
      </c>
      <c r="H1063" s="40" t="s">
        <v>229</v>
      </c>
      <c r="I1063" s="40" t="s">
        <v>1300</v>
      </c>
    </row>
    <row r="1064" spans="1:9" x14ac:dyDescent="0.2">
      <c r="A1064" s="40" t="s">
        <v>285</v>
      </c>
      <c r="B1064" s="28">
        <v>1226</v>
      </c>
      <c r="C1064" s="28" t="s">
        <v>602</v>
      </c>
      <c r="D1064" s="28"/>
      <c r="E1064" s="41">
        <v>46170</v>
      </c>
      <c r="F1064" s="47">
        <v>0.9299074074074074</v>
      </c>
      <c r="G1064" s="42">
        <v>6.3</v>
      </c>
      <c r="H1064" s="40" t="s">
        <v>228</v>
      </c>
      <c r="I1064" s="40" t="s">
        <v>1300</v>
      </c>
    </row>
    <row r="1065" spans="1:9" x14ac:dyDescent="0.2">
      <c r="A1065" s="40" t="s">
        <v>285</v>
      </c>
      <c r="B1065" s="28">
        <v>1226</v>
      </c>
      <c r="C1065" s="28" t="s">
        <v>602</v>
      </c>
      <c r="D1065" s="28"/>
      <c r="E1065" s="41">
        <v>46170</v>
      </c>
      <c r="F1065" s="47">
        <v>0.93762731481481476</v>
      </c>
      <c r="G1065" s="42">
        <v>6.3</v>
      </c>
      <c r="H1065" s="40" t="s">
        <v>229</v>
      </c>
      <c r="I1065" s="40" t="s">
        <v>1300</v>
      </c>
    </row>
    <row r="1066" spans="1:9" x14ac:dyDescent="0.2">
      <c r="A1066" s="40" t="s">
        <v>285</v>
      </c>
      <c r="B1066" s="28">
        <v>1226</v>
      </c>
      <c r="C1066" s="28" t="s">
        <v>35</v>
      </c>
      <c r="D1066" s="28" t="s">
        <v>38</v>
      </c>
      <c r="E1066" s="41">
        <v>46170</v>
      </c>
      <c r="F1066" s="47">
        <v>0.97231481481481485</v>
      </c>
      <c r="G1066" s="44">
        <v>6.3</v>
      </c>
      <c r="H1066" s="43" t="s">
        <v>230</v>
      </c>
      <c r="I1066" s="40" t="s">
        <v>1300</v>
      </c>
    </row>
    <row r="1067" spans="1:9" x14ac:dyDescent="0.2">
      <c r="A1067" s="40" t="s">
        <v>73</v>
      </c>
      <c r="B1067" s="28">
        <v>1401</v>
      </c>
      <c r="C1067" s="28" t="s">
        <v>35</v>
      </c>
      <c r="D1067" s="28" t="s">
        <v>38</v>
      </c>
      <c r="E1067" s="41">
        <v>46168</v>
      </c>
      <c r="F1067" s="47">
        <v>0.93876157407407412</v>
      </c>
      <c r="G1067" s="44">
        <v>6.3</v>
      </c>
      <c r="H1067" s="43" t="s">
        <v>227</v>
      </c>
      <c r="I1067" s="40" t="s">
        <v>1300</v>
      </c>
    </row>
    <row r="1068" spans="1:9" x14ac:dyDescent="0.2">
      <c r="A1068" s="40" t="s">
        <v>73</v>
      </c>
      <c r="B1068" s="28">
        <v>1401</v>
      </c>
      <c r="C1068" s="28">
        <v>5692656</v>
      </c>
      <c r="D1068" s="28"/>
      <c r="E1068" s="41">
        <v>46171</v>
      </c>
      <c r="F1068" s="47">
        <v>0.52164351851851853</v>
      </c>
      <c r="G1068" s="44">
        <v>6.3</v>
      </c>
      <c r="H1068" s="43" t="s">
        <v>228</v>
      </c>
      <c r="I1068" s="40" t="s">
        <v>1300</v>
      </c>
    </row>
    <row r="1069" spans="1:9" x14ac:dyDescent="0.2">
      <c r="A1069" s="40" t="s">
        <v>73</v>
      </c>
      <c r="B1069" s="28">
        <v>1401</v>
      </c>
      <c r="C1069" s="28">
        <v>5692656</v>
      </c>
      <c r="D1069" s="28"/>
      <c r="E1069" s="41">
        <v>46171</v>
      </c>
      <c r="F1069" s="47">
        <v>0.53686342592592595</v>
      </c>
      <c r="G1069" s="44">
        <v>6.3</v>
      </c>
      <c r="H1069" s="43" t="s">
        <v>229</v>
      </c>
      <c r="I1069" s="40" t="s">
        <v>1300</v>
      </c>
    </row>
    <row r="1070" spans="1:9" x14ac:dyDescent="0.2">
      <c r="A1070" s="40" t="s">
        <v>73</v>
      </c>
      <c r="B1070" s="28">
        <v>1401</v>
      </c>
      <c r="C1070" s="28">
        <v>5693729</v>
      </c>
      <c r="D1070" s="28"/>
      <c r="E1070" s="41">
        <v>46171</v>
      </c>
      <c r="F1070" s="47">
        <v>0.85320601851851852</v>
      </c>
      <c r="G1070" s="44">
        <v>6.3</v>
      </c>
      <c r="H1070" s="43" t="s">
        <v>228</v>
      </c>
      <c r="I1070" s="40" t="s">
        <v>1300</v>
      </c>
    </row>
    <row r="1071" spans="1:9" x14ac:dyDescent="0.2">
      <c r="A1071" s="40" t="s">
        <v>73</v>
      </c>
      <c r="B1071" s="28">
        <v>1401</v>
      </c>
      <c r="C1071" s="28">
        <v>5693729</v>
      </c>
      <c r="D1071" s="28"/>
      <c r="E1071" s="41">
        <v>46171</v>
      </c>
      <c r="F1071" s="47">
        <v>0.86314814814814811</v>
      </c>
      <c r="G1071" s="44">
        <v>6.3</v>
      </c>
      <c r="H1071" s="43" t="s">
        <v>233</v>
      </c>
      <c r="I1071" s="40" t="s">
        <v>1300</v>
      </c>
    </row>
    <row r="1072" spans="1:9" x14ac:dyDescent="0.2">
      <c r="A1072" s="40" t="s">
        <v>73</v>
      </c>
      <c r="B1072" s="28">
        <v>1401</v>
      </c>
      <c r="C1072" s="28" t="s">
        <v>35</v>
      </c>
      <c r="D1072" s="28" t="s">
        <v>38</v>
      </c>
      <c r="E1072" s="41">
        <v>46171</v>
      </c>
      <c r="F1072" s="47">
        <v>0.91238425925925926</v>
      </c>
      <c r="G1072" s="44">
        <v>6.3</v>
      </c>
      <c r="H1072" s="43" t="s">
        <v>234</v>
      </c>
      <c r="I1072" s="40" t="s">
        <v>1300</v>
      </c>
    </row>
    <row r="1073" spans="1:9" x14ac:dyDescent="0.2">
      <c r="A1073" s="40" t="s">
        <v>73</v>
      </c>
      <c r="B1073" s="28">
        <v>1401</v>
      </c>
      <c r="C1073" s="28" t="s">
        <v>35</v>
      </c>
      <c r="D1073" s="28" t="s">
        <v>38</v>
      </c>
      <c r="E1073" s="41">
        <v>46171</v>
      </c>
      <c r="F1073" s="47">
        <v>0.92265046296296294</v>
      </c>
      <c r="G1073" s="44">
        <v>6.3</v>
      </c>
      <c r="H1073" s="43" t="s">
        <v>227</v>
      </c>
      <c r="I1073" s="40" t="s">
        <v>1300</v>
      </c>
    </row>
    <row r="1074" spans="1:9" x14ac:dyDescent="0.2">
      <c r="A1074" s="40" t="s">
        <v>73</v>
      </c>
      <c r="B1074" s="28">
        <v>1401</v>
      </c>
      <c r="C1074" s="28" t="s">
        <v>35</v>
      </c>
      <c r="D1074" s="28" t="s">
        <v>38</v>
      </c>
      <c r="E1074" s="41">
        <v>46172</v>
      </c>
      <c r="F1074" s="47">
        <v>0.49041666666666667</v>
      </c>
      <c r="G1074" s="44">
        <v>6.3</v>
      </c>
      <c r="H1074" s="43" t="s">
        <v>227</v>
      </c>
      <c r="I1074" s="40" t="s">
        <v>1300</v>
      </c>
    </row>
    <row r="1075" spans="1:9" x14ac:dyDescent="0.2">
      <c r="A1075" s="40" t="s">
        <v>73</v>
      </c>
      <c r="B1075" s="28">
        <v>1401</v>
      </c>
      <c r="C1075" s="28" t="s">
        <v>35</v>
      </c>
      <c r="D1075" s="28" t="s">
        <v>38</v>
      </c>
      <c r="E1075" s="41">
        <v>46173</v>
      </c>
      <c r="F1075" s="47">
        <v>0.6162037037037037</v>
      </c>
      <c r="G1075" s="44">
        <v>6.3</v>
      </c>
      <c r="H1075" s="43" t="s">
        <v>226</v>
      </c>
      <c r="I1075" s="40" t="s">
        <v>1300</v>
      </c>
    </row>
    <row r="1076" spans="1:9" x14ac:dyDescent="0.2">
      <c r="A1076" s="40" t="s">
        <v>73</v>
      </c>
      <c r="B1076" s="28">
        <v>1401</v>
      </c>
      <c r="C1076" s="28" t="s">
        <v>35</v>
      </c>
      <c r="D1076" s="28" t="s">
        <v>38</v>
      </c>
      <c r="E1076" s="45">
        <v>46173</v>
      </c>
      <c r="F1076" s="48">
        <v>0.62119212962962966</v>
      </c>
      <c r="G1076" s="44">
        <v>6.3</v>
      </c>
      <c r="H1076" s="43" t="s">
        <v>227</v>
      </c>
      <c r="I1076" s="40" t="s">
        <v>1300</v>
      </c>
    </row>
    <row r="1077" spans="1:9" x14ac:dyDescent="0.2">
      <c r="A1077" s="40" t="s">
        <v>209</v>
      </c>
      <c r="B1077" s="28">
        <v>1410</v>
      </c>
      <c r="C1077" s="28" t="s">
        <v>35</v>
      </c>
      <c r="D1077" s="28" t="s">
        <v>38</v>
      </c>
      <c r="E1077" s="41">
        <v>46167</v>
      </c>
      <c r="F1077" s="47">
        <v>0.18335648148148148</v>
      </c>
      <c r="G1077" s="44">
        <v>6.3</v>
      </c>
      <c r="H1077" s="43" t="s">
        <v>228</v>
      </c>
      <c r="I1077" s="40" t="s">
        <v>1300</v>
      </c>
    </row>
    <row r="1078" spans="1:9" x14ac:dyDescent="0.2">
      <c r="A1078" s="40" t="s">
        <v>209</v>
      </c>
      <c r="B1078" s="28">
        <v>1410</v>
      </c>
      <c r="C1078" s="28" t="s">
        <v>35</v>
      </c>
      <c r="D1078" s="28" t="s">
        <v>38</v>
      </c>
      <c r="E1078" s="41">
        <v>46167</v>
      </c>
      <c r="F1078" s="47">
        <v>0.18984953703703702</v>
      </c>
      <c r="G1078" s="44">
        <v>6.3</v>
      </c>
      <c r="H1078" s="43" t="s">
        <v>232</v>
      </c>
      <c r="I1078" s="40" t="s">
        <v>1300</v>
      </c>
    </row>
    <row r="1079" spans="1:9" x14ac:dyDescent="0.2">
      <c r="A1079" s="40" t="s">
        <v>209</v>
      </c>
      <c r="B1079" s="28">
        <v>1410</v>
      </c>
      <c r="C1079" s="28">
        <v>5684756</v>
      </c>
      <c r="D1079" s="28"/>
      <c r="E1079" s="41">
        <v>46167</v>
      </c>
      <c r="F1079" s="47">
        <v>0.21467592592592594</v>
      </c>
      <c r="G1079" s="44">
        <v>6.3</v>
      </c>
      <c r="H1079" s="43" t="s">
        <v>226</v>
      </c>
      <c r="I1079" s="40" t="s">
        <v>1300</v>
      </c>
    </row>
    <row r="1080" spans="1:9" x14ac:dyDescent="0.2">
      <c r="A1080" s="40" t="s">
        <v>209</v>
      </c>
      <c r="B1080" s="28">
        <v>1410</v>
      </c>
      <c r="C1080" s="28">
        <v>5684756</v>
      </c>
      <c r="D1080" s="28"/>
      <c r="E1080" s="41">
        <v>46167</v>
      </c>
      <c r="F1080" s="47">
        <v>0.22012731481481482</v>
      </c>
      <c r="G1080" s="44">
        <v>6.3</v>
      </c>
      <c r="H1080" s="43" t="s">
        <v>227</v>
      </c>
      <c r="I1080" s="40" t="s">
        <v>1300</v>
      </c>
    </row>
    <row r="1081" spans="1:9" x14ac:dyDescent="0.2">
      <c r="A1081" s="40" t="s">
        <v>209</v>
      </c>
      <c r="B1081" s="28">
        <v>1410</v>
      </c>
      <c r="C1081" s="28">
        <v>5689880</v>
      </c>
      <c r="D1081" s="28"/>
      <c r="E1081" s="41">
        <v>46169</v>
      </c>
      <c r="F1081" s="47">
        <v>0.64346064814814818</v>
      </c>
      <c r="G1081" s="44">
        <v>6.3</v>
      </c>
      <c r="H1081" s="43" t="s">
        <v>228</v>
      </c>
      <c r="I1081" s="40" t="s">
        <v>1300</v>
      </c>
    </row>
    <row r="1082" spans="1:9" x14ac:dyDescent="0.2">
      <c r="A1082" s="40" t="s">
        <v>209</v>
      </c>
      <c r="B1082" s="28">
        <v>1410</v>
      </c>
      <c r="C1082" s="28">
        <v>5689880</v>
      </c>
      <c r="D1082" s="28"/>
      <c r="E1082" s="41">
        <v>46169</v>
      </c>
      <c r="F1082" s="47">
        <v>0.65579861111111115</v>
      </c>
      <c r="G1082" s="44">
        <v>6.3</v>
      </c>
      <c r="H1082" s="43" t="s">
        <v>229</v>
      </c>
      <c r="I1082" s="40" t="s">
        <v>1300</v>
      </c>
    </row>
    <row r="1083" spans="1:9" x14ac:dyDescent="0.2">
      <c r="A1083" s="40" t="s">
        <v>209</v>
      </c>
      <c r="B1083" s="28">
        <v>1410</v>
      </c>
      <c r="C1083" s="28" t="s">
        <v>603</v>
      </c>
      <c r="D1083" s="28"/>
      <c r="E1083" s="41">
        <v>46170</v>
      </c>
      <c r="F1083" s="47">
        <v>0.81509259259259259</v>
      </c>
      <c r="G1083" s="44">
        <v>6.3</v>
      </c>
      <c r="H1083" s="43" t="s">
        <v>228</v>
      </c>
      <c r="I1083" s="40" t="s">
        <v>1300</v>
      </c>
    </row>
    <row r="1084" spans="1:9" x14ac:dyDescent="0.2">
      <c r="A1084" s="40" t="s">
        <v>209</v>
      </c>
      <c r="B1084" s="28">
        <v>1410</v>
      </c>
      <c r="C1084" s="28" t="s">
        <v>603</v>
      </c>
      <c r="D1084" s="28"/>
      <c r="E1084" s="41">
        <v>46170</v>
      </c>
      <c r="F1084" s="47">
        <v>0.8238078703703704</v>
      </c>
      <c r="G1084" s="44">
        <v>6.3</v>
      </c>
      <c r="H1084" s="43" t="s">
        <v>232</v>
      </c>
      <c r="I1084" s="40" t="s">
        <v>1300</v>
      </c>
    </row>
    <row r="1085" spans="1:9" x14ac:dyDescent="0.2">
      <c r="A1085" s="40" t="s">
        <v>209</v>
      </c>
      <c r="B1085" s="28">
        <v>1410</v>
      </c>
      <c r="C1085" s="28">
        <v>5692403</v>
      </c>
      <c r="D1085" s="28"/>
      <c r="E1085" s="41">
        <v>46170</v>
      </c>
      <c r="F1085" s="47">
        <v>0.96859953703703705</v>
      </c>
      <c r="G1085" s="44">
        <v>6.3</v>
      </c>
      <c r="H1085" s="43" t="s">
        <v>228</v>
      </c>
      <c r="I1085" s="40" t="s">
        <v>1300</v>
      </c>
    </row>
    <row r="1086" spans="1:9" x14ac:dyDescent="0.2">
      <c r="A1086" s="40" t="s">
        <v>209</v>
      </c>
      <c r="B1086" s="28">
        <v>1410</v>
      </c>
      <c r="C1086" s="28">
        <v>5692403</v>
      </c>
      <c r="D1086" s="28"/>
      <c r="E1086" s="41">
        <v>46170</v>
      </c>
      <c r="F1086" s="47">
        <v>0.97666666666666668</v>
      </c>
      <c r="G1086" s="42">
        <v>6.3</v>
      </c>
      <c r="H1086" s="40" t="s">
        <v>229</v>
      </c>
      <c r="I1086" s="40" t="s">
        <v>1300</v>
      </c>
    </row>
    <row r="1087" spans="1:9" x14ac:dyDescent="0.2">
      <c r="A1087" s="40" t="s">
        <v>74</v>
      </c>
      <c r="B1087" s="28">
        <v>1411</v>
      </c>
      <c r="C1087" s="28" t="s">
        <v>604</v>
      </c>
      <c r="D1087" s="28"/>
      <c r="E1087" s="41">
        <v>46167</v>
      </c>
      <c r="F1087" s="47">
        <v>0.75172453703703701</v>
      </c>
      <c r="G1087" s="42">
        <v>6.3</v>
      </c>
      <c r="H1087" s="40" t="s">
        <v>228</v>
      </c>
      <c r="I1087" s="40" t="s">
        <v>1300</v>
      </c>
    </row>
    <row r="1088" spans="1:9" x14ac:dyDescent="0.2">
      <c r="A1088" s="40" t="s">
        <v>74</v>
      </c>
      <c r="B1088" s="28">
        <v>1411</v>
      </c>
      <c r="C1088" s="28" t="s">
        <v>604</v>
      </c>
      <c r="D1088" s="28"/>
      <c r="E1088" s="41">
        <v>46167</v>
      </c>
      <c r="F1088" s="47">
        <v>0.76489583333333333</v>
      </c>
      <c r="G1088" s="42">
        <v>6.3</v>
      </c>
      <c r="H1088" s="40" t="s">
        <v>229</v>
      </c>
      <c r="I1088" s="40" t="s">
        <v>1300</v>
      </c>
    </row>
    <row r="1089" spans="1:9" x14ac:dyDescent="0.2">
      <c r="A1089" s="40" t="s">
        <v>74</v>
      </c>
      <c r="B1089" s="28">
        <v>1411</v>
      </c>
      <c r="C1089" s="28" t="s">
        <v>605</v>
      </c>
      <c r="D1089" s="28"/>
      <c r="E1089" s="45">
        <v>46169</v>
      </c>
      <c r="F1089" s="48">
        <v>1.3506944444444445E-2</v>
      </c>
      <c r="G1089" s="42">
        <v>6.3</v>
      </c>
      <c r="H1089" s="40" t="s">
        <v>228</v>
      </c>
      <c r="I1089" s="40" t="s">
        <v>1300</v>
      </c>
    </row>
    <row r="1090" spans="1:9" x14ac:dyDescent="0.2">
      <c r="A1090" s="40" t="s">
        <v>74</v>
      </c>
      <c r="B1090" s="28">
        <v>1411</v>
      </c>
      <c r="C1090" s="28" t="s">
        <v>605</v>
      </c>
      <c r="D1090" s="28"/>
      <c r="E1090" s="41">
        <v>46169</v>
      </c>
      <c r="F1090" s="47">
        <v>1.8252314814814815E-2</v>
      </c>
      <c r="G1090" s="42">
        <v>6.3</v>
      </c>
      <c r="H1090" s="40" t="s">
        <v>233</v>
      </c>
      <c r="I1090" s="40" t="s">
        <v>1300</v>
      </c>
    </row>
    <row r="1091" spans="1:9" x14ac:dyDescent="0.2">
      <c r="A1091" s="40" t="s">
        <v>74</v>
      </c>
      <c r="B1091" s="28">
        <v>1411</v>
      </c>
      <c r="C1091" s="28" t="s">
        <v>606</v>
      </c>
      <c r="D1091" s="28"/>
      <c r="E1091" s="45">
        <v>46170</v>
      </c>
      <c r="F1091" s="48">
        <v>0.95384259259259263</v>
      </c>
      <c r="G1091" s="44">
        <v>6.3</v>
      </c>
      <c r="H1091" s="43" t="s">
        <v>228</v>
      </c>
      <c r="I1091" s="40" t="s">
        <v>1300</v>
      </c>
    </row>
    <row r="1092" spans="1:9" x14ac:dyDescent="0.2">
      <c r="A1092" s="40" t="s">
        <v>74</v>
      </c>
      <c r="B1092" s="28">
        <v>1411</v>
      </c>
      <c r="C1092" s="28">
        <v>5694010</v>
      </c>
      <c r="D1092" s="28"/>
      <c r="E1092" s="41">
        <v>46171</v>
      </c>
      <c r="F1092" s="47">
        <v>0.85996527777777776</v>
      </c>
      <c r="G1092" s="44">
        <v>6.3</v>
      </c>
      <c r="H1092" s="43" t="s">
        <v>228</v>
      </c>
      <c r="I1092" s="40" t="s">
        <v>1300</v>
      </c>
    </row>
    <row r="1093" spans="1:9" x14ac:dyDescent="0.2">
      <c r="A1093" s="40" t="s">
        <v>74</v>
      </c>
      <c r="B1093" s="28">
        <v>1411</v>
      </c>
      <c r="C1093" s="28">
        <v>5694010</v>
      </c>
      <c r="D1093" s="28"/>
      <c r="E1093" s="45">
        <v>46171</v>
      </c>
      <c r="F1093" s="48">
        <v>0.86753472222222228</v>
      </c>
      <c r="G1093" s="44">
        <v>6.3</v>
      </c>
      <c r="H1093" s="43" t="s">
        <v>229</v>
      </c>
      <c r="I1093" s="40" t="s">
        <v>1300</v>
      </c>
    </row>
    <row r="1094" spans="1:9" x14ac:dyDescent="0.2">
      <c r="A1094" s="40" t="s">
        <v>75</v>
      </c>
      <c r="B1094" s="28">
        <v>1416</v>
      </c>
      <c r="C1094" s="28" t="s">
        <v>607</v>
      </c>
      <c r="D1094" s="28"/>
      <c r="E1094" s="41">
        <v>46167</v>
      </c>
      <c r="F1094" s="47">
        <v>0.89559027777777778</v>
      </c>
      <c r="G1094" s="44">
        <v>6.3</v>
      </c>
      <c r="H1094" s="43" t="s">
        <v>228</v>
      </c>
      <c r="I1094" s="40" t="s">
        <v>1300</v>
      </c>
    </row>
    <row r="1095" spans="1:9" x14ac:dyDescent="0.2">
      <c r="A1095" s="40" t="s">
        <v>75</v>
      </c>
      <c r="B1095" s="28">
        <v>1416</v>
      </c>
      <c r="C1095" s="28" t="s">
        <v>607</v>
      </c>
      <c r="D1095" s="28"/>
      <c r="E1095" s="41">
        <v>46167</v>
      </c>
      <c r="F1095" s="47">
        <v>0.9026967592592593</v>
      </c>
      <c r="G1095" s="44">
        <v>6.3</v>
      </c>
      <c r="H1095" s="43" t="s">
        <v>232</v>
      </c>
      <c r="I1095" s="40" t="s">
        <v>1300</v>
      </c>
    </row>
    <row r="1096" spans="1:9" x14ac:dyDescent="0.2">
      <c r="A1096" s="40" t="s">
        <v>75</v>
      </c>
      <c r="B1096" s="28">
        <v>1416</v>
      </c>
      <c r="C1096" s="28" t="s">
        <v>35</v>
      </c>
      <c r="D1096" s="28" t="s">
        <v>38</v>
      </c>
      <c r="E1096" s="41">
        <v>46167</v>
      </c>
      <c r="F1096" s="47">
        <v>0.9321990740740741</v>
      </c>
      <c r="G1096" s="44">
        <v>6.3</v>
      </c>
      <c r="H1096" s="43" t="s">
        <v>231</v>
      </c>
      <c r="I1096" s="40" t="s">
        <v>1300</v>
      </c>
    </row>
    <row r="1097" spans="1:9" x14ac:dyDescent="0.2">
      <c r="A1097" s="40" t="s">
        <v>75</v>
      </c>
      <c r="B1097" s="28">
        <v>1416</v>
      </c>
      <c r="C1097" s="28" t="s">
        <v>35</v>
      </c>
      <c r="D1097" s="28" t="s">
        <v>38</v>
      </c>
      <c r="E1097" s="41">
        <v>46167</v>
      </c>
      <c r="F1097" s="47">
        <v>0.93696759259259255</v>
      </c>
      <c r="G1097" s="44">
        <v>6.3</v>
      </c>
      <c r="H1097" s="43" t="s">
        <v>227</v>
      </c>
      <c r="I1097" s="40" t="s">
        <v>1300</v>
      </c>
    </row>
    <row r="1098" spans="1:9" x14ac:dyDescent="0.2">
      <c r="A1098" s="40" t="s">
        <v>75</v>
      </c>
      <c r="B1098" s="28">
        <v>1416</v>
      </c>
      <c r="C1098" s="28" t="s">
        <v>608</v>
      </c>
      <c r="D1098" s="28"/>
      <c r="E1098" s="41">
        <v>46169</v>
      </c>
      <c r="F1098" s="47">
        <v>0.67206018518518518</v>
      </c>
      <c r="G1098" s="44">
        <v>6.3</v>
      </c>
      <c r="H1098" s="43" t="s">
        <v>228</v>
      </c>
      <c r="I1098" s="40" t="s">
        <v>1300</v>
      </c>
    </row>
    <row r="1099" spans="1:9" x14ac:dyDescent="0.2">
      <c r="A1099" s="40" t="s">
        <v>75</v>
      </c>
      <c r="B1099" s="28">
        <v>1416</v>
      </c>
      <c r="C1099" s="28" t="s">
        <v>608</v>
      </c>
      <c r="D1099" s="28"/>
      <c r="E1099" s="41">
        <v>46169</v>
      </c>
      <c r="F1099" s="47">
        <v>0.68303240740740745</v>
      </c>
      <c r="G1099" s="44">
        <v>6.3</v>
      </c>
      <c r="H1099" s="43" t="s">
        <v>229</v>
      </c>
      <c r="I1099" s="40" t="s">
        <v>1300</v>
      </c>
    </row>
    <row r="1100" spans="1:9" x14ac:dyDescent="0.2">
      <c r="A1100" s="40" t="s">
        <v>75</v>
      </c>
      <c r="B1100" s="28">
        <v>1416</v>
      </c>
      <c r="C1100" s="28">
        <v>5690570</v>
      </c>
      <c r="D1100" s="28" t="s">
        <v>37</v>
      </c>
      <c r="E1100" s="41">
        <v>46169</v>
      </c>
      <c r="F1100" s="47">
        <v>0.99113425925925924</v>
      </c>
      <c r="G1100" s="44">
        <v>6.3</v>
      </c>
      <c r="H1100" s="43" t="s">
        <v>228</v>
      </c>
      <c r="I1100" s="40" t="s">
        <v>1300</v>
      </c>
    </row>
    <row r="1101" spans="1:9" x14ac:dyDescent="0.2">
      <c r="A1101" s="40" t="s">
        <v>75</v>
      </c>
      <c r="B1101" s="28">
        <v>1416</v>
      </c>
      <c r="C1101" s="28">
        <v>5690570</v>
      </c>
      <c r="D1101" s="28" t="s">
        <v>37</v>
      </c>
      <c r="E1101" s="41">
        <v>46169</v>
      </c>
      <c r="F1101" s="47">
        <v>0.99870370370370365</v>
      </c>
      <c r="G1101" s="44">
        <v>6.3</v>
      </c>
      <c r="H1101" s="43" t="s">
        <v>229</v>
      </c>
      <c r="I1101" s="40" t="s">
        <v>1300</v>
      </c>
    </row>
    <row r="1102" spans="1:9" x14ac:dyDescent="0.2">
      <c r="A1102" s="40" t="s">
        <v>75</v>
      </c>
      <c r="B1102" s="28">
        <v>1416</v>
      </c>
      <c r="C1102" s="28">
        <v>5693801</v>
      </c>
      <c r="D1102" s="28"/>
      <c r="E1102" s="41">
        <v>46171</v>
      </c>
      <c r="F1102" s="47">
        <v>0.88575231481481487</v>
      </c>
      <c r="G1102" s="44">
        <v>6.3</v>
      </c>
      <c r="H1102" s="43" t="s">
        <v>228</v>
      </c>
      <c r="I1102" s="40" t="s">
        <v>1300</v>
      </c>
    </row>
    <row r="1103" spans="1:9" x14ac:dyDescent="0.2">
      <c r="A1103" s="40" t="s">
        <v>75</v>
      </c>
      <c r="B1103" s="28">
        <v>1416</v>
      </c>
      <c r="C1103" s="28">
        <v>5693801</v>
      </c>
      <c r="D1103" s="28"/>
      <c r="E1103" s="41">
        <v>46171</v>
      </c>
      <c r="F1103" s="47">
        <v>0.89357638888888891</v>
      </c>
      <c r="G1103" s="44">
        <v>6.3</v>
      </c>
      <c r="H1103" s="43" t="s">
        <v>229</v>
      </c>
      <c r="I1103" s="40" t="s">
        <v>1300</v>
      </c>
    </row>
    <row r="1104" spans="1:9" x14ac:dyDescent="0.2">
      <c r="A1104" s="40" t="s">
        <v>75</v>
      </c>
      <c r="B1104" s="28">
        <v>1416</v>
      </c>
      <c r="C1104" s="28" t="s">
        <v>35</v>
      </c>
      <c r="D1104" s="28" t="s">
        <v>38</v>
      </c>
      <c r="E1104" s="45">
        <v>46171</v>
      </c>
      <c r="F1104" s="48">
        <v>0.919525462962963</v>
      </c>
      <c r="G1104" s="44">
        <v>6.3</v>
      </c>
      <c r="H1104" s="43" t="s">
        <v>230</v>
      </c>
      <c r="I1104" s="40" t="s">
        <v>1300</v>
      </c>
    </row>
    <row r="1105" spans="1:9" x14ac:dyDescent="0.2">
      <c r="A1105" s="40" t="s">
        <v>75</v>
      </c>
      <c r="B1105" s="28">
        <v>1416</v>
      </c>
      <c r="C1105" s="28" t="s">
        <v>35</v>
      </c>
      <c r="D1105" s="28" t="s">
        <v>38</v>
      </c>
      <c r="E1105" s="41">
        <v>46171</v>
      </c>
      <c r="F1105" s="47">
        <v>0.92681712962962959</v>
      </c>
      <c r="G1105" s="44">
        <v>6.3</v>
      </c>
      <c r="H1105" s="43" t="s">
        <v>227</v>
      </c>
      <c r="I1105" s="40" t="s">
        <v>1300</v>
      </c>
    </row>
    <row r="1106" spans="1:9" x14ac:dyDescent="0.2">
      <c r="A1106" s="40" t="s">
        <v>75</v>
      </c>
      <c r="B1106" s="28">
        <v>1416</v>
      </c>
      <c r="C1106" s="28" t="s">
        <v>609</v>
      </c>
      <c r="D1106" s="28"/>
      <c r="E1106" s="45">
        <v>46173</v>
      </c>
      <c r="F1106" s="48">
        <v>0.62157407407407406</v>
      </c>
      <c r="G1106" s="44">
        <v>6.3</v>
      </c>
      <c r="H1106" s="43" t="s">
        <v>228</v>
      </c>
      <c r="I1106" s="40" t="s">
        <v>1300</v>
      </c>
    </row>
    <row r="1107" spans="1:9" x14ac:dyDescent="0.2">
      <c r="A1107" s="40" t="s">
        <v>75</v>
      </c>
      <c r="B1107" s="28">
        <v>1416</v>
      </c>
      <c r="C1107" s="28" t="s">
        <v>609</v>
      </c>
      <c r="D1107" s="28"/>
      <c r="E1107" s="41">
        <v>46173</v>
      </c>
      <c r="F1107" s="47">
        <v>0.65259259259259261</v>
      </c>
      <c r="G1107" s="42">
        <v>6.3</v>
      </c>
      <c r="H1107" s="40" t="s">
        <v>226</v>
      </c>
      <c r="I1107" s="40" t="s">
        <v>1300</v>
      </c>
    </row>
    <row r="1108" spans="1:9" x14ac:dyDescent="0.2">
      <c r="A1108" s="40" t="s">
        <v>75</v>
      </c>
      <c r="B1108" s="28">
        <v>1416</v>
      </c>
      <c r="C1108" s="28" t="s">
        <v>35</v>
      </c>
      <c r="D1108" s="28" t="s">
        <v>38</v>
      </c>
      <c r="E1108" s="41">
        <v>46173</v>
      </c>
      <c r="F1108" s="47">
        <v>0.65811342592592592</v>
      </c>
      <c r="G1108" s="42">
        <v>6.3</v>
      </c>
      <c r="H1108" s="40" t="s">
        <v>227</v>
      </c>
      <c r="I1108" s="40" t="s">
        <v>1300</v>
      </c>
    </row>
    <row r="1109" spans="1:9" x14ac:dyDescent="0.2">
      <c r="A1109" s="40" t="s">
        <v>75</v>
      </c>
      <c r="B1109" s="28">
        <v>1416</v>
      </c>
      <c r="C1109" s="28" t="s">
        <v>35</v>
      </c>
      <c r="D1109" s="28" t="s">
        <v>38</v>
      </c>
      <c r="E1109" s="45">
        <v>46173</v>
      </c>
      <c r="F1109" s="48">
        <v>0.72480324074074076</v>
      </c>
      <c r="G1109" s="42">
        <v>6.3</v>
      </c>
      <c r="H1109" s="40" t="s">
        <v>228</v>
      </c>
      <c r="I1109" s="40" t="s">
        <v>1300</v>
      </c>
    </row>
    <row r="1110" spans="1:9" x14ac:dyDescent="0.2">
      <c r="A1110" s="40" t="s">
        <v>75</v>
      </c>
      <c r="B1110" s="28">
        <v>1416</v>
      </c>
      <c r="C1110" s="28">
        <v>5696239</v>
      </c>
      <c r="D1110" s="28" t="s">
        <v>37</v>
      </c>
      <c r="E1110" s="41">
        <v>46173</v>
      </c>
      <c r="F1110" s="47">
        <v>0.82802083333333332</v>
      </c>
      <c r="G1110" s="42">
        <v>6.3</v>
      </c>
      <c r="H1110" s="40" t="s">
        <v>228</v>
      </c>
      <c r="I1110" s="40" t="s">
        <v>1300</v>
      </c>
    </row>
    <row r="1111" spans="1:9" x14ac:dyDescent="0.2">
      <c r="A1111" s="40" t="s">
        <v>333</v>
      </c>
      <c r="B1111" s="28">
        <v>1420</v>
      </c>
      <c r="C1111" s="28" t="s">
        <v>610</v>
      </c>
      <c r="D1111" s="28"/>
      <c r="E1111" s="41">
        <v>46167</v>
      </c>
      <c r="F1111" s="47">
        <v>0.22164351851851852</v>
      </c>
      <c r="G1111" s="42">
        <v>6.3</v>
      </c>
      <c r="H1111" s="40" t="s">
        <v>228</v>
      </c>
      <c r="I1111" s="40" t="s">
        <v>1300</v>
      </c>
    </row>
    <row r="1112" spans="1:9" x14ac:dyDescent="0.2">
      <c r="A1112" s="40" t="s">
        <v>333</v>
      </c>
      <c r="B1112" s="28">
        <v>1420</v>
      </c>
      <c r="C1112" s="28" t="s">
        <v>610</v>
      </c>
      <c r="D1112" s="28"/>
      <c r="E1112" s="41">
        <v>46167</v>
      </c>
      <c r="F1112" s="47">
        <v>0.2286111111111111</v>
      </c>
      <c r="G1112" s="42">
        <v>6.3</v>
      </c>
      <c r="H1112" s="40" t="s">
        <v>229</v>
      </c>
      <c r="I1112" s="40" t="s">
        <v>1300</v>
      </c>
    </row>
    <row r="1113" spans="1:9" x14ac:dyDescent="0.2">
      <c r="A1113" s="40" t="s">
        <v>333</v>
      </c>
      <c r="B1113" s="28">
        <v>1420</v>
      </c>
      <c r="C1113" s="28">
        <v>5685319</v>
      </c>
      <c r="D1113" s="28"/>
      <c r="E1113" s="41">
        <v>46167</v>
      </c>
      <c r="F1113" s="47">
        <v>0.27034722222222224</v>
      </c>
      <c r="G1113" s="44">
        <v>6.3</v>
      </c>
      <c r="H1113" s="43" t="s">
        <v>230</v>
      </c>
      <c r="I1113" s="40" t="s">
        <v>1300</v>
      </c>
    </row>
    <row r="1114" spans="1:9" x14ac:dyDescent="0.2">
      <c r="A1114" s="40" t="s">
        <v>333</v>
      </c>
      <c r="B1114" s="28">
        <v>1420</v>
      </c>
      <c r="C1114" s="28">
        <v>5685319</v>
      </c>
      <c r="D1114" s="28"/>
      <c r="E1114" s="41">
        <v>46167</v>
      </c>
      <c r="F1114" s="47">
        <v>0.27717592592592594</v>
      </c>
      <c r="G1114" s="44">
        <v>6.3</v>
      </c>
      <c r="H1114" s="43" t="s">
        <v>227</v>
      </c>
      <c r="I1114" s="40" t="s">
        <v>1300</v>
      </c>
    </row>
    <row r="1115" spans="1:9" x14ac:dyDescent="0.2">
      <c r="A1115" s="40" t="s">
        <v>333</v>
      </c>
      <c r="B1115" s="28">
        <v>1420</v>
      </c>
      <c r="C1115" s="28" t="s">
        <v>611</v>
      </c>
      <c r="D1115" s="28"/>
      <c r="E1115" s="41">
        <v>46167</v>
      </c>
      <c r="F1115" s="47">
        <v>0.98211805555555554</v>
      </c>
      <c r="G1115" s="44">
        <v>6.3</v>
      </c>
      <c r="H1115" s="43" t="s">
        <v>228</v>
      </c>
      <c r="I1115" s="40" t="s">
        <v>1300</v>
      </c>
    </row>
    <row r="1116" spans="1:9" x14ac:dyDescent="0.2">
      <c r="A1116" s="40" t="s">
        <v>333</v>
      </c>
      <c r="B1116" s="28">
        <v>1420</v>
      </c>
      <c r="C1116" s="28" t="s">
        <v>611</v>
      </c>
      <c r="D1116" s="28"/>
      <c r="E1116" s="41">
        <v>46167</v>
      </c>
      <c r="F1116" s="47">
        <v>0.99104166666666671</v>
      </c>
      <c r="G1116" s="44">
        <v>6.3</v>
      </c>
      <c r="H1116" s="43" t="s">
        <v>229</v>
      </c>
      <c r="I1116" s="40" t="s">
        <v>1300</v>
      </c>
    </row>
    <row r="1117" spans="1:9" x14ac:dyDescent="0.2">
      <c r="A1117" s="40" t="s">
        <v>333</v>
      </c>
      <c r="B1117" s="28">
        <v>1420</v>
      </c>
      <c r="C1117" s="28">
        <v>5686799</v>
      </c>
      <c r="D1117" s="28"/>
      <c r="E1117" s="41">
        <v>46168</v>
      </c>
      <c r="F1117" s="47">
        <v>0.43459490740740742</v>
      </c>
      <c r="G1117" s="44">
        <v>6.3</v>
      </c>
      <c r="H1117" s="43" t="s">
        <v>228</v>
      </c>
      <c r="I1117" s="40" t="s">
        <v>1300</v>
      </c>
    </row>
    <row r="1118" spans="1:9" x14ac:dyDescent="0.2">
      <c r="A1118" s="40" t="s">
        <v>333</v>
      </c>
      <c r="B1118" s="28">
        <v>1420</v>
      </c>
      <c r="C1118" s="28">
        <v>5686799</v>
      </c>
      <c r="D1118" s="28"/>
      <c r="E1118" s="41">
        <v>46168</v>
      </c>
      <c r="F1118" s="47">
        <v>0.44761574074074073</v>
      </c>
      <c r="G1118" s="44">
        <v>6.3</v>
      </c>
      <c r="H1118" s="43" t="s">
        <v>229</v>
      </c>
      <c r="I1118" s="40" t="s">
        <v>1300</v>
      </c>
    </row>
    <row r="1119" spans="1:9" x14ac:dyDescent="0.2">
      <c r="A1119" s="40" t="s">
        <v>333</v>
      </c>
      <c r="B1119" s="28">
        <v>1420</v>
      </c>
      <c r="C1119" s="28" t="s">
        <v>35</v>
      </c>
      <c r="D1119" s="28" t="s">
        <v>38</v>
      </c>
      <c r="E1119" s="41">
        <v>46168</v>
      </c>
      <c r="F1119" s="47">
        <v>0.50769675925925928</v>
      </c>
      <c r="G1119" s="44">
        <v>6.3</v>
      </c>
      <c r="H1119" s="43" t="s">
        <v>226</v>
      </c>
      <c r="I1119" s="40" t="s">
        <v>1300</v>
      </c>
    </row>
    <row r="1120" spans="1:9" x14ac:dyDescent="0.2">
      <c r="A1120" s="40" t="s">
        <v>333</v>
      </c>
      <c r="B1120" s="28">
        <v>1420</v>
      </c>
      <c r="C1120" s="28" t="s">
        <v>35</v>
      </c>
      <c r="D1120" s="28" t="s">
        <v>38</v>
      </c>
      <c r="E1120" s="41">
        <v>46168</v>
      </c>
      <c r="F1120" s="47">
        <v>0.51868055555555559</v>
      </c>
      <c r="G1120" s="44">
        <v>6.3</v>
      </c>
      <c r="H1120" s="43" t="s">
        <v>227</v>
      </c>
      <c r="I1120" s="40" t="s">
        <v>1300</v>
      </c>
    </row>
    <row r="1121" spans="1:9" x14ac:dyDescent="0.2">
      <c r="A1121" s="40" t="s">
        <v>333</v>
      </c>
      <c r="B1121" s="28">
        <v>1420</v>
      </c>
      <c r="C1121" s="28">
        <v>5691714</v>
      </c>
      <c r="D1121" s="28"/>
      <c r="E1121" s="41">
        <v>46170</v>
      </c>
      <c r="F1121" s="47">
        <v>0.73563657407407412</v>
      </c>
      <c r="G1121" s="44">
        <v>6.3</v>
      </c>
      <c r="H1121" s="43" t="s">
        <v>228</v>
      </c>
      <c r="I1121" s="40" t="s">
        <v>1300</v>
      </c>
    </row>
    <row r="1122" spans="1:9" x14ac:dyDescent="0.2">
      <c r="A1122" s="40" t="s">
        <v>333</v>
      </c>
      <c r="B1122" s="28">
        <v>1420</v>
      </c>
      <c r="C1122" s="28">
        <v>5692669</v>
      </c>
      <c r="D1122" s="28"/>
      <c r="E1122" s="45">
        <v>46171</v>
      </c>
      <c r="F1122" s="48">
        <v>0.42903935185185182</v>
      </c>
      <c r="G1122" s="44">
        <v>6.3</v>
      </c>
      <c r="H1122" s="43" t="s">
        <v>228</v>
      </c>
      <c r="I1122" s="40" t="s">
        <v>1300</v>
      </c>
    </row>
    <row r="1123" spans="1:9" x14ac:dyDescent="0.2">
      <c r="A1123" s="40" t="s">
        <v>333</v>
      </c>
      <c r="B1123" s="28">
        <v>1420</v>
      </c>
      <c r="C1123" s="28">
        <v>5692669</v>
      </c>
      <c r="D1123" s="28"/>
      <c r="E1123" s="41">
        <v>46171</v>
      </c>
      <c r="F1123" s="47">
        <v>0.44122685185185184</v>
      </c>
      <c r="G1123" s="44">
        <v>6.3</v>
      </c>
      <c r="H1123" s="43" t="s">
        <v>232</v>
      </c>
      <c r="I1123" s="40" t="s">
        <v>1300</v>
      </c>
    </row>
    <row r="1124" spans="1:9" x14ac:dyDescent="0.2">
      <c r="A1124" s="40" t="s">
        <v>370</v>
      </c>
      <c r="B1124" s="28">
        <v>1422</v>
      </c>
      <c r="C1124" s="28">
        <v>5689521</v>
      </c>
      <c r="D1124" s="28"/>
      <c r="E1124" s="45">
        <v>46170</v>
      </c>
      <c r="F1124" s="48">
        <v>0.98440972222222223</v>
      </c>
      <c r="G1124" s="44">
        <v>6.3</v>
      </c>
      <c r="H1124" s="43" t="s">
        <v>228</v>
      </c>
      <c r="I1124" s="40" t="s">
        <v>1300</v>
      </c>
    </row>
    <row r="1125" spans="1:9" x14ac:dyDescent="0.2">
      <c r="A1125" s="40" t="s">
        <v>370</v>
      </c>
      <c r="B1125" s="28">
        <v>1422</v>
      </c>
      <c r="C1125" s="28">
        <v>5689521</v>
      </c>
      <c r="D1125" s="28"/>
      <c r="E1125" s="41">
        <v>46170</v>
      </c>
      <c r="F1125" s="47">
        <v>0.99262731481481481</v>
      </c>
      <c r="G1125" s="44">
        <v>6.3</v>
      </c>
      <c r="H1125" s="43" t="s">
        <v>229</v>
      </c>
      <c r="I1125" s="40" t="s">
        <v>1300</v>
      </c>
    </row>
    <row r="1126" spans="1:9" x14ac:dyDescent="0.2">
      <c r="A1126" s="40" t="s">
        <v>370</v>
      </c>
      <c r="B1126" s="28">
        <v>1422</v>
      </c>
      <c r="C1126" s="28" t="s">
        <v>35</v>
      </c>
      <c r="D1126" s="28" t="s">
        <v>38</v>
      </c>
      <c r="E1126" s="41">
        <v>46171</v>
      </c>
      <c r="F1126" s="47">
        <v>9.432870370370371E-3</v>
      </c>
      <c r="G1126" s="44">
        <v>6.3</v>
      </c>
      <c r="H1126" s="43" t="s">
        <v>230</v>
      </c>
      <c r="I1126" s="40" t="s">
        <v>1300</v>
      </c>
    </row>
    <row r="1127" spans="1:9" x14ac:dyDescent="0.2">
      <c r="A1127" s="40" t="s">
        <v>370</v>
      </c>
      <c r="B1127" s="28">
        <v>1422</v>
      </c>
      <c r="C1127" s="28" t="s">
        <v>35</v>
      </c>
      <c r="D1127" s="28" t="s">
        <v>38</v>
      </c>
      <c r="E1127" s="41">
        <v>46171</v>
      </c>
      <c r="F1127" s="47">
        <v>1.4108796296296296E-2</v>
      </c>
      <c r="G1127" s="44">
        <v>6.3</v>
      </c>
      <c r="H1127" s="43" t="s">
        <v>227</v>
      </c>
      <c r="I1127" s="40" t="s">
        <v>1300</v>
      </c>
    </row>
    <row r="1128" spans="1:9" x14ac:dyDescent="0.2">
      <c r="A1128" s="40" t="s">
        <v>370</v>
      </c>
      <c r="B1128" s="28">
        <v>1422</v>
      </c>
      <c r="C1128" s="28" t="s">
        <v>612</v>
      </c>
      <c r="D1128" s="28"/>
      <c r="E1128" s="41">
        <v>46171</v>
      </c>
      <c r="F1128" s="47">
        <v>0.39008101851851851</v>
      </c>
      <c r="G1128" s="44">
        <v>6.3</v>
      </c>
      <c r="H1128" s="43" t="s">
        <v>228</v>
      </c>
      <c r="I1128" s="40" t="s">
        <v>1300</v>
      </c>
    </row>
    <row r="1129" spans="1:9" x14ac:dyDescent="0.2">
      <c r="A1129" s="40" t="s">
        <v>370</v>
      </c>
      <c r="B1129" s="28">
        <v>1422</v>
      </c>
      <c r="C1129" s="28" t="s">
        <v>35</v>
      </c>
      <c r="D1129" s="28" t="s">
        <v>38</v>
      </c>
      <c r="E1129" s="41">
        <v>46171</v>
      </c>
      <c r="F1129" s="47">
        <v>0.42005787037037035</v>
      </c>
      <c r="G1129" s="44">
        <v>6.3</v>
      </c>
      <c r="H1129" s="43" t="s">
        <v>227</v>
      </c>
      <c r="I1129" s="40" t="s">
        <v>1300</v>
      </c>
    </row>
    <row r="1130" spans="1:9" x14ac:dyDescent="0.2">
      <c r="A1130" s="40" t="s">
        <v>370</v>
      </c>
      <c r="B1130" s="28">
        <v>1422</v>
      </c>
      <c r="C1130" s="28" t="s">
        <v>613</v>
      </c>
      <c r="D1130" s="28"/>
      <c r="E1130" s="41">
        <v>46171</v>
      </c>
      <c r="F1130" s="47">
        <v>0.98752314814814812</v>
      </c>
      <c r="G1130" s="44">
        <v>6.3</v>
      </c>
      <c r="H1130" s="43" t="s">
        <v>228</v>
      </c>
      <c r="I1130" s="40" t="s">
        <v>1300</v>
      </c>
    </row>
    <row r="1131" spans="1:9" x14ac:dyDescent="0.2">
      <c r="A1131" s="40" t="s">
        <v>370</v>
      </c>
      <c r="B1131" s="28">
        <v>1422</v>
      </c>
      <c r="C1131" s="28" t="s">
        <v>613</v>
      </c>
      <c r="D1131" s="28"/>
      <c r="E1131" s="41">
        <v>46171</v>
      </c>
      <c r="F1131" s="47">
        <v>0.99422453703703706</v>
      </c>
      <c r="G1131" s="44">
        <v>6.3</v>
      </c>
      <c r="H1131" s="43" t="s">
        <v>229</v>
      </c>
      <c r="I1131" s="40" t="s">
        <v>1300</v>
      </c>
    </row>
    <row r="1132" spans="1:9" x14ac:dyDescent="0.2">
      <c r="A1132" s="40" t="s">
        <v>370</v>
      </c>
      <c r="B1132" s="28">
        <v>1422</v>
      </c>
      <c r="C1132" s="28" t="s">
        <v>35</v>
      </c>
      <c r="D1132" s="28" t="s">
        <v>38</v>
      </c>
      <c r="E1132" s="41">
        <v>46172</v>
      </c>
      <c r="F1132" s="47">
        <v>3.6921296296296298E-3</v>
      </c>
      <c r="G1132" s="44">
        <v>6.3</v>
      </c>
      <c r="H1132" s="43" t="s">
        <v>230</v>
      </c>
      <c r="I1132" s="40" t="s">
        <v>1300</v>
      </c>
    </row>
    <row r="1133" spans="1:9" x14ac:dyDescent="0.2">
      <c r="A1133" s="40" t="s">
        <v>370</v>
      </c>
      <c r="B1133" s="28">
        <v>1422</v>
      </c>
      <c r="C1133" s="28" t="s">
        <v>35</v>
      </c>
      <c r="D1133" s="28" t="s">
        <v>38</v>
      </c>
      <c r="E1133" s="45">
        <v>46172</v>
      </c>
      <c r="F1133" s="48">
        <v>8.9004629629629625E-3</v>
      </c>
      <c r="G1133" s="44">
        <v>6.3</v>
      </c>
      <c r="H1133" s="43" t="s">
        <v>227</v>
      </c>
      <c r="I1133" s="40" t="s">
        <v>1300</v>
      </c>
    </row>
    <row r="1134" spans="1:9" x14ac:dyDescent="0.2">
      <c r="A1134" s="40" t="s">
        <v>167</v>
      </c>
      <c r="B1134" s="28">
        <v>1424</v>
      </c>
      <c r="C1134" s="28" t="s">
        <v>35</v>
      </c>
      <c r="D1134" s="28" t="s">
        <v>38</v>
      </c>
      <c r="E1134" s="45">
        <v>46172</v>
      </c>
      <c r="F1134" s="48">
        <v>0.97865740740740736</v>
      </c>
      <c r="G1134" s="44">
        <v>6.3</v>
      </c>
      <c r="H1134" s="43" t="s">
        <v>228</v>
      </c>
      <c r="I1134" s="40" t="s">
        <v>1300</v>
      </c>
    </row>
    <row r="1135" spans="1:9" x14ac:dyDescent="0.2">
      <c r="A1135" s="40" t="s">
        <v>167</v>
      </c>
      <c r="B1135" s="28">
        <v>1424</v>
      </c>
      <c r="C1135" s="28" t="s">
        <v>35</v>
      </c>
      <c r="D1135" s="28" t="s">
        <v>38</v>
      </c>
      <c r="E1135" s="45">
        <v>46172</v>
      </c>
      <c r="F1135" s="48">
        <v>0.98622685185185188</v>
      </c>
      <c r="G1135" s="44">
        <v>6.3</v>
      </c>
      <c r="H1135" s="43" t="s">
        <v>229</v>
      </c>
      <c r="I1135" s="40" t="s">
        <v>1300</v>
      </c>
    </row>
    <row r="1136" spans="1:9" x14ac:dyDescent="0.2">
      <c r="A1136" s="40" t="s">
        <v>167</v>
      </c>
      <c r="B1136" s="28">
        <v>1424</v>
      </c>
      <c r="C1136" s="28" t="s">
        <v>35</v>
      </c>
      <c r="D1136" s="28" t="s">
        <v>38</v>
      </c>
      <c r="E1136" s="41">
        <v>46173</v>
      </c>
      <c r="F1136" s="47">
        <v>0.33444444444444443</v>
      </c>
      <c r="G1136" s="44">
        <v>6.3</v>
      </c>
      <c r="H1136" s="43" t="s">
        <v>231</v>
      </c>
      <c r="I1136" s="40" t="s">
        <v>1300</v>
      </c>
    </row>
    <row r="1137" spans="1:9" x14ac:dyDescent="0.2">
      <c r="A1137" s="40" t="s">
        <v>177</v>
      </c>
      <c r="B1137" s="28">
        <v>1425</v>
      </c>
      <c r="C1137" s="28" t="s">
        <v>614</v>
      </c>
      <c r="D1137" s="28"/>
      <c r="E1137" s="41">
        <v>46169</v>
      </c>
      <c r="F1137" s="47">
        <v>0.8762268518518519</v>
      </c>
      <c r="G1137" s="44">
        <v>6.3</v>
      </c>
      <c r="H1137" s="43" t="s">
        <v>228</v>
      </c>
      <c r="I1137" s="40" t="s">
        <v>1300</v>
      </c>
    </row>
    <row r="1138" spans="1:9" x14ac:dyDescent="0.2">
      <c r="A1138" s="40" t="s">
        <v>177</v>
      </c>
      <c r="B1138" s="28">
        <v>1425</v>
      </c>
      <c r="C1138" s="28" t="s">
        <v>614</v>
      </c>
      <c r="D1138" s="28"/>
      <c r="E1138" s="41">
        <v>46169</v>
      </c>
      <c r="F1138" s="47">
        <v>0.8835763888888889</v>
      </c>
      <c r="G1138" s="42">
        <v>6.3</v>
      </c>
      <c r="H1138" s="40" t="s">
        <v>229</v>
      </c>
      <c r="I1138" s="40" t="s">
        <v>1300</v>
      </c>
    </row>
    <row r="1139" spans="1:9" x14ac:dyDescent="0.2">
      <c r="A1139" s="40" t="s">
        <v>177</v>
      </c>
      <c r="B1139" s="28">
        <v>1425</v>
      </c>
      <c r="C1139" s="28" t="s">
        <v>615</v>
      </c>
      <c r="D1139" s="28"/>
      <c r="E1139" s="41">
        <v>46169</v>
      </c>
      <c r="F1139" s="47">
        <v>0.94523148148148151</v>
      </c>
      <c r="G1139" s="42">
        <v>6.3</v>
      </c>
      <c r="H1139" s="40" t="s">
        <v>230</v>
      </c>
      <c r="I1139" s="40" t="s">
        <v>1300</v>
      </c>
    </row>
    <row r="1140" spans="1:9" x14ac:dyDescent="0.2">
      <c r="A1140" s="40" t="s">
        <v>177</v>
      </c>
      <c r="B1140" s="28">
        <v>1425</v>
      </c>
      <c r="C1140" s="28">
        <v>10756299</v>
      </c>
      <c r="D1140" s="28"/>
      <c r="E1140" s="41">
        <v>46169</v>
      </c>
      <c r="F1140" s="47">
        <v>0.95057870370370368</v>
      </c>
      <c r="G1140" s="42">
        <v>6.3</v>
      </c>
      <c r="H1140" s="40" t="s">
        <v>227</v>
      </c>
      <c r="I1140" s="40" t="s">
        <v>1300</v>
      </c>
    </row>
    <row r="1141" spans="1:9" x14ac:dyDescent="0.2">
      <c r="A1141" s="40" t="s">
        <v>177</v>
      </c>
      <c r="B1141" s="28">
        <v>1425</v>
      </c>
      <c r="C1141" s="28">
        <v>10756299</v>
      </c>
      <c r="D1141" s="28"/>
      <c r="E1141" s="41">
        <v>46170</v>
      </c>
      <c r="F1141" s="47">
        <v>3.7384259259259259E-3</v>
      </c>
      <c r="G1141" s="42">
        <v>6.3</v>
      </c>
      <c r="H1141" s="40" t="s">
        <v>228</v>
      </c>
      <c r="I1141" s="40" t="s">
        <v>1300</v>
      </c>
    </row>
    <row r="1142" spans="1:9" x14ac:dyDescent="0.2">
      <c r="A1142" s="40" t="s">
        <v>177</v>
      </c>
      <c r="B1142" s="28">
        <v>1425</v>
      </c>
      <c r="C1142" s="28">
        <v>10756299</v>
      </c>
      <c r="D1142" s="28" t="s">
        <v>36</v>
      </c>
      <c r="E1142" s="41">
        <v>46170</v>
      </c>
      <c r="F1142" s="47">
        <v>1.2291666666666666E-2</v>
      </c>
      <c r="G1142" s="44">
        <v>6.3</v>
      </c>
      <c r="H1142" s="43" t="s">
        <v>229</v>
      </c>
      <c r="I1142" s="40" t="s">
        <v>1300</v>
      </c>
    </row>
    <row r="1143" spans="1:9" x14ac:dyDescent="0.2">
      <c r="A1143" s="40" t="s">
        <v>177</v>
      </c>
      <c r="B1143" s="28">
        <v>1425</v>
      </c>
      <c r="C1143" s="28" t="s">
        <v>616</v>
      </c>
      <c r="D1143" s="28"/>
      <c r="E1143" s="41">
        <v>46170</v>
      </c>
      <c r="F1143" s="47">
        <v>0.15243055555555557</v>
      </c>
      <c r="G1143" s="44">
        <v>6.3</v>
      </c>
      <c r="H1143" s="43" t="s">
        <v>230</v>
      </c>
      <c r="I1143" s="40" t="s">
        <v>1300</v>
      </c>
    </row>
    <row r="1144" spans="1:9" x14ac:dyDescent="0.2">
      <c r="A1144" s="40" t="s">
        <v>177</v>
      </c>
      <c r="B1144" s="28">
        <v>1425</v>
      </c>
      <c r="C1144" s="28" t="s">
        <v>616</v>
      </c>
      <c r="D1144" s="28"/>
      <c r="E1144" s="41">
        <v>46170</v>
      </c>
      <c r="F1144" s="47">
        <v>0.15784722222222222</v>
      </c>
      <c r="G1144" s="44">
        <v>6.3</v>
      </c>
      <c r="H1144" s="43" t="s">
        <v>227</v>
      </c>
      <c r="I1144" s="40" t="s">
        <v>1300</v>
      </c>
    </row>
    <row r="1145" spans="1:9" x14ac:dyDescent="0.2">
      <c r="A1145" s="40" t="s">
        <v>177</v>
      </c>
      <c r="B1145" s="28">
        <v>1425</v>
      </c>
      <c r="C1145" s="28" t="s">
        <v>617</v>
      </c>
      <c r="D1145" s="28"/>
      <c r="E1145" s="45">
        <v>46170</v>
      </c>
      <c r="F1145" s="48">
        <v>0.98023148148148154</v>
      </c>
      <c r="G1145" s="44">
        <v>6.3</v>
      </c>
      <c r="H1145" s="43" t="s">
        <v>228</v>
      </c>
      <c r="I1145" s="40" t="s">
        <v>1300</v>
      </c>
    </row>
    <row r="1146" spans="1:9" x14ac:dyDescent="0.2">
      <c r="A1146" s="40" t="s">
        <v>177</v>
      </c>
      <c r="B1146" s="28">
        <v>1425</v>
      </c>
      <c r="C1146" s="28" t="s">
        <v>617</v>
      </c>
      <c r="D1146" s="28"/>
      <c r="E1146" s="41">
        <v>46170</v>
      </c>
      <c r="F1146" s="47">
        <v>0.98780092592592594</v>
      </c>
      <c r="G1146" s="44">
        <v>6.3</v>
      </c>
      <c r="H1146" s="43" t="s">
        <v>229</v>
      </c>
      <c r="I1146" s="40" t="s">
        <v>1300</v>
      </c>
    </row>
    <row r="1147" spans="1:9" x14ac:dyDescent="0.2">
      <c r="A1147" s="40" t="s">
        <v>177</v>
      </c>
      <c r="B1147" s="28">
        <v>1425</v>
      </c>
      <c r="C1147" s="28" t="s">
        <v>618</v>
      </c>
      <c r="D1147" s="28"/>
      <c r="E1147" s="45">
        <v>46171</v>
      </c>
      <c r="F1147" s="48">
        <v>0.13368055555555555</v>
      </c>
      <c r="G1147" s="44">
        <v>6.3</v>
      </c>
      <c r="H1147" s="43" t="s">
        <v>230</v>
      </c>
      <c r="I1147" s="40" t="s">
        <v>1300</v>
      </c>
    </row>
    <row r="1148" spans="1:9" x14ac:dyDescent="0.2">
      <c r="A1148" s="40" t="s">
        <v>177</v>
      </c>
      <c r="B1148" s="28">
        <v>1425</v>
      </c>
      <c r="C1148" s="28" t="s">
        <v>618</v>
      </c>
      <c r="D1148" s="28"/>
      <c r="E1148" s="41">
        <v>46171</v>
      </c>
      <c r="F1148" s="47">
        <v>0.13915509259259259</v>
      </c>
      <c r="G1148" s="44">
        <v>6.3</v>
      </c>
      <c r="H1148" s="43" t="s">
        <v>227</v>
      </c>
      <c r="I1148" s="40" t="s">
        <v>1300</v>
      </c>
    </row>
    <row r="1149" spans="1:9" x14ac:dyDescent="0.2">
      <c r="A1149" s="40" t="s">
        <v>177</v>
      </c>
      <c r="B1149" s="28">
        <v>1425</v>
      </c>
      <c r="C1149" s="28" t="s">
        <v>35</v>
      </c>
      <c r="D1149" s="28" t="s">
        <v>38</v>
      </c>
      <c r="E1149" s="41">
        <v>46171</v>
      </c>
      <c r="F1149" s="47">
        <v>0.46750000000000003</v>
      </c>
      <c r="G1149" s="44">
        <v>6.3</v>
      </c>
      <c r="H1149" s="43" t="s">
        <v>228</v>
      </c>
      <c r="I1149" s="40" t="s">
        <v>1300</v>
      </c>
    </row>
    <row r="1150" spans="1:9" x14ac:dyDescent="0.2">
      <c r="A1150" s="40" t="s">
        <v>177</v>
      </c>
      <c r="B1150" s="28">
        <v>1425</v>
      </c>
      <c r="C1150" s="28" t="s">
        <v>35</v>
      </c>
      <c r="D1150" s="28" t="s">
        <v>38</v>
      </c>
      <c r="E1150" s="41">
        <v>46171</v>
      </c>
      <c r="F1150" s="47">
        <v>0.53215277777777781</v>
      </c>
      <c r="G1150" s="44">
        <v>6.3</v>
      </c>
      <c r="H1150" s="43" t="s">
        <v>231</v>
      </c>
      <c r="I1150" s="40" t="s">
        <v>1300</v>
      </c>
    </row>
    <row r="1151" spans="1:9" x14ac:dyDescent="0.2">
      <c r="A1151" s="40" t="s">
        <v>177</v>
      </c>
      <c r="B1151" s="28">
        <v>1425</v>
      </c>
      <c r="C1151" s="28" t="s">
        <v>35</v>
      </c>
      <c r="D1151" s="28" t="s">
        <v>38</v>
      </c>
      <c r="E1151" s="45">
        <v>46171</v>
      </c>
      <c r="F1151" s="48">
        <v>0.54688657407407404</v>
      </c>
      <c r="G1151" s="44">
        <v>6.3</v>
      </c>
      <c r="H1151" s="43" t="s">
        <v>227</v>
      </c>
      <c r="I1151" s="40" t="s">
        <v>1300</v>
      </c>
    </row>
    <row r="1152" spans="1:9" x14ac:dyDescent="0.2">
      <c r="A1152" s="40" t="s">
        <v>76</v>
      </c>
      <c r="B1152" s="28">
        <v>1429</v>
      </c>
      <c r="C1152" s="28">
        <v>5685299</v>
      </c>
      <c r="D1152" s="28"/>
      <c r="E1152" s="41">
        <v>46167</v>
      </c>
      <c r="F1152" s="47">
        <v>8.6574074074074071E-3</v>
      </c>
      <c r="G1152" s="44">
        <v>6.3</v>
      </c>
      <c r="H1152" s="43" t="s">
        <v>228</v>
      </c>
      <c r="I1152" s="40" t="s">
        <v>1300</v>
      </c>
    </row>
    <row r="1153" spans="1:9" x14ac:dyDescent="0.2">
      <c r="A1153" s="40" t="s">
        <v>76</v>
      </c>
      <c r="B1153" s="28">
        <v>1429</v>
      </c>
      <c r="C1153" s="28">
        <v>5685299</v>
      </c>
      <c r="D1153" s="28"/>
      <c r="E1153" s="41">
        <v>46167</v>
      </c>
      <c r="F1153" s="47">
        <v>1.5462962962962963E-2</v>
      </c>
      <c r="G1153" s="44">
        <v>6.3</v>
      </c>
      <c r="H1153" s="43" t="s">
        <v>232</v>
      </c>
      <c r="I1153" s="40" t="s">
        <v>1300</v>
      </c>
    </row>
    <row r="1154" spans="1:9" x14ac:dyDescent="0.2">
      <c r="A1154" s="40" t="s">
        <v>76</v>
      </c>
      <c r="B1154" s="28">
        <v>1429</v>
      </c>
      <c r="C1154" s="28" t="s">
        <v>35</v>
      </c>
      <c r="D1154" s="28" t="s">
        <v>38</v>
      </c>
      <c r="E1154" s="45">
        <v>46167</v>
      </c>
      <c r="F1154" s="48">
        <v>3.2025462962962964E-2</v>
      </c>
      <c r="G1154" s="44">
        <v>6.3</v>
      </c>
      <c r="H1154" s="43" t="s">
        <v>226</v>
      </c>
      <c r="I1154" s="40" t="s">
        <v>1300</v>
      </c>
    </row>
    <row r="1155" spans="1:9" x14ac:dyDescent="0.2">
      <c r="A1155" s="40" t="s">
        <v>76</v>
      </c>
      <c r="B1155" s="28">
        <v>1429</v>
      </c>
      <c r="C1155" s="28">
        <v>5694844</v>
      </c>
      <c r="D1155" s="28"/>
      <c r="E1155" s="41">
        <v>46173</v>
      </c>
      <c r="F1155" s="47">
        <v>0.30938657407407405</v>
      </c>
      <c r="G1155" s="44">
        <v>6.3</v>
      </c>
      <c r="H1155" s="43" t="s">
        <v>230</v>
      </c>
      <c r="I1155" s="40" t="s">
        <v>1300</v>
      </c>
    </row>
    <row r="1156" spans="1:9" x14ac:dyDescent="0.2">
      <c r="A1156" s="40" t="s">
        <v>76</v>
      </c>
      <c r="B1156" s="28">
        <v>1429</v>
      </c>
      <c r="C1156" s="28">
        <v>5694844</v>
      </c>
      <c r="D1156" s="28"/>
      <c r="E1156" s="41">
        <v>46173</v>
      </c>
      <c r="F1156" s="47">
        <v>0.3144675925925926</v>
      </c>
      <c r="G1156" s="44">
        <v>6.3</v>
      </c>
      <c r="H1156" s="43" t="s">
        <v>227</v>
      </c>
      <c r="I1156" s="40" t="s">
        <v>1300</v>
      </c>
    </row>
    <row r="1157" spans="1:9" x14ac:dyDescent="0.2">
      <c r="A1157" s="40" t="s">
        <v>76</v>
      </c>
      <c r="B1157" s="28">
        <v>1429</v>
      </c>
      <c r="C1157" s="28">
        <v>5696078</v>
      </c>
      <c r="D1157" s="28"/>
      <c r="E1157" s="41">
        <v>46173</v>
      </c>
      <c r="F1157" s="47">
        <v>0.74337962962962967</v>
      </c>
      <c r="G1157" s="44">
        <v>6.3</v>
      </c>
      <c r="H1157" s="43" t="s">
        <v>228</v>
      </c>
      <c r="I1157" s="40" t="s">
        <v>1300</v>
      </c>
    </row>
    <row r="1158" spans="1:9" x14ac:dyDescent="0.2">
      <c r="A1158" s="40" t="s">
        <v>76</v>
      </c>
      <c r="B1158" s="28">
        <v>1429</v>
      </c>
      <c r="C1158" s="28">
        <v>5696078</v>
      </c>
      <c r="D1158" s="28"/>
      <c r="E1158" s="41">
        <v>46173</v>
      </c>
      <c r="F1158" s="47">
        <v>0.75081018518518516</v>
      </c>
      <c r="G1158" s="44">
        <v>6.3</v>
      </c>
      <c r="H1158" s="43" t="s">
        <v>232</v>
      </c>
      <c r="I1158" s="40" t="s">
        <v>1300</v>
      </c>
    </row>
    <row r="1159" spans="1:9" x14ac:dyDescent="0.2">
      <c r="A1159" s="40" t="s">
        <v>76</v>
      </c>
      <c r="B1159" s="28">
        <v>1429</v>
      </c>
      <c r="C1159" s="28" t="s">
        <v>35</v>
      </c>
      <c r="D1159" s="28" t="s">
        <v>38</v>
      </c>
      <c r="E1159" s="41">
        <v>46173</v>
      </c>
      <c r="F1159" s="47">
        <v>0.75923611111111111</v>
      </c>
      <c r="G1159" s="44">
        <v>6.3</v>
      </c>
      <c r="H1159" s="43" t="s">
        <v>226</v>
      </c>
      <c r="I1159" s="40" t="s">
        <v>1300</v>
      </c>
    </row>
    <row r="1160" spans="1:9" x14ac:dyDescent="0.2">
      <c r="A1160" s="40" t="s">
        <v>76</v>
      </c>
      <c r="B1160" s="28">
        <v>1429</v>
      </c>
      <c r="C1160" s="28" t="s">
        <v>35</v>
      </c>
      <c r="D1160" s="28" t="s">
        <v>38</v>
      </c>
      <c r="E1160" s="41">
        <v>46173</v>
      </c>
      <c r="F1160" s="47">
        <v>0.76504629629629628</v>
      </c>
      <c r="G1160" s="44">
        <v>6.3</v>
      </c>
      <c r="H1160" s="43" t="s">
        <v>227</v>
      </c>
      <c r="I1160" s="40" t="s">
        <v>1300</v>
      </c>
    </row>
    <row r="1161" spans="1:9" x14ac:dyDescent="0.2">
      <c r="A1161" s="40" t="s">
        <v>406</v>
      </c>
      <c r="B1161" s="28">
        <v>1437</v>
      </c>
      <c r="C1161" s="28">
        <v>5688042</v>
      </c>
      <c r="D1161" s="28"/>
      <c r="E1161" s="41">
        <v>46168</v>
      </c>
      <c r="F1161" s="47">
        <v>0.62891203703703702</v>
      </c>
      <c r="G1161" s="44">
        <v>6.3</v>
      </c>
      <c r="H1161" s="43" t="s">
        <v>228</v>
      </c>
      <c r="I1161" s="40" t="s">
        <v>1300</v>
      </c>
    </row>
    <row r="1162" spans="1:9" x14ac:dyDescent="0.2">
      <c r="A1162" s="40" t="s">
        <v>406</v>
      </c>
      <c r="B1162" s="28">
        <v>1437</v>
      </c>
      <c r="C1162" s="28">
        <v>5690096</v>
      </c>
      <c r="D1162" s="28"/>
      <c r="E1162" s="45">
        <v>46169</v>
      </c>
      <c r="F1162" s="48">
        <v>0.75142361111111111</v>
      </c>
      <c r="G1162" s="44">
        <v>6.3</v>
      </c>
      <c r="H1162" s="43" t="s">
        <v>228</v>
      </c>
      <c r="I1162" s="40" t="s">
        <v>1300</v>
      </c>
    </row>
    <row r="1163" spans="1:9" x14ac:dyDescent="0.2">
      <c r="A1163" s="40" t="s">
        <v>406</v>
      </c>
      <c r="B1163" s="28">
        <v>1437</v>
      </c>
      <c r="C1163" s="28">
        <v>5690096</v>
      </c>
      <c r="D1163" s="28"/>
      <c r="E1163" s="41">
        <v>46169</v>
      </c>
      <c r="F1163" s="47">
        <v>0.76793981481481477</v>
      </c>
      <c r="G1163" s="44">
        <v>6.3</v>
      </c>
      <c r="H1163" s="43" t="s">
        <v>232</v>
      </c>
      <c r="I1163" s="40" t="s">
        <v>1300</v>
      </c>
    </row>
    <row r="1164" spans="1:9" x14ac:dyDescent="0.2">
      <c r="A1164" s="40" t="s">
        <v>406</v>
      </c>
      <c r="B1164" s="28">
        <v>1437</v>
      </c>
      <c r="C1164" s="28" t="s">
        <v>35</v>
      </c>
      <c r="D1164" s="28" t="s">
        <v>38</v>
      </c>
      <c r="E1164" s="41">
        <v>46169</v>
      </c>
      <c r="F1164" s="47">
        <v>0.79792824074074076</v>
      </c>
      <c r="G1164" s="44">
        <v>6.3</v>
      </c>
      <c r="H1164" s="43" t="s">
        <v>230</v>
      </c>
      <c r="I1164" s="40" t="s">
        <v>1300</v>
      </c>
    </row>
    <row r="1165" spans="1:9" x14ac:dyDescent="0.2">
      <c r="A1165" s="40" t="s">
        <v>406</v>
      </c>
      <c r="B1165" s="28">
        <v>1437</v>
      </c>
      <c r="C1165" s="28" t="s">
        <v>35</v>
      </c>
      <c r="D1165" s="28" t="s">
        <v>38</v>
      </c>
      <c r="E1165" s="45">
        <v>46169</v>
      </c>
      <c r="F1165" s="48">
        <v>0.8241087962962963</v>
      </c>
      <c r="G1165" s="44">
        <v>6.3</v>
      </c>
      <c r="H1165" s="43" t="s">
        <v>227</v>
      </c>
      <c r="I1165" s="40" t="s">
        <v>1300</v>
      </c>
    </row>
    <row r="1166" spans="1:9" x14ac:dyDescent="0.2">
      <c r="A1166" s="40" t="s">
        <v>406</v>
      </c>
      <c r="B1166" s="28">
        <v>1437</v>
      </c>
      <c r="C1166" s="28">
        <v>5691899</v>
      </c>
      <c r="D1166" s="28"/>
      <c r="E1166" s="41">
        <v>46170</v>
      </c>
      <c r="F1166" s="47">
        <v>0.75583333333333336</v>
      </c>
      <c r="G1166" s="44">
        <v>6.3</v>
      </c>
      <c r="H1166" s="43" t="s">
        <v>228</v>
      </c>
      <c r="I1166" s="40" t="s">
        <v>1300</v>
      </c>
    </row>
    <row r="1167" spans="1:9" x14ac:dyDescent="0.2">
      <c r="A1167" s="40" t="s">
        <v>406</v>
      </c>
      <c r="B1167" s="28">
        <v>1437</v>
      </c>
      <c r="C1167" s="28">
        <v>5691899</v>
      </c>
      <c r="D1167" s="28"/>
      <c r="E1167" s="41">
        <v>46170</v>
      </c>
      <c r="F1167" s="47">
        <v>0.77099537037037036</v>
      </c>
      <c r="G1167" s="44">
        <v>6.3</v>
      </c>
      <c r="H1167" s="43" t="s">
        <v>229</v>
      </c>
      <c r="I1167" s="40" t="s">
        <v>1300</v>
      </c>
    </row>
    <row r="1168" spans="1:9" x14ac:dyDescent="0.2">
      <c r="A1168" s="40" t="s">
        <v>406</v>
      </c>
      <c r="B1168" s="28">
        <v>1437</v>
      </c>
      <c r="C1168" s="28" t="s">
        <v>35</v>
      </c>
      <c r="D1168" s="28" t="s">
        <v>38</v>
      </c>
      <c r="E1168" s="41">
        <v>46170</v>
      </c>
      <c r="F1168" s="47">
        <v>0.79743055555555553</v>
      </c>
      <c r="G1168" s="44">
        <v>6.3</v>
      </c>
      <c r="H1168" s="43" t="s">
        <v>226</v>
      </c>
      <c r="I1168" s="40" t="s">
        <v>1300</v>
      </c>
    </row>
    <row r="1169" spans="1:9" x14ac:dyDescent="0.2">
      <c r="A1169" s="40" t="s">
        <v>406</v>
      </c>
      <c r="B1169" s="28">
        <v>1437</v>
      </c>
      <c r="C1169" s="28" t="s">
        <v>35</v>
      </c>
      <c r="D1169" s="28" t="s">
        <v>38</v>
      </c>
      <c r="E1169" s="41">
        <v>46170</v>
      </c>
      <c r="F1169" s="47">
        <v>0.82240740740740736</v>
      </c>
      <c r="G1169" s="44">
        <v>6.3</v>
      </c>
      <c r="H1169" s="43" t="s">
        <v>227</v>
      </c>
      <c r="I1169" s="40" t="s">
        <v>1300</v>
      </c>
    </row>
    <row r="1170" spans="1:9" x14ac:dyDescent="0.2">
      <c r="A1170" s="40" t="s">
        <v>407</v>
      </c>
      <c r="B1170" s="28">
        <v>1441</v>
      </c>
      <c r="C1170" s="28" t="s">
        <v>35</v>
      </c>
      <c r="D1170" s="28" t="s">
        <v>38</v>
      </c>
      <c r="E1170" s="41">
        <v>46167</v>
      </c>
      <c r="F1170" s="47">
        <v>0.51033564814814814</v>
      </c>
      <c r="G1170" s="44">
        <v>6.3</v>
      </c>
      <c r="H1170" s="43" t="s">
        <v>235</v>
      </c>
      <c r="I1170" s="40" t="s">
        <v>1300</v>
      </c>
    </row>
    <row r="1171" spans="1:9" x14ac:dyDescent="0.2">
      <c r="A1171" s="40" t="s">
        <v>407</v>
      </c>
      <c r="B1171" s="28">
        <v>1441</v>
      </c>
      <c r="C1171" s="28" t="s">
        <v>35</v>
      </c>
      <c r="D1171" s="28" t="s">
        <v>38</v>
      </c>
      <c r="E1171" s="41">
        <v>46167</v>
      </c>
      <c r="F1171" s="47">
        <v>0.51975694444444442</v>
      </c>
      <c r="G1171" s="44">
        <v>6.3</v>
      </c>
      <c r="H1171" s="43" t="s">
        <v>229</v>
      </c>
      <c r="I1171" s="40" t="s">
        <v>1300</v>
      </c>
    </row>
    <row r="1172" spans="1:9" x14ac:dyDescent="0.2">
      <c r="A1172" s="40" t="s">
        <v>77</v>
      </c>
      <c r="B1172" s="28">
        <v>1443</v>
      </c>
      <c r="C1172" s="28">
        <v>5685413</v>
      </c>
      <c r="D1172" s="28"/>
      <c r="E1172" s="41">
        <v>46167</v>
      </c>
      <c r="F1172" s="47">
        <v>0.20780092592592592</v>
      </c>
      <c r="G1172" s="44">
        <v>6.3</v>
      </c>
      <c r="H1172" s="43" t="s">
        <v>230</v>
      </c>
      <c r="I1172" s="40" t="s">
        <v>1300</v>
      </c>
    </row>
    <row r="1173" spans="1:9" x14ac:dyDescent="0.2">
      <c r="A1173" s="40" t="s">
        <v>77</v>
      </c>
      <c r="B1173" s="28">
        <v>1443</v>
      </c>
      <c r="C1173" s="28">
        <v>5685413</v>
      </c>
      <c r="D1173" s="28"/>
      <c r="E1173" s="41">
        <v>46167</v>
      </c>
      <c r="F1173" s="47">
        <v>0.21247685185185186</v>
      </c>
      <c r="G1173" s="44">
        <v>6.3</v>
      </c>
      <c r="H1173" s="43" t="s">
        <v>227</v>
      </c>
      <c r="I1173" s="40" t="s">
        <v>1300</v>
      </c>
    </row>
    <row r="1174" spans="1:9" x14ac:dyDescent="0.2">
      <c r="A1174" s="40" t="s">
        <v>219</v>
      </c>
      <c r="B1174" s="28">
        <v>1445</v>
      </c>
      <c r="C1174" s="28" t="s">
        <v>35</v>
      </c>
      <c r="D1174" s="28" t="s">
        <v>38</v>
      </c>
      <c r="E1174" s="41">
        <v>46167</v>
      </c>
      <c r="F1174" s="47">
        <v>0.42965277777777777</v>
      </c>
      <c r="G1174" s="44">
        <v>6.3</v>
      </c>
      <c r="H1174" s="43" t="s">
        <v>227</v>
      </c>
      <c r="I1174" s="40" t="s">
        <v>1300</v>
      </c>
    </row>
    <row r="1175" spans="1:9" x14ac:dyDescent="0.2">
      <c r="A1175" s="40" t="s">
        <v>219</v>
      </c>
      <c r="B1175" s="28">
        <v>1445</v>
      </c>
      <c r="C1175" s="28">
        <v>5686213</v>
      </c>
      <c r="D1175" s="28"/>
      <c r="E1175" s="41">
        <v>46167</v>
      </c>
      <c r="F1175" s="47">
        <v>0.81221064814814814</v>
      </c>
      <c r="G1175" s="44">
        <v>6.3</v>
      </c>
      <c r="H1175" s="43" t="s">
        <v>228</v>
      </c>
      <c r="I1175" s="40" t="s">
        <v>1300</v>
      </c>
    </row>
    <row r="1176" spans="1:9" x14ac:dyDescent="0.2">
      <c r="A1176" s="40" t="s">
        <v>219</v>
      </c>
      <c r="B1176" s="28">
        <v>1445</v>
      </c>
      <c r="C1176" s="28">
        <v>5686213</v>
      </c>
      <c r="D1176" s="28"/>
      <c r="E1176" s="41">
        <v>46167</v>
      </c>
      <c r="F1176" s="47">
        <v>0.82195601851851852</v>
      </c>
      <c r="G1176" s="44">
        <v>6.3</v>
      </c>
      <c r="H1176" s="43" t="s">
        <v>232</v>
      </c>
      <c r="I1176" s="40" t="s">
        <v>1300</v>
      </c>
    </row>
    <row r="1177" spans="1:9" x14ac:dyDescent="0.2">
      <c r="A1177" s="40" t="s">
        <v>219</v>
      </c>
      <c r="B1177" s="28">
        <v>1445</v>
      </c>
      <c r="C1177" s="28" t="s">
        <v>35</v>
      </c>
      <c r="D1177" s="28" t="s">
        <v>38</v>
      </c>
      <c r="E1177" s="41">
        <v>46167</v>
      </c>
      <c r="F1177" s="47">
        <v>0.84171296296296294</v>
      </c>
      <c r="G1177" s="44">
        <v>6.3</v>
      </c>
      <c r="H1177" s="43" t="s">
        <v>226</v>
      </c>
      <c r="I1177" s="40" t="s">
        <v>1300</v>
      </c>
    </row>
    <row r="1178" spans="1:9" x14ac:dyDescent="0.2">
      <c r="A1178" s="40" t="s">
        <v>219</v>
      </c>
      <c r="B1178" s="28">
        <v>1445</v>
      </c>
      <c r="C1178" s="28" t="s">
        <v>35</v>
      </c>
      <c r="D1178" s="28" t="s">
        <v>38</v>
      </c>
      <c r="E1178" s="41">
        <v>46167</v>
      </c>
      <c r="F1178" s="47">
        <v>0.84859953703703705</v>
      </c>
      <c r="G1178" s="44">
        <v>6.3</v>
      </c>
      <c r="H1178" s="43" t="s">
        <v>227</v>
      </c>
      <c r="I1178" s="40" t="s">
        <v>1300</v>
      </c>
    </row>
    <row r="1179" spans="1:9" x14ac:dyDescent="0.2">
      <c r="A1179" s="40" t="s">
        <v>219</v>
      </c>
      <c r="B1179" s="28">
        <v>1445</v>
      </c>
      <c r="C1179" s="28" t="s">
        <v>619</v>
      </c>
      <c r="D1179" s="28"/>
      <c r="E1179" s="41">
        <v>46167</v>
      </c>
      <c r="F1179" s="47">
        <v>0.96006944444444442</v>
      </c>
      <c r="G1179" s="44">
        <v>6.3</v>
      </c>
      <c r="H1179" s="43" t="s">
        <v>228</v>
      </c>
      <c r="I1179" s="40" t="s">
        <v>1300</v>
      </c>
    </row>
    <row r="1180" spans="1:9" x14ac:dyDescent="0.2">
      <c r="A1180" s="40" t="s">
        <v>219</v>
      </c>
      <c r="B1180" s="28">
        <v>1445</v>
      </c>
      <c r="C1180" s="28" t="s">
        <v>619</v>
      </c>
      <c r="D1180" s="28"/>
      <c r="E1180" s="45">
        <v>46167</v>
      </c>
      <c r="F1180" s="48">
        <v>0.96728009259259262</v>
      </c>
      <c r="G1180" s="44">
        <v>6.3</v>
      </c>
      <c r="H1180" s="43" t="s">
        <v>229</v>
      </c>
      <c r="I1180" s="40" t="s">
        <v>1300</v>
      </c>
    </row>
    <row r="1181" spans="1:9" x14ac:dyDescent="0.2">
      <c r="A1181" s="40" t="s">
        <v>219</v>
      </c>
      <c r="B1181" s="28">
        <v>1445</v>
      </c>
      <c r="C1181" s="28" t="s">
        <v>620</v>
      </c>
      <c r="D1181" s="28"/>
      <c r="E1181" s="45">
        <v>46168</v>
      </c>
      <c r="F1181" s="48">
        <v>0.50988425925925929</v>
      </c>
      <c r="G1181" s="44">
        <v>6.3</v>
      </c>
      <c r="H1181" s="43" t="s">
        <v>228</v>
      </c>
      <c r="I1181" s="40" t="s">
        <v>1300</v>
      </c>
    </row>
    <row r="1182" spans="1:9" x14ac:dyDescent="0.2">
      <c r="A1182" s="40" t="s">
        <v>219</v>
      </c>
      <c r="B1182" s="28">
        <v>1445</v>
      </c>
      <c r="C1182" s="28" t="s">
        <v>620</v>
      </c>
      <c r="D1182" s="28"/>
      <c r="E1182" s="41">
        <v>46168</v>
      </c>
      <c r="F1182" s="47">
        <v>0.52072916666666669</v>
      </c>
      <c r="G1182" s="44">
        <v>6.3</v>
      </c>
      <c r="H1182" s="43" t="s">
        <v>229</v>
      </c>
      <c r="I1182" s="40" t="s">
        <v>1300</v>
      </c>
    </row>
    <row r="1183" spans="1:9" x14ac:dyDescent="0.2">
      <c r="A1183" s="40" t="s">
        <v>219</v>
      </c>
      <c r="B1183" s="28">
        <v>1445</v>
      </c>
      <c r="C1183" s="28" t="s">
        <v>35</v>
      </c>
      <c r="D1183" s="28" t="s">
        <v>38</v>
      </c>
      <c r="E1183" s="41">
        <v>46168</v>
      </c>
      <c r="F1183" s="47">
        <v>0.87143518518518515</v>
      </c>
      <c r="G1183" s="44">
        <v>6.3</v>
      </c>
      <c r="H1183" s="43" t="s">
        <v>231</v>
      </c>
      <c r="I1183" s="40" t="s">
        <v>1300</v>
      </c>
    </row>
    <row r="1184" spans="1:9" x14ac:dyDescent="0.2">
      <c r="A1184" s="40" t="s">
        <v>219</v>
      </c>
      <c r="B1184" s="28">
        <v>1445</v>
      </c>
      <c r="C1184" s="28" t="s">
        <v>35</v>
      </c>
      <c r="D1184" s="28" t="s">
        <v>38</v>
      </c>
      <c r="E1184" s="45">
        <v>46169</v>
      </c>
      <c r="F1184" s="48">
        <v>0.29329861111111111</v>
      </c>
      <c r="G1184" s="44">
        <v>6.3</v>
      </c>
      <c r="H1184" s="43" t="s">
        <v>227</v>
      </c>
      <c r="I1184" s="40" t="s">
        <v>1300</v>
      </c>
    </row>
    <row r="1185" spans="1:9" x14ac:dyDescent="0.2">
      <c r="A1185" s="40" t="s">
        <v>219</v>
      </c>
      <c r="B1185" s="28">
        <v>1445</v>
      </c>
      <c r="C1185" s="28">
        <v>5689922</v>
      </c>
      <c r="D1185" s="28"/>
      <c r="E1185" s="45">
        <v>46169</v>
      </c>
      <c r="F1185" s="48">
        <v>0.65032407407407411</v>
      </c>
      <c r="G1185" s="44">
        <v>6.3</v>
      </c>
      <c r="H1185" s="43" t="s">
        <v>228</v>
      </c>
      <c r="I1185" s="40" t="s">
        <v>1300</v>
      </c>
    </row>
    <row r="1186" spans="1:9" x14ac:dyDescent="0.2">
      <c r="A1186" s="40" t="s">
        <v>219</v>
      </c>
      <c r="B1186" s="28">
        <v>1445</v>
      </c>
      <c r="C1186" s="28">
        <v>5689922</v>
      </c>
      <c r="D1186" s="28"/>
      <c r="E1186" s="45">
        <v>46169</v>
      </c>
      <c r="F1186" s="48">
        <v>0.65609953703703705</v>
      </c>
      <c r="G1186" s="44">
        <v>6.3</v>
      </c>
      <c r="H1186" s="43" t="s">
        <v>233</v>
      </c>
      <c r="I1186" s="40" t="s">
        <v>1300</v>
      </c>
    </row>
    <row r="1187" spans="1:9" x14ac:dyDescent="0.2">
      <c r="A1187" s="40" t="s">
        <v>219</v>
      </c>
      <c r="B1187" s="28">
        <v>1445</v>
      </c>
      <c r="C1187" s="28" t="s">
        <v>35</v>
      </c>
      <c r="D1187" s="28" t="s">
        <v>38</v>
      </c>
      <c r="E1187" s="41">
        <v>46169</v>
      </c>
      <c r="F1187" s="47">
        <v>0.7020601851851852</v>
      </c>
      <c r="G1187" s="44">
        <v>6.3</v>
      </c>
      <c r="H1187" s="43" t="s">
        <v>234</v>
      </c>
      <c r="I1187" s="40" t="s">
        <v>1300</v>
      </c>
    </row>
    <row r="1188" spans="1:9" x14ac:dyDescent="0.2">
      <c r="A1188" s="40" t="s">
        <v>219</v>
      </c>
      <c r="B1188" s="28">
        <v>1445</v>
      </c>
      <c r="C1188" s="28" t="s">
        <v>35</v>
      </c>
      <c r="D1188" s="28" t="s">
        <v>38</v>
      </c>
      <c r="E1188" s="41">
        <v>46169</v>
      </c>
      <c r="F1188" s="47">
        <v>0.71067129629629633</v>
      </c>
      <c r="G1188" s="44">
        <v>6.3</v>
      </c>
      <c r="H1188" s="43" t="s">
        <v>227</v>
      </c>
      <c r="I1188" s="40" t="s">
        <v>1300</v>
      </c>
    </row>
    <row r="1189" spans="1:9" x14ac:dyDescent="0.2">
      <c r="A1189" s="40" t="s">
        <v>219</v>
      </c>
      <c r="B1189" s="28">
        <v>1445</v>
      </c>
      <c r="C1189" s="28" t="s">
        <v>35</v>
      </c>
      <c r="D1189" s="28" t="s">
        <v>38</v>
      </c>
      <c r="E1189" s="41">
        <v>46170</v>
      </c>
      <c r="F1189" s="47">
        <v>0.64984953703703707</v>
      </c>
      <c r="G1189" s="44">
        <v>6.3</v>
      </c>
      <c r="H1189" s="43" t="s">
        <v>230</v>
      </c>
      <c r="I1189" s="40" t="s">
        <v>1300</v>
      </c>
    </row>
    <row r="1190" spans="1:9" x14ac:dyDescent="0.2">
      <c r="A1190" s="40" t="s">
        <v>219</v>
      </c>
      <c r="B1190" s="28">
        <v>1445</v>
      </c>
      <c r="C1190" s="28" t="s">
        <v>35</v>
      </c>
      <c r="D1190" s="28" t="s">
        <v>38</v>
      </c>
      <c r="E1190" s="41">
        <v>46171</v>
      </c>
      <c r="F1190" s="47">
        <v>0.37648148148148147</v>
      </c>
      <c r="G1190" s="44">
        <v>6.3</v>
      </c>
      <c r="H1190" s="43" t="s">
        <v>227</v>
      </c>
      <c r="I1190" s="40" t="s">
        <v>1300</v>
      </c>
    </row>
    <row r="1191" spans="1:9" x14ac:dyDescent="0.2">
      <c r="A1191" s="40" t="s">
        <v>219</v>
      </c>
      <c r="B1191" s="28">
        <v>1445</v>
      </c>
      <c r="C1191" s="28">
        <v>5694062</v>
      </c>
      <c r="D1191" s="28"/>
      <c r="E1191" s="41">
        <v>46171</v>
      </c>
      <c r="F1191" s="47">
        <v>0.8900231481481482</v>
      </c>
      <c r="G1191" s="44">
        <v>6.3</v>
      </c>
      <c r="H1191" s="43" t="s">
        <v>228</v>
      </c>
      <c r="I1191" s="40" t="s">
        <v>1300</v>
      </c>
    </row>
    <row r="1192" spans="1:9" x14ac:dyDescent="0.2">
      <c r="A1192" s="40" t="s">
        <v>219</v>
      </c>
      <c r="B1192" s="28">
        <v>1445</v>
      </c>
      <c r="C1192" s="28">
        <v>5694062</v>
      </c>
      <c r="D1192" s="28"/>
      <c r="E1192" s="41">
        <v>46171</v>
      </c>
      <c r="F1192" s="47">
        <v>0.89724537037037033</v>
      </c>
      <c r="G1192" s="44">
        <v>6.3</v>
      </c>
      <c r="H1192" s="43" t="s">
        <v>229</v>
      </c>
      <c r="I1192" s="40" t="s">
        <v>1300</v>
      </c>
    </row>
    <row r="1193" spans="1:9" x14ac:dyDescent="0.2">
      <c r="A1193" s="40" t="s">
        <v>219</v>
      </c>
      <c r="B1193" s="28">
        <v>1445</v>
      </c>
      <c r="C1193" s="28" t="s">
        <v>35</v>
      </c>
      <c r="D1193" s="28" t="s">
        <v>38</v>
      </c>
      <c r="E1193" s="41">
        <v>46171</v>
      </c>
      <c r="F1193" s="47">
        <v>0.91997685185185185</v>
      </c>
      <c r="G1193" s="44">
        <v>6.3</v>
      </c>
      <c r="H1193" s="43" t="s">
        <v>230</v>
      </c>
      <c r="I1193" s="40" t="s">
        <v>1300</v>
      </c>
    </row>
    <row r="1194" spans="1:9" x14ac:dyDescent="0.2">
      <c r="A1194" s="40" t="s">
        <v>219</v>
      </c>
      <c r="B1194" s="28">
        <v>1445</v>
      </c>
      <c r="C1194" s="28" t="s">
        <v>35</v>
      </c>
      <c r="D1194" s="28" t="s">
        <v>38</v>
      </c>
      <c r="E1194" s="41">
        <v>46171</v>
      </c>
      <c r="F1194" s="47">
        <v>0.92791666666666661</v>
      </c>
      <c r="G1194" s="44">
        <v>6.3</v>
      </c>
      <c r="H1194" s="43" t="s">
        <v>227</v>
      </c>
      <c r="I1194" s="40" t="s">
        <v>1300</v>
      </c>
    </row>
    <row r="1195" spans="1:9" x14ac:dyDescent="0.2">
      <c r="A1195" s="40" t="s">
        <v>219</v>
      </c>
      <c r="B1195" s="28">
        <v>1445</v>
      </c>
      <c r="C1195" s="28" t="s">
        <v>621</v>
      </c>
      <c r="D1195" s="28"/>
      <c r="E1195" s="41">
        <v>46171</v>
      </c>
      <c r="F1195" s="47">
        <v>0.98381944444444447</v>
      </c>
      <c r="G1195" s="44">
        <v>6.3</v>
      </c>
      <c r="H1195" s="43" t="s">
        <v>228</v>
      </c>
      <c r="I1195" s="40" t="s">
        <v>1300</v>
      </c>
    </row>
    <row r="1196" spans="1:9" x14ac:dyDescent="0.2">
      <c r="A1196" s="40" t="s">
        <v>219</v>
      </c>
      <c r="B1196" s="28">
        <v>1445</v>
      </c>
      <c r="C1196" s="28" t="s">
        <v>35</v>
      </c>
      <c r="D1196" s="28" t="s">
        <v>38</v>
      </c>
      <c r="E1196" s="41">
        <v>46172</v>
      </c>
      <c r="F1196" s="47">
        <v>0.39071759259259259</v>
      </c>
      <c r="G1196" s="44">
        <v>6.3</v>
      </c>
      <c r="H1196" s="43" t="s">
        <v>227</v>
      </c>
      <c r="I1196" s="40" t="s">
        <v>1300</v>
      </c>
    </row>
    <row r="1197" spans="1:9" x14ac:dyDescent="0.2">
      <c r="A1197" s="40" t="s">
        <v>78</v>
      </c>
      <c r="B1197" s="28">
        <v>1447</v>
      </c>
      <c r="C1197" s="28" t="s">
        <v>35</v>
      </c>
      <c r="D1197" s="28" t="s">
        <v>38</v>
      </c>
      <c r="E1197" s="41">
        <v>46167</v>
      </c>
      <c r="F1197" s="47">
        <v>1.5162037037037036E-3</v>
      </c>
      <c r="G1197" s="44">
        <v>6.3</v>
      </c>
      <c r="H1197" s="43" t="s">
        <v>230</v>
      </c>
      <c r="I1197" s="40" t="s">
        <v>1300</v>
      </c>
    </row>
    <row r="1198" spans="1:9" x14ac:dyDescent="0.2">
      <c r="A1198" s="40" t="s">
        <v>78</v>
      </c>
      <c r="B1198" s="28">
        <v>1447</v>
      </c>
      <c r="C1198" s="28" t="s">
        <v>35</v>
      </c>
      <c r="D1198" s="28" t="s">
        <v>38</v>
      </c>
      <c r="E1198" s="41">
        <v>46168</v>
      </c>
      <c r="F1198" s="47">
        <v>0.70016203703703705</v>
      </c>
      <c r="G1198" s="44">
        <v>6.3</v>
      </c>
      <c r="H1198" s="43" t="s">
        <v>229</v>
      </c>
      <c r="I1198" s="40" t="s">
        <v>1300</v>
      </c>
    </row>
    <row r="1199" spans="1:9" x14ac:dyDescent="0.2">
      <c r="A1199" s="40" t="s">
        <v>78</v>
      </c>
      <c r="B1199" s="28">
        <v>1447</v>
      </c>
      <c r="C1199" s="28" t="s">
        <v>35</v>
      </c>
      <c r="D1199" s="28" t="s">
        <v>38</v>
      </c>
      <c r="E1199" s="41">
        <v>46168</v>
      </c>
      <c r="F1199" s="47">
        <v>0.89292824074074073</v>
      </c>
      <c r="G1199" s="44">
        <v>6.3</v>
      </c>
      <c r="H1199" s="43" t="s">
        <v>230</v>
      </c>
      <c r="I1199" s="40" t="s">
        <v>1300</v>
      </c>
    </row>
    <row r="1200" spans="1:9" x14ac:dyDescent="0.2">
      <c r="A1200" s="40" t="s">
        <v>78</v>
      </c>
      <c r="B1200" s="28">
        <v>1447</v>
      </c>
      <c r="C1200" s="28" t="s">
        <v>35</v>
      </c>
      <c r="D1200" s="28" t="s">
        <v>38</v>
      </c>
      <c r="E1200" s="45">
        <v>46170</v>
      </c>
      <c r="F1200" s="48">
        <v>0.44715277777777779</v>
      </c>
      <c r="G1200" s="44">
        <v>6.3</v>
      </c>
      <c r="H1200" s="43" t="s">
        <v>235</v>
      </c>
      <c r="I1200" s="40" t="s">
        <v>1300</v>
      </c>
    </row>
    <row r="1201" spans="1:9" x14ac:dyDescent="0.2">
      <c r="A1201" s="40" t="s">
        <v>78</v>
      </c>
      <c r="B1201" s="28">
        <v>1447</v>
      </c>
      <c r="C1201" s="28" t="s">
        <v>35</v>
      </c>
      <c r="D1201" s="28" t="s">
        <v>38</v>
      </c>
      <c r="E1201" s="41">
        <v>46170</v>
      </c>
      <c r="F1201" s="47">
        <v>0.45369212962962963</v>
      </c>
      <c r="G1201" s="44">
        <v>6.3</v>
      </c>
      <c r="H1201" s="43" t="s">
        <v>233</v>
      </c>
      <c r="I1201" s="40" t="s">
        <v>1300</v>
      </c>
    </row>
    <row r="1202" spans="1:9" x14ac:dyDescent="0.2">
      <c r="A1202" s="40" t="s">
        <v>78</v>
      </c>
      <c r="B1202" s="28">
        <v>1447</v>
      </c>
      <c r="C1202" s="28" t="s">
        <v>35</v>
      </c>
      <c r="D1202" s="28" t="s">
        <v>38</v>
      </c>
      <c r="E1202" s="41">
        <v>46170</v>
      </c>
      <c r="F1202" s="47">
        <v>0.5915393518518518</v>
      </c>
      <c r="G1202" s="44">
        <v>6.3</v>
      </c>
      <c r="H1202" s="43" t="s">
        <v>234</v>
      </c>
      <c r="I1202" s="40" t="s">
        <v>1300</v>
      </c>
    </row>
    <row r="1203" spans="1:9" x14ac:dyDescent="0.2">
      <c r="A1203" s="40" t="s">
        <v>78</v>
      </c>
      <c r="B1203" s="28">
        <v>1447</v>
      </c>
      <c r="C1203" s="28" t="s">
        <v>35</v>
      </c>
      <c r="D1203" s="28" t="s">
        <v>38</v>
      </c>
      <c r="E1203" s="41">
        <v>46170</v>
      </c>
      <c r="F1203" s="47">
        <v>0.77609953703703705</v>
      </c>
      <c r="G1203" s="44">
        <v>6.3</v>
      </c>
      <c r="H1203" s="43" t="s">
        <v>228</v>
      </c>
      <c r="I1203" s="40" t="s">
        <v>1300</v>
      </c>
    </row>
    <row r="1204" spans="1:9" x14ac:dyDescent="0.2">
      <c r="A1204" s="40" t="s">
        <v>78</v>
      </c>
      <c r="B1204" s="28">
        <v>1447</v>
      </c>
      <c r="C1204" s="28" t="s">
        <v>35</v>
      </c>
      <c r="D1204" s="28" t="s">
        <v>38</v>
      </c>
      <c r="E1204" s="41">
        <v>46170</v>
      </c>
      <c r="F1204" s="47">
        <v>0.7892824074074074</v>
      </c>
      <c r="G1204" s="44">
        <v>6.3</v>
      </c>
      <c r="H1204" s="43" t="s">
        <v>229</v>
      </c>
      <c r="I1204" s="40" t="s">
        <v>1300</v>
      </c>
    </row>
    <row r="1205" spans="1:9" x14ac:dyDescent="0.2">
      <c r="A1205" s="40" t="s">
        <v>78</v>
      </c>
      <c r="B1205" s="28">
        <v>1447</v>
      </c>
      <c r="C1205" s="28" t="s">
        <v>35</v>
      </c>
      <c r="D1205" s="28" t="s">
        <v>38</v>
      </c>
      <c r="E1205" s="41">
        <v>46171</v>
      </c>
      <c r="F1205" s="47">
        <v>0.57075231481481481</v>
      </c>
      <c r="G1205" s="44">
        <v>6.3</v>
      </c>
      <c r="H1205" s="43" t="s">
        <v>226</v>
      </c>
      <c r="I1205" s="40" t="s">
        <v>1300</v>
      </c>
    </row>
    <row r="1206" spans="1:9" x14ac:dyDescent="0.2">
      <c r="A1206" s="40" t="s">
        <v>78</v>
      </c>
      <c r="B1206" s="28">
        <v>1447</v>
      </c>
      <c r="C1206" s="28" t="s">
        <v>35</v>
      </c>
      <c r="D1206" s="28" t="s">
        <v>38</v>
      </c>
      <c r="E1206" s="41">
        <v>46171</v>
      </c>
      <c r="F1206" s="47">
        <v>0.68298611111111107</v>
      </c>
      <c r="G1206" s="44">
        <v>6.3</v>
      </c>
      <c r="H1206" s="43" t="s">
        <v>235</v>
      </c>
      <c r="I1206" s="40" t="s">
        <v>1300</v>
      </c>
    </row>
    <row r="1207" spans="1:9" x14ac:dyDescent="0.2">
      <c r="A1207" s="40" t="s">
        <v>78</v>
      </c>
      <c r="B1207" s="28">
        <v>1447</v>
      </c>
      <c r="C1207" s="28" t="s">
        <v>35</v>
      </c>
      <c r="D1207" s="28" t="s">
        <v>38</v>
      </c>
      <c r="E1207" s="41">
        <v>46172</v>
      </c>
      <c r="F1207" s="47">
        <v>0.80740740740740746</v>
      </c>
      <c r="G1207" s="44">
        <v>6.3</v>
      </c>
      <c r="H1207" s="43" t="s">
        <v>230</v>
      </c>
      <c r="I1207" s="40" t="s">
        <v>1300</v>
      </c>
    </row>
    <row r="1208" spans="1:9" x14ac:dyDescent="0.2">
      <c r="A1208" s="40" t="s">
        <v>78</v>
      </c>
      <c r="B1208" s="28">
        <v>1447</v>
      </c>
      <c r="C1208" s="28" t="s">
        <v>35</v>
      </c>
      <c r="D1208" s="28" t="s">
        <v>38</v>
      </c>
      <c r="E1208" s="45">
        <v>46173</v>
      </c>
      <c r="F1208" s="48">
        <v>0.29655092592592591</v>
      </c>
      <c r="G1208" s="44">
        <v>6.3</v>
      </c>
      <c r="H1208" s="43" t="s">
        <v>229</v>
      </c>
      <c r="I1208" s="40" t="s">
        <v>1300</v>
      </c>
    </row>
    <row r="1209" spans="1:9" x14ac:dyDescent="0.2">
      <c r="A1209" s="40" t="s">
        <v>371</v>
      </c>
      <c r="B1209" s="28">
        <v>1453</v>
      </c>
      <c r="C1209" s="28" t="s">
        <v>622</v>
      </c>
      <c r="D1209" s="28"/>
      <c r="E1209" s="41">
        <v>46167</v>
      </c>
      <c r="F1209" s="47">
        <v>0.34833333333333333</v>
      </c>
      <c r="G1209" s="44">
        <v>6.3</v>
      </c>
      <c r="H1209" s="43" t="s">
        <v>228</v>
      </c>
      <c r="I1209" s="40" t="s">
        <v>1300</v>
      </c>
    </row>
    <row r="1210" spans="1:9" x14ac:dyDescent="0.2">
      <c r="A1210" s="40" t="s">
        <v>371</v>
      </c>
      <c r="B1210" s="28">
        <v>1453</v>
      </c>
      <c r="C1210" s="28" t="s">
        <v>622</v>
      </c>
      <c r="D1210" s="28"/>
      <c r="E1210" s="41">
        <v>46167</v>
      </c>
      <c r="F1210" s="47">
        <v>0.35828703703703701</v>
      </c>
      <c r="G1210" s="44">
        <v>6.3</v>
      </c>
      <c r="H1210" s="43" t="s">
        <v>229</v>
      </c>
      <c r="I1210" s="40" t="s">
        <v>1300</v>
      </c>
    </row>
    <row r="1211" spans="1:9" x14ac:dyDescent="0.2">
      <c r="A1211" s="40" t="s">
        <v>371</v>
      </c>
      <c r="B1211" s="28">
        <v>1453</v>
      </c>
      <c r="C1211" s="28">
        <v>5687408</v>
      </c>
      <c r="D1211" s="28" t="s">
        <v>37</v>
      </c>
      <c r="E1211" s="41">
        <v>46168</v>
      </c>
      <c r="F1211" s="47">
        <v>0.36109953703703701</v>
      </c>
      <c r="G1211" s="44">
        <v>6.3</v>
      </c>
      <c r="H1211" s="43" t="s">
        <v>228</v>
      </c>
      <c r="I1211" s="40" t="s">
        <v>1300</v>
      </c>
    </row>
    <row r="1212" spans="1:9" x14ac:dyDescent="0.2">
      <c r="A1212" s="40" t="s">
        <v>371</v>
      </c>
      <c r="B1212" s="28">
        <v>1453</v>
      </c>
      <c r="C1212" s="28">
        <v>5687408</v>
      </c>
      <c r="D1212" s="28" t="s">
        <v>37</v>
      </c>
      <c r="E1212" s="41">
        <v>46168</v>
      </c>
      <c r="F1212" s="47">
        <v>0.37672453703703701</v>
      </c>
      <c r="G1212" s="44">
        <v>6.3</v>
      </c>
      <c r="H1212" s="43" t="s">
        <v>229</v>
      </c>
      <c r="I1212" s="40" t="s">
        <v>1300</v>
      </c>
    </row>
    <row r="1213" spans="1:9" x14ac:dyDescent="0.2">
      <c r="A1213" s="40" t="s">
        <v>371</v>
      </c>
      <c r="B1213" s="28">
        <v>1453</v>
      </c>
      <c r="C1213" s="28">
        <v>5686106</v>
      </c>
      <c r="D1213" s="28"/>
      <c r="E1213" s="41">
        <v>46169</v>
      </c>
      <c r="F1213" s="47">
        <v>0.33001157407407405</v>
      </c>
      <c r="G1213" s="44">
        <v>6.3</v>
      </c>
      <c r="H1213" s="43" t="s">
        <v>228</v>
      </c>
      <c r="I1213" s="40" t="s">
        <v>1300</v>
      </c>
    </row>
    <row r="1214" spans="1:9" x14ac:dyDescent="0.2">
      <c r="A1214" s="40" t="s">
        <v>371</v>
      </c>
      <c r="B1214" s="28">
        <v>1453</v>
      </c>
      <c r="C1214" s="28">
        <v>5686106</v>
      </c>
      <c r="D1214" s="28"/>
      <c r="E1214" s="41">
        <v>46169</v>
      </c>
      <c r="F1214" s="47">
        <v>0.34388888888888891</v>
      </c>
      <c r="G1214" s="42">
        <v>6.3</v>
      </c>
      <c r="H1214" s="40" t="s">
        <v>229</v>
      </c>
      <c r="I1214" s="40" t="s">
        <v>1300</v>
      </c>
    </row>
    <row r="1215" spans="1:9" x14ac:dyDescent="0.2">
      <c r="A1215" s="40" t="s">
        <v>371</v>
      </c>
      <c r="B1215" s="28">
        <v>1453</v>
      </c>
      <c r="C1215" s="28">
        <v>5690612</v>
      </c>
      <c r="D1215" s="28"/>
      <c r="E1215" s="45">
        <v>46170</v>
      </c>
      <c r="F1215" s="48">
        <v>0.25870370370370371</v>
      </c>
      <c r="G1215" s="42">
        <v>6.3</v>
      </c>
      <c r="H1215" s="40" t="s">
        <v>230</v>
      </c>
      <c r="I1215" s="40" t="s">
        <v>1300</v>
      </c>
    </row>
    <row r="1216" spans="1:9" x14ac:dyDescent="0.2">
      <c r="A1216" s="40" t="s">
        <v>371</v>
      </c>
      <c r="B1216" s="28">
        <v>1453</v>
      </c>
      <c r="C1216" s="28">
        <v>5690612</v>
      </c>
      <c r="D1216" s="28"/>
      <c r="E1216" s="41">
        <v>46170</v>
      </c>
      <c r="F1216" s="47">
        <v>0.2646412037037037</v>
      </c>
      <c r="G1216" s="44">
        <v>6.3</v>
      </c>
      <c r="H1216" s="43" t="s">
        <v>227</v>
      </c>
      <c r="I1216" s="40" t="s">
        <v>1300</v>
      </c>
    </row>
    <row r="1217" spans="1:9" x14ac:dyDescent="0.2">
      <c r="A1217" s="40" t="s">
        <v>371</v>
      </c>
      <c r="B1217" s="28">
        <v>1453</v>
      </c>
      <c r="C1217" s="28">
        <v>5691769</v>
      </c>
      <c r="D1217" s="28"/>
      <c r="E1217" s="41">
        <v>46171</v>
      </c>
      <c r="F1217" s="47">
        <v>0.24875</v>
      </c>
      <c r="G1217" s="44">
        <v>6.3</v>
      </c>
      <c r="H1217" s="43" t="s">
        <v>226</v>
      </c>
      <c r="I1217" s="40" t="s">
        <v>1300</v>
      </c>
    </row>
    <row r="1218" spans="1:9" x14ac:dyDescent="0.2">
      <c r="A1218" s="40" t="s">
        <v>371</v>
      </c>
      <c r="B1218" s="28">
        <v>1453</v>
      </c>
      <c r="C1218" s="28">
        <v>5691769</v>
      </c>
      <c r="D1218" s="28"/>
      <c r="E1218" s="41">
        <v>46171</v>
      </c>
      <c r="F1218" s="47">
        <v>0.25395833333333334</v>
      </c>
      <c r="G1218" s="44">
        <v>6.3</v>
      </c>
      <c r="H1218" s="43" t="s">
        <v>227</v>
      </c>
      <c r="I1218" s="40" t="s">
        <v>1300</v>
      </c>
    </row>
    <row r="1219" spans="1:9" x14ac:dyDescent="0.2">
      <c r="A1219" s="40" t="s">
        <v>371</v>
      </c>
      <c r="B1219" s="28">
        <v>1453</v>
      </c>
      <c r="C1219" s="28">
        <v>5694247</v>
      </c>
      <c r="D1219" s="28" t="s">
        <v>37</v>
      </c>
      <c r="E1219" s="41">
        <v>46172</v>
      </c>
      <c r="F1219" s="47">
        <v>0.23749999999999999</v>
      </c>
      <c r="G1219" s="44">
        <v>6.3</v>
      </c>
      <c r="H1219" s="43" t="s">
        <v>230</v>
      </c>
      <c r="I1219" s="40" t="s">
        <v>1300</v>
      </c>
    </row>
    <row r="1220" spans="1:9" x14ac:dyDescent="0.2">
      <c r="A1220" s="40" t="s">
        <v>371</v>
      </c>
      <c r="B1220" s="28">
        <v>1453</v>
      </c>
      <c r="C1220" s="28">
        <v>5694247</v>
      </c>
      <c r="D1220" s="28" t="s">
        <v>37</v>
      </c>
      <c r="E1220" s="41">
        <v>46172</v>
      </c>
      <c r="F1220" s="47">
        <v>0.24303240740740742</v>
      </c>
      <c r="G1220" s="44">
        <v>6.3</v>
      </c>
      <c r="H1220" s="43" t="s">
        <v>227</v>
      </c>
      <c r="I1220" s="40" t="s">
        <v>1300</v>
      </c>
    </row>
    <row r="1221" spans="1:9" x14ac:dyDescent="0.2">
      <c r="A1221" s="40" t="s">
        <v>331</v>
      </c>
      <c r="B1221" s="28">
        <v>1466</v>
      </c>
      <c r="C1221" s="28">
        <v>5685733</v>
      </c>
      <c r="D1221" s="28"/>
      <c r="E1221" s="45">
        <v>46167</v>
      </c>
      <c r="F1221" s="48">
        <v>0.95780092592592592</v>
      </c>
      <c r="G1221" s="44">
        <v>6.3</v>
      </c>
      <c r="H1221" s="43" t="s">
        <v>228</v>
      </c>
      <c r="I1221" s="40" t="s">
        <v>1300</v>
      </c>
    </row>
    <row r="1222" spans="1:9" x14ac:dyDescent="0.2">
      <c r="A1222" s="40" t="s">
        <v>331</v>
      </c>
      <c r="B1222" s="28">
        <v>1466</v>
      </c>
      <c r="C1222" s="28">
        <v>5685733</v>
      </c>
      <c r="D1222" s="28"/>
      <c r="E1222" s="41">
        <v>46167</v>
      </c>
      <c r="F1222" s="47">
        <v>0.96512731481481484</v>
      </c>
      <c r="G1222" s="44">
        <v>6.3</v>
      </c>
      <c r="H1222" s="43" t="s">
        <v>229</v>
      </c>
      <c r="I1222" s="40" t="s">
        <v>1300</v>
      </c>
    </row>
    <row r="1223" spans="1:9" x14ac:dyDescent="0.2">
      <c r="A1223" s="40" t="s">
        <v>331</v>
      </c>
      <c r="B1223" s="28">
        <v>1466</v>
      </c>
      <c r="C1223" s="28">
        <v>5686037</v>
      </c>
      <c r="D1223" s="28"/>
      <c r="E1223" s="41">
        <v>46168</v>
      </c>
      <c r="F1223" s="47">
        <v>3.5925925925925924E-2</v>
      </c>
      <c r="G1223" s="44">
        <v>6.3</v>
      </c>
      <c r="H1223" s="43" t="s">
        <v>228</v>
      </c>
      <c r="I1223" s="40" t="s">
        <v>1300</v>
      </c>
    </row>
    <row r="1224" spans="1:9" x14ac:dyDescent="0.2">
      <c r="A1224" s="40" t="s">
        <v>331</v>
      </c>
      <c r="B1224" s="28">
        <v>1466</v>
      </c>
      <c r="C1224" s="28">
        <v>5686037</v>
      </c>
      <c r="D1224" s="28"/>
      <c r="E1224" s="41">
        <v>46168</v>
      </c>
      <c r="F1224" s="47">
        <v>4.3356481481481482E-2</v>
      </c>
      <c r="G1224" s="44">
        <v>6.3</v>
      </c>
      <c r="H1224" s="43" t="s">
        <v>229</v>
      </c>
      <c r="I1224" s="40" t="s">
        <v>1300</v>
      </c>
    </row>
    <row r="1225" spans="1:9" x14ac:dyDescent="0.2">
      <c r="A1225" s="40" t="s">
        <v>331</v>
      </c>
      <c r="B1225" s="28">
        <v>1466</v>
      </c>
      <c r="C1225" s="28">
        <v>5688807</v>
      </c>
      <c r="D1225" s="28"/>
      <c r="E1225" s="41">
        <v>46169</v>
      </c>
      <c r="F1225" s="47">
        <v>0.89322916666666663</v>
      </c>
      <c r="G1225" s="44">
        <v>6.3</v>
      </c>
      <c r="H1225" s="43" t="s">
        <v>228</v>
      </c>
      <c r="I1225" s="40" t="s">
        <v>1300</v>
      </c>
    </row>
    <row r="1226" spans="1:9" x14ac:dyDescent="0.2">
      <c r="A1226" s="40" t="s">
        <v>331</v>
      </c>
      <c r="B1226" s="28">
        <v>1466</v>
      </c>
      <c r="C1226" s="28">
        <v>5688807</v>
      </c>
      <c r="D1226" s="28"/>
      <c r="E1226" s="41">
        <v>46169</v>
      </c>
      <c r="F1226" s="47">
        <v>0.90085648148148145</v>
      </c>
      <c r="G1226" s="44">
        <v>6.3</v>
      </c>
      <c r="H1226" s="43" t="s">
        <v>229</v>
      </c>
      <c r="I1226" s="40" t="s">
        <v>1300</v>
      </c>
    </row>
    <row r="1227" spans="1:9" x14ac:dyDescent="0.2">
      <c r="A1227" s="40" t="s">
        <v>331</v>
      </c>
      <c r="B1227" s="28">
        <v>1466</v>
      </c>
      <c r="C1227" s="28" t="s">
        <v>623</v>
      </c>
      <c r="D1227" s="28"/>
      <c r="E1227" s="41">
        <v>46171</v>
      </c>
      <c r="F1227" s="47">
        <v>0.92653935185185188</v>
      </c>
      <c r="G1227" s="44">
        <v>6.3</v>
      </c>
      <c r="H1227" s="43" t="s">
        <v>228</v>
      </c>
      <c r="I1227" s="40" t="s">
        <v>1300</v>
      </c>
    </row>
    <row r="1228" spans="1:9" x14ac:dyDescent="0.2">
      <c r="A1228" s="40" t="s">
        <v>331</v>
      </c>
      <c r="B1228" s="28">
        <v>1466</v>
      </c>
      <c r="C1228" s="28" t="s">
        <v>623</v>
      </c>
      <c r="D1228" s="28"/>
      <c r="E1228" s="45">
        <v>46171</v>
      </c>
      <c r="F1228" s="48">
        <v>0.93443287037037037</v>
      </c>
      <c r="G1228" s="44">
        <v>6.3</v>
      </c>
      <c r="H1228" s="43" t="s">
        <v>232</v>
      </c>
      <c r="I1228" s="40" t="s">
        <v>1300</v>
      </c>
    </row>
    <row r="1229" spans="1:9" x14ac:dyDescent="0.2">
      <c r="A1229" s="40" t="s">
        <v>79</v>
      </c>
      <c r="B1229" s="28">
        <v>1468</v>
      </c>
      <c r="C1229" s="28">
        <v>5685521</v>
      </c>
      <c r="D1229" s="28"/>
      <c r="E1229" s="41">
        <v>46167</v>
      </c>
      <c r="F1229" s="47">
        <v>0.34577546296296297</v>
      </c>
      <c r="G1229" s="44">
        <v>6.3</v>
      </c>
      <c r="H1229" s="43" t="s">
        <v>228</v>
      </c>
      <c r="I1229" s="40" t="s">
        <v>1300</v>
      </c>
    </row>
    <row r="1230" spans="1:9" x14ac:dyDescent="0.2">
      <c r="A1230" s="40" t="s">
        <v>79</v>
      </c>
      <c r="B1230" s="28">
        <v>1468</v>
      </c>
      <c r="C1230" s="28">
        <v>5685521</v>
      </c>
      <c r="D1230" s="28"/>
      <c r="E1230" s="41">
        <v>46167</v>
      </c>
      <c r="F1230" s="47">
        <v>0.35569444444444442</v>
      </c>
      <c r="G1230" s="44">
        <v>6.3</v>
      </c>
      <c r="H1230" s="43" t="s">
        <v>229</v>
      </c>
      <c r="I1230" s="40" t="s">
        <v>1300</v>
      </c>
    </row>
    <row r="1231" spans="1:9" x14ac:dyDescent="0.2">
      <c r="A1231" s="40" t="s">
        <v>79</v>
      </c>
      <c r="B1231" s="28">
        <v>1468</v>
      </c>
      <c r="C1231" s="28">
        <v>5685608</v>
      </c>
      <c r="D1231" s="28"/>
      <c r="E1231" s="41">
        <v>46167</v>
      </c>
      <c r="F1231" s="47">
        <v>0.42680555555555555</v>
      </c>
      <c r="G1231" s="44">
        <v>6.3</v>
      </c>
      <c r="H1231" s="43" t="s">
        <v>230</v>
      </c>
      <c r="I1231" s="40" t="s">
        <v>1300</v>
      </c>
    </row>
    <row r="1232" spans="1:9" x14ac:dyDescent="0.2">
      <c r="A1232" s="40" t="s">
        <v>79</v>
      </c>
      <c r="B1232" s="28">
        <v>1468</v>
      </c>
      <c r="C1232" s="28">
        <v>5685608</v>
      </c>
      <c r="D1232" s="28"/>
      <c r="E1232" s="41">
        <v>46167</v>
      </c>
      <c r="F1232" s="47">
        <v>0.43451388888888887</v>
      </c>
      <c r="G1232" s="44">
        <v>6.3</v>
      </c>
      <c r="H1232" s="43" t="s">
        <v>227</v>
      </c>
      <c r="I1232" s="40" t="s">
        <v>1300</v>
      </c>
    </row>
    <row r="1233" spans="1:9" x14ac:dyDescent="0.2">
      <c r="A1233" s="40" t="s">
        <v>79</v>
      </c>
      <c r="B1233" s="28">
        <v>1468</v>
      </c>
      <c r="C1233" s="28">
        <v>5683059</v>
      </c>
      <c r="D1233" s="28"/>
      <c r="E1233" s="41">
        <v>46168</v>
      </c>
      <c r="F1233" s="47">
        <v>0.73146990740740736</v>
      </c>
      <c r="G1233" s="44">
        <v>6.3</v>
      </c>
      <c r="H1233" s="43" t="s">
        <v>228</v>
      </c>
      <c r="I1233" s="40" t="s">
        <v>1300</v>
      </c>
    </row>
    <row r="1234" spans="1:9" x14ac:dyDescent="0.2">
      <c r="A1234" s="40" t="s">
        <v>79</v>
      </c>
      <c r="B1234" s="28">
        <v>1468</v>
      </c>
      <c r="C1234" s="28">
        <v>5683059</v>
      </c>
      <c r="D1234" s="28"/>
      <c r="E1234" s="41">
        <v>46168</v>
      </c>
      <c r="F1234" s="47">
        <v>0.74466435185185187</v>
      </c>
      <c r="G1234" s="44">
        <v>6.3</v>
      </c>
      <c r="H1234" s="43" t="s">
        <v>229</v>
      </c>
      <c r="I1234" s="40" t="s">
        <v>1300</v>
      </c>
    </row>
    <row r="1235" spans="1:9" x14ac:dyDescent="0.2">
      <c r="A1235" s="40" t="s">
        <v>79</v>
      </c>
      <c r="B1235" s="28">
        <v>1468</v>
      </c>
      <c r="C1235" s="28">
        <v>5693956</v>
      </c>
      <c r="D1235" s="28"/>
      <c r="E1235" s="41">
        <v>46171</v>
      </c>
      <c r="F1235" s="47">
        <v>0.84159722222222222</v>
      </c>
      <c r="G1235" s="44">
        <v>6.3</v>
      </c>
      <c r="H1235" s="43" t="s">
        <v>228</v>
      </c>
      <c r="I1235" s="40" t="s">
        <v>1300</v>
      </c>
    </row>
    <row r="1236" spans="1:9" x14ac:dyDescent="0.2">
      <c r="A1236" s="40" t="s">
        <v>79</v>
      </c>
      <c r="B1236" s="28">
        <v>1468</v>
      </c>
      <c r="C1236" s="28">
        <v>5693956</v>
      </c>
      <c r="D1236" s="28"/>
      <c r="E1236" s="41">
        <v>46171</v>
      </c>
      <c r="F1236" s="47">
        <v>0.8491319444444444</v>
      </c>
      <c r="G1236" s="44">
        <v>6.3</v>
      </c>
      <c r="H1236" s="43" t="s">
        <v>229</v>
      </c>
      <c r="I1236" s="40" t="s">
        <v>1300</v>
      </c>
    </row>
    <row r="1237" spans="1:9" x14ac:dyDescent="0.2">
      <c r="A1237" s="40" t="s">
        <v>79</v>
      </c>
      <c r="B1237" s="28">
        <v>1468</v>
      </c>
      <c r="C1237" s="28">
        <v>5691586</v>
      </c>
      <c r="D1237" s="28"/>
      <c r="E1237" s="41">
        <v>46171</v>
      </c>
      <c r="F1237" s="47">
        <v>0.99081018518518515</v>
      </c>
      <c r="G1237" s="44">
        <v>6.3</v>
      </c>
      <c r="H1237" s="43" t="s">
        <v>228</v>
      </c>
      <c r="I1237" s="40" t="s">
        <v>1300</v>
      </c>
    </row>
    <row r="1238" spans="1:9" x14ac:dyDescent="0.2">
      <c r="A1238" s="40" t="s">
        <v>79</v>
      </c>
      <c r="B1238" s="28">
        <v>1468</v>
      </c>
      <c r="C1238" s="28">
        <v>5691586</v>
      </c>
      <c r="D1238" s="28"/>
      <c r="E1238" s="41">
        <v>46171</v>
      </c>
      <c r="F1238" s="47">
        <v>0.99826388888888884</v>
      </c>
      <c r="G1238" s="44">
        <v>6.3</v>
      </c>
      <c r="H1238" s="43" t="s">
        <v>229</v>
      </c>
      <c r="I1238" s="40" t="s">
        <v>1300</v>
      </c>
    </row>
    <row r="1239" spans="1:9" x14ac:dyDescent="0.2">
      <c r="A1239" s="40" t="s">
        <v>79</v>
      </c>
      <c r="B1239" s="28">
        <v>1468</v>
      </c>
      <c r="C1239" s="28">
        <v>5695090</v>
      </c>
      <c r="D1239" s="28"/>
      <c r="E1239" s="41">
        <v>46172</v>
      </c>
      <c r="F1239" s="47">
        <v>0.83766203703703701</v>
      </c>
      <c r="G1239" s="44">
        <v>6.3</v>
      </c>
      <c r="H1239" s="43" t="s">
        <v>228</v>
      </c>
      <c r="I1239" s="40" t="s">
        <v>1300</v>
      </c>
    </row>
    <row r="1240" spans="1:9" x14ac:dyDescent="0.2">
      <c r="A1240" s="40" t="s">
        <v>79</v>
      </c>
      <c r="B1240" s="28">
        <v>1468</v>
      </c>
      <c r="C1240" s="28">
        <v>5695090</v>
      </c>
      <c r="D1240" s="28"/>
      <c r="E1240" s="41">
        <v>46172</v>
      </c>
      <c r="F1240" s="47">
        <v>0.84712962962962968</v>
      </c>
      <c r="G1240" s="44">
        <v>6.3</v>
      </c>
      <c r="H1240" s="43" t="s">
        <v>232</v>
      </c>
      <c r="I1240" s="40" t="s">
        <v>1300</v>
      </c>
    </row>
    <row r="1241" spans="1:9" x14ac:dyDescent="0.2">
      <c r="A1241" s="40" t="s">
        <v>79</v>
      </c>
      <c r="B1241" s="28">
        <v>1468</v>
      </c>
      <c r="C1241" s="28">
        <v>5696075</v>
      </c>
      <c r="D1241" s="28"/>
      <c r="E1241" s="41">
        <v>46173</v>
      </c>
      <c r="F1241" s="47">
        <v>0.7358217592592593</v>
      </c>
      <c r="G1241" s="44">
        <v>6.3</v>
      </c>
      <c r="H1241" s="43" t="s">
        <v>228</v>
      </c>
      <c r="I1241" s="40" t="s">
        <v>1300</v>
      </c>
    </row>
    <row r="1242" spans="1:9" x14ac:dyDescent="0.2">
      <c r="A1242" s="40" t="s">
        <v>79</v>
      </c>
      <c r="B1242" s="28">
        <v>1468</v>
      </c>
      <c r="C1242" s="28">
        <v>5696107</v>
      </c>
      <c r="D1242" s="28"/>
      <c r="E1242" s="41">
        <v>46173</v>
      </c>
      <c r="F1242" s="47">
        <v>0.83239583333333333</v>
      </c>
      <c r="G1242" s="44">
        <v>6.3</v>
      </c>
      <c r="H1242" s="43" t="s">
        <v>228</v>
      </c>
      <c r="I1242" s="40" t="s">
        <v>1300</v>
      </c>
    </row>
    <row r="1243" spans="1:9" x14ac:dyDescent="0.2">
      <c r="A1243" s="40" t="s">
        <v>79</v>
      </c>
      <c r="B1243" s="28">
        <v>1468</v>
      </c>
      <c r="C1243" s="28">
        <v>5696107</v>
      </c>
      <c r="D1243" s="28"/>
      <c r="E1243" s="41">
        <v>46173</v>
      </c>
      <c r="F1243" s="47">
        <v>0.83878472222222222</v>
      </c>
      <c r="G1243" s="44">
        <v>6.3</v>
      </c>
      <c r="H1243" s="43" t="s">
        <v>232</v>
      </c>
      <c r="I1243" s="40" t="s">
        <v>1300</v>
      </c>
    </row>
    <row r="1244" spans="1:9" x14ac:dyDescent="0.2">
      <c r="A1244" s="40" t="s">
        <v>80</v>
      </c>
      <c r="B1244" s="28">
        <v>1470</v>
      </c>
      <c r="C1244" s="28" t="s">
        <v>624</v>
      </c>
      <c r="D1244" s="28"/>
      <c r="E1244" s="41">
        <v>46169</v>
      </c>
      <c r="F1244" s="47">
        <v>0.3069560185185185</v>
      </c>
      <c r="G1244" s="44">
        <v>6.3</v>
      </c>
      <c r="H1244" s="43" t="s">
        <v>228</v>
      </c>
      <c r="I1244" s="40" t="s">
        <v>1300</v>
      </c>
    </row>
    <row r="1245" spans="1:9" x14ac:dyDescent="0.2">
      <c r="A1245" s="40" t="s">
        <v>80</v>
      </c>
      <c r="B1245" s="28">
        <v>1470</v>
      </c>
      <c r="C1245" s="28" t="s">
        <v>624</v>
      </c>
      <c r="D1245" s="28"/>
      <c r="E1245" s="41">
        <v>46169</v>
      </c>
      <c r="F1245" s="47">
        <v>0.32093749999999999</v>
      </c>
      <c r="G1245" s="44">
        <v>6.3</v>
      </c>
      <c r="H1245" s="43" t="s">
        <v>229</v>
      </c>
      <c r="I1245" s="40" t="s">
        <v>1300</v>
      </c>
    </row>
    <row r="1246" spans="1:9" x14ac:dyDescent="0.2">
      <c r="A1246" s="40" t="s">
        <v>80</v>
      </c>
      <c r="B1246" s="28">
        <v>1470</v>
      </c>
      <c r="C1246" s="28" t="s">
        <v>625</v>
      </c>
      <c r="D1246" s="28"/>
      <c r="E1246" s="41">
        <v>46171</v>
      </c>
      <c r="F1246" s="47">
        <v>0.55368055555555551</v>
      </c>
      <c r="G1246" s="44">
        <v>6.3</v>
      </c>
      <c r="H1246" s="43" t="s">
        <v>228</v>
      </c>
      <c r="I1246" s="40" t="s">
        <v>1300</v>
      </c>
    </row>
    <row r="1247" spans="1:9" x14ac:dyDescent="0.2">
      <c r="A1247" s="40" t="s">
        <v>80</v>
      </c>
      <c r="B1247" s="28">
        <v>1470</v>
      </c>
      <c r="C1247" s="28" t="s">
        <v>625</v>
      </c>
      <c r="D1247" s="28"/>
      <c r="E1247" s="41">
        <v>46171</v>
      </c>
      <c r="F1247" s="47">
        <v>0.56479166666666669</v>
      </c>
      <c r="G1247" s="44">
        <v>6.3</v>
      </c>
      <c r="H1247" s="43" t="s">
        <v>229</v>
      </c>
      <c r="I1247" s="40" t="s">
        <v>1300</v>
      </c>
    </row>
    <row r="1248" spans="1:9" x14ac:dyDescent="0.2">
      <c r="A1248" s="40" t="s">
        <v>80</v>
      </c>
      <c r="B1248" s="28">
        <v>1470</v>
      </c>
      <c r="C1248" s="28">
        <v>5692678</v>
      </c>
      <c r="D1248" s="28"/>
      <c r="E1248" s="41">
        <v>46171</v>
      </c>
      <c r="F1248" s="47">
        <v>0.65714120370370366</v>
      </c>
      <c r="G1248" s="44">
        <v>6.3</v>
      </c>
      <c r="H1248" s="43" t="s">
        <v>228</v>
      </c>
      <c r="I1248" s="40" t="s">
        <v>1300</v>
      </c>
    </row>
    <row r="1249" spans="1:9" x14ac:dyDescent="0.2">
      <c r="A1249" s="40" t="s">
        <v>80</v>
      </c>
      <c r="B1249" s="28">
        <v>1470</v>
      </c>
      <c r="C1249" s="28">
        <v>5692678</v>
      </c>
      <c r="D1249" s="28"/>
      <c r="E1249" s="41">
        <v>46171</v>
      </c>
      <c r="F1249" s="47">
        <v>0.6698263888888889</v>
      </c>
      <c r="G1249" s="44">
        <v>6.3</v>
      </c>
      <c r="H1249" s="43" t="s">
        <v>232</v>
      </c>
      <c r="I1249" s="40" t="s">
        <v>1300</v>
      </c>
    </row>
    <row r="1250" spans="1:9" x14ac:dyDescent="0.2">
      <c r="A1250" s="40" t="s">
        <v>80</v>
      </c>
      <c r="B1250" s="28">
        <v>1470</v>
      </c>
      <c r="C1250" s="28">
        <v>5694766</v>
      </c>
      <c r="D1250" s="28"/>
      <c r="E1250" s="41">
        <v>46172</v>
      </c>
      <c r="F1250" s="47">
        <v>0.58020833333333333</v>
      </c>
      <c r="G1250" s="44">
        <v>6.3</v>
      </c>
      <c r="H1250" s="43" t="s">
        <v>228</v>
      </c>
      <c r="I1250" s="40" t="s">
        <v>1300</v>
      </c>
    </row>
    <row r="1251" spans="1:9" x14ac:dyDescent="0.2">
      <c r="A1251" s="40" t="s">
        <v>80</v>
      </c>
      <c r="B1251" s="28">
        <v>1470</v>
      </c>
      <c r="C1251" s="28">
        <v>5694766</v>
      </c>
      <c r="D1251" s="28"/>
      <c r="E1251" s="41">
        <v>46172</v>
      </c>
      <c r="F1251" s="47">
        <v>0.58871527777777777</v>
      </c>
      <c r="G1251" s="44">
        <v>6.3</v>
      </c>
      <c r="H1251" s="43" t="s">
        <v>229</v>
      </c>
      <c r="I1251" s="40" t="s">
        <v>1300</v>
      </c>
    </row>
    <row r="1252" spans="1:9" x14ac:dyDescent="0.2">
      <c r="A1252" s="40" t="s">
        <v>408</v>
      </c>
      <c r="B1252" s="28">
        <v>1480</v>
      </c>
      <c r="C1252" s="28">
        <v>5684439</v>
      </c>
      <c r="D1252" s="28"/>
      <c r="E1252" s="45">
        <v>46167</v>
      </c>
      <c r="F1252" s="48">
        <v>0.24305555555555555</v>
      </c>
      <c r="G1252" s="44">
        <v>6.3</v>
      </c>
      <c r="H1252" s="43" t="s">
        <v>230</v>
      </c>
      <c r="I1252" s="40" t="s">
        <v>1300</v>
      </c>
    </row>
    <row r="1253" spans="1:9" x14ac:dyDescent="0.2">
      <c r="A1253" s="40" t="s">
        <v>408</v>
      </c>
      <c r="B1253" s="28">
        <v>1480</v>
      </c>
      <c r="C1253" s="28">
        <v>5684439</v>
      </c>
      <c r="D1253" s="28"/>
      <c r="E1253" s="41">
        <v>46167</v>
      </c>
      <c r="F1253" s="47">
        <v>0.24938657407407408</v>
      </c>
      <c r="G1253" s="44">
        <v>6.3</v>
      </c>
      <c r="H1253" s="43" t="s">
        <v>227</v>
      </c>
      <c r="I1253" s="40" t="s">
        <v>1300</v>
      </c>
    </row>
    <row r="1254" spans="1:9" x14ac:dyDescent="0.2">
      <c r="A1254" s="40" t="s">
        <v>408</v>
      </c>
      <c r="B1254" s="28">
        <v>1480</v>
      </c>
      <c r="C1254" s="28">
        <v>5686641</v>
      </c>
      <c r="D1254" s="28"/>
      <c r="E1254" s="41">
        <v>46167</v>
      </c>
      <c r="F1254" s="47">
        <v>0.80896990740740737</v>
      </c>
      <c r="G1254" s="44">
        <v>6.3</v>
      </c>
      <c r="H1254" s="43" t="s">
        <v>228</v>
      </c>
      <c r="I1254" s="40" t="s">
        <v>1300</v>
      </c>
    </row>
    <row r="1255" spans="1:9" x14ac:dyDescent="0.2">
      <c r="A1255" s="40" t="s">
        <v>408</v>
      </c>
      <c r="B1255" s="28">
        <v>1480</v>
      </c>
      <c r="C1255" s="28">
        <v>5686641</v>
      </c>
      <c r="D1255" s="28"/>
      <c r="E1255" s="45">
        <v>46167</v>
      </c>
      <c r="F1255" s="48">
        <v>0.81770833333333337</v>
      </c>
      <c r="G1255" s="44">
        <v>6.3</v>
      </c>
      <c r="H1255" s="43" t="s">
        <v>229</v>
      </c>
      <c r="I1255" s="40" t="s">
        <v>1300</v>
      </c>
    </row>
    <row r="1256" spans="1:9" x14ac:dyDescent="0.2">
      <c r="A1256" s="40" t="s">
        <v>408</v>
      </c>
      <c r="B1256" s="28">
        <v>1480</v>
      </c>
      <c r="C1256" s="28" t="s">
        <v>35</v>
      </c>
      <c r="D1256" s="28" t="s">
        <v>38</v>
      </c>
      <c r="E1256" s="41">
        <v>46167</v>
      </c>
      <c r="F1256" s="47">
        <v>0.84274305555555551</v>
      </c>
      <c r="G1256" s="44">
        <v>6.3</v>
      </c>
      <c r="H1256" s="43" t="s">
        <v>230</v>
      </c>
      <c r="I1256" s="40" t="s">
        <v>1300</v>
      </c>
    </row>
    <row r="1257" spans="1:9" x14ac:dyDescent="0.2">
      <c r="A1257" s="40" t="s">
        <v>408</v>
      </c>
      <c r="B1257" s="28">
        <v>1480</v>
      </c>
      <c r="C1257" s="28" t="s">
        <v>35</v>
      </c>
      <c r="D1257" s="28" t="s">
        <v>38</v>
      </c>
      <c r="E1257" s="41">
        <v>46167</v>
      </c>
      <c r="F1257" s="47">
        <v>0.84880787037037042</v>
      </c>
      <c r="G1257" s="44">
        <v>6.3</v>
      </c>
      <c r="H1257" s="43" t="s">
        <v>227</v>
      </c>
      <c r="I1257" s="40" t="s">
        <v>1300</v>
      </c>
    </row>
    <row r="1258" spans="1:9" x14ac:dyDescent="0.2">
      <c r="A1258" s="40" t="s">
        <v>408</v>
      </c>
      <c r="B1258" s="28">
        <v>1480</v>
      </c>
      <c r="C1258" s="28">
        <v>5686897</v>
      </c>
      <c r="D1258" s="28"/>
      <c r="E1258" s="41">
        <v>46167</v>
      </c>
      <c r="F1258" s="47">
        <v>0.89262731481481483</v>
      </c>
      <c r="G1258" s="44">
        <v>6.3</v>
      </c>
      <c r="H1258" s="43" t="s">
        <v>228</v>
      </c>
      <c r="I1258" s="40" t="s">
        <v>1300</v>
      </c>
    </row>
    <row r="1259" spans="1:9" x14ac:dyDescent="0.2">
      <c r="A1259" s="40" t="s">
        <v>408</v>
      </c>
      <c r="B1259" s="28">
        <v>1480</v>
      </c>
      <c r="C1259" s="28">
        <v>5686897</v>
      </c>
      <c r="D1259" s="28"/>
      <c r="E1259" s="41">
        <v>46167</v>
      </c>
      <c r="F1259" s="47">
        <v>0.90011574074074074</v>
      </c>
      <c r="G1259" s="42">
        <v>6.3</v>
      </c>
      <c r="H1259" s="40" t="s">
        <v>229</v>
      </c>
      <c r="I1259" s="40" t="s">
        <v>1300</v>
      </c>
    </row>
    <row r="1260" spans="1:9" x14ac:dyDescent="0.2">
      <c r="A1260" s="40" t="s">
        <v>408</v>
      </c>
      <c r="B1260" s="28">
        <v>1480</v>
      </c>
      <c r="C1260" s="28">
        <v>5686516</v>
      </c>
      <c r="D1260" s="28"/>
      <c r="E1260" s="41">
        <v>46167</v>
      </c>
      <c r="F1260" s="47">
        <v>0.94666666666666666</v>
      </c>
      <c r="G1260" s="42">
        <v>6.3</v>
      </c>
      <c r="H1260" s="40" t="s">
        <v>226</v>
      </c>
      <c r="I1260" s="40" t="s">
        <v>1300</v>
      </c>
    </row>
    <row r="1261" spans="1:9" x14ac:dyDescent="0.2">
      <c r="A1261" s="40" t="s">
        <v>408</v>
      </c>
      <c r="B1261" s="28">
        <v>1480</v>
      </c>
      <c r="C1261" s="28">
        <v>5686516</v>
      </c>
      <c r="D1261" s="28"/>
      <c r="E1261" s="41">
        <v>46167</v>
      </c>
      <c r="F1261" s="47">
        <v>0.95170138888888889</v>
      </c>
      <c r="G1261" s="42">
        <v>6.3</v>
      </c>
      <c r="H1261" s="40" t="s">
        <v>227</v>
      </c>
      <c r="I1261" s="40" t="s">
        <v>1300</v>
      </c>
    </row>
    <row r="1262" spans="1:9" x14ac:dyDescent="0.2">
      <c r="A1262" s="40" t="s">
        <v>408</v>
      </c>
      <c r="B1262" s="28">
        <v>1480</v>
      </c>
      <c r="C1262" s="28">
        <v>5688148</v>
      </c>
      <c r="D1262" s="28"/>
      <c r="E1262" s="41">
        <v>46168</v>
      </c>
      <c r="F1262" s="47">
        <v>0.79623842592592597</v>
      </c>
      <c r="G1262" s="44">
        <v>6.3</v>
      </c>
      <c r="H1262" s="43" t="s">
        <v>228</v>
      </c>
      <c r="I1262" s="40" t="s">
        <v>1300</v>
      </c>
    </row>
    <row r="1263" spans="1:9" x14ac:dyDescent="0.2">
      <c r="A1263" s="40" t="s">
        <v>408</v>
      </c>
      <c r="B1263" s="28">
        <v>1480</v>
      </c>
      <c r="C1263" s="28">
        <v>5688148</v>
      </c>
      <c r="D1263" s="28"/>
      <c r="E1263" s="41">
        <v>46168</v>
      </c>
      <c r="F1263" s="47">
        <v>0.81415509259259256</v>
      </c>
      <c r="G1263" s="44">
        <v>6.3</v>
      </c>
      <c r="H1263" s="43" t="s">
        <v>229</v>
      </c>
      <c r="I1263" s="40" t="s">
        <v>1300</v>
      </c>
    </row>
    <row r="1264" spans="1:9" x14ac:dyDescent="0.2">
      <c r="A1264" s="40" t="s">
        <v>408</v>
      </c>
      <c r="B1264" s="28">
        <v>1480</v>
      </c>
      <c r="C1264" s="28" t="s">
        <v>35</v>
      </c>
      <c r="D1264" s="28" t="s">
        <v>38</v>
      </c>
      <c r="E1264" s="41">
        <v>46168</v>
      </c>
      <c r="F1264" s="47">
        <v>0.86190972222222217</v>
      </c>
      <c r="G1264" s="44">
        <v>6.3</v>
      </c>
      <c r="H1264" s="43" t="s">
        <v>230</v>
      </c>
      <c r="I1264" s="40" t="s">
        <v>1300</v>
      </c>
    </row>
    <row r="1265" spans="1:9" x14ac:dyDescent="0.2">
      <c r="A1265" s="40" t="s">
        <v>408</v>
      </c>
      <c r="B1265" s="28">
        <v>1480</v>
      </c>
      <c r="C1265" s="28" t="s">
        <v>35</v>
      </c>
      <c r="D1265" s="28" t="s">
        <v>38</v>
      </c>
      <c r="E1265" s="41">
        <v>46168</v>
      </c>
      <c r="F1265" s="47">
        <v>0.86759259259259258</v>
      </c>
      <c r="G1265" s="44">
        <v>6.3</v>
      </c>
      <c r="H1265" s="43" t="s">
        <v>227</v>
      </c>
      <c r="I1265" s="40" t="s">
        <v>1300</v>
      </c>
    </row>
    <row r="1266" spans="1:9" x14ac:dyDescent="0.2">
      <c r="A1266" s="40" t="s">
        <v>408</v>
      </c>
      <c r="B1266" s="28">
        <v>1480</v>
      </c>
      <c r="C1266" s="28">
        <v>5689045</v>
      </c>
      <c r="D1266" s="28"/>
      <c r="E1266" s="41">
        <v>46169</v>
      </c>
      <c r="F1266" s="47">
        <v>0.18641203703703704</v>
      </c>
      <c r="G1266" s="44">
        <v>6.3</v>
      </c>
      <c r="H1266" s="43" t="s">
        <v>226</v>
      </c>
      <c r="I1266" s="40" t="s">
        <v>1300</v>
      </c>
    </row>
    <row r="1267" spans="1:9" x14ac:dyDescent="0.2">
      <c r="A1267" s="40" t="s">
        <v>408</v>
      </c>
      <c r="B1267" s="28">
        <v>1480</v>
      </c>
      <c r="C1267" s="28">
        <v>5689045</v>
      </c>
      <c r="D1267" s="28"/>
      <c r="E1267" s="41">
        <v>46169</v>
      </c>
      <c r="F1267" s="47">
        <v>0.19145833333333334</v>
      </c>
      <c r="G1267" s="44">
        <v>6.3</v>
      </c>
      <c r="H1267" s="43" t="s">
        <v>227</v>
      </c>
      <c r="I1267" s="40" t="s">
        <v>1300</v>
      </c>
    </row>
    <row r="1268" spans="1:9" x14ac:dyDescent="0.2">
      <c r="A1268" s="40" t="s">
        <v>408</v>
      </c>
      <c r="B1268" s="28">
        <v>1480</v>
      </c>
      <c r="C1268" s="28">
        <v>5688920</v>
      </c>
      <c r="D1268" s="28"/>
      <c r="E1268" s="41">
        <v>46169</v>
      </c>
      <c r="F1268" s="47">
        <v>0.39011574074074074</v>
      </c>
      <c r="G1268" s="44">
        <v>6.3</v>
      </c>
      <c r="H1268" s="43" t="s">
        <v>227</v>
      </c>
      <c r="I1268" s="40" t="s">
        <v>1300</v>
      </c>
    </row>
    <row r="1269" spans="1:9" x14ac:dyDescent="0.2">
      <c r="A1269" s="40" t="s">
        <v>408</v>
      </c>
      <c r="B1269" s="28">
        <v>1480</v>
      </c>
      <c r="C1269" s="28" t="s">
        <v>626</v>
      </c>
      <c r="D1269" s="28"/>
      <c r="E1269" s="41">
        <v>46171</v>
      </c>
      <c r="F1269" s="47">
        <v>7.4849537037037034E-2</v>
      </c>
      <c r="G1269" s="44">
        <v>6.3</v>
      </c>
      <c r="H1269" s="43" t="s">
        <v>228</v>
      </c>
      <c r="I1269" s="40" t="s">
        <v>1300</v>
      </c>
    </row>
    <row r="1270" spans="1:9" x14ac:dyDescent="0.2">
      <c r="A1270" s="40" t="s">
        <v>408</v>
      </c>
      <c r="B1270" s="28">
        <v>1480</v>
      </c>
      <c r="C1270" s="28" t="s">
        <v>626</v>
      </c>
      <c r="D1270" s="28"/>
      <c r="E1270" s="45">
        <v>46171</v>
      </c>
      <c r="F1270" s="48">
        <v>8.3472222222222225E-2</v>
      </c>
      <c r="G1270" s="42">
        <v>6.3</v>
      </c>
      <c r="H1270" s="40" t="s">
        <v>229</v>
      </c>
      <c r="I1270" s="40" t="s">
        <v>1300</v>
      </c>
    </row>
    <row r="1271" spans="1:9" x14ac:dyDescent="0.2">
      <c r="A1271" s="40" t="s">
        <v>408</v>
      </c>
      <c r="B1271" s="28">
        <v>1480</v>
      </c>
      <c r="C1271" s="28">
        <v>5689398</v>
      </c>
      <c r="D1271" s="28"/>
      <c r="E1271" s="41">
        <v>46171</v>
      </c>
      <c r="F1271" s="47">
        <v>0.28646990740740741</v>
      </c>
      <c r="G1271" s="42">
        <v>6.3</v>
      </c>
      <c r="H1271" s="40" t="s">
        <v>231</v>
      </c>
      <c r="I1271" s="40" t="s">
        <v>1300</v>
      </c>
    </row>
    <row r="1272" spans="1:9" x14ac:dyDescent="0.2">
      <c r="A1272" s="40" t="s">
        <v>408</v>
      </c>
      <c r="B1272" s="28">
        <v>1480</v>
      </c>
      <c r="C1272" s="28">
        <v>5689398</v>
      </c>
      <c r="D1272" s="28"/>
      <c r="E1272" s="41">
        <v>46171</v>
      </c>
      <c r="F1272" s="47">
        <v>0.29402777777777778</v>
      </c>
      <c r="G1272" s="44">
        <v>6.3</v>
      </c>
      <c r="H1272" s="43" t="s">
        <v>227</v>
      </c>
      <c r="I1272" s="40" t="s">
        <v>1300</v>
      </c>
    </row>
    <row r="1273" spans="1:9" x14ac:dyDescent="0.2">
      <c r="A1273" s="40" t="s">
        <v>408</v>
      </c>
      <c r="B1273" s="28">
        <v>1480</v>
      </c>
      <c r="C1273" s="28">
        <v>5693805</v>
      </c>
      <c r="D1273" s="28"/>
      <c r="E1273" s="41">
        <v>46172</v>
      </c>
      <c r="F1273" s="47">
        <v>1.8761574074074073E-2</v>
      </c>
      <c r="G1273" s="44">
        <v>6.3</v>
      </c>
      <c r="H1273" s="43" t="s">
        <v>230</v>
      </c>
      <c r="I1273" s="40" t="s">
        <v>1300</v>
      </c>
    </row>
    <row r="1274" spans="1:9" x14ac:dyDescent="0.2">
      <c r="A1274" s="40" t="s">
        <v>408</v>
      </c>
      <c r="B1274" s="28">
        <v>1480</v>
      </c>
      <c r="C1274" s="28">
        <v>5693805</v>
      </c>
      <c r="D1274" s="28"/>
      <c r="E1274" s="45">
        <v>46172</v>
      </c>
      <c r="F1274" s="48">
        <v>2.4016203703703703E-2</v>
      </c>
      <c r="G1274" s="44">
        <v>6.3</v>
      </c>
      <c r="H1274" s="43" t="s">
        <v>227</v>
      </c>
      <c r="I1274" s="40" t="s">
        <v>1300</v>
      </c>
    </row>
    <row r="1275" spans="1:9" x14ac:dyDescent="0.2">
      <c r="A1275" s="40" t="s">
        <v>408</v>
      </c>
      <c r="B1275" s="28">
        <v>1480</v>
      </c>
      <c r="C1275" s="28">
        <v>5694403</v>
      </c>
      <c r="D1275" s="28" t="s">
        <v>37</v>
      </c>
      <c r="E1275" s="41">
        <v>46172</v>
      </c>
      <c r="F1275" s="47">
        <v>0.31</v>
      </c>
      <c r="G1275" s="44">
        <v>6.3</v>
      </c>
      <c r="H1275" s="43" t="s">
        <v>228</v>
      </c>
      <c r="I1275" s="40" t="s">
        <v>1300</v>
      </c>
    </row>
    <row r="1276" spans="1:9" x14ac:dyDescent="0.2">
      <c r="A1276" s="40" t="s">
        <v>408</v>
      </c>
      <c r="B1276" s="28">
        <v>1480</v>
      </c>
      <c r="C1276" s="28">
        <v>5694403</v>
      </c>
      <c r="D1276" s="28" t="s">
        <v>37</v>
      </c>
      <c r="E1276" s="41">
        <v>46172</v>
      </c>
      <c r="F1276" s="47">
        <v>0.32078703703703704</v>
      </c>
      <c r="G1276" s="44">
        <v>6.3</v>
      </c>
      <c r="H1276" s="43" t="s">
        <v>229</v>
      </c>
      <c r="I1276" s="40" t="s">
        <v>1300</v>
      </c>
    </row>
    <row r="1277" spans="1:9" x14ac:dyDescent="0.2">
      <c r="A1277" s="40" t="s">
        <v>408</v>
      </c>
      <c r="B1277" s="28">
        <v>1480</v>
      </c>
      <c r="C1277" s="28" t="s">
        <v>627</v>
      </c>
      <c r="D1277" s="28"/>
      <c r="E1277" s="41">
        <v>46172</v>
      </c>
      <c r="F1277" s="47">
        <v>0.93449074074074079</v>
      </c>
      <c r="G1277" s="44">
        <v>6.3</v>
      </c>
      <c r="H1277" s="43" t="s">
        <v>228</v>
      </c>
      <c r="I1277" s="40" t="s">
        <v>1300</v>
      </c>
    </row>
    <row r="1278" spans="1:9" x14ac:dyDescent="0.2">
      <c r="A1278" s="40" t="s">
        <v>408</v>
      </c>
      <c r="B1278" s="28">
        <v>1480</v>
      </c>
      <c r="C1278" s="28" t="s">
        <v>627</v>
      </c>
      <c r="D1278" s="28"/>
      <c r="E1278" s="41">
        <v>46172</v>
      </c>
      <c r="F1278" s="47">
        <v>0.94204861111111116</v>
      </c>
      <c r="G1278" s="44">
        <v>6.3</v>
      </c>
      <c r="H1278" s="43" t="s">
        <v>229</v>
      </c>
      <c r="I1278" s="40" t="s">
        <v>1300</v>
      </c>
    </row>
    <row r="1279" spans="1:9" x14ac:dyDescent="0.2">
      <c r="A1279" s="40" t="s">
        <v>408</v>
      </c>
      <c r="B1279" s="28">
        <v>1480</v>
      </c>
      <c r="C1279" s="28">
        <v>5666357</v>
      </c>
      <c r="D1279" s="28"/>
      <c r="E1279" s="41">
        <v>46173</v>
      </c>
      <c r="F1279" s="47">
        <v>0.88876157407407408</v>
      </c>
      <c r="G1279" s="44">
        <v>6.3</v>
      </c>
      <c r="H1279" s="43" t="s">
        <v>228</v>
      </c>
      <c r="I1279" s="40" t="s">
        <v>1300</v>
      </c>
    </row>
    <row r="1280" spans="1:9" x14ac:dyDescent="0.2">
      <c r="A1280" s="40" t="s">
        <v>81</v>
      </c>
      <c r="B1280" s="28">
        <v>1485</v>
      </c>
      <c r="C1280" s="28" t="s">
        <v>628</v>
      </c>
      <c r="D1280" s="28"/>
      <c r="E1280" s="41">
        <v>46169</v>
      </c>
      <c r="F1280" s="47">
        <v>0.16230324074074073</v>
      </c>
      <c r="G1280" s="44">
        <v>6.3</v>
      </c>
      <c r="H1280" s="43" t="s">
        <v>228</v>
      </c>
      <c r="I1280" s="40" t="s">
        <v>1300</v>
      </c>
    </row>
    <row r="1281" spans="1:9" x14ac:dyDescent="0.2">
      <c r="A1281" s="40" t="s">
        <v>81</v>
      </c>
      <c r="B1281" s="28">
        <v>1485</v>
      </c>
      <c r="C1281" s="28" t="s">
        <v>628</v>
      </c>
      <c r="D1281" s="28"/>
      <c r="E1281" s="41">
        <v>46169</v>
      </c>
      <c r="F1281" s="47">
        <v>0.16934027777777777</v>
      </c>
      <c r="G1281" s="44">
        <v>6.3</v>
      </c>
      <c r="H1281" s="43" t="s">
        <v>229</v>
      </c>
      <c r="I1281" s="40" t="s">
        <v>1300</v>
      </c>
    </row>
    <row r="1282" spans="1:9" x14ac:dyDescent="0.2">
      <c r="A1282" s="40" t="s">
        <v>81</v>
      </c>
      <c r="B1282" s="28">
        <v>1485</v>
      </c>
      <c r="C1282" s="28">
        <v>5692420</v>
      </c>
      <c r="D1282" s="28"/>
      <c r="E1282" s="45">
        <v>46170</v>
      </c>
      <c r="F1282" s="48">
        <v>0.99373842592592587</v>
      </c>
      <c r="G1282" s="44">
        <v>6.3</v>
      </c>
      <c r="H1282" s="43" t="s">
        <v>228</v>
      </c>
      <c r="I1282" s="40" t="s">
        <v>1300</v>
      </c>
    </row>
    <row r="1283" spans="1:9" x14ac:dyDescent="0.2">
      <c r="A1283" s="40" t="s">
        <v>81</v>
      </c>
      <c r="B1283" s="28">
        <v>1485</v>
      </c>
      <c r="C1283" s="28">
        <v>5692420</v>
      </c>
      <c r="D1283" s="28"/>
      <c r="E1283" s="41">
        <v>46171</v>
      </c>
      <c r="F1283" s="47">
        <v>2.3379629629629631E-3</v>
      </c>
      <c r="G1283" s="44">
        <v>6.3</v>
      </c>
      <c r="H1283" s="43" t="s">
        <v>229</v>
      </c>
      <c r="I1283" s="40" t="s">
        <v>1300</v>
      </c>
    </row>
    <row r="1284" spans="1:9" x14ac:dyDescent="0.2">
      <c r="A1284" s="40" t="s">
        <v>81</v>
      </c>
      <c r="B1284" s="28">
        <v>1485</v>
      </c>
      <c r="C1284" s="28" t="s">
        <v>35</v>
      </c>
      <c r="D1284" s="28" t="s">
        <v>38</v>
      </c>
      <c r="E1284" s="45">
        <v>46171</v>
      </c>
      <c r="F1284" s="48">
        <v>3.9675925925925927E-2</v>
      </c>
      <c r="G1284" s="44">
        <v>6.3</v>
      </c>
      <c r="H1284" s="43" t="s">
        <v>230</v>
      </c>
      <c r="I1284" s="40" t="s">
        <v>1300</v>
      </c>
    </row>
    <row r="1285" spans="1:9" x14ac:dyDescent="0.2">
      <c r="A1285" s="40" t="s">
        <v>81</v>
      </c>
      <c r="B1285" s="28">
        <v>1485</v>
      </c>
      <c r="C1285" s="28" t="s">
        <v>35</v>
      </c>
      <c r="D1285" s="28" t="s">
        <v>38</v>
      </c>
      <c r="E1285" s="41">
        <v>46171</v>
      </c>
      <c r="F1285" s="47">
        <v>4.3969907407407409E-2</v>
      </c>
      <c r="G1285" s="44">
        <v>6.3</v>
      </c>
      <c r="H1285" s="43" t="s">
        <v>227</v>
      </c>
      <c r="I1285" s="40" t="s">
        <v>1300</v>
      </c>
    </row>
    <row r="1286" spans="1:9" x14ac:dyDescent="0.2">
      <c r="A1286" s="40" t="s">
        <v>81</v>
      </c>
      <c r="B1286" s="28">
        <v>1485</v>
      </c>
      <c r="C1286" s="28" t="s">
        <v>629</v>
      </c>
      <c r="D1286" s="28"/>
      <c r="E1286" s="45">
        <v>46171</v>
      </c>
      <c r="F1286" s="48">
        <v>0.90204861111111112</v>
      </c>
      <c r="G1286" s="44">
        <v>6.3</v>
      </c>
      <c r="H1286" s="43" t="s">
        <v>228</v>
      </c>
      <c r="I1286" s="40" t="s">
        <v>1300</v>
      </c>
    </row>
    <row r="1287" spans="1:9" x14ac:dyDescent="0.2">
      <c r="A1287" s="40" t="s">
        <v>81</v>
      </c>
      <c r="B1287" s="28">
        <v>1485</v>
      </c>
      <c r="C1287" s="28" t="s">
        <v>629</v>
      </c>
      <c r="D1287" s="28"/>
      <c r="E1287" s="41">
        <v>46171</v>
      </c>
      <c r="F1287" s="47">
        <v>0.9094444444444445</v>
      </c>
      <c r="G1287" s="44">
        <v>6.3</v>
      </c>
      <c r="H1287" s="43" t="s">
        <v>229</v>
      </c>
      <c r="I1287" s="40" t="s">
        <v>1300</v>
      </c>
    </row>
    <row r="1288" spans="1:9" x14ac:dyDescent="0.2">
      <c r="A1288" s="40" t="s">
        <v>369</v>
      </c>
      <c r="B1288" s="28">
        <v>1502</v>
      </c>
      <c r="C1288" s="28" t="s">
        <v>630</v>
      </c>
      <c r="D1288" s="28"/>
      <c r="E1288" s="45">
        <v>46168</v>
      </c>
      <c r="F1288" s="48">
        <v>0.73017361111111112</v>
      </c>
      <c r="G1288" s="42">
        <v>6.3</v>
      </c>
      <c r="H1288" s="40" t="s">
        <v>228</v>
      </c>
      <c r="I1288" s="40" t="s">
        <v>1300</v>
      </c>
    </row>
    <row r="1289" spans="1:9" x14ac:dyDescent="0.2">
      <c r="A1289" s="40" t="s">
        <v>369</v>
      </c>
      <c r="B1289" s="28">
        <v>1502</v>
      </c>
      <c r="C1289" s="28" t="s">
        <v>630</v>
      </c>
      <c r="D1289" s="28"/>
      <c r="E1289" s="41">
        <v>46168</v>
      </c>
      <c r="F1289" s="47">
        <v>0.74604166666666671</v>
      </c>
      <c r="G1289" s="42">
        <v>6.3</v>
      </c>
      <c r="H1289" s="40" t="s">
        <v>229</v>
      </c>
      <c r="I1289" s="40" t="s">
        <v>1300</v>
      </c>
    </row>
    <row r="1290" spans="1:9" x14ac:dyDescent="0.2">
      <c r="A1290" s="40" t="s">
        <v>369</v>
      </c>
      <c r="B1290" s="28">
        <v>1502</v>
      </c>
      <c r="C1290" s="28" t="s">
        <v>35</v>
      </c>
      <c r="D1290" s="28" t="s">
        <v>38</v>
      </c>
      <c r="E1290" s="41">
        <v>46168</v>
      </c>
      <c r="F1290" s="47">
        <v>0.82429398148148147</v>
      </c>
      <c r="G1290" s="42">
        <v>6.3</v>
      </c>
      <c r="H1290" s="40" t="s">
        <v>230</v>
      </c>
      <c r="I1290" s="40" t="s">
        <v>1300</v>
      </c>
    </row>
    <row r="1291" spans="1:9" x14ac:dyDescent="0.2">
      <c r="A1291" s="40" t="s">
        <v>369</v>
      </c>
      <c r="B1291" s="28">
        <v>1502</v>
      </c>
      <c r="C1291" s="28">
        <v>5690891</v>
      </c>
      <c r="D1291" s="28"/>
      <c r="E1291" s="41">
        <v>46170</v>
      </c>
      <c r="F1291" s="47">
        <v>0.2417013888888889</v>
      </c>
      <c r="G1291" s="42">
        <v>6.3</v>
      </c>
      <c r="H1291" s="40" t="s">
        <v>228</v>
      </c>
      <c r="I1291" s="40" t="s">
        <v>1300</v>
      </c>
    </row>
    <row r="1292" spans="1:9" x14ac:dyDescent="0.2">
      <c r="A1292" s="40" t="s">
        <v>369</v>
      </c>
      <c r="B1292" s="28">
        <v>1502</v>
      </c>
      <c r="C1292" s="28">
        <v>5690891</v>
      </c>
      <c r="D1292" s="28"/>
      <c r="E1292" s="41">
        <v>46170</v>
      </c>
      <c r="F1292" s="47">
        <v>0.25468750000000001</v>
      </c>
      <c r="G1292" s="42">
        <v>6.3</v>
      </c>
      <c r="H1292" s="40" t="s">
        <v>229</v>
      </c>
      <c r="I1292" s="40" t="s">
        <v>1300</v>
      </c>
    </row>
    <row r="1293" spans="1:9" x14ac:dyDescent="0.2">
      <c r="A1293" s="40" t="s">
        <v>369</v>
      </c>
      <c r="B1293" s="28">
        <v>1502</v>
      </c>
      <c r="C1293" s="28">
        <v>5693738</v>
      </c>
      <c r="D1293" s="28"/>
      <c r="E1293" s="41">
        <v>46171</v>
      </c>
      <c r="F1293" s="47">
        <v>0.76400462962962967</v>
      </c>
      <c r="G1293" s="42">
        <v>6.3</v>
      </c>
      <c r="H1293" s="40" t="s">
        <v>228</v>
      </c>
      <c r="I1293" s="40" t="s">
        <v>1300</v>
      </c>
    </row>
    <row r="1294" spans="1:9" x14ac:dyDescent="0.2">
      <c r="A1294" s="40" t="s">
        <v>369</v>
      </c>
      <c r="B1294" s="28">
        <v>1502</v>
      </c>
      <c r="C1294" s="28">
        <v>5693738</v>
      </c>
      <c r="D1294" s="28"/>
      <c r="E1294" s="45">
        <v>46171</v>
      </c>
      <c r="F1294" s="48">
        <v>0.77871527777777783</v>
      </c>
      <c r="G1294" s="42">
        <v>6.3</v>
      </c>
      <c r="H1294" s="40" t="s">
        <v>229</v>
      </c>
      <c r="I1294" s="40" t="s">
        <v>1300</v>
      </c>
    </row>
    <row r="1295" spans="1:9" x14ac:dyDescent="0.2">
      <c r="A1295" s="40" t="s">
        <v>194</v>
      </c>
      <c r="B1295" s="28">
        <v>1524</v>
      </c>
      <c r="C1295" s="28">
        <v>5688045</v>
      </c>
      <c r="D1295" s="28"/>
      <c r="E1295" s="41">
        <v>46168</v>
      </c>
      <c r="F1295" s="47">
        <v>0.635625</v>
      </c>
      <c r="G1295" s="44">
        <v>6.3</v>
      </c>
      <c r="H1295" s="43" t="s">
        <v>228</v>
      </c>
      <c r="I1295" s="40" t="s">
        <v>1300</v>
      </c>
    </row>
    <row r="1296" spans="1:9" x14ac:dyDescent="0.2">
      <c r="A1296" s="40" t="s">
        <v>194</v>
      </c>
      <c r="B1296" s="28">
        <v>1524</v>
      </c>
      <c r="C1296" s="28" t="s">
        <v>35</v>
      </c>
      <c r="D1296" s="28" t="s">
        <v>38</v>
      </c>
      <c r="E1296" s="45">
        <v>46168</v>
      </c>
      <c r="F1296" s="48">
        <v>0.6630787037037037</v>
      </c>
      <c r="G1296" s="44">
        <v>6.3</v>
      </c>
      <c r="H1296" s="43" t="s">
        <v>226</v>
      </c>
      <c r="I1296" s="40" t="s">
        <v>1300</v>
      </c>
    </row>
    <row r="1297" spans="1:9" x14ac:dyDescent="0.2">
      <c r="A1297" s="40" t="s">
        <v>194</v>
      </c>
      <c r="B1297" s="28">
        <v>1524</v>
      </c>
      <c r="C1297" s="28" t="s">
        <v>35</v>
      </c>
      <c r="D1297" s="28" t="s">
        <v>38</v>
      </c>
      <c r="E1297" s="41">
        <v>46168</v>
      </c>
      <c r="F1297" s="47">
        <v>0.66851851851851851</v>
      </c>
      <c r="G1297" s="44">
        <v>6.3</v>
      </c>
      <c r="H1297" s="43" t="s">
        <v>227</v>
      </c>
      <c r="I1297" s="40" t="s">
        <v>1300</v>
      </c>
    </row>
    <row r="1298" spans="1:9" x14ac:dyDescent="0.2">
      <c r="A1298" s="40" t="s">
        <v>194</v>
      </c>
      <c r="B1298" s="28">
        <v>1524</v>
      </c>
      <c r="C1298" s="28">
        <v>5689115</v>
      </c>
      <c r="D1298" s="28"/>
      <c r="E1298" s="41">
        <v>46169</v>
      </c>
      <c r="F1298" s="47">
        <v>0.36971064814814814</v>
      </c>
      <c r="G1298" s="44">
        <v>6.3</v>
      </c>
      <c r="H1298" s="43" t="s">
        <v>227</v>
      </c>
      <c r="I1298" s="40" t="s">
        <v>1300</v>
      </c>
    </row>
    <row r="1299" spans="1:9" x14ac:dyDescent="0.2">
      <c r="A1299" s="40" t="s">
        <v>194</v>
      </c>
      <c r="B1299" s="28">
        <v>1524</v>
      </c>
      <c r="C1299" s="28" t="s">
        <v>35</v>
      </c>
      <c r="D1299" s="28" t="s">
        <v>38</v>
      </c>
      <c r="E1299" s="41">
        <v>46169</v>
      </c>
      <c r="F1299" s="47">
        <v>0.59633101851851855</v>
      </c>
      <c r="G1299" s="44">
        <v>6.3</v>
      </c>
      <c r="H1299" s="43" t="s">
        <v>230</v>
      </c>
      <c r="I1299" s="40" t="s">
        <v>1300</v>
      </c>
    </row>
    <row r="1300" spans="1:9" x14ac:dyDescent="0.2">
      <c r="A1300" s="40" t="s">
        <v>194</v>
      </c>
      <c r="B1300" s="28">
        <v>1524</v>
      </c>
      <c r="C1300" s="28" t="s">
        <v>35</v>
      </c>
      <c r="D1300" s="28" t="s">
        <v>38</v>
      </c>
      <c r="E1300" s="41">
        <v>46169</v>
      </c>
      <c r="F1300" s="47">
        <v>0.60246527777777781</v>
      </c>
      <c r="G1300" s="44">
        <v>6.3</v>
      </c>
      <c r="H1300" s="43" t="s">
        <v>227</v>
      </c>
      <c r="I1300" s="40" t="s">
        <v>1300</v>
      </c>
    </row>
    <row r="1301" spans="1:9" x14ac:dyDescent="0.2">
      <c r="A1301" s="40" t="s">
        <v>194</v>
      </c>
      <c r="B1301" s="28">
        <v>1524</v>
      </c>
      <c r="C1301" s="28">
        <v>5691911</v>
      </c>
      <c r="D1301" s="28"/>
      <c r="E1301" s="41">
        <v>46170</v>
      </c>
      <c r="F1301" s="47">
        <v>0.93305555555555553</v>
      </c>
      <c r="G1301" s="44">
        <v>6.3</v>
      </c>
      <c r="H1301" s="43" t="s">
        <v>228</v>
      </c>
      <c r="I1301" s="40" t="s">
        <v>1300</v>
      </c>
    </row>
    <row r="1302" spans="1:9" x14ac:dyDescent="0.2">
      <c r="A1302" s="40" t="s">
        <v>194</v>
      </c>
      <c r="B1302" s="28">
        <v>1524</v>
      </c>
      <c r="C1302" s="28">
        <v>5691911</v>
      </c>
      <c r="D1302" s="28"/>
      <c r="E1302" s="41">
        <v>46170</v>
      </c>
      <c r="F1302" s="47">
        <v>0.94078703703703703</v>
      </c>
      <c r="G1302" s="44">
        <v>6.3</v>
      </c>
      <c r="H1302" s="43" t="s">
        <v>229</v>
      </c>
      <c r="I1302" s="40" t="s">
        <v>1300</v>
      </c>
    </row>
    <row r="1303" spans="1:9" x14ac:dyDescent="0.2">
      <c r="A1303" s="40" t="s">
        <v>194</v>
      </c>
      <c r="B1303" s="28">
        <v>1524</v>
      </c>
      <c r="C1303" s="28">
        <v>5692681</v>
      </c>
      <c r="D1303" s="28"/>
      <c r="E1303" s="41">
        <v>46171</v>
      </c>
      <c r="F1303" s="47">
        <v>0.36916666666666664</v>
      </c>
      <c r="G1303" s="44">
        <v>6.3</v>
      </c>
      <c r="H1303" s="43" t="s">
        <v>230</v>
      </c>
      <c r="I1303" s="40" t="s">
        <v>1300</v>
      </c>
    </row>
    <row r="1304" spans="1:9" x14ac:dyDescent="0.2">
      <c r="A1304" s="40" t="s">
        <v>194</v>
      </c>
      <c r="B1304" s="28">
        <v>1524</v>
      </c>
      <c r="C1304" s="28">
        <v>5692681</v>
      </c>
      <c r="D1304" s="28"/>
      <c r="E1304" s="45">
        <v>46171</v>
      </c>
      <c r="F1304" s="48">
        <v>0.37494212962962964</v>
      </c>
      <c r="G1304" s="44">
        <v>6.3</v>
      </c>
      <c r="H1304" s="43" t="s">
        <v>227</v>
      </c>
      <c r="I1304" s="40" t="s">
        <v>1300</v>
      </c>
    </row>
    <row r="1305" spans="1:9" x14ac:dyDescent="0.2">
      <c r="A1305" s="40" t="s">
        <v>194</v>
      </c>
      <c r="B1305" s="28">
        <v>1524</v>
      </c>
      <c r="C1305" s="28">
        <v>5692939</v>
      </c>
      <c r="D1305" s="28"/>
      <c r="E1305" s="41">
        <v>46171</v>
      </c>
      <c r="F1305" s="47">
        <v>0.47877314814814814</v>
      </c>
      <c r="G1305" s="44">
        <v>6.3</v>
      </c>
      <c r="H1305" s="43" t="s">
        <v>228</v>
      </c>
      <c r="I1305" s="40" t="s">
        <v>1300</v>
      </c>
    </row>
    <row r="1306" spans="1:9" x14ac:dyDescent="0.2">
      <c r="A1306" s="40" t="s">
        <v>194</v>
      </c>
      <c r="B1306" s="28">
        <v>1524</v>
      </c>
      <c r="C1306" s="28" t="s">
        <v>35</v>
      </c>
      <c r="D1306" s="28" t="s">
        <v>38</v>
      </c>
      <c r="E1306" s="41">
        <v>46171</v>
      </c>
      <c r="F1306" s="47">
        <v>0.50971064814814815</v>
      </c>
      <c r="G1306" s="44">
        <v>6.3</v>
      </c>
      <c r="H1306" s="43" t="s">
        <v>227</v>
      </c>
      <c r="I1306" s="40" t="s">
        <v>1300</v>
      </c>
    </row>
    <row r="1307" spans="1:9" x14ac:dyDescent="0.2">
      <c r="A1307" s="40" t="s">
        <v>194</v>
      </c>
      <c r="B1307" s="28">
        <v>1524</v>
      </c>
      <c r="C1307" s="28">
        <v>5694910</v>
      </c>
      <c r="D1307" s="28"/>
      <c r="E1307" s="41">
        <v>46172</v>
      </c>
      <c r="F1307" s="47">
        <v>0.89401620370370372</v>
      </c>
      <c r="G1307" s="44">
        <v>6.3</v>
      </c>
      <c r="H1307" s="43" t="s">
        <v>228</v>
      </c>
      <c r="I1307" s="40" t="s">
        <v>1300</v>
      </c>
    </row>
    <row r="1308" spans="1:9" x14ac:dyDescent="0.2">
      <c r="A1308" s="40" t="s">
        <v>194</v>
      </c>
      <c r="B1308" s="28">
        <v>1524</v>
      </c>
      <c r="C1308" s="28">
        <v>5694910</v>
      </c>
      <c r="D1308" s="28"/>
      <c r="E1308" s="41">
        <v>46172</v>
      </c>
      <c r="F1308" s="47">
        <v>0.90137731481481487</v>
      </c>
      <c r="G1308" s="44">
        <v>6.3</v>
      </c>
      <c r="H1308" s="43" t="s">
        <v>232</v>
      </c>
      <c r="I1308" s="40" t="s">
        <v>1300</v>
      </c>
    </row>
    <row r="1309" spans="1:9" x14ac:dyDescent="0.2">
      <c r="A1309" s="40" t="s">
        <v>194</v>
      </c>
      <c r="B1309" s="28">
        <v>1524</v>
      </c>
      <c r="C1309" s="28" t="s">
        <v>35</v>
      </c>
      <c r="D1309" s="28" t="s">
        <v>38</v>
      </c>
      <c r="E1309" s="41">
        <v>46172</v>
      </c>
      <c r="F1309" s="47">
        <v>0.91692129629629626</v>
      </c>
      <c r="G1309" s="44">
        <v>6.3</v>
      </c>
      <c r="H1309" s="43" t="s">
        <v>231</v>
      </c>
      <c r="I1309" s="40" t="s">
        <v>1300</v>
      </c>
    </row>
    <row r="1310" spans="1:9" x14ac:dyDescent="0.2">
      <c r="A1310" s="40" t="s">
        <v>194</v>
      </c>
      <c r="B1310" s="28">
        <v>1524</v>
      </c>
      <c r="C1310" s="28" t="s">
        <v>35</v>
      </c>
      <c r="D1310" s="28" t="s">
        <v>38</v>
      </c>
      <c r="E1310" s="45">
        <v>46172</v>
      </c>
      <c r="F1310" s="48">
        <v>0.92231481481481481</v>
      </c>
      <c r="G1310" s="44">
        <v>6.3</v>
      </c>
      <c r="H1310" s="43" t="s">
        <v>227</v>
      </c>
      <c r="I1310" s="40" t="s">
        <v>1300</v>
      </c>
    </row>
    <row r="1311" spans="1:9" x14ac:dyDescent="0.2">
      <c r="A1311" s="40" t="s">
        <v>194</v>
      </c>
      <c r="B1311" s="28">
        <v>1524</v>
      </c>
      <c r="C1311" s="28">
        <v>5695267</v>
      </c>
      <c r="D1311" s="28"/>
      <c r="E1311" s="41">
        <v>46172</v>
      </c>
      <c r="F1311" s="47">
        <v>0.96267361111111116</v>
      </c>
      <c r="G1311" s="44">
        <v>6.3</v>
      </c>
      <c r="H1311" s="43" t="s">
        <v>228</v>
      </c>
      <c r="I1311" s="40" t="s">
        <v>1300</v>
      </c>
    </row>
    <row r="1312" spans="1:9" x14ac:dyDescent="0.2">
      <c r="A1312" s="40" t="s">
        <v>194</v>
      </c>
      <c r="B1312" s="28">
        <v>1524</v>
      </c>
      <c r="C1312" s="28">
        <v>5695267</v>
      </c>
      <c r="D1312" s="28"/>
      <c r="E1312" s="41">
        <v>46172</v>
      </c>
      <c r="F1312" s="47">
        <v>0.97046296296296297</v>
      </c>
      <c r="G1312" s="44">
        <v>6.3</v>
      </c>
      <c r="H1312" s="43" t="s">
        <v>229</v>
      </c>
      <c r="I1312" s="40" t="s">
        <v>1300</v>
      </c>
    </row>
    <row r="1313" spans="1:9" x14ac:dyDescent="0.2">
      <c r="A1313" s="40" t="s">
        <v>194</v>
      </c>
      <c r="B1313" s="28">
        <v>1524</v>
      </c>
      <c r="C1313" s="28" t="s">
        <v>35</v>
      </c>
      <c r="D1313" s="28" t="s">
        <v>38</v>
      </c>
      <c r="E1313" s="41">
        <v>46173</v>
      </c>
      <c r="F1313" s="47">
        <v>0.53160879629629632</v>
      </c>
      <c r="G1313" s="44">
        <v>6.3</v>
      </c>
      <c r="H1313" s="43" t="s">
        <v>230</v>
      </c>
      <c r="I1313" s="40" t="s">
        <v>1300</v>
      </c>
    </row>
    <row r="1314" spans="1:9" x14ac:dyDescent="0.2">
      <c r="A1314" s="40" t="s">
        <v>194</v>
      </c>
      <c r="B1314" s="28">
        <v>1524</v>
      </c>
      <c r="C1314" s="28" t="s">
        <v>35</v>
      </c>
      <c r="D1314" s="28" t="s">
        <v>38</v>
      </c>
      <c r="E1314" s="41">
        <v>46173</v>
      </c>
      <c r="F1314" s="47">
        <v>0.53721064814814812</v>
      </c>
      <c r="G1314" s="42">
        <v>6.3</v>
      </c>
      <c r="H1314" s="40" t="s">
        <v>227</v>
      </c>
      <c r="I1314" s="40" t="s">
        <v>1300</v>
      </c>
    </row>
    <row r="1315" spans="1:9" x14ac:dyDescent="0.2">
      <c r="A1315" s="40" t="s">
        <v>194</v>
      </c>
      <c r="B1315" s="28">
        <v>1524</v>
      </c>
      <c r="C1315" s="28">
        <v>5696289</v>
      </c>
      <c r="D1315" s="28"/>
      <c r="E1315" s="41">
        <v>46173</v>
      </c>
      <c r="F1315" s="47">
        <v>0.85947916666666668</v>
      </c>
      <c r="G1315" s="42">
        <v>6.3</v>
      </c>
      <c r="H1315" s="40" t="s">
        <v>228</v>
      </c>
      <c r="I1315" s="40" t="s">
        <v>1300</v>
      </c>
    </row>
    <row r="1316" spans="1:9" x14ac:dyDescent="0.2">
      <c r="A1316" s="40" t="s">
        <v>90</v>
      </c>
      <c r="B1316" s="28">
        <v>1532</v>
      </c>
      <c r="C1316" s="28" t="s">
        <v>35</v>
      </c>
      <c r="D1316" s="28" t="s">
        <v>38</v>
      </c>
      <c r="E1316" s="41">
        <v>46169</v>
      </c>
      <c r="F1316" s="47">
        <v>0.57199074074074074</v>
      </c>
      <c r="G1316" s="42">
        <v>6.3</v>
      </c>
      <c r="H1316" s="40" t="s">
        <v>227</v>
      </c>
      <c r="I1316" s="40" t="s">
        <v>1300</v>
      </c>
    </row>
    <row r="1317" spans="1:9" x14ac:dyDescent="0.2">
      <c r="A1317" s="40" t="s">
        <v>90</v>
      </c>
      <c r="B1317" s="28">
        <v>1532</v>
      </c>
      <c r="C1317" s="28" t="s">
        <v>631</v>
      </c>
      <c r="D1317" s="28"/>
      <c r="E1317" s="41">
        <v>46171</v>
      </c>
      <c r="F1317" s="47">
        <v>0.25013888888888891</v>
      </c>
      <c r="G1317" s="42">
        <v>6.3</v>
      </c>
      <c r="H1317" s="40" t="s">
        <v>228</v>
      </c>
      <c r="I1317" s="40" t="s">
        <v>1300</v>
      </c>
    </row>
    <row r="1318" spans="1:9" x14ac:dyDescent="0.2">
      <c r="A1318" s="40" t="s">
        <v>90</v>
      </c>
      <c r="B1318" s="28">
        <v>1532</v>
      </c>
      <c r="C1318" s="28" t="s">
        <v>631</v>
      </c>
      <c r="D1318" s="28"/>
      <c r="E1318" s="41">
        <v>46171</v>
      </c>
      <c r="F1318" s="47">
        <v>0.26146990740740739</v>
      </c>
      <c r="G1318" s="44">
        <v>6.3</v>
      </c>
      <c r="H1318" s="43" t="s">
        <v>229</v>
      </c>
      <c r="I1318" s="40" t="s">
        <v>1300</v>
      </c>
    </row>
    <row r="1319" spans="1:9" x14ac:dyDescent="0.2">
      <c r="A1319" s="40" t="s">
        <v>90</v>
      </c>
      <c r="B1319" s="28">
        <v>1532</v>
      </c>
      <c r="C1319" s="28" t="s">
        <v>632</v>
      </c>
      <c r="D1319" s="28"/>
      <c r="E1319" s="41">
        <v>46172</v>
      </c>
      <c r="F1319" s="47">
        <v>0.90140046296296295</v>
      </c>
      <c r="G1319" s="44">
        <v>6.3</v>
      </c>
      <c r="H1319" s="43" t="s">
        <v>228</v>
      </c>
      <c r="I1319" s="40" t="s">
        <v>1300</v>
      </c>
    </row>
    <row r="1320" spans="1:9" x14ac:dyDescent="0.2">
      <c r="A1320" s="40" t="s">
        <v>90</v>
      </c>
      <c r="B1320" s="28">
        <v>1532</v>
      </c>
      <c r="C1320" s="28" t="s">
        <v>632</v>
      </c>
      <c r="D1320" s="28"/>
      <c r="E1320" s="41">
        <v>46172</v>
      </c>
      <c r="F1320" s="47">
        <v>0.90873842592592591</v>
      </c>
      <c r="G1320" s="44">
        <v>6.3</v>
      </c>
      <c r="H1320" s="43" t="s">
        <v>229</v>
      </c>
      <c r="I1320" s="40" t="s">
        <v>1300</v>
      </c>
    </row>
    <row r="1321" spans="1:9" x14ac:dyDescent="0.2">
      <c r="A1321" s="40" t="s">
        <v>213</v>
      </c>
      <c r="B1321" s="28">
        <v>1537</v>
      </c>
      <c r="C1321" s="28" t="s">
        <v>633</v>
      </c>
      <c r="D1321" s="28"/>
      <c r="E1321" s="41">
        <v>46167</v>
      </c>
      <c r="F1321" s="47">
        <v>4.8344907407407406E-2</v>
      </c>
      <c r="G1321" s="44">
        <v>6.3</v>
      </c>
      <c r="H1321" s="43" t="s">
        <v>228</v>
      </c>
      <c r="I1321" s="40" t="s">
        <v>1300</v>
      </c>
    </row>
    <row r="1322" spans="1:9" x14ac:dyDescent="0.2">
      <c r="A1322" s="40" t="s">
        <v>213</v>
      </c>
      <c r="B1322" s="28">
        <v>1537</v>
      </c>
      <c r="C1322" s="28" t="s">
        <v>633</v>
      </c>
      <c r="D1322" s="28"/>
      <c r="E1322" s="41">
        <v>46167</v>
      </c>
      <c r="F1322" s="47">
        <v>5.4340277777777779E-2</v>
      </c>
      <c r="G1322" s="44">
        <v>6.3</v>
      </c>
      <c r="H1322" s="43" t="s">
        <v>233</v>
      </c>
      <c r="I1322" s="40" t="s">
        <v>1300</v>
      </c>
    </row>
    <row r="1323" spans="1:9" x14ac:dyDescent="0.2">
      <c r="A1323" s="40" t="s">
        <v>213</v>
      </c>
      <c r="B1323" s="28">
        <v>1537</v>
      </c>
      <c r="C1323" s="28">
        <v>5685153</v>
      </c>
      <c r="D1323" s="28"/>
      <c r="E1323" s="41">
        <v>46167</v>
      </c>
      <c r="F1323" s="47">
        <v>0.15458333333333332</v>
      </c>
      <c r="G1323" s="44">
        <v>6.3</v>
      </c>
      <c r="H1323" s="43" t="s">
        <v>227</v>
      </c>
      <c r="I1323" s="40" t="s">
        <v>1300</v>
      </c>
    </row>
    <row r="1324" spans="1:9" x14ac:dyDescent="0.2">
      <c r="A1324" s="40" t="s">
        <v>213</v>
      </c>
      <c r="B1324" s="28">
        <v>1537</v>
      </c>
      <c r="C1324" s="28" t="s">
        <v>634</v>
      </c>
      <c r="D1324" s="28"/>
      <c r="E1324" s="45">
        <v>46167</v>
      </c>
      <c r="F1324" s="48">
        <v>0.22670138888888888</v>
      </c>
      <c r="G1324" s="44">
        <v>6.3</v>
      </c>
      <c r="H1324" s="43" t="s">
        <v>228</v>
      </c>
      <c r="I1324" s="40" t="s">
        <v>1300</v>
      </c>
    </row>
    <row r="1325" spans="1:9" x14ac:dyDescent="0.2">
      <c r="A1325" s="40" t="s">
        <v>213</v>
      </c>
      <c r="B1325" s="28">
        <v>1537</v>
      </c>
      <c r="C1325" s="28" t="s">
        <v>635</v>
      </c>
      <c r="D1325" s="28"/>
      <c r="E1325" s="41">
        <v>46167</v>
      </c>
      <c r="F1325" s="47">
        <v>0.28245370370370371</v>
      </c>
      <c r="G1325" s="44">
        <v>6.3</v>
      </c>
      <c r="H1325" s="43" t="s">
        <v>226</v>
      </c>
      <c r="I1325" s="40" t="s">
        <v>1300</v>
      </c>
    </row>
    <row r="1326" spans="1:9" x14ac:dyDescent="0.2">
      <c r="A1326" s="40" t="s">
        <v>213</v>
      </c>
      <c r="B1326" s="28">
        <v>1537</v>
      </c>
      <c r="C1326" s="28" t="s">
        <v>635</v>
      </c>
      <c r="D1326" s="28"/>
      <c r="E1326" s="41">
        <v>46167</v>
      </c>
      <c r="F1326" s="47">
        <v>0.28887731481481482</v>
      </c>
      <c r="G1326" s="44">
        <v>6.3</v>
      </c>
      <c r="H1326" s="43" t="s">
        <v>227</v>
      </c>
      <c r="I1326" s="40" t="s">
        <v>1300</v>
      </c>
    </row>
    <row r="1327" spans="1:9" x14ac:dyDescent="0.2">
      <c r="A1327" s="40" t="s">
        <v>213</v>
      </c>
      <c r="B1327" s="28">
        <v>1537</v>
      </c>
      <c r="C1327" s="28" t="s">
        <v>636</v>
      </c>
      <c r="D1327" s="28"/>
      <c r="E1327" s="41">
        <v>46169</v>
      </c>
      <c r="F1327" s="47">
        <v>9.5810185185185179E-2</v>
      </c>
      <c r="G1327" s="44">
        <v>6.3</v>
      </c>
      <c r="H1327" s="43" t="s">
        <v>228</v>
      </c>
      <c r="I1327" s="40" t="s">
        <v>1300</v>
      </c>
    </row>
    <row r="1328" spans="1:9" x14ac:dyDescent="0.2">
      <c r="A1328" s="40" t="s">
        <v>213</v>
      </c>
      <c r="B1328" s="28">
        <v>1537</v>
      </c>
      <c r="C1328" s="28" t="s">
        <v>35</v>
      </c>
      <c r="D1328" s="28" t="s">
        <v>38</v>
      </c>
      <c r="E1328" s="41">
        <v>46169</v>
      </c>
      <c r="F1328" s="47">
        <v>0.11182870370370371</v>
      </c>
      <c r="G1328" s="44">
        <v>6.3</v>
      </c>
      <c r="H1328" s="43" t="s">
        <v>229</v>
      </c>
      <c r="I1328" s="40" t="s">
        <v>1300</v>
      </c>
    </row>
    <row r="1329" spans="1:9" x14ac:dyDescent="0.2">
      <c r="A1329" s="40" t="s">
        <v>213</v>
      </c>
      <c r="B1329" s="28">
        <v>1537</v>
      </c>
      <c r="C1329" s="28" t="s">
        <v>637</v>
      </c>
      <c r="D1329" s="28"/>
      <c r="E1329" s="41">
        <v>46169</v>
      </c>
      <c r="F1329" s="47">
        <v>0.24278935185185185</v>
      </c>
      <c r="G1329" s="44">
        <v>6.3</v>
      </c>
      <c r="H1329" s="43" t="s">
        <v>228</v>
      </c>
      <c r="I1329" s="40" t="s">
        <v>1300</v>
      </c>
    </row>
    <row r="1330" spans="1:9" x14ac:dyDescent="0.2">
      <c r="A1330" s="40" t="s">
        <v>213</v>
      </c>
      <c r="B1330" s="28">
        <v>1537</v>
      </c>
      <c r="C1330" s="28" t="s">
        <v>637</v>
      </c>
      <c r="D1330" s="28"/>
      <c r="E1330" s="45">
        <v>46169</v>
      </c>
      <c r="F1330" s="48">
        <v>0.25244212962962964</v>
      </c>
      <c r="G1330" s="44">
        <v>6.3</v>
      </c>
      <c r="H1330" s="43" t="s">
        <v>232</v>
      </c>
      <c r="I1330" s="40" t="s">
        <v>1300</v>
      </c>
    </row>
    <row r="1331" spans="1:9" x14ac:dyDescent="0.2">
      <c r="A1331" s="40" t="s">
        <v>213</v>
      </c>
      <c r="B1331" s="28">
        <v>1537</v>
      </c>
      <c r="C1331" s="28">
        <v>10751801</v>
      </c>
      <c r="D1331" s="28" t="s">
        <v>36</v>
      </c>
      <c r="E1331" s="41">
        <v>46169</v>
      </c>
      <c r="F1331" s="47">
        <v>0.3175810185185185</v>
      </c>
      <c r="G1331" s="44">
        <v>6.3</v>
      </c>
      <c r="H1331" s="43" t="s">
        <v>230</v>
      </c>
      <c r="I1331" s="40" t="s">
        <v>1300</v>
      </c>
    </row>
    <row r="1332" spans="1:9" x14ac:dyDescent="0.2">
      <c r="A1332" s="40" t="s">
        <v>213</v>
      </c>
      <c r="B1332" s="28">
        <v>1537</v>
      </c>
      <c r="C1332" s="28">
        <v>10751801</v>
      </c>
      <c r="D1332" s="28" t="s">
        <v>36</v>
      </c>
      <c r="E1332" s="41">
        <v>46169</v>
      </c>
      <c r="F1332" s="47">
        <v>0.32376157407407408</v>
      </c>
      <c r="G1332" s="44">
        <v>6.3</v>
      </c>
      <c r="H1332" s="43" t="s">
        <v>227</v>
      </c>
      <c r="I1332" s="40" t="s">
        <v>1300</v>
      </c>
    </row>
    <row r="1333" spans="1:9" x14ac:dyDescent="0.2">
      <c r="A1333" s="40" t="s">
        <v>213</v>
      </c>
      <c r="B1333" s="28">
        <v>1537</v>
      </c>
      <c r="C1333" s="28" t="s">
        <v>638</v>
      </c>
      <c r="D1333" s="28"/>
      <c r="E1333" s="41">
        <v>46169</v>
      </c>
      <c r="F1333" s="47">
        <v>0.38581018518518517</v>
      </c>
      <c r="G1333" s="44">
        <v>6.3</v>
      </c>
      <c r="H1333" s="43" t="s">
        <v>229</v>
      </c>
      <c r="I1333" s="40" t="s">
        <v>1300</v>
      </c>
    </row>
    <row r="1334" spans="1:9" x14ac:dyDescent="0.2">
      <c r="A1334" s="40" t="s">
        <v>213</v>
      </c>
      <c r="B1334" s="28">
        <v>1537</v>
      </c>
      <c r="C1334" s="28" t="s">
        <v>638</v>
      </c>
      <c r="D1334" s="28"/>
      <c r="E1334" s="41">
        <v>46169</v>
      </c>
      <c r="F1334" s="47">
        <v>0.42481481481481481</v>
      </c>
      <c r="G1334" s="44">
        <v>6.3</v>
      </c>
      <c r="H1334" s="43" t="s">
        <v>230</v>
      </c>
      <c r="I1334" s="40" t="s">
        <v>1300</v>
      </c>
    </row>
    <row r="1335" spans="1:9" x14ac:dyDescent="0.2">
      <c r="A1335" s="40" t="s">
        <v>213</v>
      </c>
      <c r="B1335" s="28">
        <v>1537</v>
      </c>
      <c r="C1335" s="28" t="s">
        <v>638</v>
      </c>
      <c r="D1335" s="28"/>
      <c r="E1335" s="41">
        <v>46169</v>
      </c>
      <c r="F1335" s="47">
        <v>0.43091435185185184</v>
      </c>
      <c r="G1335" s="44">
        <v>6.3</v>
      </c>
      <c r="H1335" s="43" t="s">
        <v>227</v>
      </c>
      <c r="I1335" s="40" t="s">
        <v>1300</v>
      </c>
    </row>
    <row r="1336" spans="1:9" x14ac:dyDescent="0.2">
      <c r="A1336" s="40" t="s">
        <v>213</v>
      </c>
      <c r="B1336" s="28">
        <v>1537</v>
      </c>
      <c r="C1336" s="28" t="s">
        <v>639</v>
      </c>
      <c r="D1336" s="28"/>
      <c r="E1336" s="45">
        <v>46170</v>
      </c>
      <c r="F1336" s="48">
        <v>0.64100694444444439</v>
      </c>
      <c r="G1336" s="44">
        <v>6.3</v>
      </c>
      <c r="H1336" s="43" t="s">
        <v>228</v>
      </c>
      <c r="I1336" s="40" t="s">
        <v>1300</v>
      </c>
    </row>
    <row r="1337" spans="1:9" x14ac:dyDescent="0.2">
      <c r="A1337" s="40" t="s">
        <v>213</v>
      </c>
      <c r="B1337" s="28">
        <v>1537</v>
      </c>
      <c r="C1337" s="28" t="s">
        <v>639</v>
      </c>
      <c r="D1337" s="28"/>
      <c r="E1337" s="41">
        <v>46170</v>
      </c>
      <c r="F1337" s="47">
        <v>0.65597222222222218</v>
      </c>
      <c r="G1337" s="44">
        <v>6.3</v>
      </c>
      <c r="H1337" s="43" t="s">
        <v>229</v>
      </c>
      <c r="I1337" s="40" t="s">
        <v>1300</v>
      </c>
    </row>
    <row r="1338" spans="1:9" x14ac:dyDescent="0.2">
      <c r="A1338" s="40" t="s">
        <v>213</v>
      </c>
      <c r="B1338" s="28">
        <v>1537</v>
      </c>
      <c r="C1338" s="28">
        <v>10765506</v>
      </c>
      <c r="D1338" s="28"/>
      <c r="E1338" s="45">
        <v>46171</v>
      </c>
      <c r="F1338" s="48">
        <v>0.60133101851851856</v>
      </c>
      <c r="G1338" s="44">
        <v>6.3</v>
      </c>
      <c r="H1338" s="43" t="s">
        <v>228</v>
      </c>
      <c r="I1338" s="40" t="s">
        <v>1300</v>
      </c>
    </row>
    <row r="1339" spans="1:9" x14ac:dyDescent="0.2">
      <c r="A1339" s="40" t="s">
        <v>213</v>
      </c>
      <c r="B1339" s="28">
        <v>1537</v>
      </c>
      <c r="C1339" s="28">
        <v>10765506</v>
      </c>
      <c r="D1339" s="28"/>
      <c r="E1339" s="41">
        <v>46171</v>
      </c>
      <c r="F1339" s="47">
        <v>0.61326388888888894</v>
      </c>
      <c r="G1339" s="44">
        <v>6.3</v>
      </c>
      <c r="H1339" s="43" t="s">
        <v>229</v>
      </c>
      <c r="I1339" s="40" t="s">
        <v>1300</v>
      </c>
    </row>
    <row r="1340" spans="1:9" x14ac:dyDescent="0.2">
      <c r="A1340" s="40" t="s">
        <v>213</v>
      </c>
      <c r="B1340" s="28">
        <v>1537</v>
      </c>
      <c r="C1340" s="28" t="s">
        <v>35</v>
      </c>
      <c r="D1340" s="28" t="s">
        <v>38</v>
      </c>
      <c r="E1340" s="45">
        <v>46172</v>
      </c>
      <c r="F1340" s="48">
        <v>0.87983796296296302</v>
      </c>
      <c r="G1340" s="44">
        <v>6.3</v>
      </c>
      <c r="H1340" s="43" t="s">
        <v>228</v>
      </c>
      <c r="I1340" s="40" t="s">
        <v>1300</v>
      </c>
    </row>
    <row r="1341" spans="1:9" x14ac:dyDescent="0.2">
      <c r="A1341" s="40" t="s">
        <v>213</v>
      </c>
      <c r="B1341" s="28">
        <v>1537</v>
      </c>
      <c r="C1341" s="28" t="s">
        <v>35</v>
      </c>
      <c r="D1341" s="28" t="s">
        <v>38</v>
      </c>
      <c r="E1341" s="41">
        <v>46172</v>
      </c>
      <c r="F1341" s="47">
        <v>0.88863425925925921</v>
      </c>
      <c r="G1341" s="44">
        <v>6.3</v>
      </c>
      <c r="H1341" s="43" t="s">
        <v>229</v>
      </c>
      <c r="I1341" s="40" t="s">
        <v>1300</v>
      </c>
    </row>
    <row r="1342" spans="1:9" x14ac:dyDescent="0.2">
      <c r="A1342" s="40" t="s">
        <v>213</v>
      </c>
      <c r="B1342" s="28">
        <v>1537</v>
      </c>
      <c r="C1342" s="28" t="s">
        <v>35</v>
      </c>
      <c r="D1342" s="28" t="s">
        <v>38</v>
      </c>
      <c r="E1342" s="41">
        <v>46173</v>
      </c>
      <c r="F1342" s="47">
        <v>0.14085648148148147</v>
      </c>
      <c r="G1342" s="44">
        <v>6.3</v>
      </c>
      <c r="H1342" s="43" t="s">
        <v>230</v>
      </c>
      <c r="I1342" s="40" t="s">
        <v>1300</v>
      </c>
    </row>
    <row r="1343" spans="1:9" x14ac:dyDescent="0.2">
      <c r="A1343" s="40" t="s">
        <v>224</v>
      </c>
      <c r="B1343" s="28">
        <v>1541</v>
      </c>
      <c r="C1343" s="28">
        <v>5685274</v>
      </c>
      <c r="D1343" s="28" t="s">
        <v>37</v>
      </c>
      <c r="E1343" s="45">
        <v>46167</v>
      </c>
      <c r="F1343" s="48">
        <v>0.14618055555555556</v>
      </c>
      <c r="G1343" s="44">
        <v>6.3</v>
      </c>
      <c r="H1343" s="43" t="s">
        <v>230</v>
      </c>
      <c r="I1343" s="40" t="s">
        <v>1300</v>
      </c>
    </row>
    <row r="1344" spans="1:9" x14ac:dyDescent="0.2">
      <c r="A1344" s="40" t="s">
        <v>224</v>
      </c>
      <c r="B1344" s="28">
        <v>1541</v>
      </c>
      <c r="C1344" s="28">
        <v>5685328</v>
      </c>
      <c r="D1344" s="28"/>
      <c r="E1344" s="41">
        <v>46167</v>
      </c>
      <c r="F1344" s="47">
        <v>0.2116550925925926</v>
      </c>
      <c r="G1344" s="44">
        <v>6.3</v>
      </c>
      <c r="H1344" s="43" t="s">
        <v>230</v>
      </c>
      <c r="I1344" s="40" t="s">
        <v>1300</v>
      </c>
    </row>
    <row r="1345" spans="1:9" x14ac:dyDescent="0.2">
      <c r="A1345" s="40" t="s">
        <v>224</v>
      </c>
      <c r="B1345" s="28">
        <v>1541</v>
      </c>
      <c r="C1345" s="28">
        <v>5685328</v>
      </c>
      <c r="D1345" s="28"/>
      <c r="E1345" s="41">
        <v>46167</v>
      </c>
      <c r="F1345" s="47">
        <v>0.2165162037037037</v>
      </c>
      <c r="G1345" s="44">
        <v>6.3</v>
      </c>
      <c r="H1345" s="43" t="s">
        <v>227</v>
      </c>
      <c r="I1345" s="40" t="s">
        <v>1300</v>
      </c>
    </row>
    <row r="1346" spans="1:9" x14ac:dyDescent="0.2">
      <c r="A1346" s="40" t="s">
        <v>224</v>
      </c>
      <c r="B1346" s="28">
        <v>1541</v>
      </c>
      <c r="C1346" s="28" t="s">
        <v>640</v>
      </c>
      <c r="D1346" s="28"/>
      <c r="E1346" s="41">
        <v>46168</v>
      </c>
      <c r="F1346" s="47">
        <v>4.3854166666666666E-2</v>
      </c>
      <c r="G1346" s="44">
        <v>6.3</v>
      </c>
      <c r="H1346" s="43" t="s">
        <v>228</v>
      </c>
      <c r="I1346" s="40" t="s">
        <v>1300</v>
      </c>
    </row>
    <row r="1347" spans="1:9" x14ac:dyDescent="0.2">
      <c r="A1347" s="40" t="s">
        <v>224</v>
      </c>
      <c r="B1347" s="28">
        <v>1541</v>
      </c>
      <c r="C1347" s="28" t="s">
        <v>640</v>
      </c>
      <c r="D1347" s="28"/>
      <c r="E1347" s="41">
        <v>46168</v>
      </c>
      <c r="F1347" s="47">
        <v>5.0219907407407408E-2</v>
      </c>
      <c r="G1347" s="42">
        <v>6.3</v>
      </c>
      <c r="H1347" s="40" t="s">
        <v>229</v>
      </c>
      <c r="I1347" s="40" t="s">
        <v>1300</v>
      </c>
    </row>
    <row r="1348" spans="1:9" x14ac:dyDescent="0.2">
      <c r="A1348" s="40" t="s">
        <v>224</v>
      </c>
      <c r="B1348" s="28">
        <v>1541</v>
      </c>
      <c r="C1348" s="28">
        <v>5693896</v>
      </c>
      <c r="D1348" s="28"/>
      <c r="E1348" s="41">
        <v>46171</v>
      </c>
      <c r="F1348" s="47">
        <v>0.87936342592592598</v>
      </c>
      <c r="G1348" s="42">
        <v>6.3</v>
      </c>
      <c r="H1348" s="40" t="s">
        <v>228</v>
      </c>
      <c r="I1348" s="40" t="s">
        <v>1300</v>
      </c>
    </row>
    <row r="1349" spans="1:9" x14ac:dyDescent="0.2">
      <c r="A1349" s="40" t="s">
        <v>224</v>
      </c>
      <c r="B1349" s="28">
        <v>1541</v>
      </c>
      <c r="C1349" s="28">
        <v>5693896</v>
      </c>
      <c r="D1349" s="28"/>
      <c r="E1349" s="41">
        <v>46171</v>
      </c>
      <c r="F1349" s="47">
        <v>0.88687499999999997</v>
      </c>
      <c r="G1349" s="42">
        <v>6.3</v>
      </c>
      <c r="H1349" s="40" t="s">
        <v>229</v>
      </c>
      <c r="I1349" s="40" t="s">
        <v>1300</v>
      </c>
    </row>
    <row r="1350" spans="1:9" x14ac:dyDescent="0.2">
      <c r="A1350" s="40" t="s">
        <v>224</v>
      </c>
      <c r="B1350" s="28">
        <v>1541</v>
      </c>
      <c r="C1350" s="28" t="s">
        <v>641</v>
      </c>
      <c r="D1350" s="28"/>
      <c r="E1350" s="41">
        <v>46173</v>
      </c>
      <c r="F1350" s="47">
        <v>0.92047453703703708</v>
      </c>
      <c r="G1350" s="42">
        <v>6.3</v>
      </c>
      <c r="H1350" s="40" t="s">
        <v>228</v>
      </c>
      <c r="I1350" s="40" t="s">
        <v>1300</v>
      </c>
    </row>
    <row r="1351" spans="1:9" x14ac:dyDescent="0.2">
      <c r="A1351" s="40" t="s">
        <v>409</v>
      </c>
      <c r="B1351" s="28">
        <v>1543</v>
      </c>
      <c r="C1351" s="28" t="s">
        <v>35</v>
      </c>
      <c r="D1351" s="28" t="s">
        <v>38</v>
      </c>
      <c r="E1351" s="41">
        <v>46168</v>
      </c>
      <c r="F1351" s="47">
        <v>0.43930555555555556</v>
      </c>
      <c r="G1351" s="44">
        <v>6.3</v>
      </c>
      <c r="H1351" s="43" t="s">
        <v>228</v>
      </c>
      <c r="I1351" s="40" t="s">
        <v>1300</v>
      </c>
    </row>
    <row r="1352" spans="1:9" x14ac:dyDescent="0.2">
      <c r="A1352" s="40" t="s">
        <v>409</v>
      </c>
      <c r="B1352" s="28">
        <v>1543</v>
      </c>
      <c r="C1352" s="28" t="s">
        <v>35</v>
      </c>
      <c r="D1352" s="28" t="s">
        <v>38</v>
      </c>
      <c r="E1352" s="41">
        <v>46168</v>
      </c>
      <c r="F1352" s="47">
        <v>0.44520833333333332</v>
      </c>
      <c r="G1352" s="44">
        <v>6.3</v>
      </c>
      <c r="H1352" s="43" t="s">
        <v>233</v>
      </c>
      <c r="I1352" s="40" t="s">
        <v>1300</v>
      </c>
    </row>
    <row r="1353" spans="1:9" x14ac:dyDescent="0.2">
      <c r="A1353" s="40" t="s">
        <v>409</v>
      </c>
      <c r="B1353" s="28">
        <v>1543</v>
      </c>
      <c r="C1353" s="28" t="s">
        <v>35</v>
      </c>
      <c r="D1353" s="28" t="s">
        <v>38</v>
      </c>
      <c r="E1353" s="45">
        <v>46168</v>
      </c>
      <c r="F1353" s="48">
        <v>0.61791666666666667</v>
      </c>
      <c r="G1353" s="44">
        <v>6.3</v>
      </c>
      <c r="H1353" s="43" t="s">
        <v>234</v>
      </c>
      <c r="I1353" s="40" t="s">
        <v>1300</v>
      </c>
    </row>
    <row r="1354" spans="1:9" x14ac:dyDescent="0.2">
      <c r="A1354" s="40" t="s">
        <v>409</v>
      </c>
      <c r="B1354" s="28">
        <v>1543</v>
      </c>
      <c r="C1354" s="28" t="s">
        <v>35</v>
      </c>
      <c r="D1354" s="28" t="s">
        <v>38</v>
      </c>
      <c r="E1354" s="41">
        <v>46168</v>
      </c>
      <c r="F1354" s="47">
        <v>0.6224305555555556</v>
      </c>
      <c r="G1354" s="44">
        <v>6.3</v>
      </c>
      <c r="H1354" s="43" t="s">
        <v>227</v>
      </c>
      <c r="I1354" s="40" t="s">
        <v>1300</v>
      </c>
    </row>
    <row r="1355" spans="1:9" x14ac:dyDescent="0.2">
      <c r="A1355" s="40" t="s">
        <v>409</v>
      </c>
      <c r="B1355" s="28">
        <v>1543</v>
      </c>
      <c r="C1355" s="28">
        <v>5688957</v>
      </c>
      <c r="D1355" s="28"/>
      <c r="E1355" s="41">
        <v>46169</v>
      </c>
      <c r="F1355" s="47">
        <v>0.33672453703703703</v>
      </c>
      <c r="G1355" s="44">
        <v>6.3</v>
      </c>
      <c r="H1355" s="43" t="s">
        <v>228</v>
      </c>
      <c r="I1355" s="40" t="s">
        <v>1300</v>
      </c>
    </row>
    <row r="1356" spans="1:9" x14ac:dyDescent="0.2">
      <c r="A1356" s="40" t="s">
        <v>409</v>
      </c>
      <c r="B1356" s="28">
        <v>1543</v>
      </c>
      <c r="C1356" s="28">
        <v>5688957</v>
      </c>
      <c r="D1356" s="28"/>
      <c r="E1356" s="41">
        <v>46169</v>
      </c>
      <c r="F1356" s="47">
        <v>0.35130787037037037</v>
      </c>
      <c r="G1356" s="44">
        <v>6.3</v>
      </c>
      <c r="H1356" s="43" t="s">
        <v>229</v>
      </c>
      <c r="I1356" s="40" t="s">
        <v>1300</v>
      </c>
    </row>
    <row r="1357" spans="1:9" x14ac:dyDescent="0.2">
      <c r="A1357" s="40" t="s">
        <v>409</v>
      </c>
      <c r="B1357" s="28">
        <v>1543</v>
      </c>
      <c r="C1357" s="28">
        <v>5689281</v>
      </c>
      <c r="D1357" s="28"/>
      <c r="E1357" s="41">
        <v>46169</v>
      </c>
      <c r="F1357" s="47">
        <v>0.41479166666666667</v>
      </c>
      <c r="G1357" s="44">
        <v>6.3</v>
      </c>
      <c r="H1357" s="43" t="s">
        <v>230</v>
      </c>
      <c r="I1357" s="40" t="s">
        <v>1300</v>
      </c>
    </row>
    <row r="1358" spans="1:9" x14ac:dyDescent="0.2">
      <c r="A1358" s="40" t="s">
        <v>409</v>
      </c>
      <c r="B1358" s="28">
        <v>1543</v>
      </c>
      <c r="C1358" s="28">
        <v>5689281</v>
      </c>
      <c r="D1358" s="28"/>
      <c r="E1358" s="41">
        <v>46169</v>
      </c>
      <c r="F1358" s="47">
        <v>0.42092592592592593</v>
      </c>
      <c r="G1358" s="44">
        <v>6.3</v>
      </c>
      <c r="H1358" s="43" t="s">
        <v>227</v>
      </c>
      <c r="I1358" s="40" t="s">
        <v>1300</v>
      </c>
    </row>
    <row r="1359" spans="1:9" x14ac:dyDescent="0.2">
      <c r="A1359" s="40" t="s">
        <v>409</v>
      </c>
      <c r="B1359" s="28">
        <v>1543</v>
      </c>
      <c r="C1359" s="28" t="s">
        <v>642</v>
      </c>
      <c r="D1359" s="28"/>
      <c r="E1359" s="45">
        <v>46169</v>
      </c>
      <c r="F1359" s="48">
        <v>0.52208333333333334</v>
      </c>
      <c r="G1359" s="44">
        <v>6.3</v>
      </c>
      <c r="H1359" s="43" t="s">
        <v>229</v>
      </c>
      <c r="I1359" s="40" t="s">
        <v>1300</v>
      </c>
    </row>
    <row r="1360" spans="1:9" x14ac:dyDescent="0.2">
      <c r="A1360" s="40" t="s">
        <v>409</v>
      </c>
      <c r="B1360" s="28">
        <v>1543</v>
      </c>
      <c r="C1360" s="28" t="s">
        <v>35</v>
      </c>
      <c r="D1360" s="28" t="s">
        <v>38</v>
      </c>
      <c r="E1360" s="41">
        <v>46172</v>
      </c>
      <c r="F1360" s="47">
        <v>0.40136574074074072</v>
      </c>
      <c r="G1360" s="44">
        <v>6.3</v>
      </c>
      <c r="H1360" s="43" t="s">
        <v>227</v>
      </c>
      <c r="I1360" s="40" t="s">
        <v>1300</v>
      </c>
    </row>
    <row r="1361" spans="1:9" x14ac:dyDescent="0.2">
      <c r="A1361" s="40" t="s">
        <v>282</v>
      </c>
      <c r="B1361" s="28">
        <v>1549</v>
      </c>
      <c r="C1361" s="28">
        <v>5685195</v>
      </c>
      <c r="D1361" s="28"/>
      <c r="E1361" s="41">
        <v>46167</v>
      </c>
      <c r="F1361" s="47">
        <v>0.30538194444444444</v>
      </c>
      <c r="G1361" s="44">
        <v>6.3</v>
      </c>
      <c r="H1361" s="43" t="s">
        <v>228</v>
      </c>
      <c r="I1361" s="40" t="s">
        <v>1300</v>
      </c>
    </row>
    <row r="1362" spans="1:9" x14ac:dyDescent="0.2">
      <c r="A1362" s="40" t="s">
        <v>282</v>
      </c>
      <c r="B1362" s="28">
        <v>1549</v>
      </c>
      <c r="C1362" s="28">
        <v>5688544</v>
      </c>
      <c r="D1362" s="28"/>
      <c r="E1362" s="41">
        <v>46169</v>
      </c>
      <c r="F1362" s="47">
        <v>0.30657407407407405</v>
      </c>
      <c r="G1362" s="44">
        <v>6.3</v>
      </c>
      <c r="H1362" s="43" t="s">
        <v>228</v>
      </c>
      <c r="I1362" s="40" t="s">
        <v>1300</v>
      </c>
    </row>
    <row r="1363" spans="1:9" x14ac:dyDescent="0.2">
      <c r="A1363" s="40" t="s">
        <v>282</v>
      </c>
      <c r="B1363" s="28">
        <v>1549</v>
      </c>
      <c r="C1363" s="28">
        <v>5691764</v>
      </c>
      <c r="D1363" s="28"/>
      <c r="E1363" s="41">
        <v>46170</v>
      </c>
      <c r="F1363" s="47">
        <v>0.75491898148148151</v>
      </c>
      <c r="G1363" s="44">
        <v>6.3</v>
      </c>
      <c r="H1363" s="43" t="s">
        <v>231</v>
      </c>
      <c r="I1363" s="40" t="s">
        <v>1300</v>
      </c>
    </row>
    <row r="1364" spans="1:9" x14ac:dyDescent="0.2">
      <c r="A1364" s="40" t="s">
        <v>282</v>
      </c>
      <c r="B1364" s="28">
        <v>1549</v>
      </c>
      <c r="C1364" s="28">
        <v>5693218</v>
      </c>
      <c r="D1364" s="28"/>
      <c r="E1364" s="41">
        <v>46171</v>
      </c>
      <c r="F1364" s="47">
        <v>0.63850694444444445</v>
      </c>
      <c r="G1364" s="42">
        <v>6.3</v>
      </c>
      <c r="H1364" s="40" t="s">
        <v>228</v>
      </c>
      <c r="I1364" s="40" t="s">
        <v>1300</v>
      </c>
    </row>
    <row r="1365" spans="1:9" x14ac:dyDescent="0.2">
      <c r="A1365" s="40" t="s">
        <v>282</v>
      </c>
      <c r="B1365" s="28">
        <v>1549</v>
      </c>
      <c r="C1365" s="28">
        <v>5693218</v>
      </c>
      <c r="D1365" s="28"/>
      <c r="E1365" s="41">
        <v>46171</v>
      </c>
      <c r="F1365" s="47">
        <v>0.64876157407407409</v>
      </c>
      <c r="G1365" s="42">
        <v>6.3</v>
      </c>
      <c r="H1365" s="40" t="s">
        <v>229</v>
      </c>
      <c r="I1365" s="40" t="s">
        <v>1300</v>
      </c>
    </row>
    <row r="1366" spans="1:9" x14ac:dyDescent="0.2">
      <c r="A1366" s="40" t="s">
        <v>282</v>
      </c>
      <c r="B1366" s="28">
        <v>1549</v>
      </c>
      <c r="C1366" s="28">
        <v>5693522</v>
      </c>
      <c r="D1366" s="28"/>
      <c r="E1366" s="41">
        <v>46171</v>
      </c>
      <c r="F1366" s="47">
        <v>0.69252314814814819</v>
      </c>
      <c r="G1366" s="44">
        <v>6.3</v>
      </c>
      <c r="H1366" s="43" t="s">
        <v>230</v>
      </c>
      <c r="I1366" s="40" t="s">
        <v>1300</v>
      </c>
    </row>
    <row r="1367" spans="1:9" x14ac:dyDescent="0.2">
      <c r="A1367" s="40" t="s">
        <v>301</v>
      </c>
      <c r="B1367" s="28">
        <v>1550</v>
      </c>
      <c r="C1367" s="28">
        <v>5684297</v>
      </c>
      <c r="D1367" s="28"/>
      <c r="E1367" s="41">
        <v>46167</v>
      </c>
      <c r="F1367" s="47">
        <v>0.17454861111111111</v>
      </c>
      <c r="G1367" s="44">
        <v>6.3</v>
      </c>
      <c r="H1367" s="43" t="s">
        <v>227</v>
      </c>
      <c r="I1367" s="40" t="s">
        <v>1300</v>
      </c>
    </row>
    <row r="1368" spans="1:9" x14ac:dyDescent="0.2">
      <c r="A1368" s="40" t="s">
        <v>301</v>
      </c>
      <c r="B1368" s="28">
        <v>1550</v>
      </c>
      <c r="C1368" s="28" t="s">
        <v>35</v>
      </c>
      <c r="D1368" s="28" t="s">
        <v>38</v>
      </c>
      <c r="E1368" s="41">
        <v>46167</v>
      </c>
      <c r="F1368" s="47">
        <v>0.20256944444444444</v>
      </c>
      <c r="G1368" s="44">
        <v>6.3</v>
      </c>
      <c r="H1368" s="43" t="s">
        <v>228</v>
      </c>
      <c r="I1368" s="40" t="s">
        <v>1300</v>
      </c>
    </row>
    <row r="1369" spans="1:9" x14ac:dyDescent="0.2">
      <c r="A1369" s="40" t="s">
        <v>301</v>
      </c>
      <c r="B1369" s="28">
        <v>1550</v>
      </c>
      <c r="C1369" s="28">
        <v>5685167</v>
      </c>
      <c r="D1369" s="28" t="s">
        <v>37</v>
      </c>
      <c r="E1369" s="41">
        <v>46167</v>
      </c>
      <c r="F1369" s="47">
        <v>0.25410879629629629</v>
      </c>
      <c r="G1369" s="44">
        <v>6.3</v>
      </c>
      <c r="H1369" s="43" t="s">
        <v>227</v>
      </c>
      <c r="I1369" s="40" t="s">
        <v>1300</v>
      </c>
    </row>
    <row r="1370" spans="1:9" x14ac:dyDescent="0.2">
      <c r="A1370" s="40" t="s">
        <v>301</v>
      </c>
      <c r="B1370" s="28">
        <v>1550</v>
      </c>
      <c r="C1370" s="28">
        <v>5685567</v>
      </c>
      <c r="D1370" s="28"/>
      <c r="E1370" s="41">
        <v>46167</v>
      </c>
      <c r="F1370" s="47">
        <v>0.36222222222222222</v>
      </c>
      <c r="G1370" s="44">
        <v>6.3</v>
      </c>
      <c r="H1370" s="43" t="s">
        <v>228</v>
      </c>
      <c r="I1370" s="40" t="s">
        <v>1300</v>
      </c>
    </row>
    <row r="1371" spans="1:9" x14ac:dyDescent="0.2">
      <c r="A1371" s="40" t="s">
        <v>301</v>
      </c>
      <c r="B1371" s="28">
        <v>1550</v>
      </c>
      <c r="C1371" s="28">
        <v>5685567</v>
      </c>
      <c r="D1371" s="28"/>
      <c r="E1371" s="41">
        <v>46167</v>
      </c>
      <c r="F1371" s="47">
        <v>0.37473379629629627</v>
      </c>
      <c r="G1371" s="44">
        <v>6.3</v>
      </c>
      <c r="H1371" s="43" t="s">
        <v>232</v>
      </c>
      <c r="I1371" s="40" t="s">
        <v>1300</v>
      </c>
    </row>
    <row r="1372" spans="1:9" x14ac:dyDescent="0.2">
      <c r="A1372" s="40" t="s">
        <v>301</v>
      </c>
      <c r="B1372" s="28">
        <v>1550</v>
      </c>
      <c r="C1372" s="28" t="s">
        <v>35</v>
      </c>
      <c r="D1372" s="28" t="s">
        <v>38</v>
      </c>
      <c r="E1372" s="41">
        <v>46167</v>
      </c>
      <c r="F1372" s="47">
        <v>0.39283564814814814</v>
      </c>
      <c r="G1372" s="44">
        <v>6.3</v>
      </c>
      <c r="H1372" s="43" t="s">
        <v>231</v>
      </c>
      <c r="I1372" s="40" t="s">
        <v>1300</v>
      </c>
    </row>
    <row r="1373" spans="1:9" x14ac:dyDescent="0.2">
      <c r="A1373" s="40" t="s">
        <v>301</v>
      </c>
      <c r="B1373" s="28">
        <v>1550</v>
      </c>
      <c r="C1373" s="28" t="s">
        <v>35</v>
      </c>
      <c r="D1373" s="28" t="s">
        <v>38</v>
      </c>
      <c r="E1373" s="41">
        <v>46167</v>
      </c>
      <c r="F1373" s="47">
        <v>0.39962962962962961</v>
      </c>
      <c r="G1373" s="44">
        <v>6.3</v>
      </c>
      <c r="H1373" s="43" t="s">
        <v>227</v>
      </c>
      <c r="I1373" s="40" t="s">
        <v>1300</v>
      </c>
    </row>
    <row r="1374" spans="1:9" x14ac:dyDescent="0.2">
      <c r="A1374" s="40" t="s">
        <v>301</v>
      </c>
      <c r="B1374" s="28">
        <v>1550</v>
      </c>
      <c r="C1374" s="28" t="s">
        <v>35</v>
      </c>
      <c r="D1374" s="28" t="s">
        <v>38</v>
      </c>
      <c r="E1374" s="41">
        <v>46168</v>
      </c>
      <c r="F1374" s="47">
        <v>0.67934027777777772</v>
      </c>
      <c r="G1374" s="44">
        <v>6.3</v>
      </c>
      <c r="H1374" s="43" t="s">
        <v>227</v>
      </c>
      <c r="I1374" s="40" t="s">
        <v>1300</v>
      </c>
    </row>
    <row r="1375" spans="1:9" x14ac:dyDescent="0.2">
      <c r="A1375" s="40" t="s">
        <v>301</v>
      </c>
      <c r="B1375" s="28">
        <v>1550</v>
      </c>
      <c r="C1375" s="28" t="s">
        <v>643</v>
      </c>
      <c r="D1375" s="28"/>
      <c r="E1375" s="41">
        <v>46170</v>
      </c>
      <c r="F1375" s="47">
        <v>0.37793981481481481</v>
      </c>
      <c r="G1375" s="44">
        <v>6.3</v>
      </c>
      <c r="H1375" s="43" t="s">
        <v>228</v>
      </c>
      <c r="I1375" s="40" t="s">
        <v>1300</v>
      </c>
    </row>
    <row r="1376" spans="1:9" x14ac:dyDescent="0.2">
      <c r="A1376" s="40" t="s">
        <v>301</v>
      </c>
      <c r="B1376" s="28">
        <v>1550</v>
      </c>
      <c r="C1376" s="28" t="s">
        <v>643</v>
      </c>
      <c r="D1376" s="28"/>
      <c r="E1376" s="41">
        <v>46170</v>
      </c>
      <c r="F1376" s="47">
        <v>0.39420138888888889</v>
      </c>
      <c r="G1376" s="44">
        <v>6.3</v>
      </c>
      <c r="H1376" s="43" t="s">
        <v>229</v>
      </c>
      <c r="I1376" s="40" t="s">
        <v>1300</v>
      </c>
    </row>
    <row r="1377" spans="1:9" x14ac:dyDescent="0.2">
      <c r="A1377" s="40" t="s">
        <v>301</v>
      </c>
      <c r="B1377" s="28">
        <v>1550</v>
      </c>
      <c r="C1377" s="28" t="s">
        <v>35</v>
      </c>
      <c r="D1377" s="28" t="s">
        <v>38</v>
      </c>
      <c r="E1377" s="41">
        <v>46170</v>
      </c>
      <c r="F1377" s="47">
        <v>0.43341435185185184</v>
      </c>
      <c r="G1377" s="44">
        <v>6.3</v>
      </c>
      <c r="H1377" s="43" t="s">
        <v>230</v>
      </c>
      <c r="I1377" s="40" t="s">
        <v>1300</v>
      </c>
    </row>
    <row r="1378" spans="1:9" x14ac:dyDescent="0.2">
      <c r="A1378" s="40" t="s">
        <v>301</v>
      </c>
      <c r="B1378" s="28">
        <v>1550</v>
      </c>
      <c r="C1378" s="28" t="s">
        <v>35</v>
      </c>
      <c r="D1378" s="28" t="s">
        <v>38</v>
      </c>
      <c r="E1378" s="41">
        <v>46170</v>
      </c>
      <c r="F1378" s="47">
        <v>0.43899305555555557</v>
      </c>
      <c r="G1378" s="44">
        <v>6.3</v>
      </c>
      <c r="H1378" s="43" t="s">
        <v>227</v>
      </c>
      <c r="I1378" s="40" t="s">
        <v>1300</v>
      </c>
    </row>
    <row r="1379" spans="1:9" x14ac:dyDescent="0.2">
      <c r="A1379" s="40" t="s">
        <v>301</v>
      </c>
      <c r="B1379" s="28">
        <v>1550</v>
      </c>
      <c r="C1379" s="28">
        <v>5691263</v>
      </c>
      <c r="D1379" s="28"/>
      <c r="E1379" s="41">
        <v>46170</v>
      </c>
      <c r="F1379" s="47">
        <v>0.51545138888888886</v>
      </c>
      <c r="G1379" s="44">
        <v>6.3</v>
      </c>
      <c r="H1379" s="43" t="s">
        <v>228</v>
      </c>
      <c r="I1379" s="40" t="s">
        <v>1300</v>
      </c>
    </row>
    <row r="1380" spans="1:9" x14ac:dyDescent="0.2">
      <c r="A1380" s="40" t="s">
        <v>301</v>
      </c>
      <c r="B1380" s="28">
        <v>1550</v>
      </c>
      <c r="C1380" s="28">
        <v>5691263</v>
      </c>
      <c r="D1380" s="28"/>
      <c r="E1380" s="41">
        <v>46170</v>
      </c>
      <c r="F1380" s="47">
        <v>0.53006944444444448</v>
      </c>
      <c r="G1380" s="44">
        <v>6.3</v>
      </c>
      <c r="H1380" s="43" t="s">
        <v>229</v>
      </c>
      <c r="I1380" s="40" t="s">
        <v>1300</v>
      </c>
    </row>
    <row r="1381" spans="1:9" x14ac:dyDescent="0.2">
      <c r="A1381" s="40" t="s">
        <v>301</v>
      </c>
      <c r="B1381" s="28">
        <v>1550</v>
      </c>
      <c r="C1381" s="28">
        <v>5692392</v>
      </c>
      <c r="D1381" s="28"/>
      <c r="E1381" s="41">
        <v>46171</v>
      </c>
      <c r="F1381" s="47">
        <v>0.38633101851851853</v>
      </c>
      <c r="G1381" s="44">
        <v>6.3</v>
      </c>
      <c r="H1381" s="43" t="s">
        <v>230</v>
      </c>
      <c r="I1381" s="40" t="s">
        <v>1300</v>
      </c>
    </row>
    <row r="1382" spans="1:9" x14ac:dyDescent="0.2">
      <c r="A1382" s="40" t="s">
        <v>301</v>
      </c>
      <c r="B1382" s="28">
        <v>1550</v>
      </c>
      <c r="C1382" s="28">
        <v>5692392</v>
      </c>
      <c r="D1382" s="28"/>
      <c r="E1382" s="41">
        <v>46171</v>
      </c>
      <c r="F1382" s="47">
        <v>0.39384259259259258</v>
      </c>
      <c r="G1382" s="44">
        <v>6.3</v>
      </c>
      <c r="H1382" s="43" t="s">
        <v>227</v>
      </c>
      <c r="I1382" s="40" t="s">
        <v>1300</v>
      </c>
    </row>
    <row r="1383" spans="1:9" x14ac:dyDescent="0.2">
      <c r="A1383" s="40" t="s">
        <v>301</v>
      </c>
      <c r="B1383" s="28">
        <v>1550</v>
      </c>
      <c r="C1383" s="28">
        <v>5692653</v>
      </c>
      <c r="D1383" s="28" t="s">
        <v>37</v>
      </c>
      <c r="E1383" s="41">
        <v>46171</v>
      </c>
      <c r="F1383" s="47">
        <v>0.46111111111111114</v>
      </c>
      <c r="G1383" s="44">
        <v>6.3</v>
      </c>
      <c r="H1383" s="43" t="s">
        <v>228</v>
      </c>
      <c r="I1383" s="40" t="s">
        <v>1300</v>
      </c>
    </row>
    <row r="1384" spans="1:9" x14ac:dyDescent="0.2">
      <c r="A1384" s="40" t="s">
        <v>301</v>
      </c>
      <c r="B1384" s="28">
        <v>1550</v>
      </c>
      <c r="C1384" s="28">
        <v>5692653</v>
      </c>
      <c r="D1384" s="28" t="s">
        <v>37</v>
      </c>
      <c r="E1384" s="41">
        <v>46171</v>
      </c>
      <c r="F1384" s="47">
        <v>0.47017361111111111</v>
      </c>
      <c r="G1384" s="44">
        <v>6.3</v>
      </c>
      <c r="H1384" s="43" t="s">
        <v>229</v>
      </c>
      <c r="I1384" s="40" t="s">
        <v>1300</v>
      </c>
    </row>
    <row r="1385" spans="1:9" x14ac:dyDescent="0.2">
      <c r="A1385" s="40" t="s">
        <v>301</v>
      </c>
      <c r="B1385" s="28">
        <v>1550</v>
      </c>
      <c r="C1385" s="28">
        <v>5693002</v>
      </c>
      <c r="D1385" s="28" t="s">
        <v>37</v>
      </c>
      <c r="E1385" s="41">
        <v>46171</v>
      </c>
      <c r="F1385" s="47">
        <v>0.52329861111111109</v>
      </c>
      <c r="G1385" s="44">
        <v>6.3</v>
      </c>
      <c r="H1385" s="43" t="s">
        <v>230</v>
      </c>
      <c r="I1385" s="40" t="s">
        <v>1300</v>
      </c>
    </row>
    <row r="1386" spans="1:9" x14ac:dyDescent="0.2">
      <c r="A1386" s="40" t="s">
        <v>301</v>
      </c>
      <c r="B1386" s="28">
        <v>1550</v>
      </c>
      <c r="C1386" s="28">
        <v>5693002</v>
      </c>
      <c r="D1386" s="28" t="s">
        <v>37</v>
      </c>
      <c r="E1386" s="41">
        <v>46171</v>
      </c>
      <c r="F1386" s="47">
        <v>0.53689814814814818</v>
      </c>
      <c r="G1386" s="44">
        <v>6.3</v>
      </c>
      <c r="H1386" s="43" t="s">
        <v>227</v>
      </c>
      <c r="I1386" s="40" t="s">
        <v>1300</v>
      </c>
    </row>
    <row r="1387" spans="1:9" x14ac:dyDescent="0.2">
      <c r="A1387" s="40" t="s">
        <v>301</v>
      </c>
      <c r="B1387" s="28">
        <v>1550</v>
      </c>
      <c r="C1387" s="28" t="s">
        <v>644</v>
      </c>
      <c r="D1387" s="28"/>
      <c r="E1387" s="45">
        <v>46171</v>
      </c>
      <c r="F1387" s="48">
        <v>0.79018518518518521</v>
      </c>
      <c r="G1387" s="44">
        <v>6.3</v>
      </c>
      <c r="H1387" s="43" t="s">
        <v>228</v>
      </c>
      <c r="I1387" s="40" t="s">
        <v>1300</v>
      </c>
    </row>
    <row r="1388" spans="1:9" x14ac:dyDescent="0.2">
      <c r="A1388" s="40" t="s">
        <v>301</v>
      </c>
      <c r="B1388" s="28">
        <v>1550</v>
      </c>
      <c r="C1388" s="28" t="s">
        <v>644</v>
      </c>
      <c r="D1388" s="28"/>
      <c r="E1388" s="41">
        <v>46171</v>
      </c>
      <c r="F1388" s="47">
        <v>0.79876157407407411</v>
      </c>
      <c r="G1388" s="44">
        <v>6.3</v>
      </c>
      <c r="H1388" s="43" t="s">
        <v>229</v>
      </c>
      <c r="I1388" s="40" t="s">
        <v>1300</v>
      </c>
    </row>
    <row r="1389" spans="1:9" x14ac:dyDescent="0.2">
      <c r="A1389" s="40" t="s">
        <v>301</v>
      </c>
      <c r="B1389" s="28">
        <v>1550</v>
      </c>
      <c r="C1389" s="28" t="s">
        <v>35</v>
      </c>
      <c r="D1389" s="28" t="s">
        <v>38</v>
      </c>
      <c r="E1389" s="41">
        <v>46171</v>
      </c>
      <c r="F1389" s="47">
        <v>0.88255787037037037</v>
      </c>
      <c r="G1389" s="44">
        <v>6.3</v>
      </c>
      <c r="H1389" s="43" t="s">
        <v>227</v>
      </c>
      <c r="I1389" s="40" t="s">
        <v>1300</v>
      </c>
    </row>
    <row r="1390" spans="1:9" x14ac:dyDescent="0.2">
      <c r="A1390" s="40" t="s">
        <v>301</v>
      </c>
      <c r="B1390" s="28">
        <v>1550</v>
      </c>
      <c r="C1390" s="28" t="s">
        <v>645</v>
      </c>
      <c r="D1390" s="28"/>
      <c r="E1390" s="41">
        <v>46172</v>
      </c>
      <c r="F1390" s="47">
        <v>0.3294212962962963</v>
      </c>
      <c r="G1390" s="44">
        <v>6.3</v>
      </c>
      <c r="H1390" s="43" t="s">
        <v>228</v>
      </c>
      <c r="I1390" s="40" t="s">
        <v>1300</v>
      </c>
    </row>
    <row r="1391" spans="1:9" x14ac:dyDescent="0.2">
      <c r="A1391" s="40" t="s">
        <v>301</v>
      </c>
      <c r="B1391" s="28">
        <v>1550</v>
      </c>
      <c r="C1391" s="28" t="s">
        <v>645</v>
      </c>
      <c r="D1391" s="28"/>
      <c r="E1391" s="45">
        <v>46172</v>
      </c>
      <c r="F1391" s="48">
        <v>0.33766203703703701</v>
      </c>
      <c r="G1391" s="44">
        <v>6.3</v>
      </c>
      <c r="H1391" s="43" t="s">
        <v>229</v>
      </c>
      <c r="I1391" s="40" t="s">
        <v>1300</v>
      </c>
    </row>
    <row r="1392" spans="1:9" x14ac:dyDescent="0.2">
      <c r="A1392" s="40" t="s">
        <v>301</v>
      </c>
      <c r="B1392" s="28">
        <v>1550</v>
      </c>
      <c r="C1392" s="28" t="s">
        <v>646</v>
      </c>
      <c r="D1392" s="28"/>
      <c r="E1392" s="45">
        <v>46172</v>
      </c>
      <c r="F1392" s="48">
        <v>0.70224537037037038</v>
      </c>
      <c r="G1392" s="44">
        <v>6.3</v>
      </c>
      <c r="H1392" s="43" t="s">
        <v>228</v>
      </c>
      <c r="I1392" s="40" t="s">
        <v>1300</v>
      </c>
    </row>
    <row r="1393" spans="1:9" x14ac:dyDescent="0.2">
      <c r="A1393" s="40" t="s">
        <v>301</v>
      </c>
      <c r="B1393" s="28">
        <v>1550</v>
      </c>
      <c r="C1393" s="28" t="s">
        <v>646</v>
      </c>
      <c r="D1393" s="28"/>
      <c r="E1393" s="45">
        <v>46172</v>
      </c>
      <c r="F1393" s="48">
        <v>0.71149305555555553</v>
      </c>
      <c r="G1393" s="44">
        <v>6.3</v>
      </c>
      <c r="H1393" s="43" t="s">
        <v>229</v>
      </c>
      <c r="I1393" s="40" t="s">
        <v>1300</v>
      </c>
    </row>
    <row r="1394" spans="1:9" x14ac:dyDescent="0.2">
      <c r="A1394" s="40" t="s">
        <v>301</v>
      </c>
      <c r="B1394" s="28">
        <v>1550</v>
      </c>
      <c r="C1394" s="28" t="s">
        <v>35</v>
      </c>
      <c r="D1394" s="28" t="s">
        <v>38</v>
      </c>
      <c r="E1394" s="41">
        <v>46172</v>
      </c>
      <c r="F1394" s="47">
        <v>0.73519675925925931</v>
      </c>
      <c r="G1394" s="44">
        <v>6.3</v>
      </c>
      <c r="H1394" s="43" t="s">
        <v>230</v>
      </c>
      <c r="I1394" s="40" t="s">
        <v>1300</v>
      </c>
    </row>
    <row r="1395" spans="1:9" x14ac:dyDescent="0.2">
      <c r="A1395" s="40" t="s">
        <v>301</v>
      </c>
      <c r="B1395" s="28">
        <v>1550</v>
      </c>
      <c r="C1395" s="28" t="s">
        <v>35</v>
      </c>
      <c r="D1395" s="28" t="s">
        <v>38</v>
      </c>
      <c r="E1395" s="45">
        <v>46172</v>
      </c>
      <c r="F1395" s="48">
        <v>0.75157407407407406</v>
      </c>
      <c r="G1395" s="44">
        <v>6.3</v>
      </c>
      <c r="H1395" s="43" t="s">
        <v>227</v>
      </c>
      <c r="I1395" s="40" t="s">
        <v>1300</v>
      </c>
    </row>
    <row r="1396" spans="1:9" x14ac:dyDescent="0.2">
      <c r="A1396" s="40" t="s">
        <v>82</v>
      </c>
      <c r="B1396" s="28">
        <v>1553</v>
      </c>
      <c r="C1396" s="28">
        <v>5687150</v>
      </c>
      <c r="D1396" s="28" t="s">
        <v>37</v>
      </c>
      <c r="E1396" s="41">
        <v>46168</v>
      </c>
      <c r="F1396" s="47">
        <v>0.24531249999999999</v>
      </c>
      <c r="G1396" s="44">
        <v>6.3</v>
      </c>
      <c r="H1396" s="43" t="s">
        <v>230</v>
      </c>
      <c r="I1396" s="40" t="s">
        <v>1300</v>
      </c>
    </row>
    <row r="1397" spans="1:9" x14ac:dyDescent="0.2">
      <c r="A1397" s="40" t="s">
        <v>82</v>
      </c>
      <c r="B1397" s="28">
        <v>1553</v>
      </c>
      <c r="C1397" s="28">
        <v>5687150</v>
      </c>
      <c r="D1397" s="28" t="s">
        <v>37</v>
      </c>
      <c r="E1397" s="41">
        <v>46168</v>
      </c>
      <c r="F1397" s="47">
        <v>0.25108796296296299</v>
      </c>
      <c r="G1397" s="44">
        <v>6.3</v>
      </c>
      <c r="H1397" s="43" t="s">
        <v>227</v>
      </c>
      <c r="I1397" s="40" t="s">
        <v>1300</v>
      </c>
    </row>
    <row r="1398" spans="1:9" x14ac:dyDescent="0.2">
      <c r="A1398" s="40" t="s">
        <v>82</v>
      </c>
      <c r="B1398" s="28">
        <v>1553</v>
      </c>
      <c r="C1398" s="28" t="s">
        <v>647</v>
      </c>
      <c r="D1398" s="28"/>
      <c r="E1398" s="41">
        <v>46172</v>
      </c>
      <c r="F1398" s="47">
        <v>0.23143518518518519</v>
      </c>
      <c r="G1398" s="42">
        <v>6.3</v>
      </c>
      <c r="H1398" s="40" t="s">
        <v>228</v>
      </c>
      <c r="I1398" s="40" t="s">
        <v>1300</v>
      </c>
    </row>
    <row r="1399" spans="1:9" x14ac:dyDescent="0.2">
      <c r="A1399" s="40" t="s">
        <v>82</v>
      </c>
      <c r="B1399" s="28">
        <v>1553</v>
      </c>
      <c r="C1399" s="28" t="s">
        <v>647</v>
      </c>
      <c r="D1399" s="28"/>
      <c r="E1399" s="41">
        <v>46172</v>
      </c>
      <c r="F1399" s="47">
        <v>0.23916666666666667</v>
      </c>
      <c r="G1399" s="44">
        <v>6.3</v>
      </c>
      <c r="H1399" s="43" t="s">
        <v>229</v>
      </c>
      <c r="I1399" s="40" t="s">
        <v>1300</v>
      </c>
    </row>
    <row r="1400" spans="1:9" x14ac:dyDescent="0.2">
      <c r="A1400" s="40" t="s">
        <v>82</v>
      </c>
      <c r="B1400" s="28">
        <v>1553</v>
      </c>
      <c r="C1400" s="28">
        <v>5694391</v>
      </c>
      <c r="D1400" s="28"/>
      <c r="E1400" s="45">
        <v>46172</v>
      </c>
      <c r="F1400" s="48">
        <v>0.27644675925925927</v>
      </c>
      <c r="G1400" s="44">
        <v>6.3</v>
      </c>
      <c r="H1400" s="43" t="s">
        <v>230</v>
      </c>
      <c r="I1400" s="40" t="s">
        <v>1300</v>
      </c>
    </row>
    <row r="1401" spans="1:9" x14ac:dyDescent="0.2">
      <c r="A1401" s="40" t="s">
        <v>82</v>
      </c>
      <c r="B1401" s="28">
        <v>1553</v>
      </c>
      <c r="C1401" s="28">
        <v>5694391</v>
      </c>
      <c r="D1401" s="28"/>
      <c r="E1401" s="41">
        <v>46172</v>
      </c>
      <c r="F1401" s="47">
        <v>0.28269675925925924</v>
      </c>
      <c r="G1401" s="44">
        <v>6.3</v>
      </c>
      <c r="H1401" s="43" t="s">
        <v>227</v>
      </c>
      <c r="I1401" s="40" t="s">
        <v>1300</v>
      </c>
    </row>
    <row r="1402" spans="1:9" x14ac:dyDescent="0.2">
      <c r="A1402" s="40" t="s">
        <v>82</v>
      </c>
      <c r="B1402" s="28">
        <v>1553</v>
      </c>
      <c r="C1402" s="28">
        <v>5695308</v>
      </c>
      <c r="D1402" s="28"/>
      <c r="E1402" s="41">
        <v>46172</v>
      </c>
      <c r="F1402" s="47">
        <v>0.99309027777777781</v>
      </c>
      <c r="G1402" s="44">
        <v>6.3</v>
      </c>
      <c r="H1402" s="43" t="s">
        <v>228</v>
      </c>
      <c r="I1402" s="40" t="s">
        <v>1300</v>
      </c>
    </row>
    <row r="1403" spans="1:9" x14ac:dyDescent="0.2">
      <c r="A1403" s="40" t="s">
        <v>82</v>
      </c>
      <c r="B1403" s="28">
        <v>1553</v>
      </c>
      <c r="C1403" s="28">
        <v>5695308</v>
      </c>
      <c r="D1403" s="28"/>
      <c r="E1403" s="41">
        <v>46173</v>
      </c>
      <c r="F1403" s="47">
        <v>2.4305555555555555E-4</v>
      </c>
      <c r="G1403" s="44">
        <v>6.3</v>
      </c>
      <c r="H1403" s="43" t="s">
        <v>229</v>
      </c>
      <c r="I1403" s="40" t="s">
        <v>1300</v>
      </c>
    </row>
    <row r="1404" spans="1:9" x14ac:dyDescent="0.2">
      <c r="A1404" s="40" t="s">
        <v>82</v>
      </c>
      <c r="B1404" s="28">
        <v>1553</v>
      </c>
      <c r="C1404" s="28" t="s">
        <v>35</v>
      </c>
      <c r="D1404" s="28" t="s">
        <v>38</v>
      </c>
      <c r="E1404" s="41">
        <v>46173</v>
      </c>
      <c r="F1404" s="47">
        <v>0.26768518518518519</v>
      </c>
      <c r="G1404" s="44">
        <v>6.3</v>
      </c>
      <c r="H1404" s="43" t="s">
        <v>230</v>
      </c>
      <c r="I1404" s="40" t="s">
        <v>1300</v>
      </c>
    </row>
    <row r="1405" spans="1:9" x14ac:dyDescent="0.2">
      <c r="A1405" s="40" t="s">
        <v>82</v>
      </c>
      <c r="B1405" s="28">
        <v>1553</v>
      </c>
      <c r="C1405" s="28" t="s">
        <v>648</v>
      </c>
      <c r="D1405" s="28"/>
      <c r="E1405" s="41">
        <v>46173</v>
      </c>
      <c r="F1405" s="47">
        <v>0.68314814814814817</v>
      </c>
      <c r="G1405" s="44">
        <v>6.3</v>
      </c>
      <c r="H1405" s="43" t="s">
        <v>228</v>
      </c>
      <c r="I1405" s="40" t="s">
        <v>1300</v>
      </c>
    </row>
    <row r="1406" spans="1:9" x14ac:dyDescent="0.2">
      <c r="A1406" s="40" t="s">
        <v>328</v>
      </c>
      <c r="B1406" s="28">
        <v>1576</v>
      </c>
      <c r="C1406" s="28" t="s">
        <v>649</v>
      </c>
      <c r="D1406" s="28"/>
      <c r="E1406" s="41">
        <v>46167</v>
      </c>
      <c r="F1406" s="47">
        <v>0.83045138888888892</v>
      </c>
      <c r="G1406" s="44">
        <v>6.3</v>
      </c>
      <c r="H1406" s="43" t="s">
        <v>228</v>
      </c>
      <c r="I1406" s="40" t="s">
        <v>1300</v>
      </c>
    </row>
    <row r="1407" spans="1:9" x14ac:dyDescent="0.2">
      <c r="A1407" s="40" t="s">
        <v>328</v>
      </c>
      <c r="B1407" s="28">
        <v>1576</v>
      </c>
      <c r="C1407" s="28" t="s">
        <v>649</v>
      </c>
      <c r="D1407" s="28"/>
      <c r="E1407" s="41">
        <v>46167</v>
      </c>
      <c r="F1407" s="47">
        <v>0.84016203703703707</v>
      </c>
      <c r="G1407" s="44">
        <v>6.3</v>
      </c>
      <c r="H1407" s="43" t="s">
        <v>229</v>
      </c>
      <c r="I1407" s="40" t="s">
        <v>1300</v>
      </c>
    </row>
    <row r="1408" spans="1:9" x14ac:dyDescent="0.2">
      <c r="A1408" s="40" t="s">
        <v>328</v>
      </c>
      <c r="B1408" s="28">
        <v>1576</v>
      </c>
      <c r="C1408" s="28" t="s">
        <v>650</v>
      </c>
      <c r="D1408" s="28"/>
      <c r="E1408" s="45">
        <v>46168</v>
      </c>
      <c r="F1408" s="48">
        <v>0.7139699074074074</v>
      </c>
      <c r="G1408" s="44">
        <v>6.3</v>
      </c>
      <c r="H1408" s="43" t="s">
        <v>228</v>
      </c>
      <c r="I1408" s="40" t="s">
        <v>1300</v>
      </c>
    </row>
    <row r="1409" spans="1:9" x14ac:dyDescent="0.2">
      <c r="A1409" s="40" t="s">
        <v>328</v>
      </c>
      <c r="B1409" s="28">
        <v>1576</v>
      </c>
      <c r="C1409" s="28" t="s">
        <v>650</v>
      </c>
      <c r="D1409" s="28"/>
      <c r="E1409" s="41">
        <v>46168</v>
      </c>
      <c r="F1409" s="47">
        <v>0.72787037037037039</v>
      </c>
      <c r="G1409" s="44">
        <v>6.3</v>
      </c>
      <c r="H1409" s="43" t="s">
        <v>229</v>
      </c>
      <c r="I1409" s="40" t="s">
        <v>1300</v>
      </c>
    </row>
    <row r="1410" spans="1:9" x14ac:dyDescent="0.2">
      <c r="A1410" s="40" t="s">
        <v>328</v>
      </c>
      <c r="B1410" s="28">
        <v>1576</v>
      </c>
      <c r="C1410" s="28" t="s">
        <v>651</v>
      </c>
      <c r="D1410" s="28"/>
      <c r="E1410" s="41">
        <v>46168</v>
      </c>
      <c r="F1410" s="47">
        <v>0.85755787037037035</v>
      </c>
      <c r="G1410" s="44">
        <v>6.3</v>
      </c>
      <c r="H1410" s="43" t="s">
        <v>230</v>
      </c>
      <c r="I1410" s="40" t="s">
        <v>1300</v>
      </c>
    </row>
    <row r="1411" spans="1:9" x14ac:dyDescent="0.2">
      <c r="A1411" s="40" t="s">
        <v>328</v>
      </c>
      <c r="B1411" s="28">
        <v>1576</v>
      </c>
      <c r="C1411" s="28" t="s">
        <v>651</v>
      </c>
      <c r="D1411" s="28"/>
      <c r="E1411" s="41">
        <v>46168</v>
      </c>
      <c r="F1411" s="47">
        <v>0.86387731481481478</v>
      </c>
      <c r="G1411" s="44">
        <v>6.3</v>
      </c>
      <c r="H1411" s="43" t="s">
        <v>227</v>
      </c>
      <c r="I1411" s="40" t="s">
        <v>1300</v>
      </c>
    </row>
    <row r="1412" spans="1:9" x14ac:dyDescent="0.2">
      <c r="A1412" s="40" t="s">
        <v>328</v>
      </c>
      <c r="B1412" s="28">
        <v>1576</v>
      </c>
      <c r="C1412" s="28" t="s">
        <v>652</v>
      </c>
      <c r="D1412" s="28"/>
      <c r="E1412" s="41">
        <v>46170</v>
      </c>
      <c r="F1412" s="47">
        <v>0.86861111111111111</v>
      </c>
      <c r="G1412" s="44">
        <v>6.3</v>
      </c>
      <c r="H1412" s="43" t="s">
        <v>230</v>
      </c>
      <c r="I1412" s="40" t="s">
        <v>1300</v>
      </c>
    </row>
    <row r="1413" spans="1:9" x14ac:dyDescent="0.2">
      <c r="A1413" s="40" t="s">
        <v>328</v>
      </c>
      <c r="B1413" s="28">
        <v>1576</v>
      </c>
      <c r="C1413" s="28" t="s">
        <v>652</v>
      </c>
      <c r="D1413" s="28"/>
      <c r="E1413" s="41">
        <v>46170</v>
      </c>
      <c r="F1413" s="47">
        <v>0.87590277777777781</v>
      </c>
      <c r="G1413" s="42">
        <v>6.3</v>
      </c>
      <c r="H1413" s="40" t="s">
        <v>227</v>
      </c>
      <c r="I1413" s="40" t="s">
        <v>1300</v>
      </c>
    </row>
    <row r="1414" spans="1:9" x14ac:dyDescent="0.2">
      <c r="A1414" s="40" t="s">
        <v>328</v>
      </c>
      <c r="B1414" s="28">
        <v>1576</v>
      </c>
      <c r="C1414" s="28" t="s">
        <v>653</v>
      </c>
      <c r="D1414" s="28"/>
      <c r="E1414" s="41">
        <v>46171</v>
      </c>
      <c r="F1414" s="47">
        <v>0.91870370370370369</v>
      </c>
      <c r="G1414" s="42">
        <v>6.3</v>
      </c>
      <c r="H1414" s="40" t="s">
        <v>230</v>
      </c>
      <c r="I1414" s="40" t="s">
        <v>1300</v>
      </c>
    </row>
    <row r="1415" spans="1:9" x14ac:dyDescent="0.2">
      <c r="A1415" s="40" t="s">
        <v>328</v>
      </c>
      <c r="B1415" s="28">
        <v>1576</v>
      </c>
      <c r="C1415" s="28" t="s">
        <v>653</v>
      </c>
      <c r="D1415" s="28"/>
      <c r="E1415" s="45">
        <v>46171</v>
      </c>
      <c r="F1415" s="48">
        <v>0.92812499999999998</v>
      </c>
      <c r="G1415" s="42">
        <v>6.3</v>
      </c>
      <c r="H1415" s="40" t="s">
        <v>227</v>
      </c>
      <c r="I1415" s="40" t="s">
        <v>1300</v>
      </c>
    </row>
    <row r="1416" spans="1:9" x14ac:dyDescent="0.2">
      <c r="A1416" s="40" t="s">
        <v>328</v>
      </c>
      <c r="B1416" s="28">
        <v>1576</v>
      </c>
      <c r="C1416" s="28" t="s">
        <v>654</v>
      </c>
      <c r="D1416" s="28"/>
      <c r="E1416" s="45">
        <v>46172</v>
      </c>
      <c r="F1416" s="48">
        <v>0.62067129629629625</v>
      </c>
      <c r="G1416" s="44">
        <v>6.3</v>
      </c>
      <c r="H1416" s="43" t="s">
        <v>228</v>
      </c>
      <c r="I1416" s="40" t="s">
        <v>1300</v>
      </c>
    </row>
    <row r="1417" spans="1:9" x14ac:dyDescent="0.2">
      <c r="A1417" s="40" t="s">
        <v>328</v>
      </c>
      <c r="B1417" s="28">
        <v>1576</v>
      </c>
      <c r="C1417" s="28" t="s">
        <v>654</v>
      </c>
      <c r="D1417" s="28"/>
      <c r="E1417" s="41">
        <v>46172</v>
      </c>
      <c r="F1417" s="47">
        <v>0.63188657407407411</v>
      </c>
      <c r="G1417" s="44">
        <v>6.3</v>
      </c>
      <c r="H1417" s="43" t="s">
        <v>229</v>
      </c>
      <c r="I1417" s="40" t="s">
        <v>1300</v>
      </c>
    </row>
    <row r="1418" spans="1:9" x14ac:dyDescent="0.2">
      <c r="A1418" s="40" t="s">
        <v>328</v>
      </c>
      <c r="B1418" s="28">
        <v>1576</v>
      </c>
      <c r="C1418" s="28" t="s">
        <v>655</v>
      </c>
      <c r="D1418" s="28"/>
      <c r="E1418" s="41">
        <v>46172</v>
      </c>
      <c r="F1418" s="47">
        <v>0.74630787037037039</v>
      </c>
      <c r="G1418" s="44">
        <v>6.3</v>
      </c>
      <c r="H1418" s="43" t="s">
        <v>230</v>
      </c>
      <c r="I1418" s="40" t="s">
        <v>1300</v>
      </c>
    </row>
    <row r="1419" spans="1:9" x14ac:dyDescent="0.2">
      <c r="A1419" s="40" t="s">
        <v>328</v>
      </c>
      <c r="B1419" s="28">
        <v>1576</v>
      </c>
      <c r="C1419" s="28" t="s">
        <v>655</v>
      </c>
      <c r="D1419" s="28"/>
      <c r="E1419" s="41">
        <v>46172</v>
      </c>
      <c r="F1419" s="47">
        <v>0.76047453703703705</v>
      </c>
      <c r="G1419" s="44">
        <v>6.3</v>
      </c>
      <c r="H1419" s="43" t="s">
        <v>227</v>
      </c>
      <c r="I1419" s="40" t="s">
        <v>1300</v>
      </c>
    </row>
    <row r="1420" spans="1:9" x14ac:dyDescent="0.2">
      <c r="A1420" s="40" t="s">
        <v>328</v>
      </c>
      <c r="B1420" s="28">
        <v>1576</v>
      </c>
      <c r="C1420" s="28" t="s">
        <v>656</v>
      </c>
      <c r="D1420" s="28"/>
      <c r="E1420" s="41">
        <v>46172</v>
      </c>
      <c r="F1420" s="47">
        <v>0.94115740740740739</v>
      </c>
      <c r="G1420" s="44">
        <v>6.3</v>
      </c>
      <c r="H1420" s="43" t="s">
        <v>230</v>
      </c>
      <c r="I1420" s="40" t="s">
        <v>1300</v>
      </c>
    </row>
    <row r="1421" spans="1:9" x14ac:dyDescent="0.2">
      <c r="A1421" s="40" t="s">
        <v>328</v>
      </c>
      <c r="B1421" s="28">
        <v>1576</v>
      </c>
      <c r="C1421" s="28" t="s">
        <v>656</v>
      </c>
      <c r="D1421" s="28"/>
      <c r="E1421" s="45">
        <v>46172</v>
      </c>
      <c r="F1421" s="48">
        <v>0.94725694444444442</v>
      </c>
      <c r="G1421" s="44">
        <v>6.3</v>
      </c>
      <c r="H1421" s="43" t="s">
        <v>227</v>
      </c>
      <c r="I1421" s="40" t="s">
        <v>1300</v>
      </c>
    </row>
    <row r="1422" spans="1:9" x14ac:dyDescent="0.2">
      <c r="A1422" s="40" t="s">
        <v>83</v>
      </c>
      <c r="B1422" s="28">
        <v>1584</v>
      </c>
      <c r="C1422" s="28" t="s">
        <v>35</v>
      </c>
      <c r="D1422" s="28" t="s">
        <v>38</v>
      </c>
      <c r="E1422" s="45">
        <v>46167</v>
      </c>
      <c r="F1422" s="48">
        <v>0.17204861111111111</v>
      </c>
      <c r="G1422" s="44">
        <v>6.3</v>
      </c>
      <c r="H1422" s="43" t="s">
        <v>230</v>
      </c>
      <c r="I1422" s="40" t="s">
        <v>1300</v>
      </c>
    </row>
    <row r="1423" spans="1:9" x14ac:dyDescent="0.2">
      <c r="A1423" s="40" t="s">
        <v>83</v>
      </c>
      <c r="B1423" s="28">
        <v>1584</v>
      </c>
      <c r="C1423" s="28" t="s">
        <v>35</v>
      </c>
      <c r="D1423" s="28" t="s">
        <v>38</v>
      </c>
      <c r="E1423" s="41">
        <v>46167</v>
      </c>
      <c r="F1423" s="47">
        <v>0.17675925925925925</v>
      </c>
      <c r="G1423" s="44">
        <v>6.3</v>
      </c>
      <c r="H1423" s="43" t="s">
        <v>227</v>
      </c>
      <c r="I1423" s="40" t="s">
        <v>1300</v>
      </c>
    </row>
    <row r="1424" spans="1:9" x14ac:dyDescent="0.2">
      <c r="A1424" s="40" t="s">
        <v>83</v>
      </c>
      <c r="B1424" s="28">
        <v>1584</v>
      </c>
      <c r="C1424" s="28">
        <v>5682968</v>
      </c>
      <c r="D1424" s="28" t="s">
        <v>36</v>
      </c>
      <c r="E1424" s="41">
        <v>46167</v>
      </c>
      <c r="F1424" s="47">
        <v>0.24136574074074074</v>
      </c>
      <c r="G1424" s="42">
        <v>6.3</v>
      </c>
      <c r="H1424" s="40" t="s">
        <v>228</v>
      </c>
      <c r="I1424" s="40" t="s">
        <v>1300</v>
      </c>
    </row>
    <row r="1425" spans="1:9" x14ac:dyDescent="0.2">
      <c r="A1425" s="40" t="s">
        <v>83</v>
      </c>
      <c r="B1425" s="28">
        <v>1584</v>
      </c>
      <c r="C1425" s="28">
        <v>5682968</v>
      </c>
      <c r="D1425" s="28" t="s">
        <v>36</v>
      </c>
      <c r="E1425" s="41">
        <v>46167</v>
      </c>
      <c r="F1425" s="47">
        <v>0.25248842592592591</v>
      </c>
      <c r="G1425" s="42">
        <v>6.3</v>
      </c>
      <c r="H1425" s="40" t="s">
        <v>229</v>
      </c>
      <c r="I1425" s="40" t="s">
        <v>1300</v>
      </c>
    </row>
    <row r="1426" spans="1:9" x14ac:dyDescent="0.2">
      <c r="A1426" s="40" t="s">
        <v>83</v>
      </c>
      <c r="B1426" s="28">
        <v>1584</v>
      </c>
      <c r="C1426" s="28">
        <v>5685136</v>
      </c>
      <c r="D1426" s="28" t="s">
        <v>36</v>
      </c>
      <c r="E1426" s="45">
        <v>46167</v>
      </c>
      <c r="F1426" s="48">
        <v>0.28431712962962963</v>
      </c>
      <c r="G1426" s="44">
        <v>6.3</v>
      </c>
      <c r="H1426" s="43" t="s">
        <v>230</v>
      </c>
      <c r="I1426" s="40" t="s">
        <v>1300</v>
      </c>
    </row>
    <row r="1427" spans="1:9" x14ac:dyDescent="0.2">
      <c r="A1427" s="40" t="s">
        <v>83</v>
      </c>
      <c r="B1427" s="28">
        <v>1584</v>
      </c>
      <c r="C1427" s="28">
        <v>5685136</v>
      </c>
      <c r="D1427" s="28" t="s">
        <v>36</v>
      </c>
      <c r="E1427" s="41">
        <v>46167</v>
      </c>
      <c r="F1427" s="47">
        <v>0.29003472222222221</v>
      </c>
      <c r="G1427" s="44">
        <v>6.3</v>
      </c>
      <c r="H1427" s="43" t="s">
        <v>227</v>
      </c>
      <c r="I1427" s="40" t="s">
        <v>1300</v>
      </c>
    </row>
    <row r="1428" spans="1:9" x14ac:dyDescent="0.2">
      <c r="A1428" s="40" t="s">
        <v>83</v>
      </c>
      <c r="B1428" s="28">
        <v>1584</v>
      </c>
      <c r="C1428" s="28">
        <v>5686193</v>
      </c>
      <c r="D1428" s="28" t="s">
        <v>36</v>
      </c>
      <c r="E1428" s="41">
        <v>46167</v>
      </c>
      <c r="F1428" s="47">
        <v>0.71690972222222227</v>
      </c>
      <c r="G1428" s="44">
        <v>6.3</v>
      </c>
      <c r="H1428" s="43" t="s">
        <v>230</v>
      </c>
      <c r="I1428" s="40" t="s">
        <v>1300</v>
      </c>
    </row>
    <row r="1429" spans="1:9" x14ac:dyDescent="0.2">
      <c r="A1429" s="40" t="s">
        <v>83</v>
      </c>
      <c r="B1429" s="28">
        <v>1584</v>
      </c>
      <c r="C1429" s="28">
        <v>5686193</v>
      </c>
      <c r="D1429" s="28" t="s">
        <v>36</v>
      </c>
      <c r="E1429" s="41">
        <v>46167</v>
      </c>
      <c r="F1429" s="47">
        <v>0.72539351851851852</v>
      </c>
      <c r="G1429" s="44">
        <v>6.3</v>
      </c>
      <c r="H1429" s="43" t="s">
        <v>227</v>
      </c>
      <c r="I1429" s="40" t="s">
        <v>1300</v>
      </c>
    </row>
    <row r="1430" spans="1:9" x14ac:dyDescent="0.2">
      <c r="A1430" s="40" t="s">
        <v>83</v>
      </c>
      <c r="B1430" s="28">
        <v>1584</v>
      </c>
      <c r="C1430" s="28">
        <v>5685715</v>
      </c>
      <c r="D1430" s="28" t="s">
        <v>37</v>
      </c>
      <c r="E1430" s="41">
        <v>46168</v>
      </c>
      <c r="F1430" s="47">
        <v>0.80061342592592588</v>
      </c>
      <c r="G1430" s="44">
        <v>6.3</v>
      </c>
      <c r="H1430" s="43" t="s">
        <v>231</v>
      </c>
      <c r="I1430" s="40" t="s">
        <v>1300</v>
      </c>
    </row>
    <row r="1431" spans="1:9" x14ac:dyDescent="0.2">
      <c r="A1431" s="40" t="s">
        <v>83</v>
      </c>
      <c r="B1431" s="28">
        <v>1584</v>
      </c>
      <c r="C1431" s="28">
        <v>5685715</v>
      </c>
      <c r="D1431" s="28" t="s">
        <v>37</v>
      </c>
      <c r="E1431" s="41">
        <v>46168</v>
      </c>
      <c r="F1431" s="47">
        <v>0.8142476851851852</v>
      </c>
      <c r="G1431" s="44">
        <v>6.3</v>
      </c>
      <c r="H1431" s="43" t="s">
        <v>227</v>
      </c>
      <c r="I1431" s="40" t="s">
        <v>1300</v>
      </c>
    </row>
    <row r="1432" spans="1:9" x14ac:dyDescent="0.2">
      <c r="A1432" s="40" t="s">
        <v>83</v>
      </c>
      <c r="B1432" s="28">
        <v>1584</v>
      </c>
      <c r="C1432" s="28" t="s">
        <v>657</v>
      </c>
      <c r="D1432" s="28"/>
      <c r="E1432" s="41">
        <v>46169</v>
      </c>
      <c r="F1432" s="47">
        <v>2.4375000000000001E-2</v>
      </c>
      <c r="G1432" s="44">
        <v>6.3</v>
      </c>
      <c r="H1432" s="43" t="s">
        <v>228</v>
      </c>
      <c r="I1432" s="40" t="s">
        <v>1300</v>
      </c>
    </row>
    <row r="1433" spans="1:9" x14ac:dyDescent="0.2">
      <c r="A1433" s="40" t="s">
        <v>83</v>
      </c>
      <c r="B1433" s="28">
        <v>1584</v>
      </c>
      <c r="C1433" s="28" t="s">
        <v>657</v>
      </c>
      <c r="D1433" s="28"/>
      <c r="E1433" s="41">
        <v>46169</v>
      </c>
      <c r="F1433" s="47">
        <v>3.0601851851851852E-2</v>
      </c>
      <c r="G1433" s="44">
        <v>6.3</v>
      </c>
      <c r="H1433" s="43" t="s">
        <v>229</v>
      </c>
      <c r="I1433" s="40" t="s">
        <v>1300</v>
      </c>
    </row>
    <row r="1434" spans="1:9" x14ac:dyDescent="0.2">
      <c r="A1434" s="40" t="s">
        <v>83</v>
      </c>
      <c r="B1434" s="28">
        <v>1584</v>
      </c>
      <c r="C1434" s="28">
        <v>5690414</v>
      </c>
      <c r="D1434" s="28"/>
      <c r="E1434" s="41">
        <v>46170</v>
      </c>
      <c r="F1434" s="47">
        <v>0.19554398148148147</v>
      </c>
      <c r="G1434" s="44">
        <v>6.3</v>
      </c>
      <c r="H1434" s="43" t="s">
        <v>230</v>
      </c>
      <c r="I1434" s="40" t="s">
        <v>1300</v>
      </c>
    </row>
    <row r="1435" spans="1:9" x14ac:dyDescent="0.2">
      <c r="A1435" s="40" t="s">
        <v>83</v>
      </c>
      <c r="B1435" s="28">
        <v>1584</v>
      </c>
      <c r="C1435" s="28">
        <v>5690414</v>
      </c>
      <c r="D1435" s="28"/>
      <c r="E1435" s="41">
        <v>46170</v>
      </c>
      <c r="F1435" s="47">
        <v>0.20026620370370371</v>
      </c>
      <c r="G1435" s="44">
        <v>6.3</v>
      </c>
      <c r="H1435" s="43" t="s">
        <v>227</v>
      </c>
      <c r="I1435" s="40" t="s">
        <v>1300</v>
      </c>
    </row>
    <row r="1436" spans="1:9" x14ac:dyDescent="0.2">
      <c r="A1436" s="40" t="s">
        <v>83</v>
      </c>
      <c r="B1436" s="28">
        <v>1584</v>
      </c>
      <c r="C1436" s="28">
        <v>5685846</v>
      </c>
      <c r="D1436" s="28"/>
      <c r="E1436" s="41">
        <v>46170</v>
      </c>
      <c r="F1436" s="47">
        <v>0.23947916666666666</v>
      </c>
      <c r="G1436" s="44">
        <v>6.3</v>
      </c>
      <c r="H1436" s="43" t="s">
        <v>228</v>
      </c>
      <c r="I1436" s="40" t="s">
        <v>1300</v>
      </c>
    </row>
    <row r="1437" spans="1:9" x14ac:dyDescent="0.2">
      <c r="A1437" s="40" t="s">
        <v>83</v>
      </c>
      <c r="B1437" s="28">
        <v>1584</v>
      </c>
      <c r="C1437" s="28">
        <v>5685846</v>
      </c>
      <c r="D1437" s="28"/>
      <c r="E1437" s="45">
        <v>46170</v>
      </c>
      <c r="F1437" s="48">
        <v>0.25164351851851852</v>
      </c>
      <c r="G1437" s="42">
        <v>6.3</v>
      </c>
      <c r="H1437" s="40" t="s">
        <v>229</v>
      </c>
      <c r="I1437" s="40" t="s">
        <v>1300</v>
      </c>
    </row>
    <row r="1438" spans="1:9" x14ac:dyDescent="0.2">
      <c r="A1438" s="40" t="s">
        <v>83</v>
      </c>
      <c r="B1438" s="28">
        <v>1584</v>
      </c>
      <c r="C1438" s="28" t="s">
        <v>35</v>
      </c>
      <c r="D1438" s="28" t="s">
        <v>38</v>
      </c>
      <c r="E1438" s="45">
        <v>46170</v>
      </c>
      <c r="F1438" s="48">
        <v>0.81851851851851853</v>
      </c>
      <c r="G1438" s="42">
        <v>6.3</v>
      </c>
      <c r="H1438" s="40" t="s">
        <v>235</v>
      </c>
      <c r="I1438" s="40" t="s">
        <v>1300</v>
      </c>
    </row>
    <row r="1439" spans="1:9" x14ac:dyDescent="0.2">
      <c r="A1439" s="40" t="s">
        <v>83</v>
      </c>
      <c r="B1439" s="28">
        <v>1584</v>
      </c>
      <c r="C1439" s="28" t="s">
        <v>35</v>
      </c>
      <c r="D1439" s="28" t="s">
        <v>38</v>
      </c>
      <c r="E1439" s="45">
        <v>46170</v>
      </c>
      <c r="F1439" s="48">
        <v>0.82481481481481478</v>
      </c>
      <c r="G1439" s="42">
        <v>6.3</v>
      </c>
      <c r="H1439" s="40" t="s">
        <v>232</v>
      </c>
      <c r="I1439" s="40" t="s">
        <v>1300</v>
      </c>
    </row>
    <row r="1440" spans="1:9" x14ac:dyDescent="0.2">
      <c r="A1440" s="40" t="s">
        <v>83</v>
      </c>
      <c r="B1440" s="28">
        <v>1584</v>
      </c>
      <c r="C1440" s="28">
        <v>5692593</v>
      </c>
      <c r="D1440" s="28" t="s">
        <v>36</v>
      </c>
      <c r="E1440" s="41">
        <v>46171</v>
      </c>
      <c r="F1440" s="47">
        <v>0.2880787037037037</v>
      </c>
      <c r="G1440" s="42">
        <v>6.3</v>
      </c>
      <c r="H1440" s="40" t="s">
        <v>230</v>
      </c>
      <c r="I1440" s="40" t="s">
        <v>1300</v>
      </c>
    </row>
    <row r="1441" spans="1:9" x14ac:dyDescent="0.2">
      <c r="A1441" s="40" t="s">
        <v>83</v>
      </c>
      <c r="B1441" s="28">
        <v>1584</v>
      </c>
      <c r="C1441" s="28">
        <v>5692593</v>
      </c>
      <c r="D1441" s="28" t="s">
        <v>36</v>
      </c>
      <c r="E1441" s="41">
        <v>46171</v>
      </c>
      <c r="F1441" s="47">
        <v>0.29516203703703703</v>
      </c>
      <c r="G1441" s="44">
        <v>6.3</v>
      </c>
      <c r="H1441" s="43" t="s">
        <v>227</v>
      </c>
      <c r="I1441" s="40" t="s">
        <v>1300</v>
      </c>
    </row>
    <row r="1442" spans="1:9" x14ac:dyDescent="0.2">
      <c r="A1442" s="40" t="s">
        <v>83</v>
      </c>
      <c r="B1442" s="28">
        <v>1584</v>
      </c>
      <c r="C1442" s="28" t="s">
        <v>35</v>
      </c>
      <c r="D1442" s="28" t="s">
        <v>38</v>
      </c>
      <c r="E1442" s="41">
        <v>46172</v>
      </c>
      <c r="F1442" s="47">
        <v>0.65489583333333334</v>
      </c>
      <c r="G1442" s="44">
        <v>6.3</v>
      </c>
      <c r="H1442" s="43" t="s">
        <v>231</v>
      </c>
      <c r="I1442" s="40" t="s">
        <v>1300</v>
      </c>
    </row>
    <row r="1443" spans="1:9" x14ac:dyDescent="0.2">
      <c r="A1443" s="40" t="s">
        <v>83</v>
      </c>
      <c r="B1443" s="28">
        <v>1584</v>
      </c>
      <c r="C1443" s="28" t="s">
        <v>35</v>
      </c>
      <c r="D1443" s="28" t="s">
        <v>38</v>
      </c>
      <c r="E1443" s="41">
        <v>46172</v>
      </c>
      <c r="F1443" s="47">
        <v>0.67372685185185188</v>
      </c>
      <c r="G1443" s="44">
        <v>6.3</v>
      </c>
      <c r="H1443" s="43" t="s">
        <v>227</v>
      </c>
      <c r="I1443" s="40" t="s">
        <v>1300</v>
      </c>
    </row>
    <row r="1444" spans="1:9" x14ac:dyDescent="0.2">
      <c r="A1444" s="40" t="s">
        <v>83</v>
      </c>
      <c r="B1444" s="28">
        <v>1584</v>
      </c>
      <c r="C1444" s="28">
        <v>5694317</v>
      </c>
      <c r="D1444" s="28"/>
      <c r="E1444" s="41">
        <v>46173</v>
      </c>
      <c r="F1444" s="47">
        <v>0.20146990740740742</v>
      </c>
      <c r="G1444" s="44">
        <v>6.3</v>
      </c>
      <c r="H1444" s="43" t="s">
        <v>227</v>
      </c>
      <c r="I1444" s="40" t="s">
        <v>1300</v>
      </c>
    </row>
    <row r="1445" spans="1:9" x14ac:dyDescent="0.2">
      <c r="A1445" s="40" t="s">
        <v>83</v>
      </c>
      <c r="B1445" s="28">
        <v>1584</v>
      </c>
      <c r="C1445" s="28" t="s">
        <v>35</v>
      </c>
      <c r="D1445" s="28" t="s">
        <v>38</v>
      </c>
      <c r="E1445" s="41">
        <v>46173</v>
      </c>
      <c r="F1445" s="47">
        <v>0.24383101851851852</v>
      </c>
      <c r="G1445" s="44">
        <v>6.3</v>
      </c>
      <c r="H1445" s="43" t="s">
        <v>228</v>
      </c>
      <c r="I1445" s="40" t="s">
        <v>1300</v>
      </c>
    </row>
    <row r="1446" spans="1:9" x14ac:dyDescent="0.2">
      <c r="A1446" s="40" t="s">
        <v>83</v>
      </c>
      <c r="B1446" s="28">
        <v>1584</v>
      </c>
      <c r="C1446" s="28" t="s">
        <v>35</v>
      </c>
      <c r="D1446" s="28" t="s">
        <v>38</v>
      </c>
      <c r="E1446" s="41">
        <v>46173</v>
      </c>
      <c r="F1446" s="47">
        <v>0.24995370370370371</v>
      </c>
      <c r="G1446" s="44">
        <v>6.3</v>
      </c>
      <c r="H1446" s="43" t="s">
        <v>229</v>
      </c>
      <c r="I1446" s="40" t="s">
        <v>1300</v>
      </c>
    </row>
    <row r="1447" spans="1:9" x14ac:dyDescent="0.2">
      <c r="A1447" s="40" t="s">
        <v>83</v>
      </c>
      <c r="B1447" s="28">
        <v>1584</v>
      </c>
      <c r="C1447" s="28">
        <v>5695517</v>
      </c>
      <c r="D1447" s="28"/>
      <c r="E1447" s="45">
        <v>46173</v>
      </c>
      <c r="F1447" s="48">
        <v>0.37877314814814816</v>
      </c>
      <c r="G1447" s="44">
        <v>6.3</v>
      </c>
      <c r="H1447" s="43" t="s">
        <v>228</v>
      </c>
      <c r="I1447" s="40" t="s">
        <v>1300</v>
      </c>
    </row>
    <row r="1448" spans="1:9" x14ac:dyDescent="0.2">
      <c r="A1448" s="40" t="s">
        <v>83</v>
      </c>
      <c r="B1448" s="28">
        <v>1584</v>
      </c>
      <c r="C1448" s="28">
        <v>5695517</v>
      </c>
      <c r="D1448" s="28"/>
      <c r="E1448" s="41">
        <v>46173</v>
      </c>
      <c r="F1448" s="47">
        <v>0.3843287037037037</v>
      </c>
      <c r="G1448" s="44">
        <v>6.3</v>
      </c>
      <c r="H1448" s="43" t="s">
        <v>232</v>
      </c>
      <c r="I1448" s="40" t="s">
        <v>1300</v>
      </c>
    </row>
    <row r="1449" spans="1:9" x14ac:dyDescent="0.2">
      <c r="A1449" s="40" t="s">
        <v>83</v>
      </c>
      <c r="B1449" s="28">
        <v>1584</v>
      </c>
      <c r="C1449" s="28" t="s">
        <v>35</v>
      </c>
      <c r="D1449" s="28" t="s">
        <v>38</v>
      </c>
      <c r="E1449" s="41">
        <v>46173</v>
      </c>
      <c r="F1449" s="47">
        <v>0.93167824074074079</v>
      </c>
      <c r="G1449" s="44">
        <v>6.3</v>
      </c>
      <c r="H1449" s="43" t="s">
        <v>227</v>
      </c>
      <c r="I1449" s="40" t="s">
        <v>1300</v>
      </c>
    </row>
    <row r="1450" spans="1:9" x14ac:dyDescent="0.2">
      <c r="A1450" s="40" t="s">
        <v>389</v>
      </c>
      <c r="B1450" s="28">
        <v>1591</v>
      </c>
      <c r="C1450" s="28" t="s">
        <v>35</v>
      </c>
      <c r="D1450" s="28" t="s">
        <v>38</v>
      </c>
      <c r="E1450" s="45">
        <v>46169</v>
      </c>
      <c r="F1450" s="48">
        <v>0.81637731481481479</v>
      </c>
      <c r="G1450" s="44">
        <v>6.3</v>
      </c>
      <c r="H1450" s="43" t="s">
        <v>230</v>
      </c>
      <c r="I1450" s="40" t="s">
        <v>1300</v>
      </c>
    </row>
    <row r="1451" spans="1:9" x14ac:dyDescent="0.2">
      <c r="A1451" s="40" t="s">
        <v>389</v>
      </c>
      <c r="B1451" s="28">
        <v>1591</v>
      </c>
      <c r="C1451" s="28" t="s">
        <v>35</v>
      </c>
      <c r="D1451" s="28" t="s">
        <v>38</v>
      </c>
      <c r="E1451" s="41">
        <v>46169</v>
      </c>
      <c r="F1451" s="47">
        <v>0.83717592592592593</v>
      </c>
      <c r="G1451" s="44">
        <v>6.3</v>
      </c>
      <c r="H1451" s="43" t="s">
        <v>227</v>
      </c>
      <c r="I1451" s="40" t="s">
        <v>1300</v>
      </c>
    </row>
    <row r="1452" spans="1:9" x14ac:dyDescent="0.2">
      <c r="A1452" s="40" t="s">
        <v>389</v>
      </c>
      <c r="B1452" s="28">
        <v>1591</v>
      </c>
      <c r="C1452" s="28" t="s">
        <v>35</v>
      </c>
      <c r="D1452" s="28" t="s">
        <v>38</v>
      </c>
      <c r="E1452" s="41">
        <v>46170</v>
      </c>
      <c r="F1452" s="47">
        <v>0.70141203703703703</v>
      </c>
      <c r="G1452" s="44">
        <v>6.3</v>
      </c>
      <c r="H1452" s="43" t="s">
        <v>229</v>
      </c>
      <c r="I1452" s="40" t="s">
        <v>1300</v>
      </c>
    </row>
    <row r="1453" spans="1:9" x14ac:dyDescent="0.2">
      <c r="A1453" s="40" t="s">
        <v>218</v>
      </c>
      <c r="B1453" s="28">
        <v>1594</v>
      </c>
      <c r="C1453" s="28">
        <v>5684727</v>
      </c>
      <c r="D1453" s="28"/>
      <c r="E1453" s="41">
        <v>46167</v>
      </c>
      <c r="F1453" s="47">
        <v>1.6446759259259258E-2</v>
      </c>
      <c r="G1453" s="44">
        <v>6.3</v>
      </c>
      <c r="H1453" s="43" t="s">
        <v>228</v>
      </c>
      <c r="I1453" s="40" t="s">
        <v>1300</v>
      </c>
    </row>
    <row r="1454" spans="1:9" x14ac:dyDescent="0.2">
      <c r="A1454" s="40" t="s">
        <v>218</v>
      </c>
      <c r="B1454" s="28">
        <v>1594</v>
      </c>
      <c r="C1454" s="28">
        <v>5684727</v>
      </c>
      <c r="D1454" s="28"/>
      <c r="E1454" s="41">
        <v>46167</v>
      </c>
      <c r="F1454" s="47">
        <v>2.2858796296296297E-2</v>
      </c>
      <c r="G1454" s="44">
        <v>6.3</v>
      </c>
      <c r="H1454" s="43" t="s">
        <v>229</v>
      </c>
      <c r="I1454" s="40" t="s">
        <v>1300</v>
      </c>
    </row>
    <row r="1455" spans="1:9" x14ac:dyDescent="0.2">
      <c r="A1455" s="40" t="s">
        <v>218</v>
      </c>
      <c r="B1455" s="28">
        <v>1594</v>
      </c>
      <c r="C1455" s="28">
        <v>5684928</v>
      </c>
      <c r="D1455" s="28"/>
      <c r="E1455" s="41">
        <v>46167</v>
      </c>
      <c r="F1455" s="47">
        <v>0.15278935185185186</v>
      </c>
      <c r="G1455" s="44">
        <v>6.3</v>
      </c>
      <c r="H1455" s="43" t="s">
        <v>230</v>
      </c>
      <c r="I1455" s="40" t="s">
        <v>1300</v>
      </c>
    </row>
    <row r="1456" spans="1:9" x14ac:dyDescent="0.2">
      <c r="A1456" s="40" t="s">
        <v>218</v>
      </c>
      <c r="B1456" s="28">
        <v>1594</v>
      </c>
      <c r="C1456" s="28">
        <v>5684928</v>
      </c>
      <c r="D1456" s="28"/>
      <c r="E1456" s="41">
        <v>46167</v>
      </c>
      <c r="F1456" s="47">
        <v>0.1577662037037037</v>
      </c>
      <c r="G1456" s="44">
        <v>6.3</v>
      </c>
      <c r="H1456" s="43" t="s">
        <v>227</v>
      </c>
      <c r="I1456" s="40" t="s">
        <v>1300</v>
      </c>
    </row>
    <row r="1457" spans="1:9" x14ac:dyDescent="0.2">
      <c r="A1457" s="40" t="s">
        <v>218</v>
      </c>
      <c r="B1457" s="28">
        <v>1594</v>
      </c>
      <c r="C1457" s="28">
        <v>5688347</v>
      </c>
      <c r="D1457" s="28"/>
      <c r="E1457" s="41">
        <v>46168</v>
      </c>
      <c r="F1457" s="47">
        <v>0.89001157407407405</v>
      </c>
      <c r="G1457" s="44">
        <v>6.3</v>
      </c>
      <c r="H1457" s="43" t="s">
        <v>230</v>
      </c>
      <c r="I1457" s="40" t="s">
        <v>1300</v>
      </c>
    </row>
    <row r="1458" spans="1:9" x14ac:dyDescent="0.2">
      <c r="A1458" s="40" t="s">
        <v>218</v>
      </c>
      <c r="B1458" s="28">
        <v>1594</v>
      </c>
      <c r="C1458" s="28">
        <v>5688347</v>
      </c>
      <c r="D1458" s="28"/>
      <c r="E1458" s="41">
        <v>46168</v>
      </c>
      <c r="F1458" s="47">
        <v>0.895625</v>
      </c>
      <c r="G1458" s="44">
        <v>6.3</v>
      </c>
      <c r="H1458" s="43" t="s">
        <v>227</v>
      </c>
      <c r="I1458" s="40" t="s">
        <v>1300</v>
      </c>
    </row>
    <row r="1459" spans="1:9" x14ac:dyDescent="0.2">
      <c r="A1459" s="40" t="s">
        <v>218</v>
      </c>
      <c r="B1459" s="28">
        <v>1594</v>
      </c>
      <c r="C1459" s="28" t="s">
        <v>658</v>
      </c>
      <c r="D1459" s="28"/>
      <c r="E1459" s="41">
        <v>46168</v>
      </c>
      <c r="F1459" s="47">
        <v>0.95623842592592589</v>
      </c>
      <c r="G1459" s="44">
        <v>6.3</v>
      </c>
      <c r="H1459" s="43" t="s">
        <v>228</v>
      </c>
      <c r="I1459" s="40" t="s">
        <v>1300</v>
      </c>
    </row>
    <row r="1460" spans="1:9" x14ac:dyDescent="0.2">
      <c r="A1460" s="40" t="s">
        <v>218</v>
      </c>
      <c r="B1460" s="28">
        <v>1594</v>
      </c>
      <c r="C1460" s="28" t="s">
        <v>658</v>
      </c>
      <c r="D1460" s="28"/>
      <c r="E1460" s="41">
        <v>46168</v>
      </c>
      <c r="F1460" s="47">
        <v>0.96164351851851848</v>
      </c>
      <c r="G1460" s="44">
        <v>6.3</v>
      </c>
      <c r="H1460" s="43" t="s">
        <v>232</v>
      </c>
      <c r="I1460" s="40" t="s">
        <v>1300</v>
      </c>
    </row>
    <row r="1461" spans="1:9" x14ac:dyDescent="0.2">
      <c r="A1461" s="40" t="s">
        <v>218</v>
      </c>
      <c r="B1461" s="28">
        <v>1594</v>
      </c>
      <c r="C1461" s="28" t="s">
        <v>35</v>
      </c>
      <c r="D1461" s="28" t="s">
        <v>38</v>
      </c>
      <c r="E1461" s="41">
        <v>46168</v>
      </c>
      <c r="F1461" s="47">
        <v>0.98373842592592597</v>
      </c>
      <c r="G1461" s="44">
        <v>6.3</v>
      </c>
      <c r="H1461" s="43" t="s">
        <v>226</v>
      </c>
      <c r="I1461" s="40" t="s">
        <v>1300</v>
      </c>
    </row>
    <row r="1462" spans="1:9" x14ac:dyDescent="0.2">
      <c r="A1462" s="40" t="s">
        <v>218</v>
      </c>
      <c r="B1462" s="28">
        <v>1594</v>
      </c>
      <c r="C1462" s="28" t="s">
        <v>659</v>
      </c>
      <c r="D1462" s="28"/>
      <c r="E1462" s="41">
        <v>46169</v>
      </c>
      <c r="F1462" s="47">
        <v>0.97611111111111115</v>
      </c>
      <c r="G1462" s="44">
        <v>6.3</v>
      </c>
      <c r="H1462" s="43" t="s">
        <v>228</v>
      </c>
      <c r="I1462" s="40" t="s">
        <v>1300</v>
      </c>
    </row>
    <row r="1463" spans="1:9" x14ac:dyDescent="0.2">
      <c r="A1463" s="40" t="s">
        <v>218</v>
      </c>
      <c r="B1463" s="28">
        <v>1594</v>
      </c>
      <c r="C1463" s="28" t="s">
        <v>659</v>
      </c>
      <c r="D1463" s="28"/>
      <c r="E1463" s="45">
        <v>46169</v>
      </c>
      <c r="F1463" s="48">
        <v>0.98453703703703699</v>
      </c>
      <c r="G1463" s="44">
        <v>6.3</v>
      </c>
      <c r="H1463" s="43" t="s">
        <v>229</v>
      </c>
      <c r="I1463" s="40" t="s">
        <v>1300</v>
      </c>
    </row>
    <row r="1464" spans="1:9" x14ac:dyDescent="0.2">
      <c r="A1464" s="40" t="s">
        <v>218</v>
      </c>
      <c r="B1464" s="28">
        <v>1594</v>
      </c>
      <c r="C1464" s="28" t="s">
        <v>35</v>
      </c>
      <c r="D1464" s="28" t="s">
        <v>38</v>
      </c>
      <c r="E1464" s="45">
        <v>46169</v>
      </c>
      <c r="F1464" s="48">
        <v>0.99960648148148146</v>
      </c>
      <c r="G1464" s="44">
        <v>6.3</v>
      </c>
      <c r="H1464" s="43" t="s">
        <v>230</v>
      </c>
      <c r="I1464" s="40" t="s">
        <v>1300</v>
      </c>
    </row>
    <row r="1465" spans="1:9" x14ac:dyDescent="0.2">
      <c r="A1465" s="40" t="s">
        <v>218</v>
      </c>
      <c r="B1465" s="28">
        <v>1594</v>
      </c>
      <c r="C1465" s="28">
        <v>5692723</v>
      </c>
      <c r="D1465" s="28"/>
      <c r="E1465" s="41">
        <v>46171</v>
      </c>
      <c r="F1465" s="47">
        <v>0.35446759259259258</v>
      </c>
      <c r="G1465" s="42">
        <v>6.3</v>
      </c>
      <c r="H1465" s="40" t="s">
        <v>228</v>
      </c>
      <c r="I1465" s="40" t="s">
        <v>1300</v>
      </c>
    </row>
    <row r="1466" spans="1:9" x14ac:dyDescent="0.2">
      <c r="A1466" s="40" t="s">
        <v>218</v>
      </c>
      <c r="B1466" s="28">
        <v>1594</v>
      </c>
      <c r="C1466" s="28">
        <v>5692723</v>
      </c>
      <c r="D1466" s="28"/>
      <c r="E1466" s="41">
        <v>46171</v>
      </c>
      <c r="F1466" s="47">
        <v>0.3677199074074074</v>
      </c>
      <c r="G1466" s="42">
        <v>6.3</v>
      </c>
      <c r="H1466" s="40" t="s">
        <v>229</v>
      </c>
      <c r="I1466" s="40" t="s">
        <v>1300</v>
      </c>
    </row>
    <row r="1467" spans="1:9" x14ac:dyDescent="0.2">
      <c r="A1467" s="40" t="s">
        <v>218</v>
      </c>
      <c r="B1467" s="28">
        <v>1594</v>
      </c>
      <c r="C1467" s="28">
        <v>5692370</v>
      </c>
      <c r="D1467" s="28"/>
      <c r="E1467" s="45">
        <v>46173</v>
      </c>
      <c r="F1467" s="48">
        <v>0.68422453703703701</v>
      </c>
      <c r="G1467" s="42">
        <v>6.3</v>
      </c>
      <c r="H1467" s="40" t="s">
        <v>230</v>
      </c>
      <c r="I1467" s="40" t="s">
        <v>1300</v>
      </c>
    </row>
    <row r="1468" spans="1:9" x14ac:dyDescent="0.2">
      <c r="A1468" s="40" t="s">
        <v>218</v>
      </c>
      <c r="B1468" s="28">
        <v>1594</v>
      </c>
      <c r="C1468" s="28">
        <v>5692370</v>
      </c>
      <c r="D1468" s="28"/>
      <c r="E1468" s="41">
        <v>46173</v>
      </c>
      <c r="F1468" s="47">
        <v>0.68929398148148147</v>
      </c>
      <c r="G1468" s="42">
        <v>6.3</v>
      </c>
      <c r="H1468" s="40" t="s">
        <v>227</v>
      </c>
      <c r="I1468" s="40" t="s">
        <v>1300</v>
      </c>
    </row>
    <row r="1469" spans="1:9" x14ac:dyDescent="0.2">
      <c r="A1469" s="40" t="s">
        <v>218</v>
      </c>
      <c r="B1469" s="28">
        <v>1594</v>
      </c>
      <c r="C1469" s="28">
        <v>5696126</v>
      </c>
      <c r="D1469" s="28" t="s">
        <v>37</v>
      </c>
      <c r="E1469" s="41">
        <v>46173</v>
      </c>
      <c r="F1469" s="47">
        <v>0.77396990740740745</v>
      </c>
      <c r="G1469" s="44">
        <v>6.3</v>
      </c>
      <c r="H1469" s="43" t="s">
        <v>228</v>
      </c>
      <c r="I1469" s="40" t="s">
        <v>1300</v>
      </c>
    </row>
    <row r="1470" spans="1:9" x14ac:dyDescent="0.2">
      <c r="A1470" s="40" t="s">
        <v>218</v>
      </c>
      <c r="B1470" s="28">
        <v>1594</v>
      </c>
      <c r="C1470" s="28" t="s">
        <v>35</v>
      </c>
      <c r="D1470" s="28" t="s">
        <v>38</v>
      </c>
      <c r="E1470" s="45">
        <v>46173</v>
      </c>
      <c r="F1470" s="48">
        <v>0.79583333333333328</v>
      </c>
      <c r="G1470" s="44">
        <v>6.3</v>
      </c>
      <c r="H1470" s="43" t="s">
        <v>230</v>
      </c>
      <c r="I1470" s="40" t="s">
        <v>1300</v>
      </c>
    </row>
    <row r="1471" spans="1:9" x14ac:dyDescent="0.2">
      <c r="A1471" s="40" t="s">
        <v>208</v>
      </c>
      <c r="B1471" s="28">
        <v>1595</v>
      </c>
      <c r="C1471" s="28" t="s">
        <v>35</v>
      </c>
      <c r="D1471" s="28" t="s">
        <v>38</v>
      </c>
      <c r="E1471" s="41">
        <v>46168</v>
      </c>
      <c r="F1471" s="47">
        <v>0.2011111111111111</v>
      </c>
      <c r="G1471" s="44">
        <v>6.3</v>
      </c>
      <c r="H1471" s="43" t="s">
        <v>231</v>
      </c>
      <c r="I1471" s="40" t="s">
        <v>1300</v>
      </c>
    </row>
    <row r="1472" spans="1:9" x14ac:dyDescent="0.2">
      <c r="A1472" s="40" t="s">
        <v>208</v>
      </c>
      <c r="B1472" s="28">
        <v>1595</v>
      </c>
      <c r="C1472" s="28" t="s">
        <v>35</v>
      </c>
      <c r="D1472" s="28" t="s">
        <v>38</v>
      </c>
      <c r="E1472" s="45">
        <v>46168</v>
      </c>
      <c r="F1472" s="48">
        <v>0.20501157407407408</v>
      </c>
      <c r="G1472" s="44">
        <v>6.3</v>
      </c>
      <c r="H1472" s="43" t="s">
        <v>227</v>
      </c>
      <c r="I1472" s="40" t="s">
        <v>1300</v>
      </c>
    </row>
    <row r="1473" spans="1:9" x14ac:dyDescent="0.2">
      <c r="A1473" s="40" t="s">
        <v>208</v>
      </c>
      <c r="B1473" s="28">
        <v>1595</v>
      </c>
      <c r="C1473" s="28" t="s">
        <v>660</v>
      </c>
      <c r="D1473" s="28"/>
      <c r="E1473" s="45">
        <v>46168</v>
      </c>
      <c r="F1473" s="48">
        <v>0.41310185185185183</v>
      </c>
      <c r="G1473" s="44">
        <v>6.3</v>
      </c>
      <c r="H1473" s="43" t="s">
        <v>228</v>
      </c>
      <c r="I1473" s="40" t="s">
        <v>1300</v>
      </c>
    </row>
    <row r="1474" spans="1:9" x14ac:dyDescent="0.2">
      <c r="A1474" s="40" t="s">
        <v>208</v>
      </c>
      <c r="B1474" s="28">
        <v>1595</v>
      </c>
      <c r="C1474" s="28" t="s">
        <v>660</v>
      </c>
      <c r="D1474" s="28"/>
      <c r="E1474" s="41">
        <v>46168</v>
      </c>
      <c r="F1474" s="47">
        <v>0.42626157407407406</v>
      </c>
      <c r="G1474" s="44">
        <v>6.3</v>
      </c>
      <c r="H1474" s="43" t="s">
        <v>229</v>
      </c>
      <c r="I1474" s="40" t="s">
        <v>1300</v>
      </c>
    </row>
    <row r="1475" spans="1:9" x14ac:dyDescent="0.2">
      <c r="A1475" s="40" t="s">
        <v>208</v>
      </c>
      <c r="B1475" s="28">
        <v>1595</v>
      </c>
      <c r="C1475" s="28">
        <v>5687835</v>
      </c>
      <c r="D1475" s="28"/>
      <c r="E1475" s="41">
        <v>46168</v>
      </c>
      <c r="F1475" s="47">
        <v>0.56768518518518518</v>
      </c>
      <c r="G1475" s="44">
        <v>6.3</v>
      </c>
      <c r="H1475" s="43" t="s">
        <v>228</v>
      </c>
      <c r="I1475" s="40" t="s">
        <v>1300</v>
      </c>
    </row>
    <row r="1476" spans="1:9" x14ac:dyDescent="0.2">
      <c r="A1476" s="40" t="s">
        <v>208</v>
      </c>
      <c r="B1476" s="28">
        <v>1595</v>
      </c>
      <c r="C1476" s="28" t="s">
        <v>661</v>
      </c>
      <c r="D1476" s="28"/>
      <c r="E1476" s="41">
        <v>46169</v>
      </c>
      <c r="F1476" s="47">
        <v>0.34609953703703705</v>
      </c>
      <c r="G1476" s="44">
        <v>6.3</v>
      </c>
      <c r="H1476" s="43" t="s">
        <v>228</v>
      </c>
      <c r="I1476" s="40" t="s">
        <v>1300</v>
      </c>
    </row>
    <row r="1477" spans="1:9" x14ac:dyDescent="0.2">
      <c r="A1477" s="40" t="s">
        <v>208</v>
      </c>
      <c r="B1477" s="28">
        <v>1595</v>
      </c>
      <c r="C1477" s="28" t="s">
        <v>661</v>
      </c>
      <c r="D1477" s="28"/>
      <c r="E1477" s="41">
        <v>46169</v>
      </c>
      <c r="F1477" s="47">
        <v>0.35957175925925927</v>
      </c>
      <c r="G1477" s="44">
        <v>6.3</v>
      </c>
      <c r="H1477" s="43" t="s">
        <v>229</v>
      </c>
      <c r="I1477" s="40" t="s">
        <v>1300</v>
      </c>
    </row>
    <row r="1478" spans="1:9" x14ac:dyDescent="0.2">
      <c r="A1478" s="40" t="s">
        <v>208</v>
      </c>
      <c r="B1478" s="28">
        <v>1595</v>
      </c>
      <c r="C1478" s="28" t="s">
        <v>662</v>
      </c>
      <c r="D1478" s="28"/>
      <c r="E1478" s="41">
        <v>46169</v>
      </c>
      <c r="F1478" s="47">
        <v>0.86651620370370375</v>
      </c>
      <c r="G1478" s="44">
        <v>6.3</v>
      </c>
      <c r="H1478" s="43" t="s">
        <v>228</v>
      </c>
      <c r="I1478" s="40" t="s">
        <v>1300</v>
      </c>
    </row>
    <row r="1479" spans="1:9" x14ac:dyDescent="0.2">
      <c r="A1479" s="40" t="s">
        <v>208</v>
      </c>
      <c r="B1479" s="28">
        <v>1595</v>
      </c>
      <c r="C1479" s="28" t="s">
        <v>662</v>
      </c>
      <c r="D1479" s="28"/>
      <c r="E1479" s="41">
        <v>46169</v>
      </c>
      <c r="F1479" s="47">
        <v>0.87228009259259254</v>
      </c>
      <c r="G1479" s="44">
        <v>6.3</v>
      </c>
      <c r="H1479" s="43" t="s">
        <v>232</v>
      </c>
      <c r="I1479" s="40" t="s">
        <v>1300</v>
      </c>
    </row>
    <row r="1480" spans="1:9" x14ac:dyDescent="0.2">
      <c r="A1480" s="40" t="s">
        <v>208</v>
      </c>
      <c r="B1480" s="28">
        <v>1595</v>
      </c>
      <c r="C1480" s="28" t="s">
        <v>663</v>
      </c>
      <c r="D1480" s="28"/>
      <c r="E1480" s="45">
        <v>46170</v>
      </c>
      <c r="F1480" s="48">
        <v>0.49868055555555557</v>
      </c>
      <c r="G1480" s="44">
        <v>6.3</v>
      </c>
      <c r="H1480" s="43" t="s">
        <v>228</v>
      </c>
      <c r="I1480" s="40" t="s">
        <v>1300</v>
      </c>
    </row>
    <row r="1481" spans="1:9" x14ac:dyDescent="0.2">
      <c r="A1481" s="40" t="s">
        <v>208</v>
      </c>
      <c r="B1481" s="28">
        <v>1595</v>
      </c>
      <c r="C1481" s="28" t="s">
        <v>663</v>
      </c>
      <c r="D1481" s="28"/>
      <c r="E1481" s="41">
        <v>46170</v>
      </c>
      <c r="F1481" s="47">
        <v>0.50709490740740737</v>
      </c>
      <c r="G1481" s="44">
        <v>6.3</v>
      </c>
      <c r="H1481" s="43" t="s">
        <v>229</v>
      </c>
      <c r="I1481" s="40" t="s">
        <v>1300</v>
      </c>
    </row>
    <row r="1482" spans="1:9" x14ac:dyDescent="0.2">
      <c r="A1482" s="40" t="s">
        <v>208</v>
      </c>
      <c r="B1482" s="28">
        <v>1595</v>
      </c>
      <c r="C1482" s="28">
        <v>5691395</v>
      </c>
      <c r="D1482" s="28"/>
      <c r="E1482" s="45">
        <v>46170</v>
      </c>
      <c r="F1482" s="48">
        <v>0.55381944444444442</v>
      </c>
      <c r="G1482" s="44">
        <v>6.3</v>
      </c>
      <c r="H1482" s="43" t="s">
        <v>230</v>
      </c>
      <c r="I1482" s="40" t="s">
        <v>1300</v>
      </c>
    </row>
    <row r="1483" spans="1:9" x14ac:dyDescent="0.2">
      <c r="A1483" s="40" t="s">
        <v>208</v>
      </c>
      <c r="B1483" s="28">
        <v>1595</v>
      </c>
      <c r="C1483" s="28">
        <v>5691395</v>
      </c>
      <c r="D1483" s="28"/>
      <c r="E1483" s="41">
        <v>46170</v>
      </c>
      <c r="F1483" s="47">
        <v>0.55922453703703701</v>
      </c>
      <c r="G1483" s="44">
        <v>6.3</v>
      </c>
      <c r="H1483" s="43" t="s">
        <v>227</v>
      </c>
      <c r="I1483" s="40" t="s">
        <v>1300</v>
      </c>
    </row>
    <row r="1484" spans="1:9" x14ac:dyDescent="0.2">
      <c r="A1484" s="40" t="s">
        <v>208</v>
      </c>
      <c r="B1484" s="28">
        <v>1595</v>
      </c>
      <c r="C1484" s="28">
        <v>5691909</v>
      </c>
      <c r="D1484" s="28"/>
      <c r="E1484" s="41">
        <v>46170</v>
      </c>
      <c r="F1484" s="47">
        <v>0.76291666666666669</v>
      </c>
      <c r="G1484" s="44">
        <v>6.3</v>
      </c>
      <c r="H1484" s="43" t="s">
        <v>228</v>
      </c>
      <c r="I1484" s="40" t="s">
        <v>1300</v>
      </c>
    </row>
    <row r="1485" spans="1:9" x14ac:dyDescent="0.2">
      <c r="A1485" s="40" t="s">
        <v>208</v>
      </c>
      <c r="B1485" s="28">
        <v>1595</v>
      </c>
      <c r="C1485" s="28">
        <v>5691909</v>
      </c>
      <c r="D1485" s="28"/>
      <c r="E1485" s="41">
        <v>46170</v>
      </c>
      <c r="F1485" s="47">
        <v>0.77559027777777778</v>
      </c>
      <c r="G1485" s="44">
        <v>6.3</v>
      </c>
      <c r="H1485" s="43" t="s">
        <v>229</v>
      </c>
      <c r="I1485" s="40" t="s">
        <v>1300</v>
      </c>
    </row>
    <row r="1486" spans="1:9" x14ac:dyDescent="0.2">
      <c r="A1486" s="40" t="s">
        <v>208</v>
      </c>
      <c r="B1486" s="28">
        <v>1595</v>
      </c>
      <c r="C1486" s="28" t="s">
        <v>35</v>
      </c>
      <c r="D1486" s="28" t="s">
        <v>38</v>
      </c>
      <c r="E1486" s="41">
        <v>46171</v>
      </c>
      <c r="F1486" s="47">
        <v>0.89793981481481477</v>
      </c>
      <c r="G1486" s="44">
        <v>6.3</v>
      </c>
      <c r="H1486" s="43" t="s">
        <v>228</v>
      </c>
      <c r="I1486" s="40" t="s">
        <v>1300</v>
      </c>
    </row>
    <row r="1487" spans="1:9" x14ac:dyDescent="0.2">
      <c r="A1487" s="40" t="s">
        <v>208</v>
      </c>
      <c r="B1487" s="28">
        <v>1595</v>
      </c>
      <c r="C1487" s="28" t="s">
        <v>35</v>
      </c>
      <c r="D1487" s="28" t="s">
        <v>38</v>
      </c>
      <c r="E1487" s="41">
        <v>46171</v>
      </c>
      <c r="F1487" s="47">
        <v>0.90356481481481477</v>
      </c>
      <c r="G1487" s="44">
        <v>6.3</v>
      </c>
      <c r="H1487" s="43" t="s">
        <v>232</v>
      </c>
      <c r="I1487" s="40" t="s">
        <v>1300</v>
      </c>
    </row>
    <row r="1488" spans="1:9" x14ac:dyDescent="0.2">
      <c r="A1488" s="40" t="s">
        <v>208</v>
      </c>
      <c r="B1488" s="28">
        <v>1595</v>
      </c>
      <c r="C1488" s="28" t="s">
        <v>664</v>
      </c>
      <c r="D1488" s="28"/>
      <c r="E1488" s="45">
        <v>46172</v>
      </c>
      <c r="F1488" s="48">
        <v>0.61541666666666661</v>
      </c>
      <c r="G1488" s="44">
        <v>6.3</v>
      </c>
      <c r="H1488" s="43" t="s">
        <v>228</v>
      </c>
      <c r="I1488" s="40" t="s">
        <v>1300</v>
      </c>
    </row>
    <row r="1489" spans="1:9" x14ac:dyDescent="0.2">
      <c r="A1489" s="40" t="s">
        <v>208</v>
      </c>
      <c r="B1489" s="28">
        <v>1595</v>
      </c>
      <c r="C1489" s="28" t="s">
        <v>664</v>
      </c>
      <c r="D1489" s="28"/>
      <c r="E1489" s="41">
        <v>46172</v>
      </c>
      <c r="F1489" s="47">
        <v>0.6272685185185185</v>
      </c>
      <c r="G1489" s="44">
        <v>6.3</v>
      </c>
      <c r="H1489" s="43" t="s">
        <v>229</v>
      </c>
      <c r="I1489" s="40" t="s">
        <v>1300</v>
      </c>
    </row>
    <row r="1490" spans="1:9" x14ac:dyDescent="0.2">
      <c r="A1490" s="40" t="s">
        <v>154</v>
      </c>
      <c r="B1490" s="28">
        <v>1601</v>
      </c>
      <c r="C1490" s="28" t="s">
        <v>35</v>
      </c>
      <c r="D1490" s="28" t="s">
        <v>38</v>
      </c>
      <c r="E1490" s="45">
        <v>46167</v>
      </c>
      <c r="F1490" s="48">
        <v>0.48922453703703705</v>
      </c>
      <c r="G1490" s="44">
        <v>6.3</v>
      </c>
      <c r="H1490" s="43" t="s">
        <v>230</v>
      </c>
      <c r="I1490" s="40" t="s">
        <v>1300</v>
      </c>
    </row>
    <row r="1491" spans="1:9" x14ac:dyDescent="0.2">
      <c r="A1491" s="40" t="s">
        <v>154</v>
      </c>
      <c r="B1491" s="28">
        <v>1601</v>
      </c>
      <c r="C1491" s="28" t="s">
        <v>35</v>
      </c>
      <c r="D1491" s="28" t="s">
        <v>38</v>
      </c>
      <c r="E1491" s="41">
        <v>46167</v>
      </c>
      <c r="F1491" s="47">
        <v>0.49549768518518517</v>
      </c>
      <c r="G1491" s="44">
        <v>6.3</v>
      </c>
      <c r="H1491" s="43" t="s">
        <v>227</v>
      </c>
      <c r="I1491" s="40" t="s">
        <v>1300</v>
      </c>
    </row>
    <row r="1492" spans="1:9" x14ac:dyDescent="0.2">
      <c r="A1492" s="40" t="s">
        <v>154</v>
      </c>
      <c r="B1492" s="28">
        <v>1601</v>
      </c>
      <c r="C1492" s="28" t="s">
        <v>35</v>
      </c>
      <c r="D1492" s="28" t="s">
        <v>38</v>
      </c>
      <c r="E1492" s="41">
        <v>46168</v>
      </c>
      <c r="F1492" s="47">
        <v>0.4112615740740741</v>
      </c>
      <c r="G1492" s="44">
        <v>6.3</v>
      </c>
      <c r="H1492" s="43" t="s">
        <v>230</v>
      </c>
      <c r="I1492" s="40" t="s">
        <v>1300</v>
      </c>
    </row>
    <row r="1493" spans="1:9" x14ac:dyDescent="0.2">
      <c r="A1493" s="40" t="s">
        <v>154</v>
      </c>
      <c r="B1493" s="28">
        <v>1601</v>
      </c>
      <c r="C1493" s="28" t="s">
        <v>35</v>
      </c>
      <c r="D1493" s="28" t="s">
        <v>38</v>
      </c>
      <c r="E1493" s="41">
        <v>46168</v>
      </c>
      <c r="F1493" s="47">
        <v>0.60244212962962962</v>
      </c>
      <c r="G1493" s="44">
        <v>6.3</v>
      </c>
      <c r="H1493" s="43" t="s">
        <v>227</v>
      </c>
      <c r="I1493" s="40" t="s">
        <v>1300</v>
      </c>
    </row>
    <row r="1494" spans="1:9" x14ac:dyDescent="0.2">
      <c r="A1494" s="40" t="s">
        <v>154</v>
      </c>
      <c r="B1494" s="28">
        <v>1601</v>
      </c>
      <c r="C1494" s="28">
        <v>5688996</v>
      </c>
      <c r="D1494" s="28" t="s">
        <v>37</v>
      </c>
      <c r="E1494" s="41">
        <v>46169</v>
      </c>
      <c r="F1494" s="47">
        <v>1.6550925925925926E-3</v>
      </c>
      <c r="G1494" s="42">
        <v>6.3</v>
      </c>
      <c r="H1494" s="40" t="s">
        <v>228</v>
      </c>
      <c r="I1494" s="40" t="s">
        <v>1300</v>
      </c>
    </row>
    <row r="1495" spans="1:9" x14ac:dyDescent="0.2">
      <c r="A1495" s="40" t="s">
        <v>154</v>
      </c>
      <c r="B1495" s="28">
        <v>1601</v>
      </c>
      <c r="C1495" s="28">
        <v>5688996</v>
      </c>
      <c r="D1495" s="28" t="s">
        <v>37</v>
      </c>
      <c r="E1495" s="41">
        <v>46169</v>
      </c>
      <c r="F1495" s="47">
        <v>9.8726851851851857E-3</v>
      </c>
      <c r="G1495" s="42">
        <v>6.3</v>
      </c>
      <c r="H1495" s="40" t="s">
        <v>229</v>
      </c>
      <c r="I1495" s="40" t="s">
        <v>1300</v>
      </c>
    </row>
    <row r="1496" spans="1:9" x14ac:dyDescent="0.2">
      <c r="A1496" s="40" t="s">
        <v>154</v>
      </c>
      <c r="B1496" s="28">
        <v>1601</v>
      </c>
      <c r="C1496" s="28" t="s">
        <v>35</v>
      </c>
      <c r="D1496" s="28" t="s">
        <v>38</v>
      </c>
      <c r="E1496" s="45">
        <v>46169</v>
      </c>
      <c r="F1496" s="48">
        <v>0.38188657407407406</v>
      </c>
      <c r="G1496" s="44">
        <v>6.3</v>
      </c>
      <c r="H1496" s="43" t="s">
        <v>230</v>
      </c>
      <c r="I1496" s="40" t="s">
        <v>1300</v>
      </c>
    </row>
    <row r="1497" spans="1:9" x14ac:dyDescent="0.2">
      <c r="A1497" s="40" t="s">
        <v>154</v>
      </c>
      <c r="B1497" s="28">
        <v>1601</v>
      </c>
      <c r="C1497" s="28" t="s">
        <v>35</v>
      </c>
      <c r="D1497" s="28" t="s">
        <v>38</v>
      </c>
      <c r="E1497" s="41">
        <v>46169</v>
      </c>
      <c r="F1497" s="47">
        <v>0.39059027777777777</v>
      </c>
      <c r="G1497" s="44">
        <v>6.3</v>
      </c>
      <c r="H1497" s="43" t="s">
        <v>227</v>
      </c>
      <c r="I1497" s="40" t="s">
        <v>1300</v>
      </c>
    </row>
    <row r="1498" spans="1:9" x14ac:dyDescent="0.2">
      <c r="A1498" s="40" t="s">
        <v>154</v>
      </c>
      <c r="B1498" s="28">
        <v>1601</v>
      </c>
      <c r="C1498" s="28">
        <v>5690058</v>
      </c>
      <c r="D1498" s="28" t="s">
        <v>36</v>
      </c>
      <c r="E1498" s="41">
        <v>46169</v>
      </c>
      <c r="F1498" s="47">
        <v>0.75533564814814813</v>
      </c>
      <c r="G1498" s="44">
        <v>6.3</v>
      </c>
      <c r="H1498" s="43" t="s">
        <v>228</v>
      </c>
      <c r="I1498" s="40" t="s">
        <v>1300</v>
      </c>
    </row>
    <row r="1499" spans="1:9" x14ac:dyDescent="0.2">
      <c r="A1499" s="40" t="s">
        <v>154</v>
      </c>
      <c r="B1499" s="28">
        <v>1601</v>
      </c>
      <c r="C1499" s="28" t="s">
        <v>35</v>
      </c>
      <c r="D1499" s="28" t="s">
        <v>38</v>
      </c>
      <c r="E1499" s="41">
        <v>46170</v>
      </c>
      <c r="F1499" s="47">
        <v>0.34527777777777779</v>
      </c>
      <c r="G1499" s="44">
        <v>6.3</v>
      </c>
      <c r="H1499" s="43" t="s">
        <v>230</v>
      </c>
      <c r="I1499" s="40" t="s">
        <v>1300</v>
      </c>
    </row>
    <row r="1500" spans="1:9" x14ac:dyDescent="0.2">
      <c r="A1500" s="40" t="s">
        <v>154</v>
      </c>
      <c r="B1500" s="28">
        <v>1601</v>
      </c>
      <c r="C1500" s="28" t="s">
        <v>35</v>
      </c>
      <c r="D1500" s="28" t="s">
        <v>38</v>
      </c>
      <c r="E1500" s="41">
        <v>46170</v>
      </c>
      <c r="F1500" s="47">
        <v>0.35417824074074072</v>
      </c>
      <c r="G1500" s="44">
        <v>6.3</v>
      </c>
      <c r="H1500" s="43" t="s">
        <v>227</v>
      </c>
      <c r="I1500" s="40" t="s">
        <v>1300</v>
      </c>
    </row>
    <row r="1501" spans="1:9" x14ac:dyDescent="0.2">
      <c r="A1501" s="40" t="s">
        <v>154</v>
      </c>
      <c r="B1501" s="28">
        <v>1601</v>
      </c>
      <c r="C1501" s="28" t="s">
        <v>665</v>
      </c>
      <c r="D1501" s="28"/>
      <c r="E1501" s="41">
        <v>46170</v>
      </c>
      <c r="F1501" s="47">
        <v>0.59436342592592595</v>
      </c>
      <c r="G1501" s="42">
        <v>6.3</v>
      </c>
      <c r="H1501" s="40" t="s">
        <v>228</v>
      </c>
      <c r="I1501" s="40" t="s">
        <v>1300</v>
      </c>
    </row>
    <row r="1502" spans="1:9" x14ac:dyDescent="0.2">
      <c r="A1502" s="40" t="s">
        <v>154</v>
      </c>
      <c r="B1502" s="28">
        <v>1601</v>
      </c>
      <c r="C1502" s="28" t="s">
        <v>665</v>
      </c>
      <c r="D1502" s="28"/>
      <c r="E1502" s="41">
        <v>46170</v>
      </c>
      <c r="F1502" s="47">
        <v>0.60842592592592593</v>
      </c>
      <c r="G1502" s="42">
        <v>6.3</v>
      </c>
      <c r="H1502" s="40" t="s">
        <v>229</v>
      </c>
      <c r="I1502" s="40" t="s">
        <v>1300</v>
      </c>
    </row>
    <row r="1503" spans="1:9" x14ac:dyDescent="0.2">
      <c r="A1503" s="40" t="s">
        <v>154</v>
      </c>
      <c r="B1503" s="28">
        <v>1601</v>
      </c>
      <c r="C1503" s="28" t="s">
        <v>35</v>
      </c>
      <c r="D1503" s="28" t="s">
        <v>38</v>
      </c>
      <c r="E1503" s="41">
        <v>46171</v>
      </c>
      <c r="F1503" s="47">
        <v>0.37760416666666669</v>
      </c>
      <c r="G1503" s="42">
        <v>6.3</v>
      </c>
      <c r="H1503" s="40" t="s">
        <v>230</v>
      </c>
      <c r="I1503" s="40" t="s">
        <v>1300</v>
      </c>
    </row>
    <row r="1504" spans="1:9" x14ac:dyDescent="0.2">
      <c r="A1504" s="40" t="s">
        <v>154</v>
      </c>
      <c r="B1504" s="28">
        <v>1601</v>
      </c>
      <c r="C1504" s="28" t="s">
        <v>35</v>
      </c>
      <c r="D1504" s="28" t="s">
        <v>38</v>
      </c>
      <c r="E1504" s="41">
        <v>46171</v>
      </c>
      <c r="F1504" s="47">
        <v>0.38480324074074074</v>
      </c>
      <c r="G1504" s="44">
        <v>6.3</v>
      </c>
      <c r="H1504" s="43" t="s">
        <v>227</v>
      </c>
      <c r="I1504" s="40" t="s">
        <v>1300</v>
      </c>
    </row>
    <row r="1505" spans="1:9" x14ac:dyDescent="0.2">
      <c r="A1505" s="40" t="s">
        <v>154</v>
      </c>
      <c r="B1505" s="28">
        <v>1601</v>
      </c>
      <c r="C1505" s="28" t="s">
        <v>35</v>
      </c>
      <c r="D1505" s="28" t="s">
        <v>38</v>
      </c>
      <c r="E1505" s="45">
        <v>46173</v>
      </c>
      <c r="F1505" s="48">
        <v>0.46194444444444444</v>
      </c>
      <c r="G1505" s="44">
        <v>6.3</v>
      </c>
      <c r="H1505" s="43" t="s">
        <v>230</v>
      </c>
      <c r="I1505" s="40" t="s">
        <v>1300</v>
      </c>
    </row>
    <row r="1506" spans="1:9" x14ac:dyDescent="0.2">
      <c r="A1506" s="40" t="s">
        <v>154</v>
      </c>
      <c r="B1506" s="28">
        <v>1601</v>
      </c>
      <c r="C1506" s="28" t="s">
        <v>35</v>
      </c>
      <c r="D1506" s="28" t="s">
        <v>38</v>
      </c>
      <c r="E1506" s="41">
        <v>46173</v>
      </c>
      <c r="F1506" s="47">
        <v>0.46814814814814815</v>
      </c>
      <c r="G1506" s="44">
        <v>6.3</v>
      </c>
      <c r="H1506" s="43" t="s">
        <v>227</v>
      </c>
      <c r="I1506" s="40" t="s">
        <v>1300</v>
      </c>
    </row>
    <row r="1507" spans="1:9" x14ac:dyDescent="0.2">
      <c r="A1507" s="40" t="s">
        <v>366</v>
      </c>
      <c r="B1507" s="28">
        <v>1615</v>
      </c>
      <c r="C1507" s="28" t="s">
        <v>666</v>
      </c>
      <c r="D1507" s="28"/>
      <c r="E1507" s="41">
        <v>46171</v>
      </c>
      <c r="F1507" s="47">
        <v>0.9425810185185185</v>
      </c>
      <c r="G1507" s="44">
        <v>6.3</v>
      </c>
      <c r="H1507" s="43" t="s">
        <v>228</v>
      </c>
      <c r="I1507" s="40" t="s">
        <v>1300</v>
      </c>
    </row>
    <row r="1508" spans="1:9" x14ac:dyDescent="0.2">
      <c r="A1508" s="40" t="s">
        <v>366</v>
      </c>
      <c r="B1508" s="28">
        <v>1615</v>
      </c>
      <c r="C1508" s="28" t="s">
        <v>666</v>
      </c>
      <c r="D1508" s="28"/>
      <c r="E1508" s="45">
        <v>46171</v>
      </c>
      <c r="F1508" s="48">
        <v>0.95041666666666669</v>
      </c>
      <c r="G1508" s="44">
        <v>6.3</v>
      </c>
      <c r="H1508" s="43" t="s">
        <v>229</v>
      </c>
      <c r="I1508" s="40" t="s">
        <v>1300</v>
      </c>
    </row>
    <row r="1509" spans="1:9" x14ac:dyDescent="0.2">
      <c r="A1509" s="40" t="s">
        <v>366</v>
      </c>
      <c r="B1509" s="28">
        <v>1615</v>
      </c>
      <c r="C1509" s="28" t="s">
        <v>35</v>
      </c>
      <c r="D1509" s="28" t="s">
        <v>38</v>
      </c>
      <c r="E1509" s="45">
        <v>46171</v>
      </c>
      <c r="F1509" s="48">
        <v>0.97422453703703704</v>
      </c>
      <c r="G1509" s="44">
        <v>6.3</v>
      </c>
      <c r="H1509" s="43" t="s">
        <v>230</v>
      </c>
      <c r="I1509" s="40" t="s">
        <v>1300</v>
      </c>
    </row>
    <row r="1510" spans="1:9" x14ac:dyDescent="0.2">
      <c r="A1510" s="40" t="s">
        <v>366</v>
      </c>
      <c r="B1510" s="28">
        <v>1615</v>
      </c>
      <c r="C1510" s="28" t="s">
        <v>35</v>
      </c>
      <c r="D1510" s="28" t="s">
        <v>38</v>
      </c>
      <c r="E1510" s="41">
        <v>46171</v>
      </c>
      <c r="F1510" s="47">
        <v>0.98033564814814811</v>
      </c>
      <c r="G1510" s="44">
        <v>6.3</v>
      </c>
      <c r="H1510" s="43" t="s">
        <v>227</v>
      </c>
      <c r="I1510" s="40" t="s">
        <v>1300</v>
      </c>
    </row>
    <row r="1511" spans="1:9" x14ac:dyDescent="0.2">
      <c r="A1511" s="40" t="s">
        <v>366</v>
      </c>
      <c r="B1511" s="28">
        <v>1615</v>
      </c>
      <c r="C1511" s="28" t="s">
        <v>35</v>
      </c>
      <c r="D1511" s="28" t="s">
        <v>38</v>
      </c>
      <c r="E1511" s="41">
        <v>46172</v>
      </c>
      <c r="F1511" s="47">
        <v>0.43633101851851852</v>
      </c>
      <c r="G1511" s="44">
        <v>6.3</v>
      </c>
      <c r="H1511" s="43" t="s">
        <v>226</v>
      </c>
      <c r="I1511" s="40" t="s">
        <v>1300</v>
      </c>
    </row>
    <row r="1512" spans="1:9" x14ac:dyDescent="0.2">
      <c r="A1512" s="40" t="s">
        <v>366</v>
      </c>
      <c r="B1512" s="28">
        <v>1615</v>
      </c>
      <c r="C1512" s="28" t="s">
        <v>35</v>
      </c>
      <c r="D1512" s="28" t="s">
        <v>38</v>
      </c>
      <c r="E1512" s="41">
        <v>46172</v>
      </c>
      <c r="F1512" s="47">
        <v>0.44319444444444445</v>
      </c>
      <c r="G1512" s="44">
        <v>6.3</v>
      </c>
      <c r="H1512" s="43" t="s">
        <v>227</v>
      </c>
      <c r="I1512" s="40" t="s">
        <v>1300</v>
      </c>
    </row>
    <row r="1513" spans="1:9" x14ac:dyDescent="0.2">
      <c r="A1513" s="40" t="s">
        <v>202</v>
      </c>
      <c r="B1513" s="28">
        <v>1673</v>
      </c>
      <c r="C1513" s="28">
        <v>5687386</v>
      </c>
      <c r="D1513" s="28"/>
      <c r="E1513" s="41">
        <v>46168</v>
      </c>
      <c r="F1513" s="47">
        <v>0.45564814814814814</v>
      </c>
      <c r="G1513" s="44">
        <v>6.3</v>
      </c>
      <c r="H1513" s="43" t="s">
        <v>228</v>
      </c>
      <c r="I1513" s="40" t="s">
        <v>1300</v>
      </c>
    </row>
    <row r="1514" spans="1:9" x14ac:dyDescent="0.2">
      <c r="A1514" s="40" t="s">
        <v>202</v>
      </c>
      <c r="B1514" s="28">
        <v>1673</v>
      </c>
      <c r="C1514" s="28">
        <v>5687386</v>
      </c>
      <c r="D1514" s="28"/>
      <c r="E1514" s="41">
        <v>46168</v>
      </c>
      <c r="F1514" s="47">
        <v>0.46273148148148147</v>
      </c>
      <c r="G1514" s="44">
        <v>6.3</v>
      </c>
      <c r="H1514" s="43" t="s">
        <v>233</v>
      </c>
      <c r="I1514" s="40" t="s">
        <v>1300</v>
      </c>
    </row>
    <row r="1515" spans="1:9" x14ac:dyDescent="0.2">
      <c r="A1515" s="40" t="s">
        <v>202</v>
      </c>
      <c r="B1515" s="28">
        <v>1673</v>
      </c>
      <c r="C1515" s="28">
        <v>5689044</v>
      </c>
      <c r="D1515" s="28"/>
      <c r="E1515" s="41">
        <v>46169</v>
      </c>
      <c r="F1515" s="47">
        <v>0.1648148148148148</v>
      </c>
      <c r="G1515" s="44">
        <v>6.3</v>
      </c>
      <c r="H1515" s="43" t="s">
        <v>230</v>
      </c>
      <c r="I1515" s="40" t="s">
        <v>1300</v>
      </c>
    </row>
    <row r="1516" spans="1:9" x14ac:dyDescent="0.2">
      <c r="A1516" s="40" t="s">
        <v>202</v>
      </c>
      <c r="B1516" s="28">
        <v>1673</v>
      </c>
      <c r="C1516" s="28">
        <v>5689044</v>
      </c>
      <c r="D1516" s="28"/>
      <c r="E1516" s="41">
        <v>46169</v>
      </c>
      <c r="F1516" s="47">
        <v>0.17025462962962962</v>
      </c>
      <c r="G1516" s="44">
        <v>6.3</v>
      </c>
      <c r="H1516" s="43" t="s">
        <v>227</v>
      </c>
      <c r="I1516" s="40" t="s">
        <v>1300</v>
      </c>
    </row>
    <row r="1517" spans="1:9" x14ac:dyDescent="0.2">
      <c r="A1517" s="40" t="s">
        <v>202</v>
      </c>
      <c r="B1517" s="28">
        <v>1673</v>
      </c>
      <c r="C1517" s="28">
        <v>5687205</v>
      </c>
      <c r="D1517" s="28" t="s">
        <v>36</v>
      </c>
      <c r="E1517" s="41">
        <v>46169</v>
      </c>
      <c r="F1517" s="47">
        <v>0.38839120370370372</v>
      </c>
      <c r="G1517" s="44">
        <v>6.3</v>
      </c>
      <c r="H1517" s="43" t="s">
        <v>228</v>
      </c>
      <c r="I1517" s="40" t="s">
        <v>1300</v>
      </c>
    </row>
    <row r="1518" spans="1:9" x14ac:dyDescent="0.2">
      <c r="A1518" s="40" t="s">
        <v>202</v>
      </c>
      <c r="B1518" s="28">
        <v>1673</v>
      </c>
      <c r="C1518" s="28">
        <v>5687205</v>
      </c>
      <c r="D1518" s="28" t="s">
        <v>36</v>
      </c>
      <c r="E1518" s="41">
        <v>46169</v>
      </c>
      <c r="F1518" s="47">
        <v>0.40121527777777777</v>
      </c>
      <c r="G1518" s="44">
        <v>6.3</v>
      </c>
      <c r="H1518" s="43" t="s">
        <v>229</v>
      </c>
      <c r="I1518" s="40" t="s">
        <v>1300</v>
      </c>
    </row>
    <row r="1519" spans="1:9" x14ac:dyDescent="0.2">
      <c r="A1519" s="40" t="s">
        <v>202</v>
      </c>
      <c r="B1519" s="28">
        <v>1673</v>
      </c>
      <c r="C1519" s="28">
        <v>5692559</v>
      </c>
      <c r="D1519" s="28"/>
      <c r="E1519" s="41">
        <v>46171</v>
      </c>
      <c r="F1519" s="47">
        <v>0.22361111111111112</v>
      </c>
      <c r="G1519" s="44">
        <v>6.3</v>
      </c>
      <c r="H1519" s="43" t="s">
        <v>230</v>
      </c>
      <c r="I1519" s="40" t="s">
        <v>1300</v>
      </c>
    </row>
    <row r="1520" spans="1:9" x14ac:dyDescent="0.2">
      <c r="A1520" s="40" t="s">
        <v>202</v>
      </c>
      <c r="B1520" s="28">
        <v>1673</v>
      </c>
      <c r="C1520" s="28">
        <v>5692559</v>
      </c>
      <c r="D1520" s="28"/>
      <c r="E1520" s="41">
        <v>46171</v>
      </c>
      <c r="F1520" s="47">
        <v>0.22872685185185185</v>
      </c>
      <c r="G1520" s="44">
        <v>6.3</v>
      </c>
      <c r="H1520" s="43" t="s">
        <v>227</v>
      </c>
      <c r="I1520" s="40" t="s">
        <v>1300</v>
      </c>
    </row>
    <row r="1521" spans="1:9" x14ac:dyDescent="0.2">
      <c r="A1521" s="40" t="s">
        <v>202</v>
      </c>
      <c r="B1521" s="28">
        <v>1673</v>
      </c>
      <c r="C1521" s="28">
        <v>5694366</v>
      </c>
      <c r="D1521" s="28"/>
      <c r="E1521" s="41">
        <v>46172</v>
      </c>
      <c r="F1521" s="47">
        <v>0.18425925925925926</v>
      </c>
      <c r="G1521" s="44">
        <v>6.3</v>
      </c>
      <c r="H1521" s="43" t="s">
        <v>230</v>
      </c>
      <c r="I1521" s="40" t="s">
        <v>1300</v>
      </c>
    </row>
    <row r="1522" spans="1:9" x14ac:dyDescent="0.2">
      <c r="A1522" s="40" t="s">
        <v>202</v>
      </c>
      <c r="B1522" s="28">
        <v>1673</v>
      </c>
      <c r="C1522" s="28">
        <v>5694366</v>
      </c>
      <c r="D1522" s="28"/>
      <c r="E1522" s="41">
        <v>46172</v>
      </c>
      <c r="F1522" s="47">
        <v>0.18940972222222222</v>
      </c>
      <c r="G1522" s="44">
        <v>6.3</v>
      </c>
      <c r="H1522" s="43" t="s">
        <v>227</v>
      </c>
      <c r="I1522" s="40" t="s">
        <v>1300</v>
      </c>
    </row>
    <row r="1523" spans="1:9" x14ac:dyDescent="0.2">
      <c r="A1523" s="40" t="s">
        <v>202</v>
      </c>
      <c r="B1523" s="28">
        <v>1673</v>
      </c>
      <c r="C1523" s="28">
        <v>5695311</v>
      </c>
      <c r="D1523" s="28"/>
      <c r="E1523" s="45">
        <v>46173</v>
      </c>
      <c r="F1523" s="48">
        <v>0.15745370370370371</v>
      </c>
      <c r="G1523" s="44">
        <v>6.3</v>
      </c>
      <c r="H1523" s="43" t="s">
        <v>230</v>
      </c>
      <c r="I1523" s="40" t="s">
        <v>1300</v>
      </c>
    </row>
    <row r="1524" spans="1:9" x14ac:dyDescent="0.2">
      <c r="A1524" s="40" t="s">
        <v>202</v>
      </c>
      <c r="B1524" s="28">
        <v>1673</v>
      </c>
      <c r="C1524" s="28">
        <v>5695311</v>
      </c>
      <c r="D1524" s="28"/>
      <c r="E1524" s="41">
        <v>46173</v>
      </c>
      <c r="F1524" s="47">
        <v>0.16238425925925926</v>
      </c>
      <c r="G1524" s="44">
        <v>6.3</v>
      </c>
      <c r="H1524" s="43" t="s">
        <v>227</v>
      </c>
      <c r="I1524" s="40" t="s">
        <v>1300</v>
      </c>
    </row>
    <row r="1525" spans="1:9" x14ac:dyDescent="0.2">
      <c r="A1525" s="40" t="s">
        <v>202</v>
      </c>
      <c r="B1525" s="28">
        <v>1673</v>
      </c>
      <c r="C1525" s="28">
        <v>5695129</v>
      </c>
      <c r="D1525" s="28" t="s">
        <v>37</v>
      </c>
      <c r="E1525" s="41">
        <v>46173</v>
      </c>
      <c r="F1525" s="47">
        <v>0.93267361111111113</v>
      </c>
      <c r="G1525" s="44">
        <v>6.3</v>
      </c>
      <c r="H1525" s="43" t="s">
        <v>227</v>
      </c>
      <c r="I1525" s="40" t="s">
        <v>1300</v>
      </c>
    </row>
    <row r="1526" spans="1:9" x14ac:dyDescent="0.2">
      <c r="A1526" s="40" t="s">
        <v>279</v>
      </c>
      <c r="B1526" s="28">
        <v>1675</v>
      </c>
      <c r="C1526" s="28">
        <v>5687181</v>
      </c>
      <c r="D1526" s="28"/>
      <c r="E1526" s="41">
        <v>46168</v>
      </c>
      <c r="F1526" s="47">
        <v>1.8275462962962962E-2</v>
      </c>
      <c r="G1526" s="44">
        <v>6.3</v>
      </c>
      <c r="H1526" s="43" t="s">
        <v>229</v>
      </c>
      <c r="I1526" s="40" t="s">
        <v>1300</v>
      </c>
    </row>
    <row r="1527" spans="1:9" x14ac:dyDescent="0.2">
      <c r="A1527" s="40" t="s">
        <v>279</v>
      </c>
      <c r="B1527" s="28">
        <v>1675</v>
      </c>
      <c r="C1527" s="28" t="s">
        <v>35</v>
      </c>
      <c r="D1527" s="28" t="s">
        <v>38</v>
      </c>
      <c r="E1527" s="41">
        <v>46168</v>
      </c>
      <c r="F1527" s="47">
        <v>3.457175925925926E-2</v>
      </c>
      <c r="G1527" s="44">
        <v>6.3</v>
      </c>
      <c r="H1527" s="43" t="s">
        <v>230</v>
      </c>
      <c r="I1527" s="40" t="s">
        <v>1300</v>
      </c>
    </row>
    <row r="1528" spans="1:9" x14ac:dyDescent="0.2">
      <c r="A1528" s="40" t="s">
        <v>279</v>
      </c>
      <c r="B1528" s="28">
        <v>1675</v>
      </c>
      <c r="C1528" s="28">
        <v>5650481</v>
      </c>
      <c r="D1528" s="28" t="s">
        <v>36</v>
      </c>
      <c r="E1528" s="41">
        <v>46169</v>
      </c>
      <c r="F1528" s="47">
        <v>0.10759259259259259</v>
      </c>
      <c r="G1528" s="44">
        <v>6.3</v>
      </c>
      <c r="H1528" s="43" t="s">
        <v>228</v>
      </c>
      <c r="I1528" s="40" t="s">
        <v>1300</v>
      </c>
    </row>
    <row r="1529" spans="1:9" x14ac:dyDescent="0.2">
      <c r="A1529" s="40" t="s">
        <v>279</v>
      </c>
      <c r="B1529" s="28">
        <v>1675</v>
      </c>
      <c r="C1529" s="28">
        <v>5650481</v>
      </c>
      <c r="D1529" s="28" t="s">
        <v>36</v>
      </c>
      <c r="E1529" s="41">
        <v>46169</v>
      </c>
      <c r="F1529" s="47">
        <v>0.11483796296296296</v>
      </c>
      <c r="G1529" s="44">
        <v>6.3</v>
      </c>
      <c r="H1529" s="43" t="s">
        <v>229</v>
      </c>
      <c r="I1529" s="40" t="s">
        <v>1300</v>
      </c>
    </row>
    <row r="1530" spans="1:9" x14ac:dyDescent="0.2">
      <c r="A1530" s="40" t="s">
        <v>279</v>
      </c>
      <c r="B1530" s="28">
        <v>1675</v>
      </c>
      <c r="C1530" s="28">
        <v>5690420</v>
      </c>
      <c r="D1530" s="28" t="s">
        <v>36</v>
      </c>
      <c r="E1530" s="45">
        <v>46170</v>
      </c>
      <c r="F1530" s="48">
        <v>0.50679398148148147</v>
      </c>
      <c r="G1530" s="42">
        <v>6.3</v>
      </c>
      <c r="H1530" s="40" t="s">
        <v>228</v>
      </c>
      <c r="I1530" s="40" t="s">
        <v>1300</v>
      </c>
    </row>
    <row r="1531" spans="1:9" x14ac:dyDescent="0.2">
      <c r="A1531" s="40" t="s">
        <v>279</v>
      </c>
      <c r="B1531" s="28">
        <v>1675</v>
      </c>
      <c r="C1531" s="28">
        <v>5690420</v>
      </c>
      <c r="D1531" s="28" t="s">
        <v>36</v>
      </c>
      <c r="E1531" s="41">
        <v>46170</v>
      </c>
      <c r="F1531" s="47">
        <v>0.5163078703703704</v>
      </c>
      <c r="G1531" s="42">
        <v>6.3</v>
      </c>
      <c r="H1531" s="40" t="s">
        <v>229</v>
      </c>
      <c r="I1531" s="40" t="s">
        <v>1300</v>
      </c>
    </row>
    <row r="1532" spans="1:9" x14ac:dyDescent="0.2">
      <c r="A1532" s="40" t="s">
        <v>279</v>
      </c>
      <c r="B1532" s="28">
        <v>1675</v>
      </c>
      <c r="C1532" s="28" t="s">
        <v>35</v>
      </c>
      <c r="D1532" s="28" t="s">
        <v>38</v>
      </c>
      <c r="E1532" s="41">
        <v>46170</v>
      </c>
      <c r="F1532" s="47">
        <v>0.67077546296296298</v>
      </c>
      <c r="G1532" s="42">
        <v>6.3</v>
      </c>
      <c r="H1532" s="40" t="s">
        <v>234</v>
      </c>
      <c r="I1532" s="40" t="s">
        <v>1300</v>
      </c>
    </row>
    <row r="1533" spans="1:9" x14ac:dyDescent="0.2">
      <c r="A1533" s="40" t="s">
        <v>279</v>
      </c>
      <c r="B1533" s="28">
        <v>1675</v>
      </c>
      <c r="C1533" s="28" t="s">
        <v>35</v>
      </c>
      <c r="D1533" s="28" t="s">
        <v>38</v>
      </c>
      <c r="E1533" s="41">
        <v>46170</v>
      </c>
      <c r="F1533" s="47">
        <v>0.67980324074074072</v>
      </c>
      <c r="G1533" s="44">
        <v>6.3</v>
      </c>
      <c r="H1533" s="43" t="s">
        <v>227</v>
      </c>
      <c r="I1533" s="40" t="s">
        <v>1300</v>
      </c>
    </row>
    <row r="1534" spans="1:9" x14ac:dyDescent="0.2">
      <c r="A1534" s="40" t="s">
        <v>279</v>
      </c>
      <c r="B1534" s="28">
        <v>1675</v>
      </c>
      <c r="C1534" s="28" t="s">
        <v>35</v>
      </c>
      <c r="D1534" s="28" t="s">
        <v>38</v>
      </c>
      <c r="E1534" s="41">
        <v>46170</v>
      </c>
      <c r="F1534" s="47">
        <v>0.8765856481481481</v>
      </c>
      <c r="G1534" s="44">
        <v>6.3</v>
      </c>
      <c r="H1534" s="43" t="s">
        <v>230</v>
      </c>
      <c r="I1534" s="40" t="s">
        <v>1300</v>
      </c>
    </row>
    <row r="1535" spans="1:9" x14ac:dyDescent="0.2">
      <c r="A1535" s="40" t="s">
        <v>279</v>
      </c>
      <c r="B1535" s="28">
        <v>1675</v>
      </c>
      <c r="C1535" s="28" t="s">
        <v>35</v>
      </c>
      <c r="D1535" s="28" t="s">
        <v>38</v>
      </c>
      <c r="E1535" s="41">
        <v>46171</v>
      </c>
      <c r="F1535" s="47">
        <v>0.31077546296296299</v>
      </c>
      <c r="G1535" s="44">
        <v>6.3</v>
      </c>
      <c r="H1535" s="43" t="s">
        <v>230</v>
      </c>
      <c r="I1535" s="40" t="s">
        <v>1300</v>
      </c>
    </row>
    <row r="1536" spans="1:9" x14ac:dyDescent="0.2">
      <c r="A1536" s="40" t="s">
        <v>279</v>
      </c>
      <c r="B1536" s="28">
        <v>1675</v>
      </c>
      <c r="C1536" s="28" t="s">
        <v>35</v>
      </c>
      <c r="D1536" s="28" t="s">
        <v>38</v>
      </c>
      <c r="E1536" s="45">
        <v>46171</v>
      </c>
      <c r="F1536" s="48">
        <v>0.32614583333333336</v>
      </c>
      <c r="G1536" s="44">
        <v>6.3</v>
      </c>
      <c r="H1536" s="43" t="s">
        <v>227</v>
      </c>
      <c r="I1536" s="40" t="s">
        <v>1300</v>
      </c>
    </row>
    <row r="1537" spans="1:9" x14ac:dyDescent="0.2">
      <c r="A1537" s="40" t="s">
        <v>279</v>
      </c>
      <c r="B1537" s="28">
        <v>1675</v>
      </c>
      <c r="C1537" s="28" t="s">
        <v>35</v>
      </c>
      <c r="D1537" s="28" t="s">
        <v>38</v>
      </c>
      <c r="E1537" s="41">
        <v>46172</v>
      </c>
      <c r="F1537" s="47">
        <v>0.80164351851851856</v>
      </c>
      <c r="G1537" s="44">
        <v>6.3</v>
      </c>
      <c r="H1537" s="43" t="s">
        <v>228</v>
      </c>
      <c r="I1537" s="40" t="s">
        <v>1300</v>
      </c>
    </row>
    <row r="1538" spans="1:9" x14ac:dyDescent="0.2">
      <c r="A1538" s="40" t="s">
        <v>279</v>
      </c>
      <c r="B1538" s="28">
        <v>1675</v>
      </c>
      <c r="C1538" s="28" t="s">
        <v>35</v>
      </c>
      <c r="D1538" s="28" t="s">
        <v>38</v>
      </c>
      <c r="E1538" s="41">
        <v>46173</v>
      </c>
      <c r="F1538" s="47">
        <v>0.5242013888888889</v>
      </c>
      <c r="G1538" s="44">
        <v>6.3</v>
      </c>
      <c r="H1538" s="43" t="s">
        <v>234</v>
      </c>
      <c r="I1538" s="40" t="s">
        <v>1300</v>
      </c>
    </row>
    <row r="1539" spans="1:9" x14ac:dyDescent="0.2">
      <c r="A1539" s="40" t="s">
        <v>279</v>
      </c>
      <c r="B1539" s="28">
        <v>1675</v>
      </c>
      <c r="C1539" s="28" t="s">
        <v>35</v>
      </c>
      <c r="D1539" s="28" t="s">
        <v>38</v>
      </c>
      <c r="E1539" s="41">
        <v>46173</v>
      </c>
      <c r="F1539" s="47">
        <v>0.52730324074074075</v>
      </c>
      <c r="G1539" s="44">
        <v>6.3</v>
      </c>
      <c r="H1539" s="43" t="s">
        <v>227</v>
      </c>
      <c r="I1539" s="40" t="s">
        <v>1300</v>
      </c>
    </row>
    <row r="1540" spans="1:9" x14ac:dyDescent="0.2">
      <c r="A1540" s="40" t="s">
        <v>150</v>
      </c>
      <c r="B1540" s="28">
        <v>1699</v>
      </c>
      <c r="C1540" s="28" t="s">
        <v>667</v>
      </c>
      <c r="D1540" s="28"/>
      <c r="E1540" s="41">
        <v>46169</v>
      </c>
      <c r="F1540" s="47">
        <v>0.11430555555555555</v>
      </c>
      <c r="G1540" s="44">
        <v>6.3</v>
      </c>
      <c r="H1540" s="43" t="s">
        <v>228</v>
      </c>
      <c r="I1540" s="40" t="s">
        <v>1300</v>
      </c>
    </row>
    <row r="1541" spans="1:9" x14ac:dyDescent="0.2">
      <c r="A1541" s="40" t="s">
        <v>150</v>
      </c>
      <c r="B1541" s="28">
        <v>1699</v>
      </c>
      <c r="C1541" s="28" t="s">
        <v>667</v>
      </c>
      <c r="D1541" s="28"/>
      <c r="E1541" s="45">
        <v>46169</v>
      </c>
      <c r="F1541" s="48">
        <v>0.12042824074074074</v>
      </c>
      <c r="G1541" s="44">
        <v>6.3</v>
      </c>
      <c r="H1541" s="43" t="s">
        <v>229</v>
      </c>
      <c r="I1541" s="40" t="s">
        <v>1300</v>
      </c>
    </row>
    <row r="1542" spans="1:9" x14ac:dyDescent="0.2">
      <c r="A1542" s="40" t="s">
        <v>150</v>
      </c>
      <c r="B1542" s="28">
        <v>1699</v>
      </c>
      <c r="C1542" s="28">
        <v>5690893</v>
      </c>
      <c r="D1542" s="28"/>
      <c r="E1542" s="41">
        <v>46170</v>
      </c>
      <c r="F1542" s="47">
        <v>0.25405092592592593</v>
      </c>
      <c r="G1542" s="44">
        <v>6.3</v>
      </c>
      <c r="H1542" s="43" t="s">
        <v>226</v>
      </c>
      <c r="I1542" s="40" t="s">
        <v>1300</v>
      </c>
    </row>
    <row r="1543" spans="1:9" x14ac:dyDescent="0.2">
      <c r="A1543" s="40" t="s">
        <v>150</v>
      </c>
      <c r="B1543" s="28">
        <v>1699</v>
      </c>
      <c r="C1543" s="28">
        <v>5690893</v>
      </c>
      <c r="D1543" s="28"/>
      <c r="E1543" s="45">
        <v>46170</v>
      </c>
      <c r="F1543" s="48">
        <v>0.25920138888888888</v>
      </c>
      <c r="G1543" s="44">
        <v>6.3</v>
      </c>
      <c r="H1543" s="43" t="s">
        <v>227</v>
      </c>
      <c r="I1543" s="40" t="s">
        <v>1300</v>
      </c>
    </row>
    <row r="1544" spans="1:9" x14ac:dyDescent="0.2">
      <c r="A1544" s="40" t="s">
        <v>150</v>
      </c>
      <c r="B1544" s="28">
        <v>1699</v>
      </c>
      <c r="C1544" s="28" t="s">
        <v>668</v>
      </c>
      <c r="D1544" s="28"/>
      <c r="E1544" s="41">
        <v>46171</v>
      </c>
      <c r="F1544" s="47">
        <v>0.9838541666666667</v>
      </c>
      <c r="G1544" s="44">
        <v>6.3</v>
      </c>
      <c r="H1544" s="43" t="s">
        <v>228</v>
      </c>
      <c r="I1544" s="40" t="s">
        <v>1300</v>
      </c>
    </row>
    <row r="1545" spans="1:9" x14ac:dyDescent="0.2">
      <c r="A1545" s="40" t="s">
        <v>150</v>
      </c>
      <c r="B1545" s="28">
        <v>1699</v>
      </c>
      <c r="C1545" s="28" t="s">
        <v>668</v>
      </c>
      <c r="D1545" s="28"/>
      <c r="E1545" s="41">
        <v>46171</v>
      </c>
      <c r="F1545" s="47">
        <v>0.99077546296296293</v>
      </c>
      <c r="G1545" s="44">
        <v>6.3</v>
      </c>
      <c r="H1545" s="43" t="s">
        <v>229</v>
      </c>
      <c r="I1545" s="40" t="s">
        <v>1300</v>
      </c>
    </row>
    <row r="1546" spans="1:9" x14ac:dyDescent="0.2">
      <c r="A1546" s="40" t="s">
        <v>150</v>
      </c>
      <c r="B1546" s="28">
        <v>1699</v>
      </c>
      <c r="C1546" s="28" t="s">
        <v>35</v>
      </c>
      <c r="D1546" s="28" t="s">
        <v>38</v>
      </c>
      <c r="E1546" s="41">
        <v>46172</v>
      </c>
      <c r="F1546" s="47">
        <v>1.7939814814814815E-3</v>
      </c>
      <c r="G1546" s="44">
        <v>6.3</v>
      </c>
      <c r="H1546" s="43" t="s">
        <v>230</v>
      </c>
      <c r="I1546" s="40" t="s">
        <v>1300</v>
      </c>
    </row>
    <row r="1547" spans="1:9" x14ac:dyDescent="0.2">
      <c r="A1547" s="40" t="s">
        <v>150</v>
      </c>
      <c r="B1547" s="28">
        <v>1699</v>
      </c>
      <c r="C1547" s="28" t="s">
        <v>35</v>
      </c>
      <c r="D1547" s="28" t="s">
        <v>38</v>
      </c>
      <c r="E1547" s="41">
        <v>46172</v>
      </c>
      <c r="F1547" s="47">
        <v>6.7476851851851856E-3</v>
      </c>
      <c r="G1547" s="44">
        <v>6.3</v>
      </c>
      <c r="H1547" s="43" t="s">
        <v>227</v>
      </c>
      <c r="I1547" s="40" t="s">
        <v>1300</v>
      </c>
    </row>
    <row r="1548" spans="1:9" x14ac:dyDescent="0.2">
      <c r="A1548" s="40" t="s">
        <v>150</v>
      </c>
      <c r="B1548" s="28">
        <v>1699</v>
      </c>
      <c r="C1548" s="28">
        <v>5694056</v>
      </c>
      <c r="D1548" s="28"/>
      <c r="E1548" s="41">
        <v>46172</v>
      </c>
      <c r="F1548" s="47">
        <v>3.2812500000000001E-2</v>
      </c>
      <c r="G1548" s="44">
        <v>6.3</v>
      </c>
      <c r="H1548" s="43" t="s">
        <v>228</v>
      </c>
      <c r="I1548" s="40" t="s">
        <v>1300</v>
      </c>
    </row>
    <row r="1549" spans="1:9" x14ac:dyDescent="0.2">
      <c r="A1549" s="40" t="s">
        <v>150</v>
      </c>
      <c r="B1549" s="28">
        <v>1699</v>
      </c>
      <c r="C1549" s="28">
        <v>5694056</v>
      </c>
      <c r="D1549" s="28"/>
      <c r="E1549" s="41">
        <v>46172</v>
      </c>
      <c r="F1549" s="47">
        <v>3.7789351851851852E-2</v>
      </c>
      <c r="G1549" s="44">
        <v>6.3</v>
      </c>
      <c r="H1549" s="43" t="s">
        <v>233</v>
      </c>
      <c r="I1549" s="40" t="s">
        <v>1300</v>
      </c>
    </row>
    <row r="1550" spans="1:9" x14ac:dyDescent="0.2">
      <c r="A1550" s="40" t="s">
        <v>150</v>
      </c>
      <c r="B1550" s="28">
        <v>1699</v>
      </c>
      <c r="C1550" s="28">
        <v>5695959</v>
      </c>
      <c r="D1550" s="28"/>
      <c r="E1550" s="41">
        <v>46173</v>
      </c>
      <c r="F1550" s="47">
        <v>0.82113425925925931</v>
      </c>
      <c r="G1550" s="44">
        <v>6.3</v>
      </c>
      <c r="H1550" s="43" t="s">
        <v>227</v>
      </c>
      <c r="I1550" s="40" t="s">
        <v>1300</v>
      </c>
    </row>
    <row r="1551" spans="1:9" x14ac:dyDescent="0.2">
      <c r="A1551" s="40" t="s">
        <v>293</v>
      </c>
      <c r="B1551" s="28">
        <v>1774</v>
      </c>
      <c r="C1551" s="28" t="s">
        <v>669</v>
      </c>
      <c r="D1551" s="28"/>
      <c r="E1551" s="41">
        <v>46168</v>
      </c>
      <c r="F1551" s="47">
        <v>0.59100694444444446</v>
      </c>
      <c r="G1551" s="44">
        <v>6.3</v>
      </c>
      <c r="H1551" s="43" t="s">
        <v>229</v>
      </c>
      <c r="I1551" s="40" t="s">
        <v>1300</v>
      </c>
    </row>
    <row r="1552" spans="1:9" x14ac:dyDescent="0.2">
      <c r="A1552" s="40" t="s">
        <v>293</v>
      </c>
      <c r="B1552" s="28">
        <v>1774</v>
      </c>
      <c r="C1552" s="28" t="s">
        <v>670</v>
      </c>
      <c r="D1552" s="28"/>
      <c r="E1552" s="41">
        <v>46170</v>
      </c>
      <c r="F1552" s="47">
        <v>0.34652777777777777</v>
      </c>
      <c r="G1552" s="44">
        <v>6.3</v>
      </c>
      <c r="H1552" s="43" t="s">
        <v>228</v>
      </c>
      <c r="I1552" s="40" t="s">
        <v>1300</v>
      </c>
    </row>
    <row r="1553" spans="1:9" x14ac:dyDescent="0.2">
      <c r="A1553" s="40" t="s">
        <v>293</v>
      </c>
      <c r="B1553" s="28">
        <v>1774</v>
      </c>
      <c r="C1553" s="28" t="s">
        <v>670</v>
      </c>
      <c r="D1553" s="28"/>
      <c r="E1553" s="41">
        <v>46170</v>
      </c>
      <c r="F1553" s="47">
        <v>0.36135416666666664</v>
      </c>
      <c r="G1553" s="44">
        <v>6.3</v>
      </c>
      <c r="H1553" s="43" t="s">
        <v>229</v>
      </c>
      <c r="I1553" s="40" t="s">
        <v>1300</v>
      </c>
    </row>
    <row r="1554" spans="1:9" x14ac:dyDescent="0.2">
      <c r="A1554" s="40" t="s">
        <v>293</v>
      </c>
      <c r="B1554" s="28">
        <v>1774</v>
      </c>
      <c r="C1554" s="28" t="s">
        <v>671</v>
      </c>
      <c r="D1554" s="28"/>
      <c r="E1554" s="41">
        <v>46171</v>
      </c>
      <c r="F1554" s="47">
        <v>0.33865740740740741</v>
      </c>
      <c r="G1554" s="44">
        <v>6.3</v>
      </c>
      <c r="H1554" s="43" t="s">
        <v>228</v>
      </c>
      <c r="I1554" s="40" t="s">
        <v>1300</v>
      </c>
    </row>
    <row r="1555" spans="1:9" x14ac:dyDescent="0.2">
      <c r="A1555" s="40" t="s">
        <v>293</v>
      </c>
      <c r="B1555" s="28">
        <v>1774</v>
      </c>
      <c r="C1555" s="28" t="s">
        <v>671</v>
      </c>
      <c r="D1555" s="28"/>
      <c r="E1555" s="45">
        <v>46171</v>
      </c>
      <c r="F1555" s="48">
        <v>0.35219907407407408</v>
      </c>
      <c r="G1555" s="44">
        <v>6.3</v>
      </c>
      <c r="H1555" s="43" t="s">
        <v>229</v>
      </c>
      <c r="I1555" s="40" t="s">
        <v>1300</v>
      </c>
    </row>
    <row r="1556" spans="1:9" x14ac:dyDescent="0.2">
      <c r="A1556" s="40" t="s">
        <v>293</v>
      </c>
      <c r="B1556" s="28">
        <v>1774</v>
      </c>
      <c r="C1556" s="28">
        <v>5692759</v>
      </c>
      <c r="D1556" s="28"/>
      <c r="E1556" s="41">
        <v>46171</v>
      </c>
      <c r="F1556" s="47">
        <v>0.4050347222222222</v>
      </c>
      <c r="G1556" s="42">
        <v>6.3</v>
      </c>
      <c r="H1556" s="40" t="s">
        <v>230</v>
      </c>
      <c r="I1556" s="40" t="s">
        <v>1300</v>
      </c>
    </row>
    <row r="1557" spans="1:9" x14ac:dyDescent="0.2">
      <c r="A1557" s="40" t="s">
        <v>293</v>
      </c>
      <c r="B1557" s="28">
        <v>1774</v>
      </c>
      <c r="C1557" s="28">
        <v>5692759</v>
      </c>
      <c r="D1557" s="28"/>
      <c r="E1557" s="41">
        <v>46171</v>
      </c>
      <c r="F1557" s="47">
        <v>0.41583333333333333</v>
      </c>
      <c r="G1557" s="42">
        <v>6.3</v>
      </c>
      <c r="H1557" s="40" t="s">
        <v>227</v>
      </c>
      <c r="I1557" s="40" t="s">
        <v>1300</v>
      </c>
    </row>
    <row r="1558" spans="1:9" x14ac:dyDescent="0.2">
      <c r="A1558" s="40" t="s">
        <v>293</v>
      </c>
      <c r="B1558" s="28">
        <v>1774</v>
      </c>
      <c r="C1558" s="28">
        <v>5693960</v>
      </c>
      <c r="D1558" s="28"/>
      <c r="E1558" s="41">
        <v>46171</v>
      </c>
      <c r="F1558" s="47">
        <v>0.84607638888888892</v>
      </c>
      <c r="G1558" s="44">
        <v>6.3</v>
      </c>
      <c r="H1558" s="43" t="s">
        <v>228</v>
      </c>
      <c r="I1558" s="40" t="s">
        <v>1300</v>
      </c>
    </row>
    <row r="1559" spans="1:9" x14ac:dyDescent="0.2">
      <c r="A1559" s="40" t="s">
        <v>293</v>
      </c>
      <c r="B1559" s="28">
        <v>1774</v>
      </c>
      <c r="C1559" s="28">
        <v>5693960</v>
      </c>
      <c r="D1559" s="28"/>
      <c r="E1559" s="41">
        <v>46171</v>
      </c>
      <c r="F1559" s="47">
        <v>0.85787037037037039</v>
      </c>
      <c r="G1559" s="44">
        <v>6.3</v>
      </c>
      <c r="H1559" s="43" t="s">
        <v>233</v>
      </c>
      <c r="I1559" s="40" t="s">
        <v>1300</v>
      </c>
    </row>
    <row r="1560" spans="1:9" x14ac:dyDescent="0.2">
      <c r="A1560" s="40" t="s">
        <v>293</v>
      </c>
      <c r="B1560" s="28">
        <v>1774</v>
      </c>
      <c r="C1560" s="28" t="s">
        <v>35</v>
      </c>
      <c r="D1560" s="28" t="s">
        <v>38</v>
      </c>
      <c r="E1560" s="45">
        <v>46171</v>
      </c>
      <c r="F1560" s="48">
        <v>0.8992013888888889</v>
      </c>
      <c r="G1560" s="44">
        <v>6.3</v>
      </c>
      <c r="H1560" s="43" t="s">
        <v>229</v>
      </c>
      <c r="I1560" s="40" t="s">
        <v>1300</v>
      </c>
    </row>
    <row r="1561" spans="1:9" x14ac:dyDescent="0.2">
      <c r="A1561" s="40" t="s">
        <v>293</v>
      </c>
      <c r="B1561" s="28">
        <v>1774</v>
      </c>
      <c r="C1561" s="28" t="s">
        <v>672</v>
      </c>
      <c r="D1561" s="28"/>
      <c r="E1561" s="41">
        <v>46173</v>
      </c>
      <c r="F1561" s="47">
        <v>0.29113425925925923</v>
      </c>
      <c r="G1561" s="44">
        <v>6.3</v>
      </c>
      <c r="H1561" s="43" t="s">
        <v>230</v>
      </c>
      <c r="I1561" s="40" t="s">
        <v>1300</v>
      </c>
    </row>
    <row r="1562" spans="1:9" x14ac:dyDescent="0.2">
      <c r="A1562" s="40" t="s">
        <v>293</v>
      </c>
      <c r="B1562" s="28">
        <v>1774</v>
      </c>
      <c r="C1562" s="28" t="s">
        <v>672</v>
      </c>
      <c r="D1562" s="28"/>
      <c r="E1562" s="45">
        <v>46173</v>
      </c>
      <c r="F1562" s="48">
        <v>0.29645833333333332</v>
      </c>
      <c r="G1562" s="44">
        <v>6.3</v>
      </c>
      <c r="H1562" s="43" t="s">
        <v>227</v>
      </c>
      <c r="I1562" s="40" t="s">
        <v>1300</v>
      </c>
    </row>
    <row r="1563" spans="1:9" x14ac:dyDescent="0.2">
      <c r="A1563" s="40" t="s">
        <v>358</v>
      </c>
      <c r="B1563" s="28">
        <v>1786</v>
      </c>
      <c r="C1563" s="28">
        <v>5686563</v>
      </c>
      <c r="D1563" s="28"/>
      <c r="E1563" s="45">
        <v>46167</v>
      </c>
      <c r="F1563" s="48">
        <v>0.85821759259259256</v>
      </c>
      <c r="G1563" s="44">
        <v>6.3</v>
      </c>
      <c r="H1563" s="43" t="s">
        <v>228</v>
      </c>
      <c r="I1563" s="40" t="s">
        <v>1300</v>
      </c>
    </row>
    <row r="1564" spans="1:9" x14ac:dyDescent="0.2">
      <c r="A1564" s="40" t="s">
        <v>358</v>
      </c>
      <c r="B1564" s="28">
        <v>1786</v>
      </c>
      <c r="C1564" s="28">
        <v>5686563</v>
      </c>
      <c r="D1564" s="28"/>
      <c r="E1564" s="41">
        <v>46167</v>
      </c>
      <c r="F1564" s="47">
        <v>0.86608796296296298</v>
      </c>
      <c r="G1564" s="44">
        <v>6.3</v>
      </c>
      <c r="H1564" s="43" t="s">
        <v>232</v>
      </c>
      <c r="I1564" s="40" t="s">
        <v>1300</v>
      </c>
    </row>
    <row r="1565" spans="1:9" x14ac:dyDescent="0.2">
      <c r="A1565" s="40" t="s">
        <v>358</v>
      </c>
      <c r="B1565" s="28">
        <v>1786</v>
      </c>
      <c r="C1565" s="28">
        <v>10751638</v>
      </c>
      <c r="D1565" s="28"/>
      <c r="E1565" s="41">
        <v>46169</v>
      </c>
      <c r="F1565" s="47">
        <v>0.9724652777777778</v>
      </c>
      <c r="G1565" s="44">
        <v>6.3</v>
      </c>
      <c r="H1565" s="43" t="s">
        <v>228</v>
      </c>
      <c r="I1565" s="40" t="s">
        <v>1300</v>
      </c>
    </row>
    <row r="1566" spans="1:9" x14ac:dyDescent="0.2">
      <c r="A1566" s="40" t="s">
        <v>358</v>
      </c>
      <c r="B1566" s="28">
        <v>1786</v>
      </c>
      <c r="C1566" s="28" t="s">
        <v>35</v>
      </c>
      <c r="D1566" s="28" t="s">
        <v>38</v>
      </c>
      <c r="E1566" s="41">
        <v>46169</v>
      </c>
      <c r="F1566" s="47">
        <v>0.98496527777777776</v>
      </c>
      <c r="G1566" s="44">
        <v>6.3</v>
      </c>
      <c r="H1566" s="43" t="s">
        <v>229</v>
      </c>
      <c r="I1566" s="40" t="s">
        <v>1300</v>
      </c>
    </row>
    <row r="1567" spans="1:9" x14ac:dyDescent="0.2">
      <c r="A1567" s="40" t="s">
        <v>358</v>
      </c>
      <c r="B1567" s="28">
        <v>1786</v>
      </c>
      <c r="C1567" s="28">
        <v>10772627</v>
      </c>
      <c r="D1567" s="28" t="s">
        <v>36</v>
      </c>
      <c r="E1567" s="41">
        <v>46172</v>
      </c>
      <c r="F1567" s="47">
        <v>0.73462962962962963</v>
      </c>
      <c r="G1567" s="44">
        <v>6.3</v>
      </c>
      <c r="H1567" s="43" t="s">
        <v>230</v>
      </c>
      <c r="I1567" s="40" t="s">
        <v>1300</v>
      </c>
    </row>
    <row r="1568" spans="1:9" x14ac:dyDescent="0.2">
      <c r="A1568" s="40" t="s">
        <v>358</v>
      </c>
      <c r="B1568" s="28">
        <v>1786</v>
      </c>
      <c r="C1568" s="28">
        <v>10772627</v>
      </c>
      <c r="D1568" s="28" t="s">
        <v>36</v>
      </c>
      <c r="E1568" s="41">
        <v>46172</v>
      </c>
      <c r="F1568" s="47">
        <v>0.75075231481481486</v>
      </c>
      <c r="G1568" s="44">
        <v>6.3</v>
      </c>
      <c r="H1568" s="43" t="s">
        <v>227</v>
      </c>
      <c r="I1568" s="40" t="s">
        <v>1300</v>
      </c>
    </row>
    <row r="1569" spans="1:9" x14ac:dyDescent="0.2">
      <c r="A1569" s="40" t="s">
        <v>358</v>
      </c>
      <c r="B1569" s="28">
        <v>1786</v>
      </c>
      <c r="C1569" s="28" t="s">
        <v>673</v>
      </c>
      <c r="D1569" s="28"/>
      <c r="E1569" s="45">
        <v>46172</v>
      </c>
      <c r="F1569" s="48">
        <v>0.83045138888888892</v>
      </c>
      <c r="G1569" s="44">
        <v>6.3</v>
      </c>
      <c r="H1569" s="43" t="s">
        <v>228</v>
      </c>
      <c r="I1569" s="40" t="s">
        <v>1300</v>
      </c>
    </row>
    <row r="1570" spans="1:9" x14ac:dyDescent="0.2">
      <c r="A1570" s="40" t="s">
        <v>674</v>
      </c>
      <c r="B1570" s="28">
        <v>1790</v>
      </c>
      <c r="C1570" s="28">
        <v>5696322</v>
      </c>
      <c r="D1570" s="28"/>
      <c r="E1570" s="41">
        <v>46173</v>
      </c>
      <c r="F1570" s="47">
        <v>0.88070601851851849</v>
      </c>
      <c r="G1570" s="44">
        <v>6.3</v>
      </c>
      <c r="H1570" s="43" t="s">
        <v>228</v>
      </c>
      <c r="I1570" s="40" t="s">
        <v>1300</v>
      </c>
    </row>
    <row r="1571" spans="1:9" x14ac:dyDescent="0.2">
      <c r="A1571" s="40" t="s">
        <v>410</v>
      </c>
      <c r="B1571" s="28">
        <v>1793</v>
      </c>
      <c r="C1571" s="28">
        <v>5686815</v>
      </c>
      <c r="D1571" s="28"/>
      <c r="E1571" s="41">
        <v>46168</v>
      </c>
      <c r="F1571" s="47">
        <v>0.16311342592592593</v>
      </c>
      <c r="G1571" s="44">
        <v>6.3</v>
      </c>
      <c r="H1571" s="43" t="s">
        <v>231</v>
      </c>
      <c r="I1571" s="40" t="s">
        <v>1300</v>
      </c>
    </row>
    <row r="1572" spans="1:9" x14ac:dyDescent="0.2">
      <c r="A1572" s="40" t="s">
        <v>410</v>
      </c>
      <c r="B1572" s="28">
        <v>1793</v>
      </c>
      <c r="C1572" s="28">
        <v>5686815</v>
      </c>
      <c r="D1572" s="28"/>
      <c r="E1572" s="41">
        <v>46168</v>
      </c>
      <c r="F1572" s="47">
        <v>0.16744212962962962</v>
      </c>
      <c r="G1572" s="44">
        <v>6.3</v>
      </c>
      <c r="H1572" s="43" t="s">
        <v>227</v>
      </c>
      <c r="I1572" s="40" t="s">
        <v>1300</v>
      </c>
    </row>
    <row r="1573" spans="1:9" x14ac:dyDescent="0.2">
      <c r="A1573" s="40" t="s">
        <v>410</v>
      </c>
      <c r="B1573" s="28">
        <v>1793</v>
      </c>
      <c r="C1573" s="28" t="s">
        <v>35</v>
      </c>
      <c r="D1573" s="28" t="s">
        <v>38</v>
      </c>
      <c r="E1573" s="45">
        <v>46168</v>
      </c>
      <c r="F1573" s="48">
        <v>0.44199074074074074</v>
      </c>
      <c r="G1573" s="44">
        <v>6.3</v>
      </c>
      <c r="H1573" s="43" t="s">
        <v>230</v>
      </c>
      <c r="I1573" s="40" t="s">
        <v>1300</v>
      </c>
    </row>
    <row r="1574" spans="1:9" x14ac:dyDescent="0.2">
      <c r="A1574" s="40" t="s">
        <v>410</v>
      </c>
      <c r="B1574" s="28">
        <v>1793</v>
      </c>
      <c r="C1574" s="28" t="s">
        <v>35</v>
      </c>
      <c r="D1574" s="28" t="s">
        <v>38</v>
      </c>
      <c r="E1574" s="41">
        <v>46168</v>
      </c>
      <c r="F1574" s="47">
        <v>0.52657407407407408</v>
      </c>
      <c r="G1574" s="44">
        <v>6.3</v>
      </c>
      <c r="H1574" s="43" t="s">
        <v>227</v>
      </c>
      <c r="I1574" s="40" t="s">
        <v>1300</v>
      </c>
    </row>
    <row r="1575" spans="1:9" x14ac:dyDescent="0.2">
      <c r="A1575" s="40" t="s">
        <v>410</v>
      </c>
      <c r="B1575" s="28">
        <v>1793</v>
      </c>
      <c r="C1575" s="28">
        <v>5689765</v>
      </c>
      <c r="D1575" s="28"/>
      <c r="E1575" s="41">
        <v>46169</v>
      </c>
      <c r="F1575" s="47">
        <v>0.61615740740740743</v>
      </c>
      <c r="G1575" s="44">
        <v>6.3</v>
      </c>
      <c r="H1575" s="43" t="s">
        <v>228</v>
      </c>
      <c r="I1575" s="40" t="s">
        <v>1300</v>
      </c>
    </row>
    <row r="1576" spans="1:9" x14ac:dyDescent="0.2">
      <c r="A1576" s="40" t="s">
        <v>410</v>
      </c>
      <c r="B1576" s="28">
        <v>1793</v>
      </c>
      <c r="C1576" s="28">
        <v>5689765</v>
      </c>
      <c r="D1576" s="28"/>
      <c r="E1576" s="41">
        <v>46169</v>
      </c>
      <c r="F1576" s="47">
        <v>0.6333333333333333</v>
      </c>
      <c r="G1576" s="44">
        <v>6.3</v>
      </c>
      <c r="H1576" s="43" t="s">
        <v>229</v>
      </c>
      <c r="I1576" s="40" t="s">
        <v>1300</v>
      </c>
    </row>
    <row r="1577" spans="1:9" x14ac:dyDescent="0.2">
      <c r="A1577" s="40" t="s">
        <v>410</v>
      </c>
      <c r="B1577" s="28">
        <v>1793</v>
      </c>
      <c r="C1577" s="28">
        <v>5689621</v>
      </c>
      <c r="D1577" s="28"/>
      <c r="E1577" s="45">
        <v>46169</v>
      </c>
      <c r="F1577" s="48">
        <v>0.73209490740740746</v>
      </c>
      <c r="G1577" s="44">
        <v>6.3</v>
      </c>
      <c r="H1577" s="43" t="s">
        <v>226</v>
      </c>
      <c r="I1577" s="40" t="s">
        <v>1300</v>
      </c>
    </row>
    <row r="1578" spans="1:9" x14ac:dyDescent="0.2">
      <c r="A1578" s="40" t="s">
        <v>410</v>
      </c>
      <c r="B1578" s="28">
        <v>1793</v>
      </c>
      <c r="C1578" s="28">
        <v>5689621</v>
      </c>
      <c r="D1578" s="28"/>
      <c r="E1578" s="41">
        <v>46169</v>
      </c>
      <c r="F1578" s="47">
        <v>0.74858796296296293</v>
      </c>
      <c r="G1578" s="44">
        <v>6.3</v>
      </c>
      <c r="H1578" s="43" t="s">
        <v>227</v>
      </c>
      <c r="I1578" s="40" t="s">
        <v>1300</v>
      </c>
    </row>
    <row r="1579" spans="1:9" x14ac:dyDescent="0.2">
      <c r="A1579" s="40" t="s">
        <v>410</v>
      </c>
      <c r="B1579" s="28">
        <v>1793</v>
      </c>
      <c r="C1579" s="28" t="s">
        <v>35</v>
      </c>
      <c r="D1579" s="28" t="s">
        <v>38</v>
      </c>
      <c r="E1579" s="41">
        <v>46170</v>
      </c>
      <c r="F1579" s="47">
        <v>0.51700231481481485</v>
      </c>
      <c r="G1579" s="44">
        <v>6.3</v>
      </c>
      <c r="H1579" s="43" t="s">
        <v>233</v>
      </c>
      <c r="I1579" s="40" t="s">
        <v>1300</v>
      </c>
    </row>
    <row r="1580" spans="1:9" x14ac:dyDescent="0.2">
      <c r="A1580" s="40" t="s">
        <v>410</v>
      </c>
      <c r="B1580" s="28">
        <v>1793</v>
      </c>
      <c r="C1580" s="28" t="s">
        <v>35</v>
      </c>
      <c r="D1580" s="28" t="s">
        <v>38</v>
      </c>
      <c r="E1580" s="41">
        <v>46171</v>
      </c>
      <c r="F1580" s="47">
        <v>0.85899305555555561</v>
      </c>
      <c r="G1580" s="44">
        <v>6.3</v>
      </c>
      <c r="H1580" s="43" t="s">
        <v>227</v>
      </c>
      <c r="I1580" s="40" t="s">
        <v>1300</v>
      </c>
    </row>
    <row r="1581" spans="1:9" x14ac:dyDescent="0.2">
      <c r="A1581" s="40" t="s">
        <v>410</v>
      </c>
      <c r="B1581" s="28">
        <v>1793</v>
      </c>
      <c r="C1581" s="28" t="s">
        <v>675</v>
      </c>
      <c r="D1581" s="28"/>
      <c r="E1581" s="45">
        <v>46171</v>
      </c>
      <c r="F1581" s="48">
        <v>0.9909606481481481</v>
      </c>
      <c r="G1581" s="44">
        <v>6.3</v>
      </c>
      <c r="H1581" s="43" t="s">
        <v>228</v>
      </c>
      <c r="I1581" s="40" t="s">
        <v>1300</v>
      </c>
    </row>
    <row r="1582" spans="1:9" x14ac:dyDescent="0.2">
      <c r="A1582" s="40" t="s">
        <v>410</v>
      </c>
      <c r="B1582" s="28">
        <v>1793</v>
      </c>
      <c r="C1582" s="28" t="s">
        <v>675</v>
      </c>
      <c r="D1582" s="28"/>
      <c r="E1582" s="41">
        <v>46171</v>
      </c>
      <c r="F1582" s="47">
        <v>0.99780092592592595</v>
      </c>
      <c r="G1582" s="42">
        <v>6.3</v>
      </c>
      <c r="H1582" s="40" t="s">
        <v>232</v>
      </c>
      <c r="I1582" s="40" t="s">
        <v>1300</v>
      </c>
    </row>
    <row r="1583" spans="1:9" x14ac:dyDescent="0.2">
      <c r="A1583" s="40" t="s">
        <v>411</v>
      </c>
      <c r="B1583" s="28">
        <v>1798</v>
      </c>
      <c r="C1583" s="28" t="s">
        <v>676</v>
      </c>
      <c r="D1583" s="28"/>
      <c r="E1583" s="41">
        <v>46167</v>
      </c>
      <c r="F1583" s="47">
        <v>0.65076388888888892</v>
      </c>
      <c r="G1583" s="42">
        <v>6.3</v>
      </c>
      <c r="H1583" s="40" t="s">
        <v>228</v>
      </c>
      <c r="I1583" s="40" t="s">
        <v>1300</v>
      </c>
    </row>
    <row r="1584" spans="1:9" x14ac:dyDescent="0.2">
      <c r="A1584" s="40" t="s">
        <v>411</v>
      </c>
      <c r="B1584" s="28">
        <v>1798</v>
      </c>
      <c r="C1584" s="28" t="s">
        <v>676</v>
      </c>
      <c r="D1584" s="28"/>
      <c r="E1584" s="41">
        <v>46167</v>
      </c>
      <c r="F1584" s="47">
        <v>0.6605671296296296</v>
      </c>
      <c r="G1584" s="44">
        <v>6.3</v>
      </c>
      <c r="H1584" s="43" t="s">
        <v>229</v>
      </c>
      <c r="I1584" s="40" t="s">
        <v>1300</v>
      </c>
    </row>
    <row r="1585" spans="1:9" x14ac:dyDescent="0.2">
      <c r="A1585" s="40" t="s">
        <v>411</v>
      </c>
      <c r="B1585" s="28">
        <v>1798</v>
      </c>
      <c r="C1585" s="28" t="s">
        <v>677</v>
      </c>
      <c r="D1585" s="28"/>
      <c r="E1585" s="41">
        <v>46168</v>
      </c>
      <c r="F1585" s="47">
        <v>4.9456018518518517E-2</v>
      </c>
      <c r="G1585" s="44">
        <v>6.3</v>
      </c>
      <c r="H1585" s="43" t="s">
        <v>228</v>
      </c>
      <c r="I1585" s="40" t="s">
        <v>1300</v>
      </c>
    </row>
    <row r="1586" spans="1:9" x14ac:dyDescent="0.2">
      <c r="A1586" s="40" t="s">
        <v>411</v>
      </c>
      <c r="B1586" s="28">
        <v>1798</v>
      </c>
      <c r="C1586" s="28" t="s">
        <v>677</v>
      </c>
      <c r="D1586" s="28"/>
      <c r="E1586" s="41">
        <v>46168</v>
      </c>
      <c r="F1586" s="47">
        <v>5.5520833333333332E-2</v>
      </c>
      <c r="G1586" s="44">
        <v>6.3</v>
      </c>
      <c r="H1586" s="43" t="s">
        <v>229</v>
      </c>
      <c r="I1586" s="40" t="s">
        <v>1300</v>
      </c>
    </row>
    <row r="1587" spans="1:9" x14ac:dyDescent="0.2">
      <c r="A1587" s="40" t="s">
        <v>411</v>
      </c>
      <c r="B1587" s="28">
        <v>1798</v>
      </c>
      <c r="C1587" s="28">
        <v>5687281</v>
      </c>
      <c r="D1587" s="28"/>
      <c r="E1587" s="41">
        <v>46168</v>
      </c>
      <c r="F1587" s="47">
        <v>0.84527777777777779</v>
      </c>
      <c r="G1587" s="44">
        <v>6.3</v>
      </c>
      <c r="H1587" s="43" t="s">
        <v>228</v>
      </c>
      <c r="I1587" s="40" t="s">
        <v>1300</v>
      </c>
    </row>
    <row r="1588" spans="1:9" x14ac:dyDescent="0.2">
      <c r="A1588" s="40" t="s">
        <v>411</v>
      </c>
      <c r="B1588" s="28">
        <v>1798</v>
      </c>
      <c r="C1588" s="28">
        <v>5687281</v>
      </c>
      <c r="D1588" s="28"/>
      <c r="E1588" s="41">
        <v>46168</v>
      </c>
      <c r="F1588" s="47">
        <v>0.85984953703703704</v>
      </c>
      <c r="G1588" s="44">
        <v>6.3</v>
      </c>
      <c r="H1588" s="43" t="s">
        <v>233</v>
      </c>
      <c r="I1588" s="40" t="s">
        <v>1300</v>
      </c>
    </row>
    <row r="1589" spans="1:9" x14ac:dyDescent="0.2">
      <c r="A1589" s="40" t="s">
        <v>411</v>
      </c>
      <c r="B1589" s="28">
        <v>1798</v>
      </c>
      <c r="C1589" s="28" t="s">
        <v>35</v>
      </c>
      <c r="D1589" s="28" t="s">
        <v>38</v>
      </c>
      <c r="E1589" s="41">
        <v>46168</v>
      </c>
      <c r="F1589" s="47">
        <v>0.91565972222222225</v>
      </c>
      <c r="G1589" s="44">
        <v>6.3</v>
      </c>
      <c r="H1589" s="43" t="s">
        <v>234</v>
      </c>
      <c r="I1589" s="40" t="s">
        <v>1300</v>
      </c>
    </row>
    <row r="1590" spans="1:9" x14ac:dyDescent="0.2">
      <c r="A1590" s="40" t="s">
        <v>411</v>
      </c>
      <c r="B1590" s="28">
        <v>1798</v>
      </c>
      <c r="C1590" s="28" t="s">
        <v>35</v>
      </c>
      <c r="D1590" s="28" t="s">
        <v>38</v>
      </c>
      <c r="E1590" s="41">
        <v>46168</v>
      </c>
      <c r="F1590" s="47">
        <v>0.91888888888888887</v>
      </c>
      <c r="G1590" s="44">
        <v>6.3</v>
      </c>
      <c r="H1590" s="43" t="s">
        <v>227</v>
      </c>
      <c r="I1590" s="40" t="s">
        <v>1300</v>
      </c>
    </row>
    <row r="1591" spans="1:9" x14ac:dyDescent="0.2">
      <c r="A1591" s="40" t="s">
        <v>411</v>
      </c>
      <c r="B1591" s="28">
        <v>1798</v>
      </c>
      <c r="C1591" s="28" t="s">
        <v>678</v>
      </c>
      <c r="D1591" s="28"/>
      <c r="E1591" s="45">
        <v>46169</v>
      </c>
      <c r="F1591" s="48">
        <v>0.65285879629629628</v>
      </c>
      <c r="G1591" s="44">
        <v>6.3</v>
      </c>
      <c r="H1591" s="43" t="s">
        <v>228</v>
      </c>
      <c r="I1591" s="40" t="s">
        <v>1300</v>
      </c>
    </row>
    <row r="1592" spans="1:9" x14ac:dyDescent="0.2">
      <c r="A1592" s="40" t="s">
        <v>411</v>
      </c>
      <c r="B1592" s="28">
        <v>1798</v>
      </c>
      <c r="C1592" s="28" t="s">
        <v>678</v>
      </c>
      <c r="D1592" s="28"/>
      <c r="E1592" s="41">
        <v>46169</v>
      </c>
      <c r="F1592" s="47">
        <v>0.66751157407407402</v>
      </c>
      <c r="G1592" s="44">
        <v>6.3</v>
      </c>
      <c r="H1592" s="43" t="s">
        <v>232</v>
      </c>
      <c r="I1592" s="40" t="s">
        <v>1300</v>
      </c>
    </row>
    <row r="1593" spans="1:9" x14ac:dyDescent="0.2">
      <c r="A1593" s="40" t="s">
        <v>411</v>
      </c>
      <c r="B1593" s="28">
        <v>1798</v>
      </c>
      <c r="C1593" s="28">
        <v>5691737</v>
      </c>
      <c r="D1593" s="28"/>
      <c r="E1593" s="41">
        <v>46170</v>
      </c>
      <c r="F1593" s="47">
        <v>0.68562500000000004</v>
      </c>
      <c r="G1593" s="44">
        <v>6.3</v>
      </c>
      <c r="H1593" s="43" t="s">
        <v>228</v>
      </c>
      <c r="I1593" s="40" t="s">
        <v>1300</v>
      </c>
    </row>
    <row r="1594" spans="1:9" x14ac:dyDescent="0.2">
      <c r="A1594" s="40" t="s">
        <v>411</v>
      </c>
      <c r="B1594" s="28">
        <v>1798</v>
      </c>
      <c r="C1594" s="28" t="s">
        <v>35</v>
      </c>
      <c r="D1594" s="28" t="s">
        <v>38</v>
      </c>
      <c r="E1594" s="41">
        <v>46171</v>
      </c>
      <c r="F1594" s="47">
        <v>0.33399305555555553</v>
      </c>
      <c r="G1594" s="44">
        <v>6.3</v>
      </c>
      <c r="H1594" s="43" t="s">
        <v>230</v>
      </c>
      <c r="I1594" s="40" t="s">
        <v>1300</v>
      </c>
    </row>
    <row r="1595" spans="1:9" x14ac:dyDescent="0.2">
      <c r="A1595" s="40" t="s">
        <v>411</v>
      </c>
      <c r="B1595" s="28">
        <v>1798</v>
      </c>
      <c r="C1595" s="28" t="s">
        <v>35</v>
      </c>
      <c r="D1595" s="28" t="s">
        <v>38</v>
      </c>
      <c r="E1595" s="41">
        <v>46171</v>
      </c>
      <c r="F1595" s="47">
        <v>0.52814814814814814</v>
      </c>
      <c r="G1595" s="44">
        <v>6.3</v>
      </c>
      <c r="H1595" s="43" t="s">
        <v>229</v>
      </c>
      <c r="I1595" s="40" t="s">
        <v>1300</v>
      </c>
    </row>
    <row r="1596" spans="1:9" x14ac:dyDescent="0.2">
      <c r="A1596" s="40" t="s">
        <v>411</v>
      </c>
      <c r="B1596" s="28">
        <v>1798</v>
      </c>
      <c r="C1596" s="28">
        <v>5694908</v>
      </c>
      <c r="D1596" s="28"/>
      <c r="E1596" s="41">
        <v>46172</v>
      </c>
      <c r="F1596" s="47">
        <v>0.7210185185185185</v>
      </c>
      <c r="G1596" s="44">
        <v>6.3</v>
      </c>
      <c r="H1596" s="43" t="s">
        <v>228</v>
      </c>
      <c r="I1596" s="40" t="s">
        <v>1300</v>
      </c>
    </row>
    <row r="1597" spans="1:9" x14ac:dyDescent="0.2">
      <c r="A1597" s="40" t="s">
        <v>411</v>
      </c>
      <c r="B1597" s="28">
        <v>1798</v>
      </c>
      <c r="C1597" s="28">
        <v>5694908</v>
      </c>
      <c r="D1597" s="28"/>
      <c r="E1597" s="41">
        <v>46172</v>
      </c>
      <c r="F1597" s="47">
        <v>0.7288310185185185</v>
      </c>
      <c r="G1597" s="44">
        <v>6.3</v>
      </c>
      <c r="H1597" s="43" t="s">
        <v>229</v>
      </c>
      <c r="I1597" s="40" t="s">
        <v>1300</v>
      </c>
    </row>
    <row r="1598" spans="1:9" x14ac:dyDescent="0.2">
      <c r="A1598" s="40" t="s">
        <v>411</v>
      </c>
      <c r="B1598" s="28">
        <v>1798</v>
      </c>
      <c r="C1598" s="28">
        <v>5694977</v>
      </c>
      <c r="D1598" s="28"/>
      <c r="E1598" s="41">
        <v>46173</v>
      </c>
      <c r="F1598" s="47">
        <v>0.82520833333333332</v>
      </c>
      <c r="G1598" s="44">
        <v>6.3</v>
      </c>
      <c r="H1598" s="43" t="s">
        <v>230</v>
      </c>
      <c r="I1598" s="40" t="s">
        <v>1300</v>
      </c>
    </row>
    <row r="1599" spans="1:9" x14ac:dyDescent="0.2">
      <c r="A1599" s="40" t="s">
        <v>411</v>
      </c>
      <c r="B1599" s="28">
        <v>1798</v>
      </c>
      <c r="C1599" s="28">
        <v>5694977</v>
      </c>
      <c r="D1599" s="28"/>
      <c r="E1599" s="41">
        <v>46173</v>
      </c>
      <c r="F1599" s="47">
        <v>0.83160879629629625</v>
      </c>
      <c r="G1599" s="44">
        <v>6.3</v>
      </c>
      <c r="H1599" s="43" t="s">
        <v>227</v>
      </c>
      <c r="I1599" s="40" t="s">
        <v>1300</v>
      </c>
    </row>
    <row r="1600" spans="1:9" x14ac:dyDescent="0.2">
      <c r="A1600" s="40" t="s">
        <v>412</v>
      </c>
      <c r="B1600" s="28">
        <v>1828</v>
      </c>
      <c r="C1600" s="28">
        <v>5685047</v>
      </c>
      <c r="D1600" s="28"/>
      <c r="E1600" s="45">
        <v>46167</v>
      </c>
      <c r="F1600" s="48">
        <v>0.32913194444444444</v>
      </c>
      <c r="G1600" s="44">
        <v>6.3</v>
      </c>
      <c r="H1600" s="43" t="s">
        <v>230</v>
      </c>
      <c r="I1600" s="40" t="s">
        <v>1300</v>
      </c>
    </row>
    <row r="1601" spans="1:9" x14ac:dyDescent="0.2">
      <c r="A1601" s="40" t="s">
        <v>412</v>
      </c>
      <c r="B1601" s="28">
        <v>1828</v>
      </c>
      <c r="C1601" s="28" t="s">
        <v>679</v>
      </c>
      <c r="D1601" s="28"/>
      <c r="E1601" s="41">
        <v>46169</v>
      </c>
      <c r="F1601" s="47">
        <v>0.38803240740740741</v>
      </c>
      <c r="G1601" s="42">
        <v>6.3</v>
      </c>
      <c r="H1601" s="40" t="s">
        <v>228</v>
      </c>
      <c r="I1601" s="40" t="s">
        <v>1300</v>
      </c>
    </row>
    <row r="1602" spans="1:9" x14ac:dyDescent="0.2">
      <c r="A1602" s="40" t="s">
        <v>412</v>
      </c>
      <c r="B1602" s="28">
        <v>1828</v>
      </c>
      <c r="C1602" s="28" t="s">
        <v>679</v>
      </c>
      <c r="D1602" s="28"/>
      <c r="E1602" s="41">
        <v>46169</v>
      </c>
      <c r="F1602" s="47">
        <v>0.39957175925925925</v>
      </c>
      <c r="G1602" s="42">
        <v>6.3</v>
      </c>
      <c r="H1602" s="40" t="s">
        <v>229</v>
      </c>
      <c r="I1602" s="40" t="s">
        <v>1300</v>
      </c>
    </row>
    <row r="1603" spans="1:9" x14ac:dyDescent="0.2">
      <c r="A1603" s="40" t="s">
        <v>412</v>
      </c>
      <c r="B1603" s="28">
        <v>1828</v>
      </c>
      <c r="C1603" s="28" t="s">
        <v>680</v>
      </c>
      <c r="D1603" s="28"/>
      <c r="E1603" s="41">
        <v>46170</v>
      </c>
      <c r="F1603" s="47">
        <v>0.8712847222222222</v>
      </c>
      <c r="G1603" s="42">
        <v>6.3</v>
      </c>
      <c r="H1603" s="40" t="s">
        <v>228</v>
      </c>
      <c r="I1603" s="40" t="s">
        <v>1300</v>
      </c>
    </row>
    <row r="1604" spans="1:9" x14ac:dyDescent="0.2">
      <c r="A1604" s="40" t="s">
        <v>412</v>
      </c>
      <c r="B1604" s="28">
        <v>1828</v>
      </c>
      <c r="C1604" s="28" t="s">
        <v>680</v>
      </c>
      <c r="D1604" s="28"/>
      <c r="E1604" s="41">
        <v>46170</v>
      </c>
      <c r="F1604" s="47">
        <v>0.87856481481481485</v>
      </c>
      <c r="G1604" s="42">
        <v>6.3</v>
      </c>
      <c r="H1604" s="40" t="s">
        <v>229</v>
      </c>
      <c r="I1604" s="40" t="s">
        <v>1300</v>
      </c>
    </row>
    <row r="1605" spans="1:9" x14ac:dyDescent="0.2">
      <c r="A1605" s="40" t="s">
        <v>412</v>
      </c>
      <c r="B1605" s="28">
        <v>1828</v>
      </c>
      <c r="C1605" s="28" t="s">
        <v>35</v>
      </c>
      <c r="D1605" s="28" t="s">
        <v>38</v>
      </c>
      <c r="E1605" s="41">
        <v>46170</v>
      </c>
      <c r="F1605" s="47">
        <v>0.90076388888888892</v>
      </c>
      <c r="G1605" s="42">
        <v>6.3</v>
      </c>
      <c r="H1605" s="40" t="s">
        <v>230</v>
      </c>
      <c r="I1605" s="40" t="s">
        <v>1300</v>
      </c>
    </row>
    <row r="1606" spans="1:9" x14ac:dyDescent="0.2">
      <c r="A1606" s="40" t="s">
        <v>412</v>
      </c>
      <c r="B1606" s="28">
        <v>1828</v>
      </c>
      <c r="C1606" s="28" t="s">
        <v>35</v>
      </c>
      <c r="D1606" s="28" t="s">
        <v>38</v>
      </c>
      <c r="E1606" s="45">
        <v>46170</v>
      </c>
      <c r="F1606" s="48">
        <v>0.90597222222222218</v>
      </c>
      <c r="G1606" s="44">
        <v>6.3</v>
      </c>
      <c r="H1606" s="43" t="s">
        <v>227</v>
      </c>
      <c r="I1606" s="40" t="s">
        <v>1300</v>
      </c>
    </row>
    <row r="1607" spans="1:9" x14ac:dyDescent="0.2">
      <c r="A1607" s="40" t="s">
        <v>412</v>
      </c>
      <c r="B1607" s="28">
        <v>1828</v>
      </c>
      <c r="C1607" s="28">
        <v>5694039</v>
      </c>
      <c r="D1607" s="28"/>
      <c r="E1607" s="41">
        <v>46171</v>
      </c>
      <c r="F1607" s="47">
        <v>0.87409722222222219</v>
      </c>
      <c r="G1607" s="44">
        <v>6.3</v>
      </c>
      <c r="H1607" s="43" t="s">
        <v>228</v>
      </c>
      <c r="I1607" s="40" t="s">
        <v>1300</v>
      </c>
    </row>
    <row r="1608" spans="1:9" x14ac:dyDescent="0.2">
      <c r="A1608" s="40" t="s">
        <v>412</v>
      </c>
      <c r="B1608" s="28">
        <v>1828</v>
      </c>
      <c r="C1608" s="28">
        <v>5694039</v>
      </c>
      <c r="D1608" s="28"/>
      <c r="E1608" s="41">
        <v>46171</v>
      </c>
      <c r="F1608" s="47">
        <v>0.88231481481481477</v>
      </c>
      <c r="G1608" s="44">
        <v>6.3</v>
      </c>
      <c r="H1608" s="43" t="s">
        <v>229</v>
      </c>
      <c r="I1608" s="40" t="s">
        <v>1300</v>
      </c>
    </row>
    <row r="1609" spans="1:9" x14ac:dyDescent="0.2">
      <c r="A1609" s="40" t="s">
        <v>412</v>
      </c>
      <c r="B1609" s="28">
        <v>1828</v>
      </c>
      <c r="C1609" s="28">
        <v>5696478</v>
      </c>
      <c r="D1609" s="28" t="s">
        <v>37</v>
      </c>
      <c r="E1609" s="41">
        <v>46173</v>
      </c>
      <c r="F1609" s="47">
        <v>0.93892361111111111</v>
      </c>
      <c r="G1609" s="44">
        <v>6.3</v>
      </c>
      <c r="H1609" s="43" t="s">
        <v>228</v>
      </c>
      <c r="I1609" s="40" t="s">
        <v>1300</v>
      </c>
    </row>
    <row r="1610" spans="1:9" x14ac:dyDescent="0.2">
      <c r="A1610" s="40" t="s">
        <v>381</v>
      </c>
      <c r="B1610" s="28">
        <v>1844</v>
      </c>
      <c r="C1610" s="28" t="s">
        <v>681</v>
      </c>
      <c r="D1610" s="28"/>
      <c r="E1610" s="41">
        <v>46167</v>
      </c>
      <c r="F1610" s="47">
        <v>0.75364583333333335</v>
      </c>
      <c r="G1610" s="44">
        <v>6.3</v>
      </c>
      <c r="H1610" s="43" t="s">
        <v>228</v>
      </c>
      <c r="I1610" s="40" t="s">
        <v>1300</v>
      </c>
    </row>
    <row r="1611" spans="1:9" x14ac:dyDescent="0.2">
      <c r="A1611" s="40" t="s">
        <v>381</v>
      </c>
      <c r="B1611" s="28">
        <v>1844</v>
      </c>
      <c r="C1611" s="28" t="s">
        <v>681</v>
      </c>
      <c r="D1611" s="28"/>
      <c r="E1611" s="41">
        <v>46167</v>
      </c>
      <c r="F1611" s="47">
        <v>0.76480324074074069</v>
      </c>
      <c r="G1611" s="44">
        <v>6.3</v>
      </c>
      <c r="H1611" s="43" t="s">
        <v>229</v>
      </c>
      <c r="I1611" s="40" t="s">
        <v>1300</v>
      </c>
    </row>
    <row r="1612" spans="1:9" x14ac:dyDescent="0.2">
      <c r="A1612" s="40" t="s">
        <v>381</v>
      </c>
      <c r="B1612" s="28">
        <v>1844</v>
      </c>
      <c r="C1612" s="28" t="s">
        <v>682</v>
      </c>
      <c r="D1612" s="28"/>
      <c r="E1612" s="41">
        <v>46167</v>
      </c>
      <c r="F1612" s="47">
        <v>0.83914351851851854</v>
      </c>
      <c r="G1612" s="44">
        <v>6.3</v>
      </c>
      <c r="H1612" s="43" t="s">
        <v>230</v>
      </c>
      <c r="I1612" s="40" t="s">
        <v>1300</v>
      </c>
    </row>
    <row r="1613" spans="1:9" x14ac:dyDescent="0.2">
      <c r="A1613" s="40" t="s">
        <v>381</v>
      </c>
      <c r="B1613" s="28">
        <v>1844</v>
      </c>
      <c r="C1613" s="28" t="s">
        <v>682</v>
      </c>
      <c r="D1613" s="28"/>
      <c r="E1613" s="41">
        <v>46167</v>
      </c>
      <c r="F1613" s="47">
        <v>0.8460185185185185</v>
      </c>
      <c r="G1613" s="44">
        <v>6.3</v>
      </c>
      <c r="H1613" s="43" t="s">
        <v>227</v>
      </c>
      <c r="I1613" s="40" t="s">
        <v>1300</v>
      </c>
    </row>
    <row r="1614" spans="1:9" x14ac:dyDescent="0.2">
      <c r="A1614" s="40" t="s">
        <v>381</v>
      </c>
      <c r="B1614" s="28">
        <v>1844</v>
      </c>
      <c r="C1614" s="28" t="s">
        <v>683</v>
      </c>
      <c r="D1614" s="28" t="s">
        <v>36</v>
      </c>
      <c r="E1614" s="41">
        <v>46167</v>
      </c>
      <c r="F1614" s="47">
        <v>0.99989583333333332</v>
      </c>
      <c r="G1614" s="44">
        <v>6.3</v>
      </c>
      <c r="H1614" s="43" t="s">
        <v>228</v>
      </c>
      <c r="I1614" s="40" t="s">
        <v>1300</v>
      </c>
    </row>
    <row r="1615" spans="1:9" x14ac:dyDescent="0.2">
      <c r="A1615" s="40" t="s">
        <v>381</v>
      </c>
      <c r="B1615" s="28">
        <v>1844</v>
      </c>
      <c r="C1615" s="28" t="s">
        <v>684</v>
      </c>
      <c r="D1615" s="28"/>
      <c r="E1615" s="41">
        <v>46168</v>
      </c>
      <c r="F1615" s="47">
        <v>0.11714120370370371</v>
      </c>
      <c r="G1615" s="44">
        <v>6.3</v>
      </c>
      <c r="H1615" s="43" t="s">
        <v>228</v>
      </c>
      <c r="I1615" s="40" t="s">
        <v>1300</v>
      </c>
    </row>
    <row r="1616" spans="1:9" x14ac:dyDescent="0.2">
      <c r="A1616" s="40" t="s">
        <v>381</v>
      </c>
      <c r="B1616" s="28">
        <v>1844</v>
      </c>
      <c r="C1616" s="28" t="s">
        <v>684</v>
      </c>
      <c r="D1616" s="28"/>
      <c r="E1616" s="45">
        <v>46168</v>
      </c>
      <c r="F1616" s="48">
        <v>0.12361111111111112</v>
      </c>
      <c r="G1616" s="44">
        <v>6.3</v>
      </c>
      <c r="H1616" s="43" t="s">
        <v>229</v>
      </c>
      <c r="I1616" s="40" t="s">
        <v>1300</v>
      </c>
    </row>
    <row r="1617" spans="1:9" x14ac:dyDescent="0.2">
      <c r="A1617" s="40" t="s">
        <v>381</v>
      </c>
      <c r="B1617" s="28">
        <v>1844</v>
      </c>
      <c r="C1617" s="28" t="s">
        <v>685</v>
      </c>
      <c r="D1617" s="28"/>
      <c r="E1617" s="41">
        <v>46170</v>
      </c>
      <c r="F1617" s="47">
        <v>5.8217592592592592E-3</v>
      </c>
      <c r="G1617" s="44">
        <v>6.3</v>
      </c>
      <c r="H1617" s="43" t="s">
        <v>228</v>
      </c>
      <c r="I1617" s="40" t="s">
        <v>1300</v>
      </c>
    </row>
    <row r="1618" spans="1:9" x14ac:dyDescent="0.2">
      <c r="A1618" s="40" t="s">
        <v>381</v>
      </c>
      <c r="B1618" s="28">
        <v>1844</v>
      </c>
      <c r="C1618" s="28" t="s">
        <v>685</v>
      </c>
      <c r="D1618" s="28"/>
      <c r="E1618" s="41">
        <v>46170</v>
      </c>
      <c r="F1618" s="47">
        <v>1.2766203703703703E-2</v>
      </c>
      <c r="G1618" s="44">
        <v>6.3</v>
      </c>
      <c r="H1618" s="43" t="s">
        <v>229</v>
      </c>
      <c r="I1618" s="40" t="s">
        <v>1300</v>
      </c>
    </row>
    <row r="1619" spans="1:9" x14ac:dyDescent="0.2">
      <c r="A1619" s="40" t="s">
        <v>381</v>
      </c>
      <c r="B1619" s="28">
        <v>1844</v>
      </c>
      <c r="C1619" s="28" t="s">
        <v>686</v>
      </c>
      <c r="D1619" s="28"/>
      <c r="E1619" s="41">
        <v>46170</v>
      </c>
      <c r="F1619" s="47">
        <v>0.14555555555555555</v>
      </c>
      <c r="G1619" s="44">
        <v>6.3</v>
      </c>
      <c r="H1619" s="43" t="s">
        <v>230</v>
      </c>
      <c r="I1619" s="40" t="s">
        <v>1300</v>
      </c>
    </row>
    <row r="1620" spans="1:9" x14ac:dyDescent="0.2">
      <c r="A1620" s="40" t="s">
        <v>381</v>
      </c>
      <c r="B1620" s="28">
        <v>1844</v>
      </c>
      <c r="C1620" s="28" t="s">
        <v>686</v>
      </c>
      <c r="D1620" s="28"/>
      <c r="E1620" s="41">
        <v>46170</v>
      </c>
      <c r="F1620" s="47">
        <v>0.15061342592592591</v>
      </c>
      <c r="G1620" s="44">
        <v>6.3</v>
      </c>
      <c r="H1620" s="43" t="s">
        <v>227</v>
      </c>
      <c r="I1620" s="40" t="s">
        <v>1300</v>
      </c>
    </row>
    <row r="1621" spans="1:9" x14ac:dyDescent="0.2">
      <c r="A1621" s="40" t="s">
        <v>381</v>
      </c>
      <c r="B1621" s="28">
        <v>1844</v>
      </c>
      <c r="C1621" s="28" t="s">
        <v>687</v>
      </c>
      <c r="D1621" s="28"/>
      <c r="E1621" s="41">
        <v>46171</v>
      </c>
      <c r="F1621" s="47">
        <v>0.14601851851851852</v>
      </c>
      <c r="G1621" s="42">
        <v>6.3</v>
      </c>
      <c r="H1621" s="40" t="s">
        <v>230</v>
      </c>
      <c r="I1621" s="40" t="s">
        <v>1300</v>
      </c>
    </row>
    <row r="1622" spans="1:9" x14ac:dyDescent="0.2">
      <c r="A1622" s="40" t="s">
        <v>381</v>
      </c>
      <c r="B1622" s="28">
        <v>1844</v>
      </c>
      <c r="C1622" s="28" t="s">
        <v>687</v>
      </c>
      <c r="D1622" s="28"/>
      <c r="E1622" s="41">
        <v>46171</v>
      </c>
      <c r="F1622" s="47">
        <v>0.15106481481481482</v>
      </c>
      <c r="G1622" s="42">
        <v>6.3</v>
      </c>
      <c r="H1622" s="40" t="s">
        <v>227</v>
      </c>
      <c r="I1622" s="40" t="s">
        <v>1300</v>
      </c>
    </row>
    <row r="1623" spans="1:9" x14ac:dyDescent="0.2">
      <c r="A1623" s="40" t="s">
        <v>340</v>
      </c>
      <c r="B1623" s="28">
        <v>1847</v>
      </c>
      <c r="C1623" s="28">
        <v>5693078</v>
      </c>
      <c r="D1623" s="28"/>
      <c r="E1623" s="41">
        <v>46171</v>
      </c>
      <c r="F1623" s="47">
        <v>0.54303240740740744</v>
      </c>
      <c r="G1623" s="44">
        <v>6.3</v>
      </c>
      <c r="H1623" s="43" t="s">
        <v>228</v>
      </c>
      <c r="I1623" s="40" t="s">
        <v>1300</v>
      </c>
    </row>
    <row r="1624" spans="1:9" x14ac:dyDescent="0.2">
      <c r="A1624" s="40" t="s">
        <v>340</v>
      </c>
      <c r="B1624" s="28">
        <v>1847</v>
      </c>
      <c r="C1624" s="28">
        <v>5693078</v>
      </c>
      <c r="D1624" s="28"/>
      <c r="E1624" s="41">
        <v>46171</v>
      </c>
      <c r="F1624" s="47">
        <v>0.55447916666666663</v>
      </c>
      <c r="G1624" s="44">
        <v>6.3</v>
      </c>
      <c r="H1624" s="43" t="s">
        <v>229</v>
      </c>
      <c r="I1624" s="40" t="s">
        <v>1300</v>
      </c>
    </row>
    <row r="1625" spans="1:9" x14ac:dyDescent="0.2">
      <c r="A1625" s="40" t="s">
        <v>340</v>
      </c>
      <c r="B1625" s="28">
        <v>1847</v>
      </c>
      <c r="C1625" s="28" t="s">
        <v>688</v>
      </c>
      <c r="D1625" s="28"/>
      <c r="E1625" s="41">
        <v>46172</v>
      </c>
      <c r="F1625" s="47">
        <v>0.92148148148148146</v>
      </c>
      <c r="G1625" s="44">
        <v>6.3</v>
      </c>
      <c r="H1625" s="43" t="s">
        <v>228</v>
      </c>
      <c r="I1625" s="40" t="s">
        <v>1300</v>
      </c>
    </row>
    <row r="1626" spans="1:9" x14ac:dyDescent="0.2">
      <c r="A1626" s="40" t="s">
        <v>340</v>
      </c>
      <c r="B1626" s="28">
        <v>1847</v>
      </c>
      <c r="C1626" s="28" t="s">
        <v>688</v>
      </c>
      <c r="D1626" s="28"/>
      <c r="E1626" s="41">
        <v>46172</v>
      </c>
      <c r="F1626" s="47">
        <v>0.92851851851851852</v>
      </c>
      <c r="G1626" s="44">
        <v>6.3</v>
      </c>
      <c r="H1626" s="43" t="s">
        <v>229</v>
      </c>
      <c r="I1626" s="40" t="s">
        <v>1300</v>
      </c>
    </row>
    <row r="1627" spans="1:9" x14ac:dyDescent="0.2">
      <c r="A1627" s="40" t="s">
        <v>689</v>
      </c>
      <c r="B1627" s="28">
        <v>1864</v>
      </c>
      <c r="C1627" s="28" t="s">
        <v>690</v>
      </c>
      <c r="D1627" s="28"/>
      <c r="E1627" s="45">
        <v>46172</v>
      </c>
      <c r="F1627" s="48">
        <v>0.8236458333333333</v>
      </c>
      <c r="G1627" s="44">
        <v>6.3</v>
      </c>
      <c r="H1627" s="43" t="s">
        <v>227</v>
      </c>
      <c r="I1627" s="40" t="s">
        <v>1300</v>
      </c>
    </row>
    <row r="1628" spans="1:9" x14ac:dyDescent="0.2">
      <c r="A1628" s="40" t="s">
        <v>689</v>
      </c>
      <c r="B1628" s="28">
        <v>1864</v>
      </c>
      <c r="C1628" s="28" t="s">
        <v>35</v>
      </c>
      <c r="D1628" s="28" t="s">
        <v>38</v>
      </c>
      <c r="E1628" s="45">
        <v>46173</v>
      </c>
      <c r="F1628" s="48">
        <v>0.27224537037037039</v>
      </c>
      <c r="G1628" s="42">
        <v>6.3</v>
      </c>
      <c r="H1628" s="40" t="s">
        <v>228</v>
      </c>
      <c r="I1628" s="40" t="s">
        <v>1300</v>
      </c>
    </row>
    <row r="1629" spans="1:9" x14ac:dyDescent="0.2">
      <c r="A1629" s="40" t="s">
        <v>413</v>
      </c>
      <c r="B1629" s="28">
        <v>1868</v>
      </c>
      <c r="C1629" s="28">
        <v>5685575</v>
      </c>
      <c r="D1629" s="28"/>
      <c r="E1629" s="45">
        <v>46167</v>
      </c>
      <c r="F1629" s="48">
        <v>0.80880787037037039</v>
      </c>
      <c r="G1629" s="42">
        <v>6.3</v>
      </c>
      <c r="H1629" s="40" t="s">
        <v>230</v>
      </c>
      <c r="I1629" s="40" t="s">
        <v>1300</v>
      </c>
    </row>
    <row r="1630" spans="1:9" x14ac:dyDescent="0.2">
      <c r="A1630" s="40" t="s">
        <v>413</v>
      </c>
      <c r="B1630" s="28">
        <v>1868</v>
      </c>
      <c r="C1630" s="28">
        <v>5685575</v>
      </c>
      <c r="D1630" s="28"/>
      <c r="E1630" s="41">
        <v>46167</v>
      </c>
      <c r="F1630" s="47">
        <v>0.82646990740740744</v>
      </c>
      <c r="G1630" s="42">
        <v>6.3</v>
      </c>
      <c r="H1630" s="40" t="s">
        <v>227</v>
      </c>
      <c r="I1630" s="40" t="s">
        <v>1300</v>
      </c>
    </row>
    <row r="1631" spans="1:9" x14ac:dyDescent="0.2">
      <c r="A1631" s="40" t="s">
        <v>413</v>
      </c>
      <c r="B1631" s="28">
        <v>1868</v>
      </c>
      <c r="C1631" s="28">
        <v>5683222</v>
      </c>
      <c r="D1631" s="28"/>
      <c r="E1631" s="41">
        <v>46168</v>
      </c>
      <c r="F1631" s="47">
        <v>0.25943287037037038</v>
      </c>
      <c r="G1631" s="42">
        <v>6.3</v>
      </c>
      <c r="H1631" s="40" t="s">
        <v>232</v>
      </c>
      <c r="I1631" s="40" t="s">
        <v>1300</v>
      </c>
    </row>
    <row r="1632" spans="1:9" x14ac:dyDescent="0.2">
      <c r="A1632" s="40" t="s">
        <v>413</v>
      </c>
      <c r="B1632" s="28">
        <v>1868</v>
      </c>
      <c r="C1632" s="28">
        <v>5685635</v>
      </c>
      <c r="D1632" s="28" t="s">
        <v>37</v>
      </c>
      <c r="E1632" s="41">
        <v>46168</v>
      </c>
      <c r="F1632" s="47">
        <v>0.39202546296296298</v>
      </c>
      <c r="G1632" s="44">
        <v>6.3</v>
      </c>
      <c r="H1632" s="43" t="s">
        <v>230</v>
      </c>
      <c r="I1632" s="40" t="s">
        <v>1300</v>
      </c>
    </row>
    <row r="1633" spans="1:9" x14ac:dyDescent="0.2">
      <c r="A1633" s="40" t="s">
        <v>413</v>
      </c>
      <c r="B1633" s="28">
        <v>1868</v>
      </c>
      <c r="C1633" s="28">
        <v>5685635</v>
      </c>
      <c r="D1633" s="28" t="s">
        <v>37</v>
      </c>
      <c r="E1633" s="45">
        <v>46168</v>
      </c>
      <c r="F1633" s="48">
        <v>0.39809027777777778</v>
      </c>
      <c r="G1633" s="44">
        <v>6.3</v>
      </c>
      <c r="H1633" s="43" t="s">
        <v>227</v>
      </c>
      <c r="I1633" s="40" t="s">
        <v>1300</v>
      </c>
    </row>
    <row r="1634" spans="1:9" x14ac:dyDescent="0.2">
      <c r="A1634" s="40" t="s">
        <v>413</v>
      </c>
      <c r="B1634" s="28">
        <v>1868</v>
      </c>
      <c r="C1634" s="28">
        <v>5689415</v>
      </c>
      <c r="D1634" s="28"/>
      <c r="E1634" s="41">
        <v>46170</v>
      </c>
      <c r="F1634" s="47">
        <v>0.57712962962962966</v>
      </c>
      <c r="G1634" s="44">
        <v>6.3</v>
      </c>
      <c r="H1634" s="43" t="s">
        <v>235</v>
      </c>
      <c r="I1634" s="40" t="s">
        <v>1300</v>
      </c>
    </row>
    <row r="1635" spans="1:9" x14ac:dyDescent="0.2">
      <c r="A1635" s="40" t="s">
        <v>413</v>
      </c>
      <c r="B1635" s="28">
        <v>1868</v>
      </c>
      <c r="C1635" s="28">
        <v>5689415</v>
      </c>
      <c r="D1635" s="28"/>
      <c r="E1635" s="41">
        <v>46170</v>
      </c>
      <c r="F1635" s="47">
        <v>0.58651620370370372</v>
      </c>
      <c r="G1635" s="44">
        <v>6.3</v>
      </c>
      <c r="H1635" s="43" t="s">
        <v>229</v>
      </c>
      <c r="I1635" s="40" t="s">
        <v>1300</v>
      </c>
    </row>
    <row r="1636" spans="1:9" x14ac:dyDescent="0.2">
      <c r="A1636" s="40" t="s">
        <v>413</v>
      </c>
      <c r="B1636" s="28">
        <v>1868</v>
      </c>
      <c r="C1636" s="28">
        <v>5691383</v>
      </c>
      <c r="D1636" s="28"/>
      <c r="E1636" s="41">
        <v>46171</v>
      </c>
      <c r="F1636" s="47">
        <v>0.30635416666666665</v>
      </c>
      <c r="G1636" s="44">
        <v>6.3</v>
      </c>
      <c r="H1636" s="43" t="s">
        <v>228</v>
      </c>
      <c r="I1636" s="40" t="s">
        <v>1300</v>
      </c>
    </row>
    <row r="1637" spans="1:9" x14ac:dyDescent="0.2">
      <c r="A1637" s="40" t="s">
        <v>413</v>
      </c>
      <c r="B1637" s="28">
        <v>1868</v>
      </c>
      <c r="C1637" s="28">
        <v>5691383</v>
      </c>
      <c r="D1637" s="28"/>
      <c r="E1637" s="41">
        <v>46171</v>
      </c>
      <c r="F1637" s="47">
        <v>0.3155324074074074</v>
      </c>
      <c r="G1637" s="44">
        <v>6.3</v>
      </c>
      <c r="H1637" s="43" t="s">
        <v>233</v>
      </c>
      <c r="I1637" s="40" t="s">
        <v>1300</v>
      </c>
    </row>
    <row r="1638" spans="1:9" x14ac:dyDescent="0.2">
      <c r="A1638" s="40" t="s">
        <v>414</v>
      </c>
      <c r="B1638" s="28">
        <v>1874</v>
      </c>
      <c r="C1638" s="28" t="s">
        <v>691</v>
      </c>
      <c r="D1638" s="28"/>
      <c r="E1638" s="41">
        <v>46167</v>
      </c>
      <c r="F1638" s="47">
        <v>0.18927083333333333</v>
      </c>
      <c r="G1638" s="44">
        <v>6.3</v>
      </c>
      <c r="H1638" s="43" t="s">
        <v>230</v>
      </c>
      <c r="I1638" s="40" t="s">
        <v>1300</v>
      </c>
    </row>
    <row r="1639" spans="1:9" x14ac:dyDescent="0.2">
      <c r="A1639" s="40" t="s">
        <v>414</v>
      </c>
      <c r="B1639" s="28">
        <v>1874</v>
      </c>
      <c r="C1639" s="28" t="s">
        <v>691</v>
      </c>
      <c r="D1639" s="28"/>
      <c r="E1639" s="41">
        <v>46167</v>
      </c>
      <c r="F1639" s="47">
        <v>0.19440972222222222</v>
      </c>
      <c r="G1639" s="44">
        <v>6.3</v>
      </c>
      <c r="H1639" s="43" t="s">
        <v>227</v>
      </c>
      <c r="I1639" s="40" t="s">
        <v>1300</v>
      </c>
    </row>
    <row r="1640" spans="1:9" x14ac:dyDescent="0.2">
      <c r="A1640" s="40" t="s">
        <v>414</v>
      </c>
      <c r="B1640" s="28">
        <v>1874</v>
      </c>
      <c r="C1640" s="28" t="s">
        <v>692</v>
      </c>
      <c r="D1640" s="28"/>
      <c r="E1640" s="41">
        <v>46167</v>
      </c>
      <c r="F1640" s="47">
        <v>0.26518518518518519</v>
      </c>
      <c r="G1640" s="44">
        <v>6.3</v>
      </c>
      <c r="H1640" s="43" t="s">
        <v>228</v>
      </c>
      <c r="I1640" s="40" t="s">
        <v>1300</v>
      </c>
    </row>
    <row r="1641" spans="1:9" x14ac:dyDescent="0.2">
      <c r="A1641" s="40" t="s">
        <v>414</v>
      </c>
      <c r="B1641" s="28">
        <v>1874</v>
      </c>
      <c r="C1641" s="28" t="s">
        <v>692</v>
      </c>
      <c r="D1641" s="28"/>
      <c r="E1641" s="41">
        <v>46167</v>
      </c>
      <c r="F1641" s="47">
        <v>0.27918981481481481</v>
      </c>
      <c r="G1641" s="44">
        <v>6.3</v>
      </c>
      <c r="H1641" s="43" t="s">
        <v>229</v>
      </c>
      <c r="I1641" s="40" t="s">
        <v>1300</v>
      </c>
    </row>
    <row r="1642" spans="1:9" x14ac:dyDescent="0.2">
      <c r="A1642" s="40" t="s">
        <v>414</v>
      </c>
      <c r="B1642" s="28">
        <v>1874</v>
      </c>
      <c r="C1642" s="28" t="s">
        <v>693</v>
      </c>
      <c r="D1642" s="28"/>
      <c r="E1642" s="45">
        <v>46168</v>
      </c>
      <c r="F1642" s="48">
        <v>0.77292824074074074</v>
      </c>
      <c r="G1642" s="44">
        <v>6.3</v>
      </c>
      <c r="H1642" s="43" t="s">
        <v>228</v>
      </c>
      <c r="I1642" s="40" t="s">
        <v>1300</v>
      </c>
    </row>
    <row r="1643" spans="1:9" x14ac:dyDescent="0.2">
      <c r="A1643" s="40" t="s">
        <v>414</v>
      </c>
      <c r="B1643" s="28">
        <v>1874</v>
      </c>
      <c r="C1643" s="28" t="s">
        <v>694</v>
      </c>
      <c r="D1643" s="28"/>
      <c r="E1643" s="41">
        <v>46169</v>
      </c>
      <c r="F1643" s="47">
        <v>0.54453703703703704</v>
      </c>
      <c r="G1643" s="44">
        <v>6.3</v>
      </c>
      <c r="H1643" s="43" t="s">
        <v>226</v>
      </c>
      <c r="I1643" s="40" t="s">
        <v>1300</v>
      </c>
    </row>
    <row r="1644" spans="1:9" x14ac:dyDescent="0.2">
      <c r="A1644" s="40" t="s">
        <v>414</v>
      </c>
      <c r="B1644" s="28">
        <v>1874</v>
      </c>
      <c r="C1644" s="28" t="s">
        <v>694</v>
      </c>
      <c r="D1644" s="28"/>
      <c r="E1644" s="41">
        <v>46169</v>
      </c>
      <c r="F1644" s="47">
        <v>0.55026620370370372</v>
      </c>
      <c r="G1644" s="44">
        <v>6.3</v>
      </c>
      <c r="H1644" s="43" t="s">
        <v>227</v>
      </c>
      <c r="I1644" s="40" t="s">
        <v>1300</v>
      </c>
    </row>
    <row r="1645" spans="1:9" x14ac:dyDescent="0.2">
      <c r="A1645" s="40" t="s">
        <v>414</v>
      </c>
      <c r="B1645" s="28">
        <v>1874</v>
      </c>
      <c r="C1645" s="28" t="s">
        <v>695</v>
      </c>
      <c r="D1645" s="28"/>
      <c r="E1645" s="45">
        <v>46169</v>
      </c>
      <c r="F1645" s="48">
        <v>0.64913194444444444</v>
      </c>
      <c r="G1645" s="44">
        <v>6.3</v>
      </c>
      <c r="H1645" s="43" t="s">
        <v>228</v>
      </c>
      <c r="I1645" s="40" t="s">
        <v>1300</v>
      </c>
    </row>
    <row r="1646" spans="1:9" x14ac:dyDescent="0.2">
      <c r="A1646" s="40" t="s">
        <v>414</v>
      </c>
      <c r="B1646" s="28">
        <v>1874</v>
      </c>
      <c r="C1646" s="28" t="s">
        <v>695</v>
      </c>
      <c r="D1646" s="28"/>
      <c r="E1646" s="41">
        <v>46169</v>
      </c>
      <c r="F1646" s="47">
        <v>0.66188657407407403</v>
      </c>
      <c r="G1646" s="44">
        <v>6.3</v>
      </c>
      <c r="H1646" s="43" t="s">
        <v>229</v>
      </c>
      <c r="I1646" s="40" t="s">
        <v>1300</v>
      </c>
    </row>
    <row r="1647" spans="1:9" x14ac:dyDescent="0.2">
      <c r="A1647" s="40" t="s">
        <v>414</v>
      </c>
      <c r="B1647" s="28">
        <v>1874</v>
      </c>
      <c r="C1647" s="28">
        <v>10751645</v>
      </c>
      <c r="D1647" s="28" t="s">
        <v>36</v>
      </c>
      <c r="E1647" s="41">
        <v>46169</v>
      </c>
      <c r="F1647" s="47">
        <v>0.90836805555555555</v>
      </c>
      <c r="G1647" s="42">
        <v>6.3</v>
      </c>
      <c r="H1647" s="40" t="s">
        <v>227</v>
      </c>
      <c r="I1647" s="40" t="s">
        <v>1300</v>
      </c>
    </row>
    <row r="1648" spans="1:9" x14ac:dyDescent="0.2">
      <c r="A1648" s="40" t="s">
        <v>414</v>
      </c>
      <c r="B1648" s="28">
        <v>1874</v>
      </c>
      <c r="C1648" s="28" t="s">
        <v>696</v>
      </c>
      <c r="D1648" s="28"/>
      <c r="E1648" s="41">
        <v>46170</v>
      </c>
      <c r="F1648" s="47">
        <v>0.23393518518518519</v>
      </c>
      <c r="G1648" s="42">
        <v>6.3</v>
      </c>
      <c r="H1648" s="40" t="s">
        <v>230</v>
      </c>
      <c r="I1648" s="40" t="s">
        <v>1300</v>
      </c>
    </row>
    <row r="1649" spans="1:9" x14ac:dyDescent="0.2">
      <c r="A1649" s="40" t="s">
        <v>414</v>
      </c>
      <c r="B1649" s="28">
        <v>1874</v>
      </c>
      <c r="C1649" s="28" t="s">
        <v>696</v>
      </c>
      <c r="D1649" s="28"/>
      <c r="E1649" s="45">
        <v>46170</v>
      </c>
      <c r="F1649" s="48">
        <v>0.23912037037037037</v>
      </c>
      <c r="G1649" s="42">
        <v>6.3</v>
      </c>
      <c r="H1649" s="40" t="s">
        <v>227</v>
      </c>
      <c r="I1649" s="40" t="s">
        <v>1300</v>
      </c>
    </row>
    <row r="1650" spans="1:9" x14ac:dyDescent="0.2">
      <c r="A1650" s="40" t="s">
        <v>414</v>
      </c>
      <c r="B1650" s="28">
        <v>1874</v>
      </c>
      <c r="C1650" s="28" t="s">
        <v>697</v>
      </c>
      <c r="D1650" s="28"/>
      <c r="E1650" s="41">
        <v>46170</v>
      </c>
      <c r="F1650" s="47">
        <v>0.32747685185185182</v>
      </c>
      <c r="G1650" s="42">
        <v>6.3</v>
      </c>
      <c r="H1650" s="40" t="s">
        <v>228</v>
      </c>
      <c r="I1650" s="40" t="s">
        <v>1300</v>
      </c>
    </row>
    <row r="1651" spans="1:9" x14ac:dyDescent="0.2">
      <c r="A1651" s="40" t="s">
        <v>414</v>
      </c>
      <c r="B1651" s="28">
        <v>1874</v>
      </c>
      <c r="C1651" s="28" t="s">
        <v>697</v>
      </c>
      <c r="D1651" s="28"/>
      <c r="E1651" s="41">
        <v>46170</v>
      </c>
      <c r="F1651" s="47">
        <v>0.34017361111111111</v>
      </c>
      <c r="G1651" s="44">
        <v>6.3</v>
      </c>
      <c r="H1651" s="43" t="s">
        <v>229</v>
      </c>
      <c r="I1651" s="40" t="s">
        <v>1300</v>
      </c>
    </row>
    <row r="1652" spans="1:9" x14ac:dyDescent="0.2">
      <c r="A1652" s="40" t="s">
        <v>414</v>
      </c>
      <c r="B1652" s="28">
        <v>1874</v>
      </c>
      <c r="C1652" s="28" t="s">
        <v>698</v>
      </c>
      <c r="D1652" s="28"/>
      <c r="E1652" s="45">
        <v>46170</v>
      </c>
      <c r="F1652" s="48">
        <v>0.40216435185185184</v>
      </c>
      <c r="G1652" s="44">
        <v>6.3</v>
      </c>
      <c r="H1652" s="43" t="s">
        <v>230</v>
      </c>
      <c r="I1652" s="40" t="s">
        <v>1300</v>
      </c>
    </row>
    <row r="1653" spans="1:9" x14ac:dyDescent="0.2">
      <c r="A1653" s="40" t="s">
        <v>414</v>
      </c>
      <c r="B1653" s="28">
        <v>1874</v>
      </c>
      <c r="C1653" s="28" t="s">
        <v>698</v>
      </c>
      <c r="D1653" s="28"/>
      <c r="E1653" s="41">
        <v>46170</v>
      </c>
      <c r="F1653" s="47">
        <v>0.40865740740740741</v>
      </c>
      <c r="G1653" s="44">
        <v>6.3</v>
      </c>
      <c r="H1653" s="43" t="s">
        <v>227</v>
      </c>
      <c r="I1653" s="40" t="s">
        <v>1300</v>
      </c>
    </row>
    <row r="1654" spans="1:9" x14ac:dyDescent="0.2">
      <c r="A1654" s="40" t="s">
        <v>414</v>
      </c>
      <c r="B1654" s="28">
        <v>1874</v>
      </c>
      <c r="C1654" s="28" t="s">
        <v>699</v>
      </c>
      <c r="D1654" s="28"/>
      <c r="E1654" s="41">
        <v>46170</v>
      </c>
      <c r="F1654" s="47">
        <v>0.5989930555555556</v>
      </c>
      <c r="G1654" s="44">
        <v>6.3</v>
      </c>
      <c r="H1654" s="43" t="s">
        <v>228</v>
      </c>
      <c r="I1654" s="40" t="s">
        <v>1300</v>
      </c>
    </row>
    <row r="1655" spans="1:9" x14ac:dyDescent="0.2">
      <c r="A1655" s="40" t="s">
        <v>414</v>
      </c>
      <c r="B1655" s="28">
        <v>1874</v>
      </c>
      <c r="C1655" s="28" t="s">
        <v>699</v>
      </c>
      <c r="D1655" s="28"/>
      <c r="E1655" s="41">
        <v>46170</v>
      </c>
      <c r="F1655" s="47">
        <v>0.61153935185185182</v>
      </c>
      <c r="G1655" s="44">
        <v>6.3</v>
      </c>
      <c r="H1655" s="43" t="s">
        <v>229</v>
      </c>
      <c r="I1655" s="40" t="s">
        <v>1300</v>
      </c>
    </row>
    <row r="1656" spans="1:9" x14ac:dyDescent="0.2">
      <c r="A1656" s="40" t="s">
        <v>414</v>
      </c>
      <c r="B1656" s="28">
        <v>1874</v>
      </c>
      <c r="C1656" s="28" t="s">
        <v>700</v>
      </c>
      <c r="D1656" s="28"/>
      <c r="E1656" s="45">
        <v>46173</v>
      </c>
      <c r="F1656" s="48">
        <v>0.22452546296296297</v>
      </c>
      <c r="G1656" s="44">
        <v>6.3</v>
      </c>
      <c r="H1656" s="43" t="s">
        <v>230</v>
      </c>
      <c r="I1656" s="40" t="s">
        <v>1300</v>
      </c>
    </row>
    <row r="1657" spans="1:9" x14ac:dyDescent="0.2">
      <c r="A1657" s="40" t="s">
        <v>414</v>
      </c>
      <c r="B1657" s="28">
        <v>1874</v>
      </c>
      <c r="C1657" s="28" t="s">
        <v>700</v>
      </c>
      <c r="D1657" s="28"/>
      <c r="E1657" s="41">
        <v>46173</v>
      </c>
      <c r="F1657" s="47">
        <v>0.22952546296296297</v>
      </c>
      <c r="G1657" s="44">
        <v>6.3</v>
      </c>
      <c r="H1657" s="43" t="s">
        <v>227</v>
      </c>
      <c r="I1657" s="40" t="s">
        <v>1300</v>
      </c>
    </row>
    <row r="1658" spans="1:9" x14ac:dyDescent="0.2">
      <c r="A1658" s="40" t="s">
        <v>414</v>
      </c>
      <c r="B1658" s="28">
        <v>1874</v>
      </c>
      <c r="C1658" s="28" t="s">
        <v>701</v>
      </c>
      <c r="D1658" s="28"/>
      <c r="E1658" s="41">
        <v>46173</v>
      </c>
      <c r="F1658" s="47">
        <v>0.33564814814814814</v>
      </c>
      <c r="G1658" s="44">
        <v>6.3</v>
      </c>
      <c r="H1658" s="43" t="s">
        <v>228</v>
      </c>
      <c r="I1658" s="40" t="s">
        <v>1300</v>
      </c>
    </row>
    <row r="1659" spans="1:9" x14ac:dyDescent="0.2">
      <c r="A1659" s="40" t="s">
        <v>414</v>
      </c>
      <c r="B1659" s="28">
        <v>1874</v>
      </c>
      <c r="C1659" s="28" t="s">
        <v>701</v>
      </c>
      <c r="D1659" s="28"/>
      <c r="E1659" s="45">
        <v>46173</v>
      </c>
      <c r="F1659" s="48">
        <v>0.34254629629629629</v>
      </c>
      <c r="G1659" s="44">
        <v>6.3</v>
      </c>
      <c r="H1659" s="43" t="s">
        <v>229</v>
      </c>
      <c r="I1659" s="40" t="s">
        <v>1300</v>
      </c>
    </row>
    <row r="1660" spans="1:9" x14ac:dyDescent="0.2">
      <c r="A1660" s="40" t="s">
        <v>414</v>
      </c>
      <c r="B1660" s="28">
        <v>1874</v>
      </c>
      <c r="C1660" s="28" t="s">
        <v>702</v>
      </c>
      <c r="D1660" s="28"/>
      <c r="E1660" s="41">
        <v>46173</v>
      </c>
      <c r="F1660" s="47">
        <v>0.40202546296296299</v>
      </c>
      <c r="G1660" s="44">
        <v>6.3</v>
      </c>
      <c r="H1660" s="43" t="s">
        <v>230</v>
      </c>
      <c r="I1660" s="40" t="s">
        <v>1300</v>
      </c>
    </row>
    <row r="1661" spans="1:9" x14ac:dyDescent="0.2">
      <c r="A1661" s="40" t="s">
        <v>414</v>
      </c>
      <c r="B1661" s="28">
        <v>1874</v>
      </c>
      <c r="C1661" s="28" t="s">
        <v>702</v>
      </c>
      <c r="D1661" s="28"/>
      <c r="E1661" s="45">
        <v>46173</v>
      </c>
      <c r="F1661" s="48">
        <v>0.40699074074074076</v>
      </c>
      <c r="G1661" s="44">
        <v>6.3</v>
      </c>
      <c r="H1661" s="43" t="s">
        <v>227</v>
      </c>
      <c r="I1661" s="40" t="s">
        <v>1300</v>
      </c>
    </row>
    <row r="1662" spans="1:9" x14ac:dyDescent="0.2">
      <c r="A1662" s="40" t="s">
        <v>414</v>
      </c>
      <c r="B1662" s="28">
        <v>1874</v>
      </c>
      <c r="C1662" s="28" t="s">
        <v>703</v>
      </c>
      <c r="D1662" s="28"/>
      <c r="E1662" s="41">
        <v>46173</v>
      </c>
      <c r="F1662" s="47">
        <v>0.53259259259259262</v>
      </c>
      <c r="G1662" s="44">
        <v>6.3</v>
      </c>
      <c r="H1662" s="43" t="s">
        <v>228</v>
      </c>
      <c r="I1662" s="40" t="s">
        <v>1300</v>
      </c>
    </row>
    <row r="1663" spans="1:9" x14ac:dyDescent="0.2">
      <c r="A1663" s="40" t="s">
        <v>414</v>
      </c>
      <c r="B1663" s="28">
        <v>1874</v>
      </c>
      <c r="C1663" s="28" t="s">
        <v>704</v>
      </c>
      <c r="D1663" s="28"/>
      <c r="E1663" s="41">
        <v>46173</v>
      </c>
      <c r="F1663" s="47">
        <v>0.90201388888888889</v>
      </c>
      <c r="G1663" s="44">
        <v>6.3</v>
      </c>
      <c r="H1663" s="43" t="s">
        <v>228</v>
      </c>
      <c r="I1663" s="40" t="s">
        <v>1300</v>
      </c>
    </row>
    <row r="1664" spans="1:9" x14ac:dyDescent="0.2">
      <c r="A1664" s="40" t="s">
        <v>254</v>
      </c>
      <c r="B1664" s="28">
        <v>1875</v>
      </c>
      <c r="C1664" s="28">
        <v>5684824</v>
      </c>
      <c r="D1664" s="28"/>
      <c r="E1664" s="41">
        <v>46167</v>
      </c>
      <c r="F1664" s="47">
        <v>0.70288194444444441</v>
      </c>
      <c r="G1664" s="44">
        <v>6.3</v>
      </c>
      <c r="H1664" s="43" t="s">
        <v>230</v>
      </c>
      <c r="I1664" s="40" t="s">
        <v>1300</v>
      </c>
    </row>
    <row r="1665" spans="1:9" x14ac:dyDescent="0.2">
      <c r="A1665" s="40" t="s">
        <v>254</v>
      </c>
      <c r="B1665" s="28">
        <v>1875</v>
      </c>
      <c r="C1665" s="28">
        <v>5684824</v>
      </c>
      <c r="D1665" s="28"/>
      <c r="E1665" s="41">
        <v>46167</v>
      </c>
      <c r="F1665" s="47">
        <v>0.71387731481481487</v>
      </c>
      <c r="G1665" s="44">
        <v>6.3</v>
      </c>
      <c r="H1665" s="43" t="s">
        <v>227</v>
      </c>
      <c r="I1665" s="40" t="s">
        <v>1300</v>
      </c>
    </row>
    <row r="1666" spans="1:9" x14ac:dyDescent="0.2">
      <c r="A1666" s="40" t="s">
        <v>254</v>
      </c>
      <c r="B1666" s="28">
        <v>1875</v>
      </c>
      <c r="C1666" s="28">
        <v>10738145</v>
      </c>
      <c r="D1666" s="28" t="s">
        <v>36</v>
      </c>
      <c r="E1666" s="41">
        <v>46167</v>
      </c>
      <c r="F1666" s="47">
        <v>0.90091435185185187</v>
      </c>
      <c r="G1666" s="44">
        <v>6.3</v>
      </c>
      <c r="H1666" s="43" t="s">
        <v>228</v>
      </c>
      <c r="I1666" s="40" t="s">
        <v>1300</v>
      </c>
    </row>
    <row r="1667" spans="1:9" x14ac:dyDescent="0.2">
      <c r="A1667" s="40" t="s">
        <v>254</v>
      </c>
      <c r="B1667" s="28">
        <v>1875</v>
      </c>
      <c r="C1667" s="28">
        <v>10738145</v>
      </c>
      <c r="D1667" s="28" t="s">
        <v>36</v>
      </c>
      <c r="E1667" s="41">
        <v>46167</v>
      </c>
      <c r="F1667" s="47">
        <v>0.90935185185185186</v>
      </c>
      <c r="G1667" s="44">
        <v>6.3</v>
      </c>
      <c r="H1667" s="43" t="s">
        <v>229</v>
      </c>
      <c r="I1667" s="40" t="s">
        <v>1300</v>
      </c>
    </row>
    <row r="1668" spans="1:9" x14ac:dyDescent="0.2">
      <c r="A1668" s="40" t="s">
        <v>254</v>
      </c>
      <c r="B1668" s="28">
        <v>1875</v>
      </c>
      <c r="C1668" s="28">
        <v>10746467</v>
      </c>
      <c r="D1668" s="28"/>
      <c r="E1668" s="41">
        <v>46168</v>
      </c>
      <c r="F1668" s="47">
        <v>0.39157407407407407</v>
      </c>
      <c r="G1668" s="44">
        <v>6.3</v>
      </c>
      <c r="H1668" s="43" t="s">
        <v>229</v>
      </c>
      <c r="I1668" s="40" t="s">
        <v>1300</v>
      </c>
    </row>
    <row r="1669" spans="1:9" x14ac:dyDescent="0.2">
      <c r="A1669" s="40" t="s">
        <v>254</v>
      </c>
      <c r="B1669" s="28">
        <v>1875</v>
      </c>
      <c r="C1669" s="28">
        <v>10744293</v>
      </c>
      <c r="D1669" s="28"/>
      <c r="E1669" s="41">
        <v>46168</v>
      </c>
      <c r="F1669" s="47">
        <v>0.50218750000000001</v>
      </c>
      <c r="G1669" s="44">
        <v>6.3</v>
      </c>
      <c r="H1669" s="43" t="s">
        <v>227</v>
      </c>
      <c r="I1669" s="40" t="s">
        <v>1300</v>
      </c>
    </row>
    <row r="1670" spans="1:9" x14ac:dyDescent="0.2">
      <c r="A1670" s="40" t="s">
        <v>254</v>
      </c>
      <c r="B1670" s="28">
        <v>1875</v>
      </c>
      <c r="C1670" s="28">
        <v>10751804</v>
      </c>
      <c r="D1670" s="28" t="s">
        <v>36</v>
      </c>
      <c r="E1670" s="41">
        <v>46169</v>
      </c>
      <c r="F1670" s="47">
        <v>0.33476851851851852</v>
      </c>
      <c r="G1670" s="44">
        <v>6.3</v>
      </c>
      <c r="H1670" s="43" t="s">
        <v>227</v>
      </c>
      <c r="I1670" s="40" t="s">
        <v>1300</v>
      </c>
    </row>
    <row r="1671" spans="1:9" x14ac:dyDescent="0.2">
      <c r="A1671" s="40" t="s">
        <v>254</v>
      </c>
      <c r="B1671" s="28">
        <v>1875</v>
      </c>
      <c r="C1671" s="28">
        <v>10757291</v>
      </c>
      <c r="D1671" s="28" t="s">
        <v>36</v>
      </c>
      <c r="E1671" s="41">
        <v>46169</v>
      </c>
      <c r="F1671" s="47">
        <v>0.38027777777777777</v>
      </c>
      <c r="G1671" s="42">
        <v>6.3</v>
      </c>
      <c r="H1671" s="40" t="s">
        <v>228</v>
      </c>
      <c r="I1671" s="40" t="s">
        <v>1300</v>
      </c>
    </row>
    <row r="1672" spans="1:9" x14ac:dyDescent="0.2">
      <c r="A1672" s="40" t="s">
        <v>254</v>
      </c>
      <c r="B1672" s="28">
        <v>1875</v>
      </c>
      <c r="C1672" s="28">
        <v>10751773</v>
      </c>
      <c r="D1672" s="28"/>
      <c r="E1672" s="41">
        <v>46169</v>
      </c>
      <c r="F1672" s="47">
        <v>0.51811342592592591</v>
      </c>
      <c r="G1672" s="42">
        <v>6.3</v>
      </c>
      <c r="H1672" s="40" t="s">
        <v>234</v>
      </c>
      <c r="I1672" s="40" t="s">
        <v>1300</v>
      </c>
    </row>
    <row r="1673" spans="1:9" x14ac:dyDescent="0.2">
      <c r="A1673" s="40" t="s">
        <v>254</v>
      </c>
      <c r="B1673" s="28">
        <v>1875</v>
      </c>
      <c r="C1673" s="28">
        <v>10751773</v>
      </c>
      <c r="D1673" s="28"/>
      <c r="E1673" s="41">
        <v>46169</v>
      </c>
      <c r="F1673" s="47">
        <v>0.52172453703703703</v>
      </c>
      <c r="G1673" s="42">
        <v>6.3</v>
      </c>
      <c r="H1673" s="40" t="s">
        <v>227</v>
      </c>
      <c r="I1673" s="40" t="s">
        <v>1300</v>
      </c>
    </row>
    <row r="1674" spans="1:9" x14ac:dyDescent="0.2">
      <c r="A1674" s="40" t="s">
        <v>254</v>
      </c>
      <c r="B1674" s="28">
        <v>1875</v>
      </c>
      <c r="C1674" s="28">
        <v>10760092</v>
      </c>
      <c r="D1674" s="28" t="s">
        <v>36</v>
      </c>
      <c r="E1674" s="45">
        <v>46169</v>
      </c>
      <c r="F1674" s="48">
        <v>0.69254629629629627</v>
      </c>
      <c r="G1674" s="42">
        <v>6.3</v>
      </c>
      <c r="H1674" s="40" t="s">
        <v>228</v>
      </c>
      <c r="I1674" s="40" t="s">
        <v>1300</v>
      </c>
    </row>
    <row r="1675" spans="1:9" x14ac:dyDescent="0.2">
      <c r="A1675" s="40" t="s">
        <v>254</v>
      </c>
      <c r="B1675" s="28">
        <v>1875</v>
      </c>
      <c r="C1675" s="28">
        <v>10751683</v>
      </c>
      <c r="D1675" s="28"/>
      <c r="E1675" s="45">
        <v>46169</v>
      </c>
      <c r="F1675" s="48">
        <v>0.81748842592592597</v>
      </c>
      <c r="G1675" s="44">
        <v>6.3</v>
      </c>
      <c r="H1675" s="43" t="s">
        <v>227</v>
      </c>
      <c r="I1675" s="40" t="s">
        <v>1300</v>
      </c>
    </row>
    <row r="1676" spans="1:9" x14ac:dyDescent="0.2">
      <c r="A1676" s="40" t="s">
        <v>254</v>
      </c>
      <c r="B1676" s="28">
        <v>1875</v>
      </c>
      <c r="C1676" s="28">
        <v>10751683</v>
      </c>
      <c r="D1676" s="28"/>
      <c r="E1676" s="41">
        <v>46169</v>
      </c>
      <c r="F1676" s="47">
        <v>0.8630902777777778</v>
      </c>
      <c r="G1676" s="44">
        <v>6.3</v>
      </c>
      <c r="H1676" s="43" t="s">
        <v>228</v>
      </c>
      <c r="I1676" s="40" t="s">
        <v>1300</v>
      </c>
    </row>
    <row r="1677" spans="1:9" x14ac:dyDescent="0.2">
      <c r="A1677" s="40" t="s">
        <v>254</v>
      </c>
      <c r="B1677" s="28">
        <v>1875</v>
      </c>
      <c r="C1677" s="28" t="s">
        <v>35</v>
      </c>
      <c r="D1677" s="28" t="s">
        <v>38</v>
      </c>
      <c r="E1677" s="41">
        <v>46169</v>
      </c>
      <c r="F1677" s="47">
        <v>0.86901620370370369</v>
      </c>
      <c r="G1677" s="44">
        <v>6.3</v>
      </c>
      <c r="H1677" s="43" t="s">
        <v>233</v>
      </c>
      <c r="I1677" s="40" t="s">
        <v>1300</v>
      </c>
    </row>
    <row r="1678" spans="1:9" x14ac:dyDescent="0.2">
      <c r="A1678" s="40" t="s">
        <v>254</v>
      </c>
      <c r="B1678" s="28">
        <v>1875</v>
      </c>
      <c r="C1678" s="28">
        <v>10758540</v>
      </c>
      <c r="D1678" s="28"/>
      <c r="E1678" s="41">
        <v>46170</v>
      </c>
      <c r="F1678" s="47">
        <v>0.60961805555555559</v>
      </c>
      <c r="G1678" s="44">
        <v>6.3</v>
      </c>
      <c r="H1678" s="43" t="s">
        <v>228</v>
      </c>
      <c r="I1678" s="40" t="s">
        <v>1300</v>
      </c>
    </row>
    <row r="1679" spans="1:9" x14ac:dyDescent="0.2">
      <c r="A1679" s="40" t="s">
        <v>254</v>
      </c>
      <c r="B1679" s="28">
        <v>1875</v>
      </c>
      <c r="C1679" s="28">
        <v>10758540</v>
      </c>
      <c r="D1679" s="28"/>
      <c r="E1679" s="45">
        <v>46170</v>
      </c>
      <c r="F1679" s="48">
        <v>0.62759259259259259</v>
      </c>
      <c r="G1679" s="44">
        <v>6.3</v>
      </c>
      <c r="H1679" s="43" t="s">
        <v>229</v>
      </c>
      <c r="I1679" s="40" t="s">
        <v>1300</v>
      </c>
    </row>
    <row r="1680" spans="1:9" x14ac:dyDescent="0.2">
      <c r="A1680" s="40" t="s">
        <v>254</v>
      </c>
      <c r="B1680" s="28">
        <v>1875</v>
      </c>
      <c r="C1680" s="28" t="s">
        <v>35</v>
      </c>
      <c r="D1680" s="28" t="s">
        <v>38</v>
      </c>
      <c r="E1680" s="41">
        <v>46170</v>
      </c>
      <c r="F1680" s="47">
        <v>0.64304398148148145</v>
      </c>
      <c r="G1680" s="44">
        <v>6.3</v>
      </c>
      <c r="H1680" s="43" t="s">
        <v>230</v>
      </c>
      <c r="I1680" s="40" t="s">
        <v>1300</v>
      </c>
    </row>
    <row r="1681" spans="1:9" x14ac:dyDescent="0.2">
      <c r="A1681" s="40" t="s">
        <v>254</v>
      </c>
      <c r="B1681" s="28">
        <v>1875</v>
      </c>
      <c r="C1681" s="28" t="s">
        <v>35</v>
      </c>
      <c r="D1681" s="28" t="s">
        <v>38</v>
      </c>
      <c r="E1681" s="41">
        <v>46171</v>
      </c>
      <c r="F1681" s="47">
        <v>0.35016203703703702</v>
      </c>
      <c r="G1681" s="44">
        <v>6.3</v>
      </c>
      <c r="H1681" s="43" t="s">
        <v>227</v>
      </c>
      <c r="I1681" s="40" t="s">
        <v>1300</v>
      </c>
    </row>
    <row r="1682" spans="1:9" x14ac:dyDescent="0.2">
      <c r="A1682" s="40" t="s">
        <v>254</v>
      </c>
      <c r="B1682" s="28">
        <v>1875</v>
      </c>
      <c r="C1682" s="28">
        <v>10773585</v>
      </c>
      <c r="D1682" s="28"/>
      <c r="E1682" s="41">
        <v>46171</v>
      </c>
      <c r="F1682" s="47">
        <v>0.61174768518518519</v>
      </c>
      <c r="G1682" s="44">
        <v>6.3</v>
      </c>
      <c r="H1682" s="43" t="s">
        <v>228</v>
      </c>
      <c r="I1682" s="40" t="s">
        <v>1300</v>
      </c>
    </row>
    <row r="1683" spans="1:9" x14ac:dyDescent="0.2">
      <c r="A1683" s="40" t="s">
        <v>254</v>
      </c>
      <c r="B1683" s="28">
        <v>1875</v>
      </c>
      <c r="C1683" s="28">
        <v>10773585</v>
      </c>
      <c r="D1683" s="28"/>
      <c r="E1683" s="41">
        <v>46171</v>
      </c>
      <c r="F1683" s="47">
        <v>0.62244212962962964</v>
      </c>
      <c r="G1683" s="44">
        <v>6.3</v>
      </c>
      <c r="H1683" s="43" t="s">
        <v>229</v>
      </c>
      <c r="I1683" s="40" t="s">
        <v>1300</v>
      </c>
    </row>
    <row r="1684" spans="1:9" x14ac:dyDescent="0.2">
      <c r="A1684" s="40" t="s">
        <v>254</v>
      </c>
      <c r="B1684" s="28">
        <v>1875</v>
      </c>
      <c r="C1684" s="28">
        <v>10765645</v>
      </c>
      <c r="D1684" s="28" t="s">
        <v>36</v>
      </c>
      <c r="E1684" s="41">
        <v>46171</v>
      </c>
      <c r="F1684" s="47">
        <v>0.69245370370370374</v>
      </c>
      <c r="G1684" s="44">
        <v>6.3</v>
      </c>
      <c r="H1684" s="43" t="s">
        <v>230</v>
      </c>
      <c r="I1684" s="40" t="s">
        <v>1300</v>
      </c>
    </row>
    <row r="1685" spans="1:9" x14ac:dyDescent="0.2">
      <c r="A1685" s="40" t="s">
        <v>254</v>
      </c>
      <c r="B1685" s="28">
        <v>1875</v>
      </c>
      <c r="C1685" s="28">
        <v>10765645</v>
      </c>
      <c r="D1685" s="28" t="s">
        <v>36</v>
      </c>
      <c r="E1685" s="41">
        <v>46171</v>
      </c>
      <c r="F1685" s="47">
        <v>0.71570601851851856</v>
      </c>
      <c r="G1685" s="44">
        <v>6.3</v>
      </c>
      <c r="H1685" s="43" t="s">
        <v>227</v>
      </c>
      <c r="I1685" s="40" t="s">
        <v>1300</v>
      </c>
    </row>
    <row r="1686" spans="1:9" x14ac:dyDescent="0.2">
      <c r="A1686" s="40" t="s">
        <v>254</v>
      </c>
      <c r="B1686" s="28">
        <v>1875</v>
      </c>
      <c r="C1686" s="28" t="s">
        <v>705</v>
      </c>
      <c r="D1686" s="28"/>
      <c r="E1686" s="41">
        <v>46172</v>
      </c>
      <c r="F1686" s="47">
        <v>0.45564814814814814</v>
      </c>
      <c r="G1686" s="44">
        <v>6.3</v>
      </c>
      <c r="H1686" s="43" t="s">
        <v>228</v>
      </c>
      <c r="I1686" s="40" t="s">
        <v>1300</v>
      </c>
    </row>
    <row r="1687" spans="1:9" x14ac:dyDescent="0.2">
      <c r="A1687" s="40" t="s">
        <v>254</v>
      </c>
      <c r="B1687" s="28">
        <v>1875</v>
      </c>
      <c r="C1687" s="28" t="s">
        <v>705</v>
      </c>
      <c r="D1687" s="28"/>
      <c r="E1687" s="41">
        <v>46172</v>
      </c>
      <c r="F1687" s="47">
        <v>0.46564814814814814</v>
      </c>
      <c r="G1687" s="44">
        <v>6.3</v>
      </c>
      <c r="H1687" s="43" t="s">
        <v>229</v>
      </c>
      <c r="I1687" s="40" t="s">
        <v>1300</v>
      </c>
    </row>
    <row r="1688" spans="1:9" x14ac:dyDescent="0.2">
      <c r="A1688" s="40" t="s">
        <v>254</v>
      </c>
      <c r="B1688" s="28">
        <v>1875</v>
      </c>
      <c r="C1688" s="28">
        <v>10772645</v>
      </c>
      <c r="D1688" s="28"/>
      <c r="E1688" s="41">
        <v>46172</v>
      </c>
      <c r="F1688" s="47">
        <v>0.56317129629629625</v>
      </c>
      <c r="G1688" s="44">
        <v>6.3</v>
      </c>
      <c r="H1688" s="43" t="s">
        <v>230</v>
      </c>
      <c r="I1688" s="40" t="s">
        <v>1300</v>
      </c>
    </row>
    <row r="1689" spans="1:9" x14ac:dyDescent="0.2">
      <c r="A1689" s="40" t="s">
        <v>254</v>
      </c>
      <c r="B1689" s="28">
        <v>1875</v>
      </c>
      <c r="C1689" s="28">
        <v>10772645</v>
      </c>
      <c r="D1689" s="28"/>
      <c r="E1689" s="41">
        <v>46172</v>
      </c>
      <c r="F1689" s="47">
        <v>0.59001157407407412</v>
      </c>
      <c r="G1689" s="44">
        <v>6.3</v>
      </c>
      <c r="H1689" s="43" t="s">
        <v>227</v>
      </c>
      <c r="I1689" s="40" t="s">
        <v>1300</v>
      </c>
    </row>
    <row r="1690" spans="1:9" x14ac:dyDescent="0.2">
      <c r="A1690" s="40" t="s">
        <v>254</v>
      </c>
      <c r="B1690" s="28">
        <v>1875</v>
      </c>
      <c r="C1690" s="28">
        <v>10772502</v>
      </c>
      <c r="D1690" s="28" t="s">
        <v>36</v>
      </c>
      <c r="E1690" s="45">
        <v>46172</v>
      </c>
      <c r="F1690" s="48">
        <v>0.94028935185185181</v>
      </c>
      <c r="G1690" s="42">
        <v>6.3</v>
      </c>
      <c r="H1690" s="40" t="s">
        <v>228</v>
      </c>
      <c r="I1690" s="40" t="s">
        <v>1300</v>
      </c>
    </row>
    <row r="1691" spans="1:9" x14ac:dyDescent="0.2">
      <c r="A1691" s="40" t="s">
        <v>254</v>
      </c>
      <c r="B1691" s="28">
        <v>1875</v>
      </c>
      <c r="C1691" s="28">
        <v>10772502</v>
      </c>
      <c r="D1691" s="28" t="s">
        <v>36</v>
      </c>
      <c r="E1691" s="41">
        <v>46172</v>
      </c>
      <c r="F1691" s="47">
        <v>0.94914351851851853</v>
      </c>
      <c r="G1691" s="42">
        <v>6.3</v>
      </c>
      <c r="H1691" s="40" t="s">
        <v>229</v>
      </c>
      <c r="I1691" s="40" t="s">
        <v>1300</v>
      </c>
    </row>
    <row r="1692" spans="1:9" x14ac:dyDescent="0.2">
      <c r="A1692" s="40" t="s">
        <v>254</v>
      </c>
      <c r="B1692" s="28">
        <v>1875</v>
      </c>
      <c r="C1692" s="28" t="s">
        <v>35</v>
      </c>
      <c r="D1692" s="28" t="s">
        <v>38</v>
      </c>
      <c r="E1692" s="41">
        <v>46172</v>
      </c>
      <c r="F1692" s="47">
        <v>0.97081018518518514</v>
      </c>
      <c r="G1692" s="44">
        <v>6.3</v>
      </c>
      <c r="H1692" s="43" t="s">
        <v>230</v>
      </c>
      <c r="I1692" s="40" t="s">
        <v>1300</v>
      </c>
    </row>
    <row r="1693" spans="1:9" x14ac:dyDescent="0.2">
      <c r="A1693" s="40" t="s">
        <v>254</v>
      </c>
      <c r="B1693" s="28">
        <v>1875</v>
      </c>
      <c r="C1693" s="28">
        <v>10782435</v>
      </c>
      <c r="D1693" s="28"/>
      <c r="E1693" s="41">
        <v>46172</v>
      </c>
      <c r="F1693" s="47">
        <v>0.97622685185185187</v>
      </c>
      <c r="G1693" s="44">
        <v>6.3</v>
      </c>
      <c r="H1693" s="43" t="s">
        <v>227</v>
      </c>
      <c r="I1693" s="40" t="s">
        <v>1300</v>
      </c>
    </row>
    <row r="1694" spans="1:9" x14ac:dyDescent="0.2">
      <c r="A1694" s="40" t="s">
        <v>254</v>
      </c>
      <c r="B1694" s="28">
        <v>1875</v>
      </c>
      <c r="C1694" s="28">
        <v>10778698</v>
      </c>
      <c r="D1694" s="28"/>
      <c r="E1694" s="41">
        <v>46173</v>
      </c>
      <c r="F1694" s="47">
        <v>0.33437499999999998</v>
      </c>
      <c r="G1694" s="44">
        <v>6.3</v>
      </c>
      <c r="H1694" s="43" t="s">
        <v>227</v>
      </c>
      <c r="I1694" s="40" t="s">
        <v>1300</v>
      </c>
    </row>
    <row r="1695" spans="1:9" x14ac:dyDescent="0.2">
      <c r="A1695" s="40" t="s">
        <v>254</v>
      </c>
      <c r="B1695" s="28">
        <v>1875</v>
      </c>
      <c r="C1695" s="28">
        <v>10778593</v>
      </c>
      <c r="D1695" s="28" t="s">
        <v>36</v>
      </c>
      <c r="E1695" s="45">
        <v>46173</v>
      </c>
      <c r="F1695" s="48">
        <v>0.37498842592592591</v>
      </c>
      <c r="G1695" s="44">
        <v>6.3</v>
      </c>
      <c r="H1695" s="43" t="s">
        <v>228</v>
      </c>
      <c r="I1695" s="40" t="s">
        <v>1300</v>
      </c>
    </row>
    <row r="1696" spans="1:9" x14ac:dyDescent="0.2">
      <c r="A1696" s="40" t="s">
        <v>254</v>
      </c>
      <c r="B1696" s="28">
        <v>1875</v>
      </c>
      <c r="C1696" s="28">
        <v>10778593</v>
      </c>
      <c r="D1696" s="28" t="s">
        <v>36</v>
      </c>
      <c r="E1696" s="41">
        <v>46173</v>
      </c>
      <c r="F1696" s="47">
        <v>0.38276620370370368</v>
      </c>
      <c r="G1696" s="44">
        <v>6.3</v>
      </c>
      <c r="H1696" s="43" t="s">
        <v>229</v>
      </c>
      <c r="I1696" s="40" t="s">
        <v>1300</v>
      </c>
    </row>
    <row r="1697" spans="1:9" x14ac:dyDescent="0.2">
      <c r="A1697" s="40" t="s">
        <v>254</v>
      </c>
      <c r="B1697" s="28">
        <v>1875</v>
      </c>
      <c r="C1697" s="28">
        <v>10780365</v>
      </c>
      <c r="D1697" s="28" t="s">
        <v>36</v>
      </c>
      <c r="E1697" s="41">
        <v>46173</v>
      </c>
      <c r="F1697" s="47">
        <v>0.83508101851851857</v>
      </c>
      <c r="G1697" s="44">
        <v>6.3</v>
      </c>
      <c r="H1697" s="43" t="s">
        <v>228</v>
      </c>
      <c r="I1697" s="40" t="s">
        <v>1300</v>
      </c>
    </row>
    <row r="1698" spans="1:9" x14ac:dyDescent="0.2">
      <c r="A1698" s="40" t="s">
        <v>263</v>
      </c>
      <c r="B1698" s="28">
        <v>1878</v>
      </c>
      <c r="C1698" s="28" t="s">
        <v>35</v>
      </c>
      <c r="D1698" s="28" t="s">
        <v>38</v>
      </c>
      <c r="E1698" s="41">
        <v>46167</v>
      </c>
      <c r="F1698" s="47">
        <v>0.33690972222222221</v>
      </c>
      <c r="G1698" s="44">
        <v>6.3</v>
      </c>
      <c r="H1698" s="43" t="s">
        <v>230</v>
      </c>
      <c r="I1698" s="40" t="s">
        <v>1300</v>
      </c>
    </row>
    <row r="1699" spans="1:9" x14ac:dyDescent="0.2">
      <c r="A1699" s="40" t="s">
        <v>263</v>
      </c>
      <c r="B1699" s="28">
        <v>1878</v>
      </c>
      <c r="C1699" s="28" t="s">
        <v>35</v>
      </c>
      <c r="D1699" s="28" t="s">
        <v>38</v>
      </c>
      <c r="E1699" s="45">
        <v>46167</v>
      </c>
      <c r="F1699" s="48">
        <v>0.60054398148148147</v>
      </c>
      <c r="G1699" s="44">
        <v>6.3</v>
      </c>
      <c r="H1699" s="43" t="s">
        <v>229</v>
      </c>
      <c r="I1699" s="40" t="s">
        <v>1300</v>
      </c>
    </row>
    <row r="1700" spans="1:9" x14ac:dyDescent="0.2">
      <c r="A1700" s="40" t="s">
        <v>263</v>
      </c>
      <c r="B1700" s="28">
        <v>1878</v>
      </c>
      <c r="C1700" s="28" t="s">
        <v>35</v>
      </c>
      <c r="D1700" s="28" t="s">
        <v>38</v>
      </c>
      <c r="E1700" s="41">
        <v>46167</v>
      </c>
      <c r="F1700" s="47">
        <v>0.77694444444444444</v>
      </c>
      <c r="G1700" s="44">
        <v>6.3</v>
      </c>
      <c r="H1700" s="43" t="s">
        <v>230</v>
      </c>
      <c r="I1700" s="40" t="s">
        <v>1300</v>
      </c>
    </row>
    <row r="1701" spans="1:9" x14ac:dyDescent="0.2">
      <c r="A1701" s="40" t="s">
        <v>263</v>
      </c>
      <c r="B1701" s="28">
        <v>1878</v>
      </c>
      <c r="C1701" s="28" t="s">
        <v>35</v>
      </c>
      <c r="D1701" s="28" t="s">
        <v>38</v>
      </c>
      <c r="E1701" s="41">
        <v>46171</v>
      </c>
      <c r="F1701" s="47">
        <v>0.84119212962962964</v>
      </c>
      <c r="G1701" s="44">
        <v>6.3</v>
      </c>
      <c r="H1701" s="43" t="s">
        <v>227</v>
      </c>
      <c r="I1701" s="40" t="s">
        <v>1300</v>
      </c>
    </row>
    <row r="1702" spans="1:9" x14ac:dyDescent="0.2">
      <c r="A1702" s="40" t="s">
        <v>263</v>
      </c>
      <c r="B1702" s="28">
        <v>1878</v>
      </c>
      <c r="C1702" s="28">
        <v>5691973</v>
      </c>
      <c r="D1702" s="28"/>
      <c r="E1702" s="41">
        <v>46172</v>
      </c>
      <c r="F1702" s="47">
        <v>0.1960300925925926</v>
      </c>
      <c r="G1702" s="44">
        <v>6.3</v>
      </c>
      <c r="H1702" s="43" t="s">
        <v>230</v>
      </c>
      <c r="I1702" s="40" t="s">
        <v>1300</v>
      </c>
    </row>
    <row r="1703" spans="1:9" x14ac:dyDescent="0.2">
      <c r="A1703" s="40" t="s">
        <v>263</v>
      </c>
      <c r="B1703" s="28">
        <v>1878</v>
      </c>
      <c r="C1703" s="28">
        <v>5691973</v>
      </c>
      <c r="D1703" s="28"/>
      <c r="E1703" s="45">
        <v>46172</v>
      </c>
      <c r="F1703" s="48">
        <v>0.20103009259259258</v>
      </c>
      <c r="G1703" s="44">
        <v>6.3</v>
      </c>
      <c r="H1703" s="43" t="s">
        <v>227</v>
      </c>
      <c r="I1703" s="40" t="s">
        <v>1300</v>
      </c>
    </row>
    <row r="1704" spans="1:9" x14ac:dyDescent="0.2">
      <c r="A1704" s="40" t="s">
        <v>263</v>
      </c>
      <c r="B1704" s="28">
        <v>1878</v>
      </c>
      <c r="C1704" s="28">
        <v>5690066</v>
      </c>
      <c r="D1704" s="28" t="s">
        <v>37</v>
      </c>
      <c r="E1704" s="45">
        <v>46172</v>
      </c>
      <c r="F1704" s="48">
        <v>0.48128472222222224</v>
      </c>
      <c r="G1704" s="44">
        <v>6.3</v>
      </c>
      <c r="H1704" s="43" t="s">
        <v>230</v>
      </c>
      <c r="I1704" s="40" t="s">
        <v>1300</v>
      </c>
    </row>
    <row r="1705" spans="1:9" x14ac:dyDescent="0.2">
      <c r="A1705" s="40" t="s">
        <v>263</v>
      </c>
      <c r="B1705" s="28">
        <v>1878</v>
      </c>
      <c r="C1705" s="28" t="s">
        <v>706</v>
      </c>
      <c r="D1705" s="28"/>
      <c r="E1705" s="41">
        <v>46173</v>
      </c>
      <c r="F1705" s="47">
        <v>0.25307870370370372</v>
      </c>
      <c r="G1705" s="44">
        <v>6.3</v>
      </c>
      <c r="H1705" s="43" t="s">
        <v>228</v>
      </c>
      <c r="I1705" s="40" t="s">
        <v>1300</v>
      </c>
    </row>
    <row r="1706" spans="1:9" x14ac:dyDescent="0.2">
      <c r="A1706" s="40" t="s">
        <v>263</v>
      </c>
      <c r="B1706" s="28">
        <v>1878</v>
      </c>
      <c r="C1706" s="28" t="s">
        <v>706</v>
      </c>
      <c r="D1706" s="28"/>
      <c r="E1706" s="41">
        <v>46173</v>
      </c>
      <c r="F1706" s="47">
        <v>0.25934027777777779</v>
      </c>
      <c r="G1706" s="44">
        <v>6.3</v>
      </c>
      <c r="H1706" s="43" t="s">
        <v>229</v>
      </c>
      <c r="I1706" s="40" t="s">
        <v>1300</v>
      </c>
    </row>
    <row r="1707" spans="1:9" x14ac:dyDescent="0.2">
      <c r="A1707" s="40" t="s">
        <v>263</v>
      </c>
      <c r="B1707" s="28">
        <v>1878</v>
      </c>
      <c r="C1707" s="28">
        <v>5695430</v>
      </c>
      <c r="D1707" s="28"/>
      <c r="E1707" s="41">
        <v>46173</v>
      </c>
      <c r="F1707" s="47">
        <v>0.29682870370370368</v>
      </c>
      <c r="G1707" s="44">
        <v>6.3</v>
      </c>
      <c r="H1707" s="43" t="s">
        <v>230</v>
      </c>
      <c r="I1707" s="40" t="s">
        <v>1300</v>
      </c>
    </row>
    <row r="1708" spans="1:9" x14ac:dyDescent="0.2">
      <c r="A1708" s="40" t="s">
        <v>263</v>
      </c>
      <c r="B1708" s="28">
        <v>1878</v>
      </c>
      <c r="C1708" s="28">
        <v>5695430</v>
      </c>
      <c r="D1708" s="28"/>
      <c r="E1708" s="41">
        <v>46173</v>
      </c>
      <c r="F1708" s="47">
        <v>0.30149305555555556</v>
      </c>
      <c r="G1708" s="44">
        <v>6.3</v>
      </c>
      <c r="H1708" s="43" t="s">
        <v>227</v>
      </c>
      <c r="I1708" s="40" t="s">
        <v>1300</v>
      </c>
    </row>
    <row r="1709" spans="1:9" x14ac:dyDescent="0.2">
      <c r="A1709" s="40" t="s">
        <v>263</v>
      </c>
      <c r="B1709" s="28">
        <v>1878</v>
      </c>
      <c r="C1709" s="28" t="s">
        <v>707</v>
      </c>
      <c r="D1709" s="28"/>
      <c r="E1709" s="41">
        <v>46173</v>
      </c>
      <c r="F1709" s="47">
        <v>0.41849537037037038</v>
      </c>
      <c r="G1709" s="44">
        <v>6.3</v>
      </c>
      <c r="H1709" s="43" t="s">
        <v>228</v>
      </c>
      <c r="I1709" s="40" t="s">
        <v>1300</v>
      </c>
    </row>
    <row r="1710" spans="1:9" x14ac:dyDescent="0.2">
      <c r="A1710" s="40" t="s">
        <v>263</v>
      </c>
      <c r="B1710" s="28">
        <v>1878</v>
      </c>
      <c r="C1710" s="28" t="s">
        <v>707</v>
      </c>
      <c r="D1710" s="28"/>
      <c r="E1710" s="41">
        <v>46173</v>
      </c>
      <c r="F1710" s="47">
        <v>0.42885416666666665</v>
      </c>
      <c r="G1710" s="44">
        <v>6.3</v>
      </c>
      <c r="H1710" s="43" t="s">
        <v>229</v>
      </c>
      <c r="I1710" s="40" t="s">
        <v>1300</v>
      </c>
    </row>
    <row r="1711" spans="1:9" x14ac:dyDescent="0.2">
      <c r="A1711" s="40" t="s">
        <v>263</v>
      </c>
      <c r="B1711" s="28">
        <v>1878</v>
      </c>
      <c r="C1711" s="28" t="s">
        <v>35</v>
      </c>
      <c r="D1711" s="28" t="s">
        <v>38</v>
      </c>
      <c r="E1711" s="41">
        <v>46173</v>
      </c>
      <c r="F1711" s="47">
        <v>0.93959490740740736</v>
      </c>
      <c r="G1711" s="44">
        <v>6.3</v>
      </c>
      <c r="H1711" s="43" t="s">
        <v>227</v>
      </c>
      <c r="I1711" s="40" t="s">
        <v>1300</v>
      </c>
    </row>
    <row r="1712" spans="1:9" x14ac:dyDescent="0.2">
      <c r="A1712" s="40" t="s">
        <v>247</v>
      </c>
      <c r="B1712" s="28">
        <v>1891</v>
      </c>
      <c r="C1712" s="28">
        <v>5685461</v>
      </c>
      <c r="D1712" s="28"/>
      <c r="E1712" s="41">
        <v>46167</v>
      </c>
      <c r="F1712" s="47">
        <v>0.44421296296296298</v>
      </c>
      <c r="G1712" s="44">
        <v>6.3</v>
      </c>
      <c r="H1712" s="43" t="s">
        <v>228</v>
      </c>
      <c r="I1712" s="40" t="s">
        <v>1300</v>
      </c>
    </row>
    <row r="1713" spans="1:9" x14ac:dyDescent="0.2">
      <c r="A1713" s="40" t="s">
        <v>247</v>
      </c>
      <c r="B1713" s="28">
        <v>1891</v>
      </c>
      <c r="C1713" s="28">
        <v>5685461</v>
      </c>
      <c r="D1713" s="28"/>
      <c r="E1713" s="41">
        <v>46167</v>
      </c>
      <c r="F1713" s="47">
        <v>0.45527777777777778</v>
      </c>
      <c r="G1713" s="44">
        <v>6.3</v>
      </c>
      <c r="H1713" s="43" t="s">
        <v>229</v>
      </c>
      <c r="I1713" s="40" t="s">
        <v>1300</v>
      </c>
    </row>
    <row r="1714" spans="1:9" x14ac:dyDescent="0.2">
      <c r="A1714" s="40" t="s">
        <v>247</v>
      </c>
      <c r="B1714" s="28">
        <v>1891</v>
      </c>
      <c r="C1714" s="28" t="s">
        <v>35</v>
      </c>
      <c r="D1714" s="28" t="s">
        <v>38</v>
      </c>
      <c r="E1714" s="41">
        <v>46167</v>
      </c>
      <c r="F1714" s="47">
        <v>0.47541666666666665</v>
      </c>
      <c r="G1714" s="44">
        <v>6.3</v>
      </c>
      <c r="H1714" s="43" t="s">
        <v>227</v>
      </c>
      <c r="I1714" s="40" t="s">
        <v>1300</v>
      </c>
    </row>
    <row r="1715" spans="1:9" x14ac:dyDescent="0.2">
      <c r="A1715" s="40" t="s">
        <v>247</v>
      </c>
      <c r="B1715" s="28">
        <v>1891</v>
      </c>
      <c r="C1715" s="28">
        <v>5686426</v>
      </c>
      <c r="D1715" s="28"/>
      <c r="E1715" s="45">
        <v>46167</v>
      </c>
      <c r="F1715" s="48">
        <v>0.73886574074074074</v>
      </c>
      <c r="G1715" s="44">
        <v>6.3</v>
      </c>
      <c r="H1715" s="43" t="s">
        <v>228</v>
      </c>
      <c r="I1715" s="40" t="s">
        <v>1300</v>
      </c>
    </row>
    <row r="1716" spans="1:9" x14ac:dyDescent="0.2">
      <c r="A1716" s="40" t="s">
        <v>247</v>
      </c>
      <c r="B1716" s="28">
        <v>1891</v>
      </c>
      <c r="C1716" s="28">
        <v>5686426</v>
      </c>
      <c r="D1716" s="28"/>
      <c r="E1716" s="41">
        <v>46167</v>
      </c>
      <c r="F1716" s="47">
        <v>0.7520486111111111</v>
      </c>
      <c r="G1716" s="44">
        <v>6.3</v>
      </c>
      <c r="H1716" s="43" t="s">
        <v>229</v>
      </c>
      <c r="I1716" s="40" t="s">
        <v>1300</v>
      </c>
    </row>
    <row r="1717" spans="1:9" x14ac:dyDescent="0.2">
      <c r="A1717" s="40" t="s">
        <v>247</v>
      </c>
      <c r="B1717" s="28">
        <v>1891</v>
      </c>
      <c r="C1717" s="28">
        <v>5688229</v>
      </c>
      <c r="D1717" s="28"/>
      <c r="E1717" s="41">
        <v>46168</v>
      </c>
      <c r="F1717" s="47">
        <v>0.71606481481481477</v>
      </c>
      <c r="G1717" s="42">
        <v>6.3</v>
      </c>
      <c r="H1717" s="40" t="s">
        <v>228</v>
      </c>
      <c r="I1717" s="40" t="s">
        <v>1300</v>
      </c>
    </row>
    <row r="1718" spans="1:9" x14ac:dyDescent="0.2">
      <c r="A1718" s="40" t="s">
        <v>247</v>
      </c>
      <c r="B1718" s="28">
        <v>1891</v>
      </c>
      <c r="C1718" s="28">
        <v>5688512</v>
      </c>
      <c r="D1718" s="28" t="s">
        <v>36</v>
      </c>
      <c r="E1718" s="41">
        <v>46168</v>
      </c>
      <c r="F1718" s="47">
        <v>0.8244097222222222</v>
      </c>
      <c r="G1718" s="42">
        <v>6.3</v>
      </c>
      <c r="H1718" s="40" t="s">
        <v>227</v>
      </c>
      <c r="I1718" s="40" t="s">
        <v>1300</v>
      </c>
    </row>
    <row r="1719" spans="1:9" x14ac:dyDescent="0.2">
      <c r="A1719" s="40" t="s">
        <v>247</v>
      </c>
      <c r="B1719" s="28">
        <v>1891</v>
      </c>
      <c r="C1719" s="28" t="s">
        <v>708</v>
      </c>
      <c r="D1719" s="28"/>
      <c r="E1719" s="41">
        <v>46170</v>
      </c>
      <c r="F1719" s="47">
        <v>0.82975694444444448</v>
      </c>
      <c r="G1719" s="42">
        <v>6.3</v>
      </c>
      <c r="H1719" s="40" t="s">
        <v>228</v>
      </c>
      <c r="I1719" s="40" t="s">
        <v>1300</v>
      </c>
    </row>
    <row r="1720" spans="1:9" x14ac:dyDescent="0.2">
      <c r="A1720" s="40" t="s">
        <v>247</v>
      </c>
      <c r="B1720" s="28">
        <v>1891</v>
      </c>
      <c r="C1720" s="28" t="s">
        <v>708</v>
      </c>
      <c r="D1720" s="28"/>
      <c r="E1720" s="41">
        <v>46170</v>
      </c>
      <c r="F1720" s="47">
        <v>0.83847222222222217</v>
      </c>
      <c r="G1720" s="42">
        <v>6.3</v>
      </c>
      <c r="H1720" s="40" t="s">
        <v>229</v>
      </c>
      <c r="I1720" s="40" t="s">
        <v>1300</v>
      </c>
    </row>
    <row r="1721" spans="1:9" x14ac:dyDescent="0.2">
      <c r="A1721" s="40" t="s">
        <v>247</v>
      </c>
      <c r="B1721" s="28">
        <v>1891</v>
      </c>
      <c r="C1721" s="28">
        <v>5693486</v>
      </c>
      <c r="D1721" s="28"/>
      <c r="E1721" s="41">
        <v>46171</v>
      </c>
      <c r="F1721" s="47">
        <v>0.84622685185185187</v>
      </c>
      <c r="G1721" s="44">
        <v>6.3</v>
      </c>
      <c r="H1721" s="43" t="s">
        <v>228</v>
      </c>
      <c r="I1721" s="40" t="s">
        <v>1300</v>
      </c>
    </row>
    <row r="1722" spans="1:9" x14ac:dyDescent="0.2">
      <c r="A1722" s="40" t="s">
        <v>247</v>
      </c>
      <c r="B1722" s="28">
        <v>1891</v>
      </c>
      <c r="C1722" s="28">
        <v>5693486</v>
      </c>
      <c r="D1722" s="28"/>
      <c r="E1722" s="41">
        <v>46171</v>
      </c>
      <c r="F1722" s="47">
        <v>0.85328703703703701</v>
      </c>
      <c r="G1722" s="44">
        <v>6.3</v>
      </c>
      <c r="H1722" s="43" t="s">
        <v>232</v>
      </c>
      <c r="I1722" s="40" t="s">
        <v>1300</v>
      </c>
    </row>
    <row r="1723" spans="1:9" x14ac:dyDescent="0.2">
      <c r="A1723" s="40" t="s">
        <v>247</v>
      </c>
      <c r="B1723" s="28">
        <v>1891</v>
      </c>
      <c r="C1723" s="28">
        <v>5695471</v>
      </c>
      <c r="D1723" s="28"/>
      <c r="E1723" s="45">
        <v>46173</v>
      </c>
      <c r="F1723" s="48">
        <v>0.39998842592592593</v>
      </c>
      <c r="G1723" s="44">
        <v>6.3</v>
      </c>
      <c r="H1723" s="43" t="s">
        <v>230</v>
      </c>
      <c r="I1723" s="40" t="s">
        <v>1300</v>
      </c>
    </row>
    <row r="1724" spans="1:9" x14ac:dyDescent="0.2">
      <c r="A1724" s="40" t="s">
        <v>247</v>
      </c>
      <c r="B1724" s="28">
        <v>1891</v>
      </c>
      <c r="C1724" s="28">
        <v>5695471</v>
      </c>
      <c r="D1724" s="28"/>
      <c r="E1724" s="41">
        <v>46173</v>
      </c>
      <c r="F1724" s="47">
        <v>0.4052662037037037</v>
      </c>
      <c r="G1724" s="44">
        <v>6.3</v>
      </c>
      <c r="H1724" s="43" t="s">
        <v>227</v>
      </c>
      <c r="I1724" s="40" t="s">
        <v>1300</v>
      </c>
    </row>
    <row r="1725" spans="1:9" x14ac:dyDescent="0.2">
      <c r="A1725" s="40" t="s">
        <v>247</v>
      </c>
      <c r="B1725" s="28">
        <v>1891</v>
      </c>
      <c r="C1725" s="28">
        <v>5696227</v>
      </c>
      <c r="D1725" s="28"/>
      <c r="E1725" s="45">
        <v>46173</v>
      </c>
      <c r="F1725" s="48">
        <v>0.94116898148148154</v>
      </c>
      <c r="G1725" s="44">
        <v>6.3</v>
      </c>
      <c r="H1725" s="43" t="s">
        <v>228</v>
      </c>
      <c r="I1725" s="40" t="s">
        <v>1300</v>
      </c>
    </row>
    <row r="1726" spans="1:9" x14ac:dyDescent="0.2">
      <c r="A1726" s="40" t="s">
        <v>289</v>
      </c>
      <c r="B1726" s="28">
        <v>1894</v>
      </c>
      <c r="C1726" s="28" t="s">
        <v>709</v>
      </c>
      <c r="D1726" s="28"/>
      <c r="E1726" s="41">
        <v>46167</v>
      </c>
      <c r="F1726" s="47">
        <v>0.49057870370370371</v>
      </c>
      <c r="G1726" s="44">
        <v>6.3</v>
      </c>
      <c r="H1726" s="43" t="s">
        <v>228</v>
      </c>
      <c r="I1726" s="40" t="s">
        <v>1300</v>
      </c>
    </row>
    <row r="1727" spans="1:9" x14ac:dyDescent="0.2">
      <c r="A1727" s="40" t="s">
        <v>289</v>
      </c>
      <c r="B1727" s="28">
        <v>1894</v>
      </c>
      <c r="C1727" s="28" t="s">
        <v>709</v>
      </c>
      <c r="D1727" s="28"/>
      <c r="E1727" s="41">
        <v>46167</v>
      </c>
      <c r="F1727" s="47">
        <v>0.49835648148148148</v>
      </c>
      <c r="G1727" s="44">
        <v>6.3</v>
      </c>
      <c r="H1727" s="43" t="s">
        <v>229</v>
      </c>
      <c r="I1727" s="40" t="s">
        <v>1300</v>
      </c>
    </row>
    <row r="1728" spans="1:9" x14ac:dyDescent="0.2">
      <c r="A1728" s="40" t="s">
        <v>289</v>
      </c>
      <c r="B1728" s="28">
        <v>1894</v>
      </c>
      <c r="C1728" s="28" t="s">
        <v>710</v>
      </c>
      <c r="D1728" s="28"/>
      <c r="E1728" s="41">
        <v>46168</v>
      </c>
      <c r="F1728" s="47">
        <v>0.42068287037037039</v>
      </c>
      <c r="G1728" s="44">
        <v>6.3</v>
      </c>
      <c r="H1728" s="43" t="s">
        <v>230</v>
      </c>
      <c r="I1728" s="40" t="s">
        <v>1300</v>
      </c>
    </row>
    <row r="1729" spans="1:9" x14ac:dyDescent="0.2">
      <c r="A1729" s="40" t="s">
        <v>289</v>
      </c>
      <c r="B1729" s="28">
        <v>1894</v>
      </c>
      <c r="C1729" s="28" t="s">
        <v>710</v>
      </c>
      <c r="D1729" s="28"/>
      <c r="E1729" s="41">
        <v>46168</v>
      </c>
      <c r="F1729" s="47">
        <v>0.42743055555555554</v>
      </c>
      <c r="G1729" s="44">
        <v>6.3</v>
      </c>
      <c r="H1729" s="43" t="s">
        <v>227</v>
      </c>
      <c r="I1729" s="40" t="s">
        <v>1300</v>
      </c>
    </row>
    <row r="1730" spans="1:9" x14ac:dyDescent="0.2">
      <c r="A1730" s="40" t="s">
        <v>289</v>
      </c>
      <c r="B1730" s="28">
        <v>1894</v>
      </c>
      <c r="C1730" s="28" t="s">
        <v>711</v>
      </c>
      <c r="D1730" s="28"/>
      <c r="E1730" s="41">
        <v>46168</v>
      </c>
      <c r="F1730" s="47">
        <v>0.63167824074074075</v>
      </c>
      <c r="G1730" s="44">
        <v>6.3</v>
      </c>
      <c r="H1730" s="43" t="s">
        <v>230</v>
      </c>
      <c r="I1730" s="40" t="s">
        <v>1300</v>
      </c>
    </row>
    <row r="1731" spans="1:9" x14ac:dyDescent="0.2">
      <c r="A1731" s="40" t="s">
        <v>289</v>
      </c>
      <c r="B1731" s="28">
        <v>1894</v>
      </c>
      <c r="C1731" s="28" t="s">
        <v>711</v>
      </c>
      <c r="D1731" s="28"/>
      <c r="E1731" s="41">
        <v>46168</v>
      </c>
      <c r="F1731" s="47">
        <v>0.63778935185185182</v>
      </c>
      <c r="G1731" s="44">
        <v>6.3</v>
      </c>
      <c r="H1731" s="43" t="s">
        <v>227</v>
      </c>
      <c r="I1731" s="40" t="s">
        <v>1300</v>
      </c>
    </row>
    <row r="1732" spans="1:9" x14ac:dyDescent="0.2">
      <c r="A1732" s="40" t="s">
        <v>289</v>
      </c>
      <c r="B1732" s="28">
        <v>1894</v>
      </c>
      <c r="C1732" s="28" t="s">
        <v>712</v>
      </c>
      <c r="D1732" s="28"/>
      <c r="E1732" s="41">
        <v>46169</v>
      </c>
      <c r="F1732" s="47">
        <v>0.44562499999999999</v>
      </c>
      <c r="G1732" s="44">
        <v>6.3</v>
      </c>
      <c r="H1732" s="43" t="s">
        <v>228</v>
      </c>
      <c r="I1732" s="40" t="s">
        <v>1300</v>
      </c>
    </row>
    <row r="1733" spans="1:9" x14ac:dyDescent="0.2">
      <c r="A1733" s="40" t="s">
        <v>289</v>
      </c>
      <c r="B1733" s="28">
        <v>1894</v>
      </c>
      <c r="C1733" s="28" t="s">
        <v>712</v>
      </c>
      <c r="D1733" s="28"/>
      <c r="E1733" s="41">
        <v>46169</v>
      </c>
      <c r="F1733" s="47">
        <v>0.45569444444444446</v>
      </c>
      <c r="G1733" s="44">
        <v>6.3</v>
      </c>
      <c r="H1733" s="43" t="s">
        <v>229</v>
      </c>
      <c r="I1733" s="40" t="s">
        <v>1300</v>
      </c>
    </row>
    <row r="1734" spans="1:9" x14ac:dyDescent="0.2">
      <c r="A1734" s="40" t="s">
        <v>289</v>
      </c>
      <c r="B1734" s="28">
        <v>1894</v>
      </c>
      <c r="C1734" s="28" t="s">
        <v>713</v>
      </c>
      <c r="D1734" s="28"/>
      <c r="E1734" s="41">
        <v>46169</v>
      </c>
      <c r="F1734" s="47">
        <v>0.54962962962962958</v>
      </c>
      <c r="G1734" s="44">
        <v>6.3</v>
      </c>
      <c r="H1734" s="43" t="s">
        <v>231</v>
      </c>
      <c r="I1734" s="40" t="s">
        <v>1300</v>
      </c>
    </row>
    <row r="1735" spans="1:9" x14ac:dyDescent="0.2">
      <c r="A1735" s="40" t="s">
        <v>289</v>
      </c>
      <c r="B1735" s="28">
        <v>1894</v>
      </c>
      <c r="C1735" s="28" t="s">
        <v>713</v>
      </c>
      <c r="D1735" s="28"/>
      <c r="E1735" s="41">
        <v>46169</v>
      </c>
      <c r="F1735" s="47">
        <v>0.55460648148148151</v>
      </c>
      <c r="G1735" s="44">
        <v>6.3</v>
      </c>
      <c r="H1735" s="43" t="s">
        <v>227</v>
      </c>
      <c r="I1735" s="40" t="s">
        <v>1300</v>
      </c>
    </row>
    <row r="1736" spans="1:9" x14ac:dyDescent="0.2">
      <c r="A1736" s="40" t="s">
        <v>289</v>
      </c>
      <c r="B1736" s="28">
        <v>1894</v>
      </c>
      <c r="C1736" s="28" t="s">
        <v>714</v>
      </c>
      <c r="D1736" s="28"/>
      <c r="E1736" s="41">
        <v>46170</v>
      </c>
      <c r="F1736" s="47">
        <v>0.50898148148148148</v>
      </c>
      <c r="G1736" s="44">
        <v>6.3</v>
      </c>
      <c r="H1736" s="43" t="s">
        <v>228</v>
      </c>
      <c r="I1736" s="40" t="s">
        <v>1300</v>
      </c>
    </row>
    <row r="1737" spans="1:9" x14ac:dyDescent="0.2">
      <c r="A1737" s="40" t="s">
        <v>289</v>
      </c>
      <c r="B1737" s="28">
        <v>1894</v>
      </c>
      <c r="C1737" s="28" t="s">
        <v>714</v>
      </c>
      <c r="D1737" s="28"/>
      <c r="E1737" s="41">
        <v>46170</v>
      </c>
      <c r="F1737" s="47">
        <v>0.52332175925925928</v>
      </c>
      <c r="G1737" s="44">
        <v>6.3</v>
      </c>
      <c r="H1737" s="43" t="s">
        <v>229</v>
      </c>
      <c r="I1737" s="40" t="s">
        <v>1300</v>
      </c>
    </row>
    <row r="1738" spans="1:9" x14ac:dyDescent="0.2">
      <c r="A1738" s="40" t="s">
        <v>289</v>
      </c>
      <c r="B1738" s="28">
        <v>1894</v>
      </c>
      <c r="C1738" s="28" t="s">
        <v>715</v>
      </c>
      <c r="D1738" s="28"/>
      <c r="E1738" s="41">
        <v>46170</v>
      </c>
      <c r="F1738" s="47">
        <v>0.7346759259259259</v>
      </c>
      <c r="G1738" s="44">
        <v>6.3</v>
      </c>
      <c r="H1738" s="43" t="s">
        <v>228</v>
      </c>
      <c r="I1738" s="40" t="s">
        <v>1300</v>
      </c>
    </row>
    <row r="1739" spans="1:9" x14ac:dyDescent="0.2">
      <c r="A1739" s="40" t="s">
        <v>289</v>
      </c>
      <c r="B1739" s="28">
        <v>1894</v>
      </c>
      <c r="C1739" s="28" t="s">
        <v>715</v>
      </c>
      <c r="D1739" s="28"/>
      <c r="E1739" s="41">
        <v>46170</v>
      </c>
      <c r="F1739" s="47">
        <v>0.74346064814814816</v>
      </c>
      <c r="G1739" s="44">
        <v>6.3</v>
      </c>
      <c r="H1739" s="43" t="s">
        <v>232</v>
      </c>
      <c r="I1739" s="40" t="s">
        <v>1300</v>
      </c>
    </row>
    <row r="1740" spans="1:9" x14ac:dyDescent="0.2">
      <c r="A1740" s="40" t="s">
        <v>289</v>
      </c>
      <c r="B1740" s="28">
        <v>1894</v>
      </c>
      <c r="C1740" s="28" t="s">
        <v>716</v>
      </c>
      <c r="D1740" s="28"/>
      <c r="E1740" s="41">
        <v>46170</v>
      </c>
      <c r="F1740" s="47">
        <v>0.82152777777777775</v>
      </c>
      <c r="G1740" s="44">
        <v>6.3</v>
      </c>
      <c r="H1740" s="43" t="s">
        <v>230</v>
      </c>
      <c r="I1740" s="40" t="s">
        <v>1300</v>
      </c>
    </row>
    <row r="1741" spans="1:9" x14ac:dyDescent="0.2">
      <c r="A1741" s="40" t="s">
        <v>289</v>
      </c>
      <c r="B1741" s="28">
        <v>1894</v>
      </c>
      <c r="C1741" s="28" t="s">
        <v>716</v>
      </c>
      <c r="D1741" s="28"/>
      <c r="E1741" s="41">
        <v>46170</v>
      </c>
      <c r="F1741" s="47">
        <v>0.83998842592592593</v>
      </c>
      <c r="G1741" s="44">
        <v>6.3</v>
      </c>
      <c r="H1741" s="43" t="s">
        <v>227</v>
      </c>
      <c r="I1741" s="40" t="s">
        <v>1300</v>
      </c>
    </row>
    <row r="1742" spans="1:9" x14ac:dyDescent="0.2">
      <c r="A1742" s="40" t="s">
        <v>289</v>
      </c>
      <c r="B1742" s="28">
        <v>1894</v>
      </c>
      <c r="C1742" s="28" t="s">
        <v>717</v>
      </c>
      <c r="D1742" s="28"/>
      <c r="E1742" s="41">
        <v>46171</v>
      </c>
      <c r="F1742" s="47">
        <v>0.43033564814814818</v>
      </c>
      <c r="G1742" s="42">
        <v>6.3</v>
      </c>
      <c r="H1742" s="40" t="s">
        <v>228</v>
      </c>
      <c r="I1742" s="40" t="s">
        <v>1300</v>
      </c>
    </row>
    <row r="1743" spans="1:9" x14ac:dyDescent="0.2">
      <c r="A1743" s="40" t="s">
        <v>289</v>
      </c>
      <c r="B1743" s="28">
        <v>1894</v>
      </c>
      <c r="C1743" s="28" t="s">
        <v>717</v>
      </c>
      <c r="D1743" s="28"/>
      <c r="E1743" s="41">
        <v>46171</v>
      </c>
      <c r="F1743" s="47">
        <v>0.44542824074074072</v>
      </c>
      <c r="G1743" s="42">
        <v>6.3</v>
      </c>
      <c r="H1743" s="40" t="s">
        <v>229</v>
      </c>
      <c r="I1743" s="40" t="s">
        <v>1300</v>
      </c>
    </row>
    <row r="1744" spans="1:9" x14ac:dyDescent="0.2">
      <c r="A1744" s="40" t="s">
        <v>289</v>
      </c>
      <c r="B1744" s="28">
        <v>1894</v>
      </c>
      <c r="C1744" s="28" t="s">
        <v>718</v>
      </c>
      <c r="D1744" s="28"/>
      <c r="E1744" s="41">
        <v>46171</v>
      </c>
      <c r="F1744" s="47">
        <v>0.52946759259259257</v>
      </c>
      <c r="G1744" s="44">
        <v>6.3</v>
      </c>
      <c r="H1744" s="43" t="s">
        <v>230</v>
      </c>
      <c r="I1744" s="40" t="s">
        <v>1300</v>
      </c>
    </row>
    <row r="1745" spans="1:9" x14ac:dyDescent="0.2">
      <c r="A1745" s="40" t="s">
        <v>289</v>
      </c>
      <c r="B1745" s="28">
        <v>1894</v>
      </c>
      <c r="C1745" s="28" t="s">
        <v>718</v>
      </c>
      <c r="D1745" s="28"/>
      <c r="E1745" s="41">
        <v>46171</v>
      </c>
      <c r="F1745" s="47">
        <v>0.54281250000000003</v>
      </c>
      <c r="G1745" s="44">
        <v>6.3</v>
      </c>
      <c r="H1745" s="43" t="s">
        <v>227</v>
      </c>
      <c r="I1745" s="40" t="s">
        <v>1300</v>
      </c>
    </row>
    <row r="1746" spans="1:9" x14ac:dyDescent="0.2">
      <c r="A1746" s="40" t="s">
        <v>289</v>
      </c>
      <c r="B1746" s="28">
        <v>1894</v>
      </c>
      <c r="C1746" s="28" t="s">
        <v>719</v>
      </c>
      <c r="D1746" s="28"/>
      <c r="E1746" s="41">
        <v>46171</v>
      </c>
      <c r="F1746" s="47">
        <v>0.57917824074074076</v>
      </c>
      <c r="G1746" s="44">
        <v>6.3</v>
      </c>
      <c r="H1746" s="43" t="s">
        <v>228</v>
      </c>
      <c r="I1746" s="40" t="s">
        <v>1300</v>
      </c>
    </row>
    <row r="1747" spans="1:9" x14ac:dyDescent="0.2">
      <c r="A1747" s="40" t="s">
        <v>289</v>
      </c>
      <c r="B1747" s="28">
        <v>1894</v>
      </c>
      <c r="C1747" s="28" t="s">
        <v>719</v>
      </c>
      <c r="D1747" s="28"/>
      <c r="E1747" s="41">
        <v>46171</v>
      </c>
      <c r="F1747" s="47">
        <v>0.59545138888888893</v>
      </c>
      <c r="G1747" s="44">
        <v>6.3</v>
      </c>
      <c r="H1747" s="43" t="s">
        <v>229</v>
      </c>
      <c r="I1747" s="40" t="s">
        <v>1300</v>
      </c>
    </row>
    <row r="1748" spans="1:9" x14ac:dyDescent="0.2">
      <c r="A1748" s="40" t="s">
        <v>117</v>
      </c>
      <c r="B1748" s="28">
        <v>1915</v>
      </c>
      <c r="C1748" s="28">
        <v>5685045</v>
      </c>
      <c r="D1748" s="28"/>
      <c r="E1748" s="41">
        <v>46167</v>
      </c>
      <c r="F1748" s="47">
        <v>0.2167476851851852</v>
      </c>
      <c r="G1748" s="44">
        <v>6.3</v>
      </c>
      <c r="H1748" s="43" t="s">
        <v>229</v>
      </c>
      <c r="I1748" s="40" t="s">
        <v>1300</v>
      </c>
    </row>
    <row r="1749" spans="1:9" x14ac:dyDescent="0.2">
      <c r="A1749" s="40" t="s">
        <v>117</v>
      </c>
      <c r="B1749" s="28">
        <v>1915</v>
      </c>
      <c r="C1749" s="28">
        <v>5685919</v>
      </c>
      <c r="D1749" s="28"/>
      <c r="E1749" s="45">
        <v>46167</v>
      </c>
      <c r="F1749" s="48">
        <v>0.51452546296296298</v>
      </c>
      <c r="G1749" s="44">
        <v>6.3</v>
      </c>
      <c r="H1749" s="43" t="s">
        <v>228</v>
      </c>
      <c r="I1749" s="40" t="s">
        <v>1300</v>
      </c>
    </row>
    <row r="1750" spans="1:9" x14ac:dyDescent="0.2">
      <c r="A1750" s="40" t="s">
        <v>117</v>
      </c>
      <c r="B1750" s="28">
        <v>1915</v>
      </c>
      <c r="C1750" s="28">
        <v>5685919</v>
      </c>
      <c r="D1750" s="28"/>
      <c r="E1750" s="41">
        <v>46167</v>
      </c>
      <c r="F1750" s="47">
        <v>0.52396990740740745</v>
      </c>
      <c r="G1750" s="44">
        <v>6.3</v>
      </c>
      <c r="H1750" s="43" t="s">
        <v>229</v>
      </c>
      <c r="I1750" s="40" t="s">
        <v>1300</v>
      </c>
    </row>
    <row r="1751" spans="1:9" x14ac:dyDescent="0.2">
      <c r="A1751" s="40" t="s">
        <v>117</v>
      </c>
      <c r="B1751" s="28">
        <v>1915</v>
      </c>
      <c r="C1751" s="28">
        <v>5684619</v>
      </c>
      <c r="D1751" s="28"/>
      <c r="E1751" s="41">
        <v>46168</v>
      </c>
      <c r="F1751" s="47">
        <v>0.21795138888888888</v>
      </c>
      <c r="G1751" s="44">
        <v>6.3</v>
      </c>
      <c r="H1751" s="43" t="s">
        <v>230</v>
      </c>
      <c r="I1751" s="40" t="s">
        <v>1300</v>
      </c>
    </row>
    <row r="1752" spans="1:9" x14ac:dyDescent="0.2">
      <c r="A1752" s="40" t="s">
        <v>117</v>
      </c>
      <c r="B1752" s="28">
        <v>1915</v>
      </c>
      <c r="C1752" s="28">
        <v>5684619</v>
      </c>
      <c r="D1752" s="28"/>
      <c r="E1752" s="41">
        <v>46168</v>
      </c>
      <c r="F1752" s="47">
        <v>0.22321759259259261</v>
      </c>
      <c r="G1752" s="44">
        <v>6.3</v>
      </c>
      <c r="H1752" s="43" t="s">
        <v>227</v>
      </c>
      <c r="I1752" s="40" t="s">
        <v>1300</v>
      </c>
    </row>
    <row r="1753" spans="1:9" x14ac:dyDescent="0.2">
      <c r="A1753" s="40" t="s">
        <v>117</v>
      </c>
      <c r="B1753" s="28">
        <v>1915</v>
      </c>
      <c r="C1753" s="28">
        <v>5687702</v>
      </c>
      <c r="D1753" s="28"/>
      <c r="E1753" s="41">
        <v>46168</v>
      </c>
      <c r="F1753" s="47">
        <v>0.51232638888888893</v>
      </c>
      <c r="G1753" s="44">
        <v>6.3</v>
      </c>
      <c r="H1753" s="43" t="s">
        <v>232</v>
      </c>
      <c r="I1753" s="40" t="s">
        <v>1300</v>
      </c>
    </row>
    <row r="1754" spans="1:9" x14ac:dyDescent="0.2">
      <c r="A1754" s="40" t="s">
        <v>117</v>
      </c>
      <c r="B1754" s="28">
        <v>1915</v>
      </c>
      <c r="C1754" s="28">
        <v>5687521</v>
      </c>
      <c r="D1754" s="28"/>
      <c r="E1754" s="41">
        <v>46168</v>
      </c>
      <c r="F1754" s="47">
        <v>0.54305555555555551</v>
      </c>
      <c r="G1754" s="44">
        <v>6.3</v>
      </c>
      <c r="H1754" s="43" t="s">
        <v>230</v>
      </c>
      <c r="I1754" s="40" t="s">
        <v>1300</v>
      </c>
    </row>
    <row r="1755" spans="1:9" x14ac:dyDescent="0.2">
      <c r="A1755" s="40" t="s">
        <v>117</v>
      </c>
      <c r="B1755" s="28">
        <v>1915</v>
      </c>
      <c r="C1755" s="28">
        <v>5688748</v>
      </c>
      <c r="D1755" s="28"/>
      <c r="E1755" s="41">
        <v>46169</v>
      </c>
      <c r="F1755" s="47">
        <v>0.32218750000000002</v>
      </c>
      <c r="G1755" s="44">
        <v>6.3</v>
      </c>
      <c r="H1755" s="43" t="s">
        <v>229</v>
      </c>
      <c r="I1755" s="40" t="s">
        <v>1300</v>
      </c>
    </row>
    <row r="1756" spans="1:9" x14ac:dyDescent="0.2">
      <c r="A1756" s="40" t="s">
        <v>117</v>
      </c>
      <c r="B1756" s="28">
        <v>1915</v>
      </c>
      <c r="C1756" s="28" t="s">
        <v>35</v>
      </c>
      <c r="D1756" s="28" t="s">
        <v>38</v>
      </c>
      <c r="E1756" s="41">
        <v>46169</v>
      </c>
      <c r="F1756" s="47">
        <v>0.67937499999999995</v>
      </c>
      <c r="G1756" s="44">
        <v>6.3</v>
      </c>
      <c r="H1756" s="43" t="s">
        <v>230</v>
      </c>
      <c r="I1756" s="40" t="s">
        <v>1300</v>
      </c>
    </row>
    <row r="1757" spans="1:9" x14ac:dyDescent="0.2">
      <c r="A1757" s="40" t="s">
        <v>117</v>
      </c>
      <c r="B1757" s="28">
        <v>1915</v>
      </c>
      <c r="C1757" s="28">
        <v>5690915</v>
      </c>
      <c r="D1757" s="28"/>
      <c r="E1757" s="41">
        <v>46170</v>
      </c>
      <c r="F1757" s="47">
        <v>0.29010416666666666</v>
      </c>
      <c r="G1757" s="44">
        <v>6.3</v>
      </c>
      <c r="H1757" s="43" t="s">
        <v>231</v>
      </c>
      <c r="I1757" s="40" t="s">
        <v>1300</v>
      </c>
    </row>
    <row r="1758" spans="1:9" x14ac:dyDescent="0.2">
      <c r="A1758" s="40" t="s">
        <v>117</v>
      </c>
      <c r="B1758" s="28">
        <v>1915</v>
      </c>
      <c r="C1758" s="28">
        <v>5690915</v>
      </c>
      <c r="D1758" s="28"/>
      <c r="E1758" s="45">
        <v>46170</v>
      </c>
      <c r="F1758" s="48">
        <v>0.29593750000000002</v>
      </c>
      <c r="G1758" s="44">
        <v>6.3</v>
      </c>
      <c r="H1758" s="43" t="s">
        <v>227</v>
      </c>
      <c r="I1758" s="40" t="s">
        <v>1300</v>
      </c>
    </row>
    <row r="1759" spans="1:9" x14ac:dyDescent="0.2">
      <c r="A1759" s="40" t="s">
        <v>117</v>
      </c>
      <c r="B1759" s="28">
        <v>1915</v>
      </c>
      <c r="C1759" s="28">
        <v>5692562</v>
      </c>
      <c r="D1759" s="28"/>
      <c r="E1759" s="41">
        <v>46171</v>
      </c>
      <c r="F1759" s="47">
        <v>0.24884259259259259</v>
      </c>
      <c r="G1759" s="44">
        <v>6.3</v>
      </c>
      <c r="H1759" s="43" t="s">
        <v>234</v>
      </c>
      <c r="I1759" s="40" t="s">
        <v>1300</v>
      </c>
    </row>
    <row r="1760" spans="1:9" x14ac:dyDescent="0.2">
      <c r="A1760" s="40" t="s">
        <v>117</v>
      </c>
      <c r="B1760" s="28">
        <v>1915</v>
      </c>
      <c r="C1760" s="28">
        <v>5692562</v>
      </c>
      <c r="D1760" s="28"/>
      <c r="E1760" s="41">
        <v>46171</v>
      </c>
      <c r="F1760" s="47">
        <v>0.25187500000000002</v>
      </c>
      <c r="G1760" s="44">
        <v>6.3</v>
      </c>
      <c r="H1760" s="43" t="s">
        <v>227</v>
      </c>
      <c r="I1760" s="40" t="s">
        <v>1300</v>
      </c>
    </row>
    <row r="1761" spans="1:9" x14ac:dyDescent="0.2">
      <c r="A1761" s="40" t="s">
        <v>117</v>
      </c>
      <c r="B1761" s="28">
        <v>1915</v>
      </c>
      <c r="C1761" s="28" t="s">
        <v>35</v>
      </c>
      <c r="D1761" s="28" t="s">
        <v>38</v>
      </c>
      <c r="E1761" s="41">
        <v>46171</v>
      </c>
      <c r="F1761" s="47">
        <v>0.5683449074074074</v>
      </c>
      <c r="G1761" s="44">
        <v>6.3</v>
      </c>
      <c r="H1761" s="43" t="s">
        <v>230</v>
      </c>
      <c r="I1761" s="40" t="s">
        <v>1300</v>
      </c>
    </row>
    <row r="1762" spans="1:9" x14ac:dyDescent="0.2">
      <c r="A1762" s="40" t="s">
        <v>118</v>
      </c>
      <c r="B1762" s="28">
        <v>1981</v>
      </c>
      <c r="C1762" s="28" t="s">
        <v>35</v>
      </c>
      <c r="D1762" s="28" t="s">
        <v>38</v>
      </c>
      <c r="E1762" s="41">
        <v>46168</v>
      </c>
      <c r="F1762" s="47">
        <v>0.27167824074074076</v>
      </c>
      <c r="G1762" s="44">
        <v>6.3</v>
      </c>
      <c r="H1762" s="43" t="s">
        <v>228</v>
      </c>
      <c r="I1762" s="40" t="s">
        <v>1300</v>
      </c>
    </row>
    <row r="1763" spans="1:9" x14ac:dyDescent="0.2">
      <c r="A1763" s="40" t="s">
        <v>118</v>
      </c>
      <c r="B1763" s="28">
        <v>1981</v>
      </c>
      <c r="C1763" s="28" t="s">
        <v>35</v>
      </c>
      <c r="D1763" s="28" t="s">
        <v>38</v>
      </c>
      <c r="E1763" s="41">
        <v>46168</v>
      </c>
      <c r="F1763" s="47">
        <v>0.28613425925925928</v>
      </c>
      <c r="G1763" s="44">
        <v>6.3</v>
      </c>
      <c r="H1763" s="43" t="s">
        <v>229</v>
      </c>
      <c r="I1763" s="40" t="s">
        <v>1300</v>
      </c>
    </row>
    <row r="1764" spans="1:9" x14ac:dyDescent="0.2">
      <c r="A1764" s="40" t="s">
        <v>118</v>
      </c>
      <c r="B1764" s="28">
        <v>1981</v>
      </c>
      <c r="C1764" s="28">
        <v>5691056</v>
      </c>
      <c r="D1764" s="28"/>
      <c r="E1764" s="45">
        <v>46170</v>
      </c>
      <c r="F1764" s="48">
        <v>0.63186342592592593</v>
      </c>
      <c r="G1764" s="44">
        <v>6.3</v>
      </c>
      <c r="H1764" s="43" t="s">
        <v>231</v>
      </c>
      <c r="I1764" s="40" t="s">
        <v>1300</v>
      </c>
    </row>
    <row r="1765" spans="1:9" x14ac:dyDescent="0.2">
      <c r="A1765" s="40" t="s">
        <v>118</v>
      </c>
      <c r="B1765" s="28">
        <v>1981</v>
      </c>
      <c r="C1765" s="28">
        <v>5691056</v>
      </c>
      <c r="D1765" s="28"/>
      <c r="E1765" s="41">
        <v>46170</v>
      </c>
      <c r="F1765" s="47">
        <v>0.6366087962962963</v>
      </c>
      <c r="G1765" s="44">
        <v>6.3</v>
      </c>
      <c r="H1765" s="43" t="s">
        <v>227</v>
      </c>
      <c r="I1765" s="40" t="s">
        <v>1300</v>
      </c>
    </row>
    <row r="1766" spans="1:9" x14ac:dyDescent="0.2">
      <c r="A1766" s="40" t="s">
        <v>415</v>
      </c>
      <c r="B1766" s="28">
        <v>2005</v>
      </c>
      <c r="C1766" s="28">
        <v>5684503</v>
      </c>
      <c r="D1766" s="28"/>
      <c r="E1766" s="41">
        <v>46167</v>
      </c>
      <c r="F1766" s="47">
        <v>0.9927083333333333</v>
      </c>
      <c r="G1766" s="44">
        <v>6.3</v>
      </c>
      <c r="H1766" s="43" t="s">
        <v>228</v>
      </c>
      <c r="I1766" s="40" t="s">
        <v>1300</v>
      </c>
    </row>
    <row r="1767" spans="1:9" x14ac:dyDescent="0.2">
      <c r="A1767" s="40" t="s">
        <v>415</v>
      </c>
      <c r="B1767" s="28">
        <v>2005</v>
      </c>
      <c r="C1767" s="28">
        <v>5685720</v>
      </c>
      <c r="D1767" s="28"/>
      <c r="E1767" s="45">
        <v>46168</v>
      </c>
      <c r="F1767" s="48">
        <v>0.13300925925925927</v>
      </c>
      <c r="G1767" s="44">
        <v>6.3</v>
      </c>
      <c r="H1767" s="43" t="s">
        <v>234</v>
      </c>
      <c r="I1767" s="40" t="s">
        <v>1300</v>
      </c>
    </row>
    <row r="1768" spans="1:9" x14ac:dyDescent="0.2">
      <c r="A1768" s="40" t="s">
        <v>415</v>
      </c>
      <c r="B1768" s="28">
        <v>2005</v>
      </c>
      <c r="C1768" s="28">
        <v>5685720</v>
      </c>
      <c r="D1768" s="28"/>
      <c r="E1768" s="45">
        <v>46168</v>
      </c>
      <c r="F1768" s="48">
        <v>0.13578703703703704</v>
      </c>
      <c r="G1768" s="44">
        <v>6.3</v>
      </c>
      <c r="H1768" s="43" t="s">
        <v>227</v>
      </c>
      <c r="I1768" s="40" t="s">
        <v>1300</v>
      </c>
    </row>
    <row r="1769" spans="1:9" x14ac:dyDescent="0.2">
      <c r="A1769" s="40" t="s">
        <v>415</v>
      </c>
      <c r="B1769" s="28">
        <v>2005</v>
      </c>
      <c r="C1769" s="28" t="s">
        <v>35</v>
      </c>
      <c r="D1769" s="28" t="s">
        <v>38</v>
      </c>
      <c r="E1769" s="41">
        <v>46169</v>
      </c>
      <c r="F1769" s="47">
        <v>0.55740740740740746</v>
      </c>
      <c r="G1769" s="44">
        <v>6.3</v>
      </c>
      <c r="H1769" s="43" t="s">
        <v>228</v>
      </c>
      <c r="I1769" s="40" t="s">
        <v>1300</v>
      </c>
    </row>
    <row r="1770" spans="1:9" x14ac:dyDescent="0.2">
      <c r="A1770" s="40" t="s">
        <v>416</v>
      </c>
      <c r="B1770" s="28">
        <v>2014</v>
      </c>
      <c r="C1770" s="28" t="s">
        <v>35</v>
      </c>
      <c r="D1770" s="28" t="s">
        <v>38</v>
      </c>
      <c r="E1770" s="41">
        <v>46167</v>
      </c>
      <c r="F1770" s="47">
        <v>0.57613425925925921</v>
      </c>
      <c r="G1770" s="44">
        <v>6.3</v>
      </c>
      <c r="H1770" s="43" t="s">
        <v>229</v>
      </c>
      <c r="I1770" s="40" t="s">
        <v>1300</v>
      </c>
    </row>
    <row r="1771" spans="1:9" x14ac:dyDescent="0.2">
      <c r="A1771" s="40" t="s">
        <v>416</v>
      </c>
      <c r="B1771" s="28">
        <v>2014</v>
      </c>
      <c r="C1771" s="28">
        <v>5682915</v>
      </c>
      <c r="D1771" s="28"/>
      <c r="E1771" s="41">
        <v>46168</v>
      </c>
      <c r="F1771" s="47">
        <v>0.35041666666666665</v>
      </c>
      <c r="G1771" s="44">
        <v>6.3</v>
      </c>
      <c r="H1771" s="43" t="s">
        <v>230</v>
      </c>
      <c r="I1771" s="40" t="s">
        <v>1300</v>
      </c>
    </row>
    <row r="1772" spans="1:9" x14ac:dyDescent="0.2">
      <c r="A1772" s="40" t="s">
        <v>416</v>
      </c>
      <c r="B1772" s="28">
        <v>2014</v>
      </c>
      <c r="C1772" s="28">
        <v>5682915</v>
      </c>
      <c r="D1772" s="28"/>
      <c r="E1772" s="41">
        <v>46168</v>
      </c>
      <c r="F1772" s="47">
        <v>0.35723379629629631</v>
      </c>
      <c r="G1772" s="44">
        <v>6.3</v>
      </c>
      <c r="H1772" s="43" t="s">
        <v>227</v>
      </c>
      <c r="I1772" s="40" t="s">
        <v>1300</v>
      </c>
    </row>
    <row r="1773" spans="1:9" x14ac:dyDescent="0.2">
      <c r="A1773" s="40" t="s">
        <v>136</v>
      </c>
      <c r="B1773" s="28">
        <v>2020</v>
      </c>
      <c r="C1773" s="28">
        <v>5691412</v>
      </c>
      <c r="D1773" s="28"/>
      <c r="E1773" s="41">
        <v>46170</v>
      </c>
      <c r="F1773" s="47">
        <v>0.7207175925925926</v>
      </c>
      <c r="G1773" s="44">
        <v>6.3</v>
      </c>
      <c r="H1773" s="43" t="s">
        <v>230</v>
      </c>
      <c r="I1773" s="40" t="s">
        <v>1300</v>
      </c>
    </row>
    <row r="1774" spans="1:9" x14ac:dyDescent="0.2">
      <c r="A1774" s="40" t="s">
        <v>136</v>
      </c>
      <c r="B1774" s="28">
        <v>2020</v>
      </c>
      <c r="C1774" s="28">
        <v>5693101</v>
      </c>
      <c r="D1774" s="28"/>
      <c r="E1774" s="45">
        <v>46171</v>
      </c>
      <c r="F1774" s="48">
        <v>0.73047453703703702</v>
      </c>
      <c r="G1774" s="44">
        <v>6.3</v>
      </c>
      <c r="H1774" s="43" t="s">
        <v>230</v>
      </c>
      <c r="I1774" s="40" t="s">
        <v>1300</v>
      </c>
    </row>
    <row r="1775" spans="1:9" x14ac:dyDescent="0.2">
      <c r="A1775" s="40" t="s">
        <v>136</v>
      </c>
      <c r="B1775" s="28">
        <v>2020</v>
      </c>
      <c r="C1775" s="28">
        <v>5694973</v>
      </c>
      <c r="D1775" s="28"/>
      <c r="E1775" s="41">
        <v>46172</v>
      </c>
      <c r="F1775" s="47">
        <v>0.98223379629629626</v>
      </c>
      <c r="G1775" s="44">
        <v>6.3</v>
      </c>
      <c r="H1775" s="43" t="s">
        <v>230</v>
      </c>
      <c r="I1775" s="40" t="s">
        <v>1300</v>
      </c>
    </row>
    <row r="1776" spans="1:9" x14ac:dyDescent="0.2">
      <c r="A1776" s="40" t="s">
        <v>136</v>
      </c>
      <c r="B1776" s="28">
        <v>2020</v>
      </c>
      <c r="C1776" s="28">
        <v>5693696</v>
      </c>
      <c r="D1776" s="28"/>
      <c r="E1776" s="41">
        <v>46173</v>
      </c>
      <c r="F1776" s="47">
        <v>0.24710648148148148</v>
      </c>
      <c r="G1776" s="44">
        <v>6.3</v>
      </c>
      <c r="H1776" s="43" t="s">
        <v>230</v>
      </c>
      <c r="I1776" s="40" t="s">
        <v>1300</v>
      </c>
    </row>
    <row r="1777" spans="1:9" x14ac:dyDescent="0.2">
      <c r="A1777" s="40" t="s">
        <v>136</v>
      </c>
      <c r="B1777" s="28">
        <v>2020</v>
      </c>
      <c r="C1777" s="28">
        <v>5693696</v>
      </c>
      <c r="D1777" s="28"/>
      <c r="E1777" s="45">
        <v>46173</v>
      </c>
      <c r="F1777" s="48">
        <v>0.25285879629629632</v>
      </c>
      <c r="G1777" s="44">
        <v>6.3</v>
      </c>
      <c r="H1777" s="43" t="s">
        <v>227</v>
      </c>
      <c r="I1777" s="40" t="s">
        <v>1300</v>
      </c>
    </row>
    <row r="1778" spans="1:9" x14ac:dyDescent="0.2">
      <c r="A1778" s="40" t="s">
        <v>119</v>
      </c>
      <c r="B1778" s="28">
        <v>2030</v>
      </c>
      <c r="C1778" s="28">
        <v>5687460</v>
      </c>
      <c r="D1778" s="28"/>
      <c r="E1778" s="45">
        <v>46168</v>
      </c>
      <c r="F1778" s="48">
        <v>0.48667824074074073</v>
      </c>
      <c r="G1778" s="44">
        <v>6.3</v>
      </c>
      <c r="H1778" s="43" t="s">
        <v>226</v>
      </c>
      <c r="I1778" s="40" t="s">
        <v>1300</v>
      </c>
    </row>
    <row r="1779" spans="1:9" x14ac:dyDescent="0.2">
      <c r="A1779" s="40" t="s">
        <v>119</v>
      </c>
      <c r="B1779" s="28">
        <v>2030</v>
      </c>
      <c r="C1779" s="28">
        <v>5688368</v>
      </c>
      <c r="D1779" s="28"/>
      <c r="E1779" s="41">
        <v>46168</v>
      </c>
      <c r="F1779" s="47">
        <v>0.7877777777777778</v>
      </c>
      <c r="G1779" s="44">
        <v>6.3</v>
      </c>
      <c r="H1779" s="43" t="s">
        <v>231</v>
      </c>
      <c r="I1779" s="40" t="s">
        <v>1300</v>
      </c>
    </row>
    <row r="1780" spans="1:9" x14ac:dyDescent="0.2">
      <c r="A1780" s="40" t="s">
        <v>119</v>
      </c>
      <c r="B1780" s="28">
        <v>2030</v>
      </c>
      <c r="C1780" s="28">
        <v>5688368</v>
      </c>
      <c r="D1780" s="28"/>
      <c r="E1780" s="41">
        <v>46168</v>
      </c>
      <c r="F1780" s="47">
        <v>0.80218750000000005</v>
      </c>
      <c r="G1780" s="44">
        <v>6.3</v>
      </c>
      <c r="H1780" s="43" t="s">
        <v>227</v>
      </c>
      <c r="I1780" s="40" t="s">
        <v>1300</v>
      </c>
    </row>
    <row r="1781" spans="1:9" x14ac:dyDescent="0.2">
      <c r="A1781" s="40" t="s">
        <v>119</v>
      </c>
      <c r="B1781" s="28">
        <v>2030</v>
      </c>
      <c r="C1781" s="28">
        <v>5688550</v>
      </c>
      <c r="D1781" s="28"/>
      <c r="E1781" s="41">
        <v>46168</v>
      </c>
      <c r="F1781" s="47">
        <v>0.85728009259259264</v>
      </c>
      <c r="G1781" s="44">
        <v>6.3</v>
      </c>
      <c r="H1781" s="43" t="s">
        <v>228</v>
      </c>
      <c r="I1781" s="40" t="s">
        <v>1300</v>
      </c>
    </row>
    <row r="1782" spans="1:9" x14ac:dyDescent="0.2">
      <c r="A1782" s="40" t="s">
        <v>119</v>
      </c>
      <c r="B1782" s="28">
        <v>2030</v>
      </c>
      <c r="C1782" s="28">
        <v>5688703</v>
      </c>
      <c r="D1782" s="28"/>
      <c r="E1782" s="41">
        <v>46168</v>
      </c>
      <c r="F1782" s="47">
        <v>0.95525462962962959</v>
      </c>
      <c r="G1782" s="44">
        <v>6.3</v>
      </c>
      <c r="H1782" s="43" t="s">
        <v>228</v>
      </c>
      <c r="I1782" s="40" t="s">
        <v>1300</v>
      </c>
    </row>
    <row r="1783" spans="1:9" x14ac:dyDescent="0.2">
      <c r="A1783" s="40" t="s">
        <v>119</v>
      </c>
      <c r="B1783" s="28">
        <v>2030</v>
      </c>
      <c r="C1783" s="28">
        <v>5692154</v>
      </c>
      <c r="D1783" s="28"/>
      <c r="E1783" s="41">
        <v>46171</v>
      </c>
      <c r="F1783" s="47">
        <v>0.36877314814814816</v>
      </c>
      <c r="G1783" s="44">
        <v>6.3</v>
      </c>
      <c r="H1783" s="43" t="s">
        <v>233</v>
      </c>
      <c r="I1783" s="40" t="s">
        <v>1300</v>
      </c>
    </row>
    <row r="1784" spans="1:9" x14ac:dyDescent="0.2">
      <c r="A1784" s="40" t="s">
        <v>120</v>
      </c>
      <c r="B1784" s="28">
        <v>2039</v>
      </c>
      <c r="C1784" s="28" t="s">
        <v>35</v>
      </c>
      <c r="D1784" s="28" t="s">
        <v>38</v>
      </c>
      <c r="E1784" s="41">
        <v>46169</v>
      </c>
      <c r="F1784" s="47">
        <v>0.84795138888888888</v>
      </c>
      <c r="G1784" s="44">
        <v>6.3</v>
      </c>
      <c r="H1784" s="43" t="s">
        <v>228</v>
      </c>
      <c r="I1784" s="40" t="s">
        <v>1300</v>
      </c>
    </row>
    <row r="1785" spans="1:9" x14ac:dyDescent="0.2">
      <c r="A1785" s="40" t="s">
        <v>120</v>
      </c>
      <c r="B1785" s="28">
        <v>2039</v>
      </c>
      <c r="C1785" s="28" t="s">
        <v>35</v>
      </c>
      <c r="D1785" s="28" t="s">
        <v>38</v>
      </c>
      <c r="E1785" s="41">
        <v>46171</v>
      </c>
      <c r="F1785" s="47">
        <v>0.21859953703703705</v>
      </c>
      <c r="G1785" s="44">
        <v>6.3</v>
      </c>
      <c r="H1785" s="43" t="s">
        <v>230</v>
      </c>
      <c r="I1785" s="40" t="s">
        <v>1300</v>
      </c>
    </row>
    <row r="1786" spans="1:9" x14ac:dyDescent="0.2">
      <c r="A1786" s="40" t="s">
        <v>120</v>
      </c>
      <c r="B1786" s="28">
        <v>2039</v>
      </c>
      <c r="C1786" s="28" t="s">
        <v>35</v>
      </c>
      <c r="D1786" s="28" t="s">
        <v>38</v>
      </c>
      <c r="E1786" s="41">
        <v>46171</v>
      </c>
      <c r="F1786" s="47">
        <v>0.22130787037037036</v>
      </c>
      <c r="G1786" s="44">
        <v>6.3</v>
      </c>
      <c r="H1786" s="43" t="s">
        <v>227</v>
      </c>
      <c r="I1786" s="40" t="s">
        <v>1300</v>
      </c>
    </row>
    <row r="1787" spans="1:9" x14ac:dyDescent="0.2">
      <c r="A1787" s="40" t="s">
        <v>120</v>
      </c>
      <c r="B1787" s="28">
        <v>2039</v>
      </c>
      <c r="C1787" s="28" t="s">
        <v>35</v>
      </c>
      <c r="D1787" s="28" t="s">
        <v>38</v>
      </c>
      <c r="E1787" s="41">
        <v>46172</v>
      </c>
      <c r="F1787" s="47">
        <v>0.14789351851851851</v>
      </c>
      <c r="G1787" s="42">
        <v>6.3</v>
      </c>
      <c r="H1787" s="40" t="s">
        <v>230</v>
      </c>
      <c r="I1787" s="40" t="s">
        <v>1300</v>
      </c>
    </row>
    <row r="1788" spans="1:9" x14ac:dyDescent="0.2">
      <c r="A1788" s="40" t="s">
        <v>120</v>
      </c>
      <c r="B1788" s="28">
        <v>2039</v>
      </c>
      <c r="C1788" s="28" t="s">
        <v>35</v>
      </c>
      <c r="D1788" s="28" t="s">
        <v>38</v>
      </c>
      <c r="E1788" s="41">
        <v>46172</v>
      </c>
      <c r="F1788" s="47">
        <v>0.15280092592592592</v>
      </c>
      <c r="G1788" s="42">
        <v>6.3</v>
      </c>
      <c r="H1788" s="40" t="s">
        <v>227</v>
      </c>
      <c r="I1788" s="40" t="s">
        <v>1300</v>
      </c>
    </row>
    <row r="1789" spans="1:9" x14ac:dyDescent="0.2">
      <c r="A1789" s="40" t="s">
        <v>330</v>
      </c>
      <c r="B1789" s="28">
        <v>2051</v>
      </c>
      <c r="C1789" s="28" t="s">
        <v>35</v>
      </c>
      <c r="D1789" s="28" t="s">
        <v>38</v>
      </c>
      <c r="E1789" s="41">
        <v>46167</v>
      </c>
      <c r="F1789" s="47">
        <v>0.51732638888888893</v>
      </c>
      <c r="G1789" s="44">
        <v>6.3</v>
      </c>
      <c r="H1789" s="43" t="s">
        <v>227</v>
      </c>
      <c r="I1789" s="40" t="s">
        <v>1300</v>
      </c>
    </row>
    <row r="1790" spans="1:9" x14ac:dyDescent="0.2">
      <c r="A1790" s="40" t="s">
        <v>330</v>
      </c>
      <c r="B1790" s="28">
        <v>2051</v>
      </c>
      <c r="C1790" s="28">
        <v>5687336</v>
      </c>
      <c r="D1790" s="28"/>
      <c r="E1790" s="41">
        <v>46168</v>
      </c>
      <c r="F1790" s="47">
        <v>0.39197916666666666</v>
      </c>
      <c r="G1790" s="44">
        <v>6.3</v>
      </c>
      <c r="H1790" s="43" t="s">
        <v>228</v>
      </c>
      <c r="I1790" s="40" t="s">
        <v>1300</v>
      </c>
    </row>
    <row r="1791" spans="1:9" x14ac:dyDescent="0.2">
      <c r="A1791" s="40" t="s">
        <v>330</v>
      </c>
      <c r="B1791" s="28">
        <v>2051</v>
      </c>
      <c r="C1791" s="28">
        <v>5687336</v>
      </c>
      <c r="D1791" s="28"/>
      <c r="E1791" s="41">
        <v>46168</v>
      </c>
      <c r="F1791" s="47">
        <v>0.40557870370370369</v>
      </c>
      <c r="G1791" s="44">
        <v>6.3</v>
      </c>
      <c r="H1791" s="43" t="s">
        <v>229</v>
      </c>
      <c r="I1791" s="40" t="s">
        <v>1300</v>
      </c>
    </row>
    <row r="1792" spans="1:9" x14ac:dyDescent="0.2">
      <c r="A1792" s="40" t="s">
        <v>330</v>
      </c>
      <c r="B1792" s="28">
        <v>2051</v>
      </c>
      <c r="C1792" s="28">
        <v>5686802</v>
      </c>
      <c r="D1792" s="28"/>
      <c r="E1792" s="41">
        <v>46171</v>
      </c>
      <c r="F1792" s="47">
        <v>0.46174768518518516</v>
      </c>
      <c r="G1792" s="44">
        <v>6.3</v>
      </c>
      <c r="H1792" s="43" t="s">
        <v>228</v>
      </c>
      <c r="I1792" s="40" t="s">
        <v>1300</v>
      </c>
    </row>
    <row r="1793" spans="1:9" x14ac:dyDescent="0.2">
      <c r="A1793" s="40" t="s">
        <v>330</v>
      </c>
      <c r="B1793" s="28">
        <v>2051</v>
      </c>
      <c r="C1793" s="28">
        <v>5686802</v>
      </c>
      <c r="D1793" s="28"/>
      <c r="E1793" s="41">
        <v>46171</v>
      </c>
      <c r="F1793" s="47">
        <v>0.47065972222222224</v>
      </c>
      <c r="G1793" s="44">
        <v>6.3</v>
      </c>
      <c r="H1793" s="43" t="s">
        <v>229</v>
      </c>
      <c r="I1793" s="40" t="s">
        <v>1300</v>
      </c>
    </row>
    <row r="1794" spans="1:9" x14ac:dyDescent="0.2">
      <c r="A1794" s="40" t="s">
        <v>330</v>
      </c>
      <c r="B1794" s="28">
        <v>2051</v>
      </c>
      <c r="C1794" s="28" t="s">
        <v>720</v>
      </c>
      <c r="D1794" s="28"/>
      <c r="E1794" s="41">
        <v>46171</v>
      </c>
      <c r="F1794" s="47">
        <v>0.75814814814814813</v>
      </c>
      <c r="G1794" s="44">
        <v>6.3</v>
      </c>
      <c r="H1794" s="43" t="s">
        <v>228</v>
      </c>
      <c r="I1794" s="40" t="s">
        <v>1300</v>
      </c>
    </row>
    <row r="1795" spans="1:9" x14ac:dyDescent="0.2">
      <c r="A1795" s="40" t="s">
        <v>330</v>
      </c>
      <c r="B1795" s="28">
        <v>2051</v>
      </c>
      <c r="C1795" s="28" t="s">
        <v>720</v>
      </c>
      <c r="D1795" s="28"/>
      <c r="E1795" s="41">
        <v>46171</v>
      </c>
      <c r="F1795" s="47">
        <v>0.77197916666666666</v>
      </c>
      <c r="G1795" s="44">
        <v>6.3</v>
      </c>
      <c r="H1795" s="43" t="s">
        <v>229</v>
      </c>
      <c r="I1795" s="40" t="s">
        <v>1300</v>
      </c>
    </row>
    <row r="1796" spans="1:9" x14ac:dyDescent="0.2">
      <c r="A1796" s="40" t="s">
        <v>330</v>
      </c>
      <c r="B1796" s="28">
        <v>2051</v>
      </c>
      <c r="C1796" s="28">
        <v>5693861</v>
      </c>
      <c r="D1796" s="28"/>
      <c r="E1796" s="45">
        <v>46171</v>
      </c>
      <c r="F1796" s="48">
        <v>0.81450231481481483</v>
      </c>
      <c r="G1796" s="44">
        <v>6.3</v>
      </c>
      <c r="H1796" s="43" t="s">
        <v>230</v>
      </c>
      <c r="I1796" s="40" t="s">
        <v>1300</v>
      </c>
    </row>
    <row r="1797" spans="1:9" x14ac:dyDescent="0.2">
      <c r="A1797" s="40" t="s">
        <v>330</v>
      </c>
      <c r="B1797" s="28">
        <v>2051</v>
      </c>
      <c r="C1797" s="28">
        <v>5693861</v>
      </c>
      <c r="D1797" s="28"/>
      <c r="E1797" s="41">
        <v>46171</v>
      </c>
      <c r="F1797" s="47">
        <v>0.85005787037037039</v>
      </c>
      <c r="G1797" s="44">
        <v>6.3</v>
      </c>
      <c r="H1797" s="43" t="s">
        <v>227</v>
      </c>
      <c r="I1797" s="40" t="s">
        <v>1300</v>
      </c>
    </row>
    <row r="1798" spans="1:9" x14ac:dyDescent="0.2">
      <c r="A1798" s="40" t="s">
        <v>330</v>
      </c>
      <c r="B1798" s="28">
        <v>2051</v>
      </c>
      <c r="C1798" s="28">
        <v>5694045</v>
      </c>
      <c r="D1798" s="28"/>
      <c r="E1798" s="41">
        <v>46171</v>
      </c>
      <c r="F1798" s="47">
        <v>0.88209490740740737</v>
      </c>
      <c r="G1798" s="44">
        <v>6.3</v>
      </c>
      <c r="H1798" s="43" t="s">
        <v>228</v>
      </c>
      <c r="I1798" s="40" t="s">
        <v>1300</v>
      </c>
    </row>
    <row r="1799" spans="1:9" x14ac:dyDescent="0.2">
      <c r="A1799" s="40" t="s">
        <v>330</v>
      </c>
      <c r="B1799" s="28">
        <v>2051</v>
      </c>
      <c r="C1799" s="28">
        <v>5694045</v>
      </c>
      <c r="D1799" s="28"/>
      <c r="E1799" s="41">
        <v>46171</v>
      </c>
      <c r="F1799" s="47">
        <v>0.88975694444444442</v>
      </c>
      <c r="G1799" s="44">
        <v>6.3</v>
      </c>
      <c r="H1799" s="43" t="s">
        <v>229</v>
      </c>
      <c r="I1799" s="40" t="s">
        <v>1300</v>
      </c>
    </row>
    <row r="1800" spans="1:9" x14ac:dyDescent="0.2">
      <c r="A1800" s="40" t="s">
        <v>249</v>
      </c>
      <c r="B1800" s="28">
        <v>2118</v>
      </c>
      <c r="C1800" s="28" t="s">
        <v>721</v>
      </c>
      <c r="D1800" s="28"/>
      <c r="E1800" s="41">
        <v>46172</v>
      </c>
      <c r="F1800" s="47">
        <v>0.46636574074074072</v>
      </c>
      <c r="G1800" s="44">
        <v>6.3</v>
      </c>
      <c r="H1800" s="43" t="s">
        <v>227</v>
      </c>
      <c r="I1800" s="40" t="s">
        <v>1300</v>
      </c>
    </row>
    <row r="1801" spans="1:9" x14ac:dyDescent="0.2">
      <c r="A1801" s="40" t="s">
        <v>249</v>
      </c>
      <c r="B1801" s="28">
        <v>2118</v>
      </c>
      <c r="C1801" s="28">
        <v>10782013</v>
      </c>
      <c r="D1801" s="28"/>
      <c r="E1801" s="41">
        <v>46173</v>
      </c>
      <c r="F1801" s="47">
        <v>0.50716435185185182</v>
      </c>
      <c r="G1801" s="44">
        <v>6.3</v>
      </c>
      <c r="H1801" s="43" t="s">
        <v>230</v>
      </c>
      <c r="I1801" s="40" t="s">
        <v>1300</v>
      </c>
    </row>
    <row r="1802" spans="1:9" x14ac:dyDescent="0.2">
      <c r="A1802" s="40" t="s">
        <v>249</v>
      </c>
      <c r="B1802" s="28">
        <v>2118</v>
      </c>
      <c r="C1802" s="28">
        <v>10782013</v>
      </c>
      <c r="D1802" s="28"/>
      <c r="E1802" s="41">
        <v>46173</v>
      </c>
      <c r="F1802" s="47">
        <v>0.51293981481481477</v>
      </c>
      <c r="G1802" s="44">
        <v>6.3</v>
      </c>
      <c r="H1802" s="43" t="s">
        <v>227</v>
      </c>
      <c r="I1802" s="40" t="s">
        <v>1300</v>
      </c>
    </row>
    <row r="1803" spans="1:9" x14ac:dyDescent="0.2">
      <c r="A1803" s="40" t="s">
        <v>121</v>
      </c>
      <c r="B1803" s="28">
        <v>2168</v>
      </c>
      <c r="C1803" s="28">
        <v>5683921</v>
      </c>
      <c r="D1803" s="28"/>
      <c r="E1803" s="41">
        <v>46167</v>
      </c>
      <c r="F1803" s="47">
        <v>0.17421296296296296</v>
      </c>
      <c r="G1803" s="44">
        <v>6.3</v>
      </c>
      <c r="H1803" s="43" t="s">
        <v>230</v>
      </c>
      <c r="I1803" s="40" t="s">
        <v>1300</v>
      </c>
    </row>
    <row r="1804" spans="1:9" x14ac:dyDescent="0.2">
      <c r="A1804" s="40" t="s">
        <v>121</v>
      </c>
      <c r="B1804" s="28">
        <v>2168</v>
      </c>
      <c r="C1804" s="28">
        <v>5683921</v>
      </c>
      <c r="D1804" s="28"/>
      <c r="E1804" s="45">
        <v>46167</v>
      </c>
      <c r="F1804" s="48">
        <v>0.17949074074074073</v>
      </c>
      <c r="G1804" s="44">
        <v>6.3</v>
      </c>
      <c r="H1804" s="43" t="s">
        <v>227</v>
      </c>
      <c r="I1804" s="40" t="s">
        <v>1300</v>
      </c>
    </row>
    <row r="1805" spans="1:9" x14ac:dyDescent="0.2">
      <c r="A1805" s="40" t="s">
        <v>121</v>
      </c>
      <c r="B1805" s="28">
        <v>2168</v>
      </c>
      <c r="C1805" s="28">
        <v>5685916</v>
      </c>
      <c r="D1805" s="28"/>
      <c r="E1805" s="41">
        <v>46167</v>
      </c>
      <c r="F1805" s="47">
        <v>0.59509259259259262</v>
      </c>
      <c r="G1805" s="44">
        <v>6.3</v>
      </c>
      <c r="H1805" s="43" t="s">
        <v>230</v>
      </c>
      <c r="I1805" s="40" t="s">
        <v>1300</v>
      </c>
    </row>
    <row r="1806" spans="1:9" x14ac:dyDescent="0.2">
      <c r="A1806" s="40" t="s">
        <v>121</v>
      </c>
      <c r="B1806" s="28">
        <v>2168</v>
      </c>
      <c r="C1806" s="28">
        <v>5689468</v>
      </c>
      <c r="D1806" s="28"/>
      <c r="E1806" s="41">
        <v>46169</v>
      </c>
      <c r="F1806" s="47">
        <v>0.59228009259259262</v>
      </c>
      <c r="G1806" s="44">
        <v>6.3</v>
      </c>
      <c r="H1806" s="43" t="s">
        <v>230</v>
      </c>
      <c r="I1806" s="40" t="s">
        <v>1300</v>
      </c>
    </row>
    <row r="1807" spans="1:9" x14ac:dyDescent="0.2">
      <c r="A1807" s="40" t="s">
        <v>121</v>
      </c>
      <c r="B1807" s="28">
        <v>2168</v>
      </c>
      <c r="C1807" s="28">
        <v>5691851</v>
      </c>
      <c r="D1807" s="28"/>
      <c r="E1807" s="41">
        <v>46171</v>
      </c>
      <c r="F1807" s="47">
        <v>0.32635416666666667</v>
      </c>
      <c r="G1807" s="44">
        <v>6.3</v>
      </c>
      <c r="H1807" s="43" t="s">
        <v>230</v>
      </c>
      <c r="I1807" s="40" t="s">
        <v>1300</v>
      </c>
    </row>
    <row r="1808" spans="1:9" x14ac:dyDescent="0.2">
      <c r="A1808" s="40" t="s">
        <v>121</v>
      </c>
      <c r="B1808" s="28">
        <v>2168</v>
      </c>
      <c r="C1808" s="28">
        <v>5691851</v>
      </c>
      <c r="D1808" s="28"/>
      <c r="E1808" s="41">
        <v>46171</v>
      </c>
      <c r="F1808" s="47">
        <v>0.34377314814814813</v>
      </c>
      <c r="G1808" s="44">
        <v>6.3</v>
      </c>
      <c r="H1808" s="43" t="s">
        <v>227</v>
      </c>
      <c r="I1808" s="40" t="s">
        <v>1300</v>
      </c>
    </row>
    <row r="1809" spans="1:9" x14ac:dyDescent="0.2">
      <c r="A1809" s="40" t="s">
        <v>121</v>
      </c>
      <c r="B1809" s="28">
        <v>2168</v>
      </c>
      <c r="C1809" s="28">
        <v>5694474</v>
      </c>
      <c r="D1809" s="28"/>
      <c r="E1809" s="41">
        <v>46172</v>
      </c>
      <c r="F1809" s="47">
        <v>0.58046296296296296</v>
      </c>
      <c r="G1809" s="44">
        <v>6.3</v>
      </c>
      <c r="H1809" s="43" t="s">
        <v>228</v>
      </c>
      <c r="I1809" s="40" t="s">
        <v>1300</v>
      </c>
    </row>
    <row r="1810" spans="1:9" x14ac:dyDescent="0.2">
      <c r="A1810" s="40" t="s">
        <v>121</v>
      </c>
      <c r="B1810" s="28">
        <v>2168</v>
      </c>
      <c r="C1810" s="28">
        <v>5694474</v>
      </c>
      <c r="D1810" s="28"/>
      <c r="E1810" s="41">
        <v>46172</v>
      </c>
      <c r="F1810" s="47">
        <v>0.58831018518518519</v>
      </c>
      <c r="G1810" s="44">
        <v>6.3</v>
      </c>
      <c r="H1810" s="43" t="s">
        <v>229</v>
      </c>
      <c r="I1810" s="40" t="s">
        <v>1300</v>
      </c>
    </row>
    <row r="1811" spans="1:9" x14ac:dyDescent="0.2">
      <c r="A1811" s="40" t="s">
        <v>121</v>
      </c>
      <c r="B1811" s="28">
        <v>2168</v>
      </c>
      <c r="C1811" s="28" t="s">
        <v>35</v>
      </c>
      <c r="D1811" s="28" t="s">
        <v>38</v>
      </c>
      <c r="E1811" s="41">
        <v>46173</v>
      </c>
      <c r="F1811" s="47">
        <v>0.546875</v>
      </c>
      <c r="G1811" s="44">
        <v>6.3</v>
      </c>
      <c r="H1811" s="43" t="s">
        <v>228</v>
      </c>
      <c r="I1811" s="40" t="s">
        <v>1300</v>
      </c>
    </row>
    <row r="1812" spans="1:9" x14ac:dyDescent="0.2">
      <c r="A1812" s="40" t="s">
        <v>417</v>
      </c>
      <c r="B1812" s="28">
        <v>2186</v>
      </c>
      <c r="C1812" s="28">
        <v>5684766</v>
      </c>
      <c r="D1812" s="28"/>
      <c r="E1812" s="41">
        <v>46167</v>
      </c>
      <c r="F1812" s="47">
        <v>0.39545138888888887</v>
      </c>
      <c r="G1812" s="44">
        <v>6.3</v>
      </c>
      <c r="H1812" s="43" t="s">
        <v>230</v>
      </c>
      <c r="I1812" s="40" t="s">
        <v>1300</v>
      </c>
    </row>
    <row r="1813" spans="1:9" x14ac:dyDescent="0.2">
      <c r="A1813" s="40" t="s">
        <v>417</v>
      </c>
      <c r="B1813" s="28">
        <v>2186</v>
      </c>
      <c r="C1813" s="28">
        <v>5684766</v>
      </c>
      <c r="D1813" s="28"/>
      <c r="E1813" s="41">
        <v>46167</v>
      </c>
      <c r="F1813" s="47">
        <v>0.40471064814814817</v>
      </c>
      <c r="G1813" s="44">
        <v>6.3</v>
      </c>
      <c r="H1813" s="43" t="s">
        <v>227</v>
      </c>
      <c r="I1813" s="40" t="s">
        <v>1300</v>
      </c>
    </row>
    <row r="1814" spans="1:9" x14ac:dyDescent="0.2">
      <c r="A1814" s="40" t="s">
        <v>417</v>
      </c>
      <c r="B1814" s="28">
        <v>2186</v>
      </c>
      <c r="C1814" s="28">
        <v>5692971</v>
      </c>
      <c r="D1814" s="28"/>
      <c r="E1814" s="41">
        <v>46171</v>
      </c>
      <c r="F1814" s="47">
        <v>0.52476851851851847</v>
      </c>
      <c r="G1814" s="44">
        <v>6.3</v>
      </c>
      <c r="H1814" s="43" t="s">
        <v>233</v>
      </c>
      <c r="I1814" s="40" t="s">
        <v>1300</v>
      </c>
    </row>
    <row r="1815" spans="1:9" x14ac:dyDescent="0.2">
      <c r="A1815" s="40" t="s">
        <v>245</v>
      </c>
      <c r="B1815" s="28">
        <v>2189</v>
      </c>
      <c r="C1815" s="28">
        <v>5684847</v>
      </c>
      <c r="D1815" s="28"/>
      <c r="E1815" s="41">
        <v>46167</v>
      </c>
      <c r="F1815" s="47">
        <v>2.9490740740740741E-2</v>
      </c>
      <c r="G1815" s="44">
        <v>6.3</v>
      </c>
      <c r="H1815" s="43" t="s">
        <v>228</v>
      </c>
      <c r="I1815" s="40" t="s">
        <v>1300</v>
      </c>
    </row>
    <row r="1816" spans="1:9" x14ac:dyDescent="0.2">
      <c r="A1816" s="40" t="s">
        <v>245</v>
      </c>
      <c r="B1816" s="28">
        <v>2189</v>
      </c>
      <c r="C1816" s="28">
        <v>5693201</v>
      </c>
      <c r="D1816" s="28"/>
      <c r="E1816" s="41">
        <v>46171</v>
      </c>
      <c r="F1816" s="47">
        <v>0.88446759259259256</v>
      </c>
      <c r="G1816" s="44">
        <v>6.3</v>
      </c>
      <c r="H1816" s="43" t="s">
        <v>228</v>
      </c>
      <c r="I1816" s="40" t="s">
        <v>1300</v>
      </c>
    </row>
    <row r="1817" spans="1:9" x14ac:dyDescent="0.2">
      <c r="A1817" s="40" t="s">
        <v>245</v>
      </c>
      <c r="B1817" s="28">
        <v>2189</v>
      </c>
      <c r="C1817" s="28">
        <v>5693201</v>
      </c>
      <c r="D1817" s="28"/>
      <c r="E1817" s="41">
        <v>46171</v>
      </c>
      <c r="F1817" s="47">
        <v>0.89187499999999997</v>
      </c>
      <c r="G1817" s="44">
        <v>6.3</v>
      </c>
      <c r="H1817" s="43" t="s">
        <v>229</v>
      </c>
      <c r="I1817" s="40" t="s">
        <v>1300</v>
      </c>
    </row>
    <row r="1818" spans="1:9" x14ac:dyDescent="0.2">
      <c r="A1818" s="40" t="s">
        <v>335</v>
      </c>
      <c r="B1818" s="28">
        <v>2210</v>
      </c>
      <c r="C1818" s="28">
        <v>10743987</v>
      </c>
      <c r="D1818" s="28" t="s">
        <v>36</v>
      </c>
      <c r="E1818" s="41">
        <v>46169</v>
      </c>
      <c r="F1818" s="47">
        <v>5.6249999999999998E-3</v>
      </c>
      <c r="G1818" s="44">
        <v>6.3</v>
      </c>
      <c r="H1818" s="43" t="s">
        <v>228</v>
      </c>
      <c r="I1818" s="40" t="s">
        <v>1300</v>
      </c>
    </row>
    <row r="1819" spans="1:9" x14ac:dyDescent="0.2">
      <c r="A1819" s="40" t="s">
        <v>335</v>
      </c>
      <c r="B1819" s="28">
        <v>2210</v>
      </c>
      <c r="C1819" s="28">
        <v>10743987</v>
      </c>
      <c r="D1819" s="28" t="s">
        <v>36</v>
      </c>
      <c r="E1819" s="41">
        <v>46169</v>
      </c>
      <c r="F1819" s="47">
        <v>1.3495370370370371E-2</v>
      </c>
      <c r="G1819" s="44">
        <v>6.3</v>
      </c>
      <c r="H1819" s="43" t="s">
        <v>229</v>
      </c>
      <c r="I1819" s="40" t="s">
        <v>1300</v>
      </c>
    </row>
    <row r="1820" spans="1:9" x14ac:dyDescent="0.2">
      <c r="A1820" s="40" t="s">
        <v>335</v>
      </c>
      <c r="B1820" s="28">
        <v>2210</v>
      </c>
      <c r="C1820" s="28" t="s">
        <v>722</v>
      </c>
      <c r="D1820" s="28"/>
      <c r="E1820" s="41">
        <v>46169</v>
      </c>
      <c r="F1820" s="47">
        <v>0.90549768518518514</v>
      </c>
      <c r="G1820" s="44">
        <v>6.3</v>
      </c>
      <c r="H1820" s="43" t="s">
        <v>230</v>
      </c>
      <c r="I1820" s="40" t="s">
        <v>1300</v>
      </c>
    </row>
    <row r="1821" spans="1:9" x14ac:dyDescent="0.2">
      <c r="A1821" s="40" t="s">
        <v>335</v>
      </c>
      <c r="B1821" s="28">
        <v>2210</v>
      </c>
      <c r="C1821" s="28" t="s">
        <v>722</v>
      </c>
      <c r="D1821" s="28"/>
      <c r="E1821" s="41">
        <v>46169</v>
      </c>
      <c r="F1821" s="47">
        <v>0.91098379629629633</v>
      </c>
      <c r="G1821" s="44">
        <v>6.3</v>
      </c>
      <c r="H1821" s="43" t="s">
        <v>227</v>
      </c>
      <c r="I1821" s="40" t="s">
        <v>1300</v>
      </c>
    </row>
    <row r="1822" spans="1:9" x14ac:dyDescent="0.2">
      <c r="A1822" s="40" t="s">
        <v>335</v>
      </c>
      <c r="B1822" s="28">
        <v>2210</v>
      </c>
      <c r="C1822" s="28">
        <v>10765629</v>
      </c>
      <c r="D1822" s="28"/>
      <c r="E1822" s="41">
        <v>46171</v>
      </c>
      <c r="F1822" s="47">
        <v>0.40814814814814815</v>
      </c>
      <c r="G1822" s="44">
        <v>6.3</v>
      </c>
      <c r="H1822" s="43" t="s">
        <v>230</v>
      </c>
      <c r="I1822" s="40" t="s">
        <v>1300</v>
      </c>
    </row>
    <row r="1823" spans="1:9" x14ac:dyDescent="0.2">
      <c r="A1823" s="40" t="s">
        <v>335</v>
      </c>
      <c r="B1823" s="28">
        <v>2210</v>
      </c>
      <c r="C1823" s="28">
        <v>10765629</v>
      </c>
      <c r="D1823" s="28"/>
      <c r="E1823" s="45">
        <v>46171</v>
      </c>
      <c r="F1823" s="48">
        <v>0.4220949074074074</v>
      </c>
      <c r="G1823" s="44">
        <v>6.3</v>
      </c>
      <c r="H1823" s="43" t="s">
        <v>227</v>
      </c>
      <c r="I1823" s="40" t="s">
        <v>1300</v>
      </c>
    </row>
    <row r="1824" spans="1:9" x14ac:dyDescent="0.2">
      <c r="A1824" s="40" t="s">
        <v>335</v>
      </c>
      <c r="B1824" s="28">
        <v>2210</v>
      </c>
      <c r="C1824" s="28">
        <v>10772659</v>
      </c>
      <c r="D1824" s="28"/>
      <c r="E1824" s="41">
        <v>46172</v>
      </c>
      <c r="F1824" s="47">
        <v>0.51875000000000004</v>
      </c>
      <c r="G1824" s="42">
        <v>6.3</v>
      </c>
      <c r="H1824" s="40" t="s">
        <v>230</v>
      </c>
      <c r="I1824" s="40" t="s">
        <v>1300</v>
      </c>
    </row>
    <row r="1825" spans="1:9" x14ac:dyDescent="0.2">
      <c r="A1825" s="40" t="s">
        <v>335</v>
      </c>
      <c r="B1825" s="28">
        <v>2210</v>
      </c>
      <c r="C1825" s="28">
        <v>10772659</v>
      </c>
      <c r="D1825" s="28"/>
      <c r="E1825" s="41">
        <v>46172</v>
      </c>
      <c r="F1825" s="47">
        <v>0.52803240740740742</v>
      </c>
      <c r="G1825" s="44">
        <v>6.3</v>
      </c>
      <c r="H1825" s="43" t="s">
        <v>227</v>
      </c>
      <c r="I1825" s="40" t="s">
        <v>1300</v>
      </c>
    </row>
    <row r="1826" spans="1:9" x14ac:dyDescent="0.2">
      <c r="A1826" s="40" t="s">
        <v>365</v>
      </c>
      <c r="B1826" s="28">
        <v>2218</v>
      </c>
      <c r="C1826" s="28">
        <v>5686545</v>
      </c>
      <c r="D1826" s="28"/>
      <c r="E1826" s="45">
        <v>46167</v>
      </c>
      <c r="F1826" s="48">
        <v>0.8147685185185185</v>
      </c>
      <c r="G1826" s="44">
        <v>6.3</v>
      </c>
      <c r="H1826" s="43" t="s">
        <v>230</v>
      </c>
      <c r="I1826" s="40" t="s">
        <v>1300</v>
      </c>
    </row>
    <row r="1827" spans="1:9" x14ac:dyDescent="0.2">
      <c r="A1827" s="40" t="s">
        <v>365</v>
      </c>
      <c r="B1827" s="28">
        <v>2218</v>
      </c>
      <c r="C1827" s="28">
        <v>5686545</v>
      </c>
      <c r="D1827" s="28"/>
      <c r="E1827" s="41">
        <v>46167</v>
      </c>
      <c r="F1827" s="47">
        <v>0.83035879629629628</v>
      </c>
      <c r="G1827" s="44">
        <v>6.3</v>
      </c>
      <c r="H1827" s="43" t="s">
        <v>227</v>
      </c>
      <c r="I1827" s="40" t="s">
        <v>1300</v>
      </c>
    </row>
    <row r="1828" spans="1:9" x14ac:dyDescent="0.2">
      <c r="A1828" s="40" t="s">
        <v>365</v>
      </c>
      <c r="B1828" s="28">
        <v>2218</v>
      </c>
      <c r="C1828" s="28" t="s">
        <v>35</v>
      </c>
      <c r="D1828" s="28" t="s">
        <v>38</v>
      </c>
      <c r="E1828" s="45">
        <v>46168</v>
      </c>
      <c r="F1828" s="48">
        <v>0.26596064814814813</v>
      </c>
      <c r="G1828" s="44">
        <v>6.3</v>
      </c>
      <c r="H1828" s="43" t="s">
        <v>228</v>
      </c>
      <c r="I1828" s="40" t="s">
        <v>1300</v>
      </c>
    </row>
    <row r="1829" spans="1:9" x14ac:dyDescent="0.2">
      <c r="A1829" s="40" t="s">
        <v>365</v>
      </c>
      <c r="B1829" s="28">
        <v>2218</v>
      </c>
      <c r="C1829" s="28">
        <v>5688377</v>
      </c>
      <c r="D1829" s="28"/>
      <c r="E1829" s="41">
        <v>46168</v>
      </c>
      <c r="F1829" s="47">
        <v>0.93607638888888889</v>
      </c>
      <c r="G1829" s="44">
        <v>6.3</v>
      </c>
      <c r="H1829" s="43" t="s">
        <v>229</v>
      </c>
      <c r="I1829" s="40" t="s">
        <v>1300</v>
      </c>
    </row>
    <row r="1830" spans="1:9" x14ac:dyDescent="0.2">
      <c r="A1830" s="40" t="s">
        <v>365</v>
      </c>
      <c r="B1830" s="28">
        <v>2218</v>
      </c>
      <c r="C1830" s="28">
        <v>5688420</v>
      </c>
      <c r="D1830" s="28"/>
      <c r="E1830" s="41">
        <v>46169</v>
      </c>
      <c r="F1830" s="47">
        <v>0.22364583333333332</v>
      </c>
      <c r="G1830" s="44">
        <v>6.3</v>
      </c>
      <c r="H1830" s="43" t="s">
        <v>226</v>
      </c>
      <c r="I1830" s="40" t="s">
        <v>1300</v>
      </c>
    </row>
    <row r="1831" spans="1:9" x14ac:dyDescent="0.2">
      <c r="A1831" s="40" t="s">
        <v>365</v>
      </c>
      <c r="B1831" s="28">
        <v>2218</v>
      </c>
      <c r="C1831" s="28">
        <v>5688420</v>
      </c>
      <c r="D1831" s="28"/>
      <c r="E1831" s="41">
        <v>46169</v>
      </c>
      <c r="F1831" s="47">
        <v>0.22863425925925926</v>
      </c>
      <c r="G1831" s="44">
        <v>6.3</v>
      </c>
      <c r="H1831" s="43" t="s">
        <v>227</v>
      </c>
      <c r="I1831" s="40" t="s">
        <v>1300</v>
      </c>
    </row>
    <row r="1832" spans="1:9" x14ac:dyDescent="0.2">
      <c r="A1832" s="40" t="s">
        <v>365</v>
      </c>
      <c r="B1832" s="28">
        <v>2218</v>
      </c>
      <c r="C1832" s="28">
        <v>5690694</v>
      </c>
      <c r="D1832" s="28"/>
      <c r="E1832" s="41">
        <v>46170</v>
      </c>
      <c r="F1832" s="47">
        <v>4.6874999999999998E-3</v>
      </c>
      <c r="G1832" s="44">
        <v>6.3</v>
      </c>
      <c r="H1832" s="43" t="s">
        <v>234</v>
      </c>
      <c r="I1832" s="40" t="s">
        <v>1300</v>
      </c>
    </row>
    <row r="1833" spans="1:9" x14ac:dyDescent="0.2">
      <c r="A1833" s="40" t="s">
        <v>365</v>
      </c>
      <c r="B1833" s="28">
        <v>2218</v>
      </c>
      <c r="C1833" s="28">
        <v>5690576</v>
      </c>
      <c r="D1833" s="28"/>
      <c r="E1833" s="45">
        <v>46170</v>
      </c>
      <c r="F1833" s="48">
        <v>0.22335648148148149</v>
      </c>
      <c r="G1833" s="44">
        <v>6.3</v>
      </c>
      <c r="H1833" s="43" t="s">
        <v>230</v>
      </c>
      <c r="I1833" s="40" t="s">
        <v>1300</v>
      </c>
    </row>
    <row r="1834" spans="1:9" x14ac:dyDescent="0.2">
      <c r="A1834" s="40" t="s">
        <v>365</v>
      </c>
      <c r="B1834" s="28">
        <v>2218</v>
      </c>
      <c r="C1834" s="28">
        <v>5690576</v>
      </c>
      <c r="D1834" s="28"/>
      <c r="E1834" s="41">
        <v>46170</v>
      </c>
      <c r="F1834" s="47">
        <v>0.22855324074074074</v>
      </c>
      <c r="G1834" s="42">
        <v>6.3</v>
      </c>
      <c r="H1834" s="40" t="s">
        <v>227</v>
      </c>
      <c r="I1834" s="40" t="s">
        <v>1300</v>
      </c>
    </row>
    <row r="1835" spans="1:9" x14ac:dyDescent="0.2">
      <c r="A1835" s="40" t="s">
        <v>365</v>
      </c>
      <c r="B1835" s="28">
        <v>2218</v>
      </c>
      <c r="C1835" s="28">
        <v>5692494</v>
      </c>
      <c r="D1835" s="28"/>
      <c r="E1835" s="41">
        <v>46171</v>
      </c>
      <c r="F1835" s="47">
        <v>3.8194444444444448E-2</v>
      </c>
      <c r="G1835" s="42">
        <v>6.3</v>
      </c>
      <c r="H1835" s="40" t="s">
        <v>230</v>
      </c>
      <c r="I1835" s="40" t="s">
        <v>1300</v>
      </c>
    </row>
    <row r="1836" spans="1:9" x14ac:dyDescent="0.2">
      <c r="A1836" s="40" t="s">
        <v>122</v>
      </c>
      <c r="B1836" s="28">
        <v>2220</v>
      </c>
      <c r="C1836" s="28">
        <v>5684726</v>
      </c>
      <c r="D1836" s="28"/>
      <c r="E1836" s="41">
        <v>46167</v>
      </c>
      <c r="F1836" s="47">
        <v>0.36575231481481479</v>
      </c>
      <c r="G1836" s="42">
        <v>6.3</v>
      </c>
      <c r="H1836" s="40" t="s">
        <v>228</v>
      </c>
      <c r="I1836" s="40" t="s">
        <v>1300</v>
      </c>
    </row>
    <row r="1837" spans="1:9" x14ac:dyDescent="0.2">
      <c r="A1837" s="40" t="s">
        <v>122</v>
      </c>
      <c r="B1837" s="28">
        <v>2220</v>
      </c>
      <c r="C1837" s="28">
        <v>5687786</v>
      </c>
      <c r="D1837" s="28"/>
      <c r="E1837" s="41">
        <v>46168</v>
      </c>
      <c r="F1837" s="47">
        <v>0.6118055555555556</v>
      </c>
      <c r="G1837" s="44">
        <v>6.3</v>
      </c>
      <c r="H1837" s="43" t="s">
        <v>228</v>
      </c>
      <c r="I1837" s="40" t="s">
        <v>1300</v>
      </c>
    </row>
    <row r="1838" spans="1:9" x14ac:dyDescent="0.2">
      <c r="A1838" s="40" t="s">
        <v>122</v>
      </c>
      <c r="B1838" s="28">
        <v>2220</v>
      </c>
      <c r="C1838" s="28">
        <v>5687786</v>
      </c>
      <c r="D1838" s="28"/>
      <c r="E1838" s="41">
        <v>46168</v>
      </c>
      <c r="F1838" s="47">
        <v>0.62059027777777775</v>
      </c>
      <c r="G1838" s="44">
        <v>6.3</v>
      </c>
      <c r="H1838" s="43" t="s">
        <v>229</v>
      </c>
      <c r="I1838" s="40" t="s">
        <v>1300</v>
      </c>
    </row>
    <row r="1839" spans="1:9" x14ac:dyDescent="0.2">
      <c r="A1839" s="40" t="s">
        <v>122</v>
      </c>
      <c r="B1839" s="28">
        <v>2220</v>
      </c>
      <c r="C1839" s="28">
        <v>5689656</v>
      </c>
      <c r="D1839" s="28"/>
      <c r="E1839" s="45">
        <v>46169</v>
      </c>
      <c r="F1839" s="48">
        <v>0.61715277777777777</v>
      </c>
      <c r="G1839" s="44">
        <v>6.3</v>
      </c>
      <c r="H1839" s="43" t="s">
        <v>228</v>
      </c>
      <c r="I1839" s="40" t="s">
        <v>1300</v>
      </c>
    </row>
    <row r="1840" spans="1:9" x14ac:dyDescent="0.2">
      <c r="A1840" s="40" t="s">
        <v>122</v>
      </c>
      <c r="B1840" s="28">
        <v>2220</v>
      </c>
      <c r="C1840" s="28">
        <v>5689656</v>
      </c>
      <c r="D1840" s="28"/>
      <c r="E1840" s="41">
        <v>46169</v>
      </c>
      <c r="F1840" s="47">
        <v>0.62927083333333333</v>
      </c>
      <c r="G1840" s="44">
        <v>6.3</v>
      </c>
      <c r="H1840" s="43" t="s">
        <v>229</v>
      </c>
      <c r="I1840" s="40" t="s">
        <v>1300</v>
      </c>
    </row>
    <row r="1841" spans="1:9" x14ac:dyDescent="0.2">
      <c r="A1841" s="40" t="s">
        <v>122</v>
      </c>
      <c r="B1841" s="28">
        <v>2220</v>
      </c>
      <c r="C1841" s="28">
        <v>5691439</v>
      </c>
      <c r="D1841" s="28"/>
      <c r="E1841" s="41">
        <v>46170</v>
      </c>
      <c r="F1841" s="47">
        <v>0.62505787037037042</v>
      </c>
      <c r="G1841" s="44">
        <v>6.3</v>
      </c>
      <c r="H1841" s="43" t="s">
        <v>228</v>
      </c>
      <c r="I1841" s="40" t="s">
        <v>1300</v>
      </c>
    </row>
    <row r="1842" spans="1:9" x14ac:dyDescent="0.2">
      <c r="A1842" s="40" t="s">
        <v>122</v>
      </c>
      <c r="B1842" s="28">
        <v>2220</v>
      </c>
      <c r="C1842" s="28">
        <v>5691439</v>
      </c>
      <c r="D1842" s="28"/>
      <c r="E1842" s="45">
        <v>46170</v>
      </c>
      <c r="F1842" s="48">
        <v>0.64123842592592595</v>
      </c>
      <c r="G1842" s="44">
        <v>6.3</v>
      </c>
      <c r="H1842" s="43" t="s">
        <v>229</v>
      </c>
      <c r="I1842" s="40" t="s">
        <v>1300</v>
      </c>
    </row>
    <row r="1843" spans="1:9" x14ac:dyDescent="0.2">
      <c r="A1843" s="40" t="s">
        <v>122</v>
      </c>
      <c r="B1843" s="28">
        <v>2220</v>
      </c>
      <c r="C1843" s="28">
        <v>5691913</v>
      </c>
      <c r="D1843" s="28"/>
      <c r="E1843" s="41">
        <v>46170</v>
      </c>
      <c r="F1843" s="47">
        <v>0.76159722222222226</v>
      </c>
      <c r="G1843" s="44">
        <v>6.3</v>
      </c>
      <c r="H1843" s="43" t="s">
        <v>231</v>
      </c>
      <c r="I1843" s="40" t="s">
        <v>1300</v>
      </c>
    </row>
    <row r="1844" spans="1:9" x14ac:dyDescent="0.2">
      <c r="A1844" s="40" t="s">
        <v>122</v>
      </c>
      <c r="B1844" s="28">
        <v>2220</v>
      </c>
      <c r="C1844" s="28" t="s">
        <v>35</v>
      </c>
      <c r="D1844" s="28" t="s">
        <v>38</v>
      </c>
      <c r="E1844" s="41">
        <v>46170</v>
      </c>
      <c r="F1844" s="47">
        <v>0.90402777777777776</v>
      </c>
      <c r="G1844" s="44">
        <v>6.3</v>
      </c>
      <c r="H1844" s="43" t="s">
        <v>232</v>
      </c>
      <c r="I1844" s="40" t="s">
        <v>1300</v>
      </c>
    </row>
    <row r="1845" spans="1:9" x14ac:dyDescent="0.2">
      <c r="A1845" s="40" t="s">
        <v>122</v>
      </c>
      <c r="B1845" s="28">
        <v>2220</v>
      </c>
      <c r="C1845" s="28" t="s">
        <v>35</v>
      </c>
      <c r="D1845" s="28" t="s">
        <v>38</v>
      </c>
      <c r="E1845" s="41">
        <v>46170</v>
      </c>
      <c r="F1845" s="47">
        <v>0.93243055555555554</v>
      </c>
      <c r="G1845" s="44">
        <v>6.3</v>
      </c>
      <c r="H1845" s="43" t="s">
        <v>226</v>
      </c>
      <c r="I1845" s="40" t="s">
        <v>1300</v>
      </c>
    </row>
    <row r="1846" spans="1:9" x14ac:dyDescent="0.2">
      <c r="A1846" s="40" t="s">
        <v>287</v>
      </c>
      <c r="B1846" s="28">
        <v>2246</v>
      </c>
      <c r="C1846" s="28" t="s">
        <v>35</v>
      </c>
      <c r="D1846" s="28" t="s">
        <v>38</v>
      </c>
      <c r="E1846" s="41">
        <v>46167</v>
      </c>
      <c r="F1846" s="47">
        <v>0.29098379629629628</v>
      </c>
      <c r="G1846" s="44">
        <v>6.3</v>
      </c>
      <c r="H1846" s="43" t="s">
        <v>231</v>
      </c>
      <c r="I1846" s="40" t="s">
        <v>1300</v>
      </c>
    </row>
    <row r="1847" spans="1:9" x14ac:dyDescent="0.2">
      <c r="A1847" s="40" t="s">
        <v>287</v>
      </c>
      <c r="B1847" s="28">
        <v>2246</v>
      </c>
      <c r="C1847" s="28">
        <v>5688585</v>
      </c>
      <c r="D1847" s="28"/>
      <c r="E1847" s="45">
        <v>46168</v>
      </c>
      <c r="F1847" s="48">
        <v>0.85575231481481484</v>
      </c>
      <c r="G1847" s="44">
        <v>6.3</v>
      </c>
      <c r="H1847" s="43" t="s">
        <v>231</v>
      </c>
      <c r="I1847" s="40" t="s">
        <v>1300</v>
      </c>
    </row>
    <row r="1848" spans="1:9" x14ac:dyDescent="0.2">
      <c r="A1848" s="40" t="s">
        <v>287</v>
      </c>
      <c r="B1848" s="28">
        <v>2246</v>
      </c>
      <c r="C1848" s="28">
        <v>5688797</v>
      </c>
      <c r="D1848" s="28"/>
      <c r="E1848" s="41">
        <v>46169</v>
      </c>
      <c r="F1848" s="47">
        <v>0.32629629629629631</v>
      </c>
      <c r="G1848" s="44">
        <v>6.3</v>
      </c>
      <c r="H1848" s="43" t="s">
        <v>228</v>
      </c>
      <c r="I1848" s="40" t="s">
        <v>1300</v>
      </c>
    </row>
    <row r="1849" spans="1:9" x14ac:dyDescent="0.2">
      <c r="A1849" s="40" t="s">
        <v>287</v>
      </c>
      <c r="B1849" s="28">
        <v>2246</v>
      </c>
      <c r="C1849" s="28">
        <v>5688797</v>
      </c>
      <c r="D1849" s="28"/>
      <c r="E1849" s="41">
        <v>46169</v>
      </c>
      <c r="F1849" s="47">
        <v>0.3363888888888889</v>
      </c>
      <c r="G1849" s="44">
        <v>6.3</v>
      </c>
      <c r="H1849" s="43" t="s">
        <v>233</v>
      </c>
      <c r="I1849" s="40" t="s">
        <v>1300</v>
      </c>
    </row>
    <row r="1850" spans="1:9" x14ac:dyDescent="0.2">
      <c r="A1850" s="40" t="s">
        <v>287</v>
      </c>
      <c r="B1850" s="28">
        <v>2246</v>
      </c>
      <c r="C1850" s="28">
        <v>5691255</v>
      </c>
      <c r="D1850" s="28"/>
      <c r="E1850" s="45">
        <v>46170</v>
      </c>
      <c r="F1850" s="48">
        <v>0.48797453703703703</v>
      </c>
      <c r="G1850" s="44">
        <v>6.3</v>
      </c>
      <c r="H1850" s="43" t="s">
        <v>228</v>
      </c>
      <c r="I1850" s="40" t="s">
        <v>1300</v>
      </c>
    </row>
    <row r="1851" spans="1:9" x14ac:dyDescent="0.2">
      <c r="A1851" s="40" t="s">
        <v>287</v>
      </c>
      <c r="B1851" s="28">
        <v>2246</v>
      </c>
      <c r="C1851" s="28">
        <v>5691255</v>
      </c>
      <c r="D1851" s="28"/>
      <c r="E1851" s="41">
        <v>46170</v>
      </c>
      <c r="F1851" s="47">
        <v>0.4969675925925926</v>
      </c>
      <c r="G1851" s="44">
        <v>6.3</v>
      </c>
      <c r="H1851" s="43" t="s">
        <v>232</v>
      </c>
      <c r="I1851" s="40" t="s">
        <v>1300</v>
      </c>
    </row>
    <row r="1852" spans="1:9" x14ac:dyDescent="0.2">
      <c r="A1852" s="40" t="s">
        <v>287</v>
      </c>
      <c r="B1852" s="28">
        <v>2246</v>
      </c>
      <c r="C1852" s="28">
        <v>5694195</v>
      </c>
      <c r="D1852" s="28" t="s">
        <v>37</v>
      </c>
      <c r="E1852" s="41">
        <v>46171</v>
      </c>
      <c r="F1852" s="47">
        <v>0.94668981481481485</v>
      </c>
      <c r="G1852" s="44">
        <v>6.3</v>
      </c>
      <c r="H1852" s="43" t="s">
        <v>231</v>
      </c>
      <c r="I1852" s="40" t="s">
        <v>1300</v>
      </c>
    </row>
    <row r="1853" spans="1:9" x14ac:dyDescent="0.2">
      <c r="A1853" s="40" t="s">
        <v>287</v>
      </c>
      <c r="B1853" s="28">
        <v>2246</v>
      </c>
      <c r="C1853" s="28">
        <v>5695221</v>
      </c>
      <c r="D1853" s="28" t="s">
        <v>37</v>
      </c>
      <c r="E1853" s="41">
        <v>46172</v>
      </c>
      <c r="F1853" s="47">
        <v>0.95515046296296291</v>
      </c>
      <c r="G1853" s="44">
        <v>6.3</v>
      </c>
      <c r="H1853" s="43" t="s">
        <v>232</v>
      </c>
      <c r="I1853" s="40" t="s">
        <v>1300</v>
      </c>
    </row>
    <row r="1854" spans="1:9" x14ac:dyDescent="0.2">
      <c r="A1854" s="40" t="s">
        <v>186</v>
      </c>
      <c r="B1854" s="28">
        <v>2275</v>
      </c>
      <c r="C1854" s="28">
        <v>5692162</v>
      </c>
      <c r="D1854" s="28"/>
      <c r="E1854" s="41">
        <v>46170</v>
      </c>
      <c r="F1854" s="47">
        <v>0.94203703703703701</v>
      </c>
      <c r="G1854" s="44">
        <v>6.3</v>
      </c>
      <c r="H1854" s="43" t="s">
        <v>228</v>
      </c>
      <c r="I1854" s="40" t="s">
        <v>1300</v>
      </c>
    </row>
    <row r="1855" spans="1:9" x14ac:dyDescent="0.2">
      <c r="A1855" s="40" t="s">
        <v>186</v>
      </c>
      <c r="B1855" s="28">
        <v>2275</v>
      </c>
      <c r="C1855" s="28">
        <v>5692162</v>
      </c>
      <c r="D1855" s="28"/>
      <c r="E1855" s="45">
        <v>46170</v>
      </c>
      <c r="F1855" s="48">
        <v>0.94952546296296292</v>
      </c>
      <c r="G1855" s="44">
        <v>6.3</v>
      </c>
      <c r="H1855" s="43" t="s">
        <v>229</v>
      </c>
      <c r="I1855" s="40" t="s">
        <v>1300</v>
      </c>
    </row>
    <row r="1856" spans="1:9" x14ac:dyDescent="0.2">
      <c r="A1856" s="40" t="s">
        <v>123</v>
      </c>
      <c r="B1856" s="28">
        <v>2278</v>
      </c>
      <c r="C1856" s="28">
        <v>5684388</v>
      </c>
      <c r="D1856" s="28"/>
      <c r="E1856" s="41">
        <v>46167</v>
      </c>
      <c r="F1856" s="47">
        <v>0.17428240740740741</v>
      </c>
      <c r="G1856" s="44">
        <v>6.3</v>
      </c>
      <c r="H1856" s="43" t="s">
        <v>230</v>
      </c>
      <c r="I1856" s="40" t="s">
        <v>1300</v>
      </c>
    </row>
    <row r="1857" spans="1:9" x14ac:dyDescent="0.2">
      <c r="A1857" s="40" t="s">
        <v>123</v>
      </c>
      <c r="B1857" s="28">
        <v>2278</v>
      </c>
      <c r="C1857" s="28" t="s">
        <v>35</v>
      </c>
      <c r="D1857" s="28" t="s">
        <v>38</v>
      </c>
      <c r="E1857" s="41">
        <v>46167</v>
      </c>
      <c r="F1857" s="47">
        <v>0.19460648148148149</v>
      </c>
      <c r="G1857" s="44">
        <v>6.3</v>
      </c>
      <c r="H1857" s="43" t="s">
        <v>229</v>
      </c>
      <c r="I1857" s="40" t="s">
        <v>1300</v>
      </c>
    </row>
    <row r="1858" spans="1:9" x14ac:dyDescent="0.2">
      <c r="A1858" s="40" t="s">
        <v>123</v>
      </c>
      <c r="B1858" s="28">
        <v>2278</v>
      </c>
      <c r="C1858" s="28">
        <v>5684889</v>
      </c>
      <c r="D1858" s="28"/>
      <c r="E1858" s="41">
        <v>46167</v>
      </c>
      <c r="F1858" s="47">
        <v>0.22327546296296297</v>
      </c>
      <c r="G1858" s="42">
        <v>6.3</v>
      </c>
      <c r="H1858" s="40" t="s">
        <v>230</v>
      </c>
      <c r="I1858" s="40" t="s">
        <v>1300</v>
      </c>
    </row>
    <row r="1859" spans="1:9" x14ac:dyDescent="0.2">
      <c r="A1859" s="40" t="s">
        <v>123</v>
      </c>
      <c r="B1859" s="28">
        <v>2278</v>
      </c>
      <c r="C1859" s="28">
        <v>5684889</v>
      </c>
      <c r="D1859" s="28"/>
      <c r="E1859" s="41">
        <v>46167</v>
      </c>
      <c r="F1859" s="47">
        <v>0.22803240740740741</v>
      </c>
      <c r="G1859" s="42">
        <v>6.3</v>
      </c>
      <c r="H1859" s="40" t="s">
        <v>227</v>
      </c>
      <c r="I1859" s="40" t="s">
        <v>1300</v>
      </c>
    </row>
    <row r="1860" spans="1:9" x14ac:dyDescent="0.2">
      <c r="A1860" s="40" t="s">
        <v>123</v>
      </c>
      <c r="B1860" s="28">
        <v>2278</v>
      </c>
      <c r="C1860" s="28">
        <v>5686872</v>
      </c>
      <c r="D1860" s="28" t="s">
        <v>36</v>
      </c>
      <c r="E1860" s="41">
        <v>46167</v>
      </c>
      <c r="F1860" s="47">
        <v>0.97747685185185185</v>
      </c>
      <c r="G1860" s="42">
        <v>6.3</v>
      </c>
      <c r="H1860" s="40" t="s">
        <v>230</v>
      </c>
      <c r="I1860" s="40" t="s">
        <v>1300</v>
      </c>
    </row>
    <row r="1861" spans="1:9" x14ac:dyDescent="0.2">
      <c r="A1861" s="40" t="s">
        <v>123</v>
      </c>
      <c r="B1861" s="28">
        <v>2278</v>
      </c>
      <c r="C1861" s="28">
        <v>5688832</v>
      </c>
      <c r="D1861" s="28"/>
      <c r="E1861" s="41">
        <v>46168</v>
      </c>
      <c r="F1861" s="47">
        <v>0.9299884259259259</v>
      </c>
      <c r="G1861" s="42">
        <v>6.3</v>
      </c>
      <c r="H1861" s="40" t="s">
        <v>231</v>
      </c>
      <c r="I1861" s="40" t="s">
        <v>1300</v>
      </c>
    </row>
    <row r="1862" spans="1:9" x14ac:dyDescent="0.2">
      <c r="A1862" s="40" t="s">
        <v>123</v>
      </c>
      <c r="B1862" s="28">
        <v>2278</v>
      </c>
      <c r="C1862" s="28">
        <v>5691781</v>
      </c>
      <c r="D1862" s="28"/>
      <c r="E1862" s="45">
        <v>46170</v>
      </c>
      <c r="F1862" s="48">
        <v>0.75862268518518516</v>
      </c>
      <c r="G1862" s="44">
        <v>6.3</v>
      </c>
      <c r="H1862" s="43" t="s">
        <v>235</v>
      </c>
      <c r="I1862" s="40" t="s">
        <v>1300</v>
      </c>
    </row>
    <row r="1863" spans="1:9" x14ac:dyDescent="0.2">
      <c r="A1863" s="40" t="s">
        <v>123</v>
      </c>
      <c r="B1863" s="28">
        <v>2278</v>
      </c>
      <c r="C1863" s="28">
        <v>5695104</v>
      </c>
      <c r="D1863" s="28"/>
      <c r="E1863" s="41">
        <v>46173</v>
      </c>
      <c r="F1863" s="47">
        <v>0.31613425925925925</v>
      </c>
      <c r="G1863" s="44">
        <v>6.3</v>
      </c>
      <c r="H1863" s="43" t="s">
        <v>230</v>
      </c>
      <c r="I1863" s="40" t="s">
        <v>1300</v>
      </c>
    </row>
    <row r="1864" spans="1:9" x14ac:dyDescent="0.2">
      <c r="A1864" s="40" t="s">
        <v>124</v>
      </c>
      <c r="B1864" s="28">
        <v>2308</v>
      </c>
      <c r="C1864" s="28">
        <v>5682063</v>
      </c>
      <c r="D1864" s="28"/>
      <c r="E1864" s="41">
        <v>46167</v>
      </c>
      <c r="F1864" s="47">
        <v>0.31666666666666665</v>
      </c>
      <c r="G1864" s="44">
        <v>6.3</v>
      </c>
      <c r="H1864" s="43" t="s">
        <v>228</v>
      </c>
      <c r="I1864" s="40" t="s">
        <v>1300</v>
      </c>
    </row>
    <row r="1865" spans="1:9" x14ac:dyDescent="0.2">
      <c r="A1865" s="40" t="s">
        <v>124</v>
      </c>
      <c r="B1865" s="28">
        <v>2308</v>
      </c>
      <c r="C1865" s="28">
        <v>5682063</v>
      </c>
      <c r="D1865" s="28"/>
      <c r="E1865" s="41">
        <v>46167</v>
      </c>
      <c r="F1865" s="47">
        <v>0.32386574074074076</v>
      </c>
      <c r="G1865" s="44">
        <v>6.3</v>
      </c>
      <c r="H1865" s="43" t="s">
        <v>229</v>
      </c>
      <c r="I1865" s="40" t="s">
        <v>1300</v>
      </c>
    </row>
    <row r="1866" spans="1:9" x14ac:dyDescent="0.2">
      <c r="A1866" s="40" t="s">
        <v>124</v>
      </c>
      <c r="B1866" s="28">
        <v>2308</v>
      </c>
      <c r="C1866" s="28">
        <v>5684316</v>
      </c>
      <c r="D1866" s="28"/>
      <c r="E1866" s="41">
        <v>46167</v>
      </c>
      <c r="F1866" s="47">
        <v>0.39165509259259257</v>
      </c>
      <c r="G1866" s="44">
        <v>6.3</v>
      </c>
      <c r="H1866" s="43" t="s">
        <v>230</v>
      </c>
      <c r="I1866" s="40" t="s">
        <v>1300</v>
      </c>
    </row>
    <row r="1867" spans="1:9" x14ac:dyDescent="0.2">
      <c r="A1867" s="40" t="s">
        <v>124</v>
      </c>
      <c r="B1867" s="28">
        <v>2308</v>
      </c>
      <c r="C1867" s="28">
        <v>5684316</v>
      </c>
      <c r="D1867" s="28"/>
      <c r="E1867" s="41">
        <v>46167</v>
      </c>
      <c r="F1867" s="47">
        <v>0.39945601851851853</v>
      </c>
      <c r="G1867" s="44">
        <v>6.3</v>
      </c>
      <c r="H1867" s="43" t="s">
        <v>227</v>
      </c>
      <c r="I1867" s="40" t="s">
        <v>1300</v>
      </c>
    </row>
    <row r="1868" spans="1:9" x14ac:dyDescent="0.2">
      <c r="A1868" s="40" t="s">
        <v>124</v>
      </c>
      <c r="B1868" s="28">
        <v>2308</v>
      </c>
      <c r="C1868" s="28" t="s">
        <v>723</v>
      </c>
      <c r="D1868" s="28"/>
      <c r="E1868" s="41">
        <v>46167</v>
      </c>
      <c r="F1868" s="47">
        <v>0.81515046296296301</v>
      </c>
      <c r="G1868" s="44">
        <v>6.3</v>
      </c>
      <c r="H1868" s="43" t="s">
        <v>230</v>
      </c>
      <c r="I1868" s="40" t="s">
        <v>1300</v>
      </c>
    </row>
    <row r="1869" spans="1:9" x14ac:dyDescent="0.2">
      <c r="A1869" s="40" t="s">
        <v>124</v>
      </c>
      <c r="B1869" s="28">
        <v>2308</v>
      </c>
      <c r="C1869" s="28" t="s">
        <v>723</v>
      </c>
      <c r="D1869" s="28"/>
      <c r="E1869" s="41">
        <v>46167</v>
      </c>
      <c r="F1869" s="47">
        <v>0.82922453703703702</v>
      </c>
      <c r="G1869" s="44">
        <v>6.3</v>
      </c>
      <c r="H1869" s="43" t="s">
        <v>227</v>
      </c>
      <c r="I1869" s="40" t="s">
        <v>1300</v>
      </c>
    </row>
    <row r="1870" spans="1:9" x14ac:dyDescent="0.2">
      <c r="A1870" s="40" t="s">
        <v>124</v>
      </c>
      <c r="B1870" s="28">
        <v>2308</v>
      </c>
      <c r="C1870" s="28">
        <v>5688213</v>
      </c>
      <c r="D1870" s="28"/>
      <c r="E1870" s="41">
        <v>46168</v>
      </c>
      <c r="F1870" s="47">
        <v>0.7744212962962963</v>
      </c>
      <c r="G1870" s="44">
        <v>6.3</v>
      </c>
      <c r="H1870" s="43" t="s">
        <v>228</v>
      </c>
      <c r="I1870" s="40" t="s">
        <v>1300</v>
      </c>
    </row>
    <row r="1871" spans="1:9" x14ac:dyDescent="0.2">
      <c r="A1871" s="40" t="s">
        <v>124</v>
      </c>
      <c r="B1871" s="28">
        <v>2308</v>
      </c>
      <c r="C1871" s="28">
        <v>5688213</v>
      </c>
      <c r="D1871" s="28"/>
      <c r="E1871" s="41">
        <v>46168</v>
      </c>
      <c r="F1871" s="47">
        <v>0.7839814814814815</v>
      </c>
      <c r="G1871" s="42">
        <v>6.3</v>
      </c>
      <c r="H1871" s="40" t="s">
        <v>233</v>
      </c>
      <c r="I1871" s="40" t="s">
        <v>1300</v>
      </c>
    </row>
    <row r="1872" spans="1:9" x14ac:dyDescent="0.2">
      <c r="A1872" s="40" t="s">
        <v>124</v>
      </c>
      <c r="B1872" s="28">
        <v>2308</v>
      </c>
      <c r="C1872" s="28">
        <v>5688761</v>
      </c>
      <c r="D1872" s="28"/>
      <c r="E1872" s="41">
        <v>46168</v>
      </c>
      <c r="F1872" s="47">
        <v>0.97730324074074071</v>
      </c>
      <c r="G1872" s="42">
        <v>6.3</v>
      </c>
      <c r="H1872" s="40" t="s">
        <v>234</v>
      </c>
      <c r="I1872" s="40" t="s">
        <v>1300</v>
      </c>
    </row>
    <row r="1873" spans="1:9" x14ac:dyDescent="0.2">
      <c r="A1873" s="40" t="s">
        <v>124</v>
      </c>
      <c r="B1873" s="28">
        <v>2308</v>
      </c>
      <c r="C1873" s="28">
        <v>5688761</v>
      </c>
      <c r="D1873" s="28"/>
      <c r="E1873" s="41">
        <v>46168</v>
      </c>
      <c r="F1873" s="47">
        <v>0.97981481481481481</v>
      </c>
      <c r="G1873" s="42">
        <v>6.3</v>
      </c>
      <c r="H1873" s="40" t="s">
        <v>227</v>
      </c>
      <c r="I1873" s="40" t="s">
        <v>1300</v>
      </c>
    </row>
    <row r="1874" spans="1:9" x14ac:dyDescent="0.2">
      <c r="A1874" s="40" t="s">
        <v>124</v>
      </c>
      <c r="B1874" s="28">
        <v>2308</v>
      </c>
      <c r="C1874" s="28">
        <v>5691127</v>
      </c>
      <c r="D1874" s="28" t="s">
        <v>37</v>
      </c>
      <c r="E1874" s="41">
        <v>46170</v>
      </c>
      <c r="F1874" s="47">
        <v>0.63322916666666662</v>
      </c>
      <c r="G1874" s="42">
        <v>6.3</v>
      </c>
      <c r="H1874" s="40" t="s">
        <v>227</v>
      </c>
      <c r="I1874" s="40" t="s">
        <v>1300</v>
      </c>
    </row>
    <row r="1875" spans="1:9" x14ac:dyDescent="0.2">
      <c r="A1875" s="40" t="s">
        <v>124</v>
      </c>
      <c r="B1875" s="28">
        <v>2308</v>
      </c>
      <c r="C1875" s="28">
        <v>10769121</v>
      </c>
      <c r="D1875" s="28"/>
      <c r="E1875" s="41">
        <v>46170</v>
      </c>
      <c r="F1875" s="47">
        <v>0.81518518518518523</v>
      </c>
      <c r="G1875" s="42">
        <v>6.3</v>
      </c>
      <c r="H1875" s="40" t="s">
        <v>228</v>
      </c>
      <c r="I1875" s="40" t="s">
        <v>1300</v>
      </c>
    </row>
    <row r="1876" spans="1:9" x14ac:dyDescent="0.2">
      <c r="A1876" s="40" t="s">
        <v>124</v>
      </c>
      <c r="B1876" s="28">
        <v>2308</v>
      </c>
      <c r="C1876" s="28" t="s">
        <v>35</v>
      </c>
      <c r="D1876" s="28" t="s">
        <v>38</v>
      </c>
      <c r="E1876" s="41">
        <v>46170</v>
      </c>
      <c r="F1876" s="47">
        <v>0.82467592592592598</v>
      </c>
      <c r="G1876" s="44">
        <v>6.3</v>
      </c>
      <c r="H1876" s="43" t="s">
        <v>229</v>
      </c>
      <c r="I1876" s="40" t="s">
        <v>1300</v>
      </c>
    </row>
    <row r="1877" spans="1:9" x14ac:dyDescent="0.2">
      <c r="A1877" s="40" t="s">
        <v>124</v>
      </c>
      <c r="B1877" s="28">
        <v>2308</v>
      </c>
      <c r="C1877" s="28">
        <v>10784804</v>
      </c>
      <c r="D1877" s="28"/>
      <c r="E1877" s="41">
        <v>46173</v>
      </c>
      <c r="F1877" s="47">
        <v>0.63317129629629632</v>
      </c>
      <c r="G1877" s="44">
        <v>6.3</v>
      </c>
      <c r="H1877" s="43" t="s">
        <v>228</v>
      </c>
      <c r="I1877" s="40" t="s">
        <v>1300</v>
      </c>
    </row>
    <row r="1878" spans="1:9" x14ac:dyDescent="0.2">
      <c r="A1878" s="40" t="s">
        <v>418</v>
      </c>
      <c r="B1878" s="28">
        <v>2322</v>
      </c>
      <c r="C1878" s="28" t="s">
        <v>35</v>
      </c>
      <c r="D1878" s="28" t="s">
        <v>38</v>
      </c>
      <c r="E1878" s="41">
        <v>46172</v>
      </c>
      <c r="F1878" s="47">
        <v>0.74925925925925929</v>
      </c>
      <c r="G1878" s="44">
        <v>6.3</v>
      </c>
      <c r="H1878" s="43" t="s">
        <v>230</v>
      </c>
      <c r="I1878" s="40" t="s">
        <v>1300</v>
      </c>
    </row>
    <row r="1879" spans="1:9" x14ac:dyDescent="0.2">
      <c r="A1879" s="40" t="s">
        <v>182</v>
      </c>
      <c r="B1879" s="28">
        <v>2349</v>
      </c>
      <c r="C1879" s="28">
        <v>5687121</v>
      </c>
      <c r="D1879" s="28"/>
      <c r="E1879" s="41">
        <v>46168</v>
      </c>
      <c r="F1879" s="47">
        <v>0.24251157407407409</v>
      </c>
      <c r="G1879" s="44">
        <v>6.3</v>
      </c>
      <c r="H1879" s="43" t="s">
        <v>228</v>
      </c>
      <c r="I1879" s="40" t="s">
        <v>1300</v>
      </c>
    </row>
    <row r="1880" spans="1:9" x14ac:dyDescent="0.2">
      <c r="A1880" s="40" t="s">
        <v>182</v>
      </c>
      <c r="B1880" s="28">
        <v>2349</v>
      </c>
      <c r="C1880" s="28">
        <v>5687121</v>
      </c>
      <c r="D1880" s="28"/>
      <c r="E1880" s="41">
        <v>46168</v>
      </c>
      <c r="F1880" s="47">
        <v>0.25136574074074075</v>
      </c>
      <c r="G1880" s="44">
        <v>6.3</v>
      </c>
      <c r="H1880" s="43" t="s">
        <v>232</v>
      </c>
      <c r="I1880" s="40" t="s">
        <v>1300</v>
      </c>
    </row>
    <row r="1881" spans="1:9" x14ac:dyDescent="0.2">
      <c r="A1881" s="40" t="s">
        <v>182</v>
      </c>
      <c r="B1881" s="28">
        <v>2349</v>
      </c>
      <c r="C1881" s="28">
        <v>5693534</v>
      </c>
      <c r="D1881" s="28"/>
      <c r="E1881" s="41">
        <v>46171</v>
      </c>
      <c r="F1881" s="47">
        <v>0.82190972222222225</v>
      </c>
      <c r="G1881" s="44">
        <v>6.3</v>
      </c>
      <c r="H1881" s="43" t="s">
        <v>228</v>
      </c>
      <c r="I1881" s="40" t="s">
        <v>1300</v>
      </c>
    </row>
    <row r="1882" spans="1:9" x14ac:dyDescent="0.2">
      <c r="A1882" s="40" t="s">
        <v>182</v>
      </c>
      <c r="B1882" s="28">
        <v>2349</v>
      </c>
      <c r="C1882" s="28">
        <v>5693723</v>
      </c>
      <c r="D1882" s="28"/>
      <c r="E1882" s="41">
        <v>46171</v>
      </c>
      <c r="F1882" s="47">
        <v>0.94747685185185182</v>
      </c>
      <c r="G1882" s="44">
        <v>6.3</v>
      </c>
      <c r="H1882" s="43" t="s">
        <v>229</v>
      </c>
      <c r="I1882" s="40" t="s">
        <v>1300</v>
      </c>
    </row>
    <row r="1883" spans="1:9" x14ac:dyDescent="0.2">
      <c r="A1883" s="40" t="s">
        <v>336</v>
      </c>
      <c r="B1883" s="28">
        <v>2356</v>
      </c>
      <c r="C1883" s="28">
        <v>5685093</v>
      </c>
      <c r="D1883" s="28"/>
      <c r="E1883" s="45">
        <v>46167</v>
      </c>
      <c r="F1883" s="48">
        <v>3.5844907407407409E-2</v>
      </c>
      <c r="G1883" s="44">
        <v>6.3</v>
      </c>
      <c r="H1883" s="43" t="s">
        <v>228</v>
      </c>
      <c r="I1883" s="40" t="s">
        <v>1300</v>
      </c>
    </row>
    <row r="1884" spans="1:9" x14ac:dyDescent="0.2">
      <c r="A1884" s="40" t="s">
        <v>336</v>
      </c>
      <c r="B1884" s="28">
        <v>2356</v>
      </c>
      <c r="C1884" s="28" t="s">
        <v>35</v>
      </c>
      <c r="D1884" s="28" t="s">
        <v>38</v>
      </c>
      <c r="E1884" s="45">
        <v>46167</v>
      </c>
      <c r="F1884" s="48">
        <v>0.24900462962962963</v>
      </c>
      <c r="G1884" s="44">
        <v>6.3</v>
      </c>
      <c r="H1884" s="43" t="s">
        <v>228</v>
      </c>
      <c r="I1884" s="40" t="s">
        <v>1300</v>
      </c>
    </row>
    <row r="1885" spans="1:9" x14ac:dyDescent="0.2">
      <c r="A1885" s="40" t="s">
        <v>336</v>
      </c>
      <c r="B1885" s="28">
        <v>2356</v>
      </c>
      <c r="C1885" s="28">
        <v>5685073</v>
      </c>
      <c r="D1885" s="28"/>
      <c r="E1885" s="41">
        <v>46167</v>
      </c>
      <c r="F1885" s="47">
        <v>0.31513888888888891</v>
      </c>
      <c r="G1885" s="44">
        <v>6.3</v>
      </c>
      <c r="H1885" s="43" t="s">
        <v>226</v>
      </c>
      <c r="I1885" s="40" t="s">
        <v>1300</v>
      </c>
    </row>
    <row r="1886" spans="1:9" x14ac:dyDescent="0.2">
      <c r="A1886" s="40" t="s">
        <v>336</v>
      </c>
      <c r="B1886" s="28">
        <v>2356</v>
      </c>
      <c r="C1886" s="28">
        <v>5685073</v>
      </c>
      <c r="D1886" s="28"/>
      <c r="E1886" s="41">
        <v>46167</v>
      </c>
      <c r="F1886" s="47">
        <v>0.32070601851851854</v>
      </c>
      <c r="G1886" s="44">
        <v>6.3</v>
      </c>
      <c r="H1886" s="43" t="s">
        <v>227</v>
      </c>
      <c r="I1886" s="40" t="s">
        <v>1300</v>
      </c>
    </row>
    <row r="1887" spans="1:9" x14ac:dyDescent="0.2">
      <c r="A1887" s="40" t="s">
        <v>336</v>
      </c>
      <c r="B1887" s="28">
        <v>2356</v>
      </c>
      <c r="C1887" s="28">
        <v>5686717</v>
      </c>
      <c r="D1887" s="28"/>
      <c r="E1887" s="41">
        <v>46169</v>
      </c>
      <c r="F1887" s="47">
        <v>0.26681712962962961</v>
      </c>
      <c r="G1887" s="44">
        <v>6.3</v>
      </c>
      <c r="H1887" s="43" t="s">
        <v>230</v>
      </c>
      <c r="I1887" s="40" t="s">
        <v>1300</v>
      </c>
    </row>
    <row r="1888" spans="1:9" x14ac:dyDescent="0.2">
      <c r="A1888" s="40" t="s">
        <v>336</v>
      </c>
      <c r="B1888" s="28">
        <v>2356</v>
      </c>
      <c r="C1888" s="28" t="s">
        <v>35</v>
      </c>
      <c r="D1888" s="28" t="s">
        <v>38</v>
      </c>
      <c r="E1888" s="41">
        <v>46169</v>
      </c>
      <c r="F1888" s="47">
        <v>0.98212962962962957</v>
      </c>
      <c r="G1888" s="44">
        <v>6.3</v>
      </c>
      <c r="H1888" s="43" t="s">
        <v>227</v>
      </c>
      <c r="I1888" s="40" t="s">
        <v>1300</v>
      </c>
    </row>
    <row r="1889" spans="1:9" x14ac:dyDescent="0.2">
      <c r="A1889" s="40" t="s">
        <v>336</v>
      </c>
      <c r="B1889" s="28">
        <v>2356</v>
      </c>
      <c r="C1889" s="28" t="s">
        <v>35</v>
      </c>
      <c r="D1889" s="28" t="s">
        <v>38</v>
      </c>
      <c r="E1889" s="41">
        <v>46170</v>
      </c>
      <c r="F1889" s="47">
        <v>0.96636574074074078</v>
      </c>
      <c r="G1889" s="44">
        <v>6.3</v>
      </c>
      <c r="H1889" s="43" t="s">
        <v>228</v>
      </c>
      <c r="I1889" s="40" t="s">
        <v>1300</v>
      </c>
    </row>
    <row r="1890" spans="1:9" x14ac:dyDescent="0.2">
      <c r="A1890" s="40" t="s">
        <v>336</v>
      </c>
      <c r="B1890" s="28">
        <v>2356</v>
      </c>
      <c r="C1890" s="28">
        <v>5692554</v>
      </c>
      <c r="D1890" s="28" t="s">
        <v>37</v>
      </c>
      <c r="E1890" s="41">
        <v>46171</v>
      </c>
      <c r="F1890" s="47">
        <v>0.12582175925925926</v>
      </c>
      <c r="G1890" s="44">
        <v>6.3</v>
      </c>
      <c r="H1890" s="43" t="s">
        <v>230</v>
      </c>
      <c r="I1890" s="40" t="s">
        <v>1300</v>
      </c>
    </row>
    <row r="1891" spans="1:9" x14ac:dyDescent="0.2">
      <c r="A1891" s="40" t="s">
        <v>336</v>
      </c>
      <c r="B1891" s="28">
        <v>2356</v>
      </c>
      <c r="C1891" s="28">
        <v>5692554</v>
      </c>
      <c r="D1891" s="28" t="s">
        <v>37</v>
      </c>
      <c r="E1891" s="41">
        <v>46171</v>
      </c>
      <c r="F1891" s="47">
        <v>0.13016203703703705</v>
      </c>
      <c r="G1891" s="44">
        <v>6.3</v>
      </c>
      <c r="H1891" s="43" t="s">
        <v>227</v>
      </c>
      <c r="I1891" s="40" t="s">
        <v>1300</v>
      </c>
    </row>
    <row r="1892" spans="1:9" x14ac:dyDescent="0.2">
      <c r="A1892" s="40" t="s">
        <v>336</v>
      </c>
      <c r="B1892" s="28">
        <v>2356</v>
      </c>
      <c r="C1892" s="28">
        <v>5692044</v>
      </c>
      <c r="D1892" s="28"/>
      <c r="E1892" s="45">
        <v>46171</v>
      </c>
      <c r="F1892" s="48">
        <v>0.22431712962962963</v>
      </c>
      <c r="G1892" s="44">
        <v>6.3</v>
      </c>
      <c r="H1892" s="43" t="s">
        <v>228</v>
      </c>
      <c r="I1892" s="40" t="s">
        <v>1300</v>
      </c>
    </row>
    <row r="1893" spans="1:9" x14ac:dyDescent="0.2">
      <c r="A1893" s="40" t="s">
        <v>336</v>
      </c>
      <c r="B1893" s="28">
        <v>2356</v>
      </c>
      <c r="C1893" s="28">
        <v>5692044</v>
      </c>
      <c r="D1893" s="28"/>
      <c r="E1893" s="41">
        <v>46171</v>
      </c>
      <c r="F1893" s="47">
        <v>0.23196759259259259</v>
      </c>
      <c r="G1893" s="44">
        <v>6.3</v>
      </c>
      <c r="H1893" s="43" t="s">
        <v>232</v>
      </c>
      <c r="I1893" s="40" t="s">
        <v>1300</v>
      </c>
    </row>
    <row r="1894" spans="1:9" x14ac:dyDescent="0.2">
      <c r="A1894" s="40" t="s">
        <v>336</v>
      </c>
      <c r="B1894" s="28">
        <v>2356</v>
      </c>
      <c r="C1894" s="28">
        <v>5688116</v>
      </c>
      <c r="D1894" s="28"/>
      <c r="E1894" s="41">
        <v>46171</v>
      </c>
      <c r="F1894" s="47">
        <v>0.31402777777777779</v>
      </c>
      <c r="G1894" s="44">
        <v>6.3</v>
      </c>
      <c r="H1894" s="43" t="s">
        <v>231</v>
      </c>
      <c r="I1894" s="40" t="s">
        <v>1300</v>
      </c>
    </row>
    <row r="1895" spans="1:9" x14ac:dyDescent="0.2">
      <c r="A1895" s="40" t="s">
        <v>336</v>
      </c>
      <c r="B1895" s="28">
        <v>2356</v>
      </c>
      <c r="C1895" s="28">
        <v>5688116</v>
      </c>
      <c r="D1895" s="28"/>
      <c r="E1895" s="41">
        <v>46171</v>
      </c>
      <c r="F1895" s="47">
        <v>0.32471064814814815</v>
      </c>
      <c r="G1895" s="44">
        <v>6.3</v>
      </c>
      <c r="H1895" s="43" t="s">
        <v>227</v>
      </c>
      <c r="I1895" s="40" t="s">
        <v>1300</v>
      </c>
    </row>
    <row r="1896" spans="1:9" x14ac:dyDescent="0.2">
      <c r="A1896" s="40" t="s">
        <v>336</v>
      </c>
      <c r="B1896" s="28">
        <v>2356</v>
      </c>
      <c r="C1896" s="28" t="s">
        <v>724</v>
      </c>
      <c r="D1896" s="28"/>
      <c r="E1896" s="41">
        <v>46171</v>
      </c>
      <c r="F1896" s="47">
        <v>0.49744212962962964</v>
      </c>
      <c r="G1896" s="44">
        <v>6.3</v>
      </c>
      <c r="H1896" s="43" t="s">
        <v>228</v>
      </c>
      <c r="I1896" s="40" t="s">
        <v>1300</v>
      </c>
    </row>
    <row r="1897" spans="1:9" x14ac:dyDescent="0.2">
      <c r="A1897" s="40" t="s">
        <v>336</v>
      </c>
      <c r="B1897" s="28">
        <v>2356</v>
      </c>
      <c r="C1897" s="28" t="s">
        <v>724</v>
      </c>
      <c r="D1897" s="28"/>
      <c r="E1897" s="41">
        <v>46171</v>
      </c>
      <c r="F1897" s="47">
        <v>0.52407407407407403</v>
      </c>
      <c r="G1897" s="44">
        <v>6.3</v>
      </c>
      <c r="H1897" s="43" t="s">
        <v>229</v>
      </c>
      <c r="I1897" s="40" t="s">
        <v>1300</v>
      </c>
    </row>
    <row r="1898" spans="1:9" x14ac:dyDescent="0.2">
      <c r="A1898" s="40" t="s">
        <v>336</v>
      </c>
      <c r="B1898" s="28">
        <v>2356</v>
      </c>
      <c r="C1898" s="28" t="s">
        <v>35</v>
      </c>
      <c r="D1898" s="28" t="s">
        <v>38</v>
      </c>
      <c r="E1898" s="41">
        <v>46171</v>
      </c>
      <c r="F1898" s="47">
        <v>0.53910879629629627</v>
      </c>
      <c r="G1898" s="44">
        <v>6.3</v>
      </c>
      <c r="H1898" s="43" t="s">
        <v>230</v>
      </c>
      <c r="I1898" s="40" t="s">
        <v>1300</v>
      </c>
    </row>
    <row r="1899" spans="1:9" x14ac:dyDescent="0.2">
      <c r="A1899" s="40" t="s">
        <v>336</v>
      </c>
      <c r="B1899" s="28">
        <v>2356</v>
      </c>
      <c r="C1899" s="28">
        <v>5693117</v>
      </c>
      <c r="D1899" s="28"/>
      <c r="E1899" s="41">
        <v>46171</v>
      </c>
      <c r="F1899" s="47">
        <v>0.56112268518518515</v>
      </c>
      <c r="G1899" s="44">
        <v>6.3</v>
      </c>
      <c r="H1899" s="43" t="s">
        <v>231</v>
      </c>
      <c r="I1899" s="40" t="s">
        <v>1300</v>
      </c>
    </row>
    <row r="1900" spans="1:9" x14ac:dyDescent="0.2">
      <c r="A1900" s="40" t="s">
        <v>336</v>
      </c>
      <c r="B1900" s="28">
        <v>2356</v>
      </c>
      <c r="C1900" s="28">
        <v>5693117</v>
      </c>
      <c r="D1900" s="28"/>
      <c r="E1900" s="41">
        <v>46171</v>
      </c>
      <c r="F1900" s="47">
        <v>0.56945601851851857</v>
      </c>
      <c r="G1900" s="44">
        <v>6.3</v>
      </c>
      <c r="H1900" s="43" t="s">
        <v>227</v>
      </c>
      <c r="I1900" s="40" t="s">
        <v>1300</v>
      </c>
    </row>
    <row r="1901" spans="1:9" x14ac:dyDescent="0.2">
      <c r="A1901" s="40" t="s">
        <v>336</v>
      </c>
      <c r="B1901" s="28">
        <v>2356</v>
      </c>
      <c r="C1901" s="28" t="s">
        <v>725</v>
      </c>
      <c r="D1901" s="28"/>
      <c r="E1901" s="41">
        <v>46172</v>
      </c>
      <c r="F1901" s="47">
        <v>0.51687499999999997</v>
      </c>
      <c r="G1901" s="44">
        <v>6.3</v>
      </c>
      <c r="H1901" s="43" t="s">
        <v>228</v>
      </c>
      <c r="I1901" s="40" t="s">
        <v>1300</v>
      </c>
    </row>
    <row r="1902" spans="1:9" x14ac:dyDescent="0.2">
      <c r="A1902" s="40" t="s">
        <v>336</v>
      </c>
      <c r="B1902" s="28">
        <v>2356</v>
      </c>
      <c r="C1902" s="28" t="s">
        <v>725</v>
      </c>
      <c r="D1902" s="28"/>
      <c r="E1902" s="41">
        <v>46172</v>
      </c>
      <c r="F1902" s="47">
        <v>0.53232638888888884</v>
      </c>
      <c r="G1902" s="44">
        <v>6.3</v>
      </c>
      <c r="H1902" s="43" t="s">
        <v>232</v>
      </c>
      <c r="I1902" s="40" t="s">
        <v>1300</v>
      </c>
    </row>
    <row r="1903" spans="1:9" x14ac:dyDescent="0.2">
      <c r="A1903" s="40" t="s">
        <v>336</v>
      </c>
      <c r="B1903" s="28">
        <v>2356</v>
      </c>
      <c r="C1903" s="28" t="s">
        <v>35</v>
      </c>
      <c r="D1903" s="28" t="s">
        <v>38</v>
      </c>
      <c r="E1903" s="41">
        <v>46172</v>
      </c>
      <c r="F1903" s="47">
        <v>0.59849537037037037</v>
      </c>
      <c r="G1903" s="44">
        <v>6.3</v>
      </c>
      <c r="H1903" s="43" t="s">
        <v>231</v>
      </c>
      <c r="I1903" s="40" t="s">
        <v>1300</v>
      </c>
    </row>
    <row r="1904" spans="1:9" x14ac:dyDescent="0.2">
      <c r="A1904" s="40" t="s">
        <v>336</v>
      </c>
      <c r="B1904" s="28">
        <v>2356</v>
      </c>
      <c r="C1904" s="28" t="s">
        <v>35</v>
      </c>
      <c r="D1904" s="28" t="s">
        <v>38</v>
      </c>
      <c r="E1904" s="41">
        <v>46172</v>
      </c>
      <c r="F1904" s="47">
        <v>0.6193981481481482</v>
      </c>
      <c r="G1904" s="44">
        <v>6.3</v>
      </c>
      <c r="H1904" s="43" t="s">
        <v>227</v>
      </c>
      <c r="I1904" s="40" t="s">
        <v>1300</v>
      </c>
    </row>
    <row r="1905" spans="1:9" x14ac:dyDescent="0.2">
      <c r="A1905" s="40" t="s">
        <v>336</v>
      </c>
      <c r="B1905" s="28">
        <v>2356</v>
      </c>
      <c r="C1905" s="28">
        <v>5695153</v>
      </c>
      <c r="D1905" s="28" t="s">
        <v>37</v>
      </c>
      <c r="E1905" s="41">
        <v>46173</v>
      </c>
      <c r="F1905" s="47">
        <v>0.44019675925925927</v>
      </c>
      <c r="G1905" s="44">
        <v>6.3</v>
      </c>
      <c r="H1905" s="43" t="s">
        <v>227</v>
      </c>
      <c r="I1905" s="40" t="s">
        <v>1300</v>
      </c>
    </row>
    <row r="1906" spans="1:9" x14ac:dyDescent="0.2">
      <c r="A1906" s="40" t="s">
        <v>336</v>
      </c>
      <c r="B1906" s="28">
        <v>2356</v>
      </c>
      <c r="C1906" s="28" t="s">
        <v>726</v>
      </c>
      <c r="D1906" s="28"/>
      <c r="E1906" s="41">
        <v>46173</v>
      </c>
      <c r="F1906" s="47">
        <v>0.72017361111111111</v>
      </c>
      <c r="G1906" s="44">
        <v>6.3</v>
      </c>
      <c r="H1906" s="43" t="s">
        <v>228</v>
      </c>
      <c r="I1906" s="40" t="s">
        <v>1300</v>
      </c>
    </row>
    <row r="1907" spans="1:9" x14ac:dyDescent="0.2">
      <c r="A1907" s="40" t="s">
        <v>336</v>
      </c>
      <c r="B1907" s="28">
        <v>2356</v>
      </c>
      <c r="C1907" s="28" t="s">
        <v>726</v>
      </c>
      <c r="D1907" s="28"/>
      <c r="E1907" s="41">
        <v>46173</v>
      </c>
      <c r="F1907" s="47">
        <v>0.74711805555555555</v>
      </c>
      <c r="G1907" s="44">
        <v>6.3</v>
      </c>
      <c r="H1907" s="43" t="s">
        <v>230</v>
      </c>
      <c r="I1907" s="40" t="s">
        <v>1300</v>
      </c>
    </row>
    <row r="1908" spans="1:9" x14ac:dyDescent="0.2">
      <c r="A1908" s="40" t="s">
        <v>727</v>
      </c>
      <c r="B1908" s="28">
        <v>2367</v>
      </c>
      <c r="C1908" s="28">
        <v>5694342</v>
      </c>
      <c r="D1908" s="28"/>
      <c r="E1908" s="41">
        <v>46172</v>
      </c>
      <c r="F1908" s="47">
        <v>0.21456018518518519</v>
      </c>
      <c r="G1908" s="44">
        <v>6.3</v>
      </c>
      <c r="H1908" s="43" t="s">
        <v>226</v>
      </c>
      <c r="I1908" s="40" t="s">
        <v>1300</v>
      </c>
    </row>
    <row r="1909" spans="1:9" x14ac:dyDescent="0.2">
      <c r="A1909" s="40" t="s">
        <v>157</v>
      </c>
      <c r="B1909" s="28">
        <v>2390</v>
      </c>
      <c r="C1909" s="28">
        <v>5685471</v>
      </c>
      <c r="D1909" s="28"/>
      <c r="E1909" s="41">
        <v>46167</v>
      </c>
      <c r="F1909" s="47">
        <v>0.34409722222222222</v>
      </c>
      <c r="G1909" s="44">
        <v>6.3</v>
      </c>
      <c r="H1909" s="43" t="s">
        <v>228</v>
      </c>
      <c r="I1909" s="40" t="s">
        <v>1300</v>
      </c>
    </row>
    <row r="1910" spans="1:9" x14ac:dyDescent="0.2">
      <c r="A1910" s="40" t="s">
        <v>157</v>
      </c>
      <c r="B1910" s="28">
        <v>2390</v>
      </c>
      <c r="C1910" s="28">
        <v>5685471</v>
      </c>
      <c r="D1910" s="28"/>
      <c r="E1910" s="41">
        <v>46167</v>
      </c>
      <c r="F1910" s="47">
        <v>0.35418981481481482</v>
      </c>
      <c r="G1910" s="44">
        <v>6.3</v>
      </c>
      <c r="H1910" s="43" t="s">
        <v>229</v>
      </c>
      <c r="I1910" s="40" t="s">
        <v>1300</v>
      </c>
    </row>
    <row r="1911" spans="1:9" x14ac:dyDescent="0.2">
      <c r="A1911" s="40" t="s">
        <v>157</v>
      </c>
      <c r="B1911" s="28">
        <v>2390</v>
      </c>
      <c r="C1911" s="28" t="s">
        <v>35</v>
      </c>
      <c r="D1911" s="28" t="s">
        <v>38</v>
      </c>
      <c r="E1911" s="41">
        <v>46172</v>
      </c>
      <c r="F1911" s="47">
        <v>0.5214699074074074</v>
      </c>
      <c r="G1911" s="44">
        <v>6.3</v>
      </c>
      <c r="H1911" s="43" t="s">
        <v>228</v>
      </c>
      <c r="I1911" s="40" t="s">
        <v>1300</v>
      </c>
    </row>
    <row r="1912" spans="1:9" x14ac:dyDescent="0.2">
      <c r="A1912" s="40" t="s">
        <v>157</v>
      </c>
      <c r="B1912" s="28">
        <v>2390</v>
      </c>
      <c r="C1912" s="28" t="s">
        <v>35</v>
      </c>
      <c r="D1912" s="28" t="s">
        <v>38</v>
      </c>
      <c r="E1912" s="41">
        <v>46172</v>
      </c>
      <c r="F1912" s="47">
        <v>0.74571759259259263</v>
      </c>
      <c r="G1912" s="44">
        <v>6.3</v>
      </c>
      <c r="H1912" s="43" t="s">
        <v>230</v>
      </c>
      <c r="I1912" s="40" t="s">
        <v>1300</v>
      </c>
    </row>
    <row r="1913" spans="1:9" x14ac:dyDescent="0.2">
      <c r="A1913" s="40" t="s">
        <v>157</v>
      </c>
      <c r="B1913" s="28">
        <v>2390</v>
      </c>
      <c r="C1913" s="28" t="s">
        <v>35</v>
      </c>
      <c r="D1913" s="28" t="s">
        <v>38</v>
      </c>
      <c r="E1913" s="41">
        <v>46172</v>
      </c>
      <c r="F1913" s="47">
        <v>0.75900462962962967</v>
      </c>
      <c r="G1913" s="44">
        <v>6.3</v>
      </c>
      <c r="H1913" s="43" t="s">
        <v>227</v>
      </c>
      <c r="I1913" s="40" t="s">
        <v>1300</v>
      </c>
    </row>
    <row r="1914" spans="1:9" x14ac:dyDescent="0.2">
      <c r="A1914" s="40" t="s">
        <v>361</v>
      </c>
      <c r="B1914" s="28">
        <v>2394</v>
      </c>
      <c r="C1914" s="28">
        <v>5686738</v>
      </c>
      <c r="D1914" s="28"/>
      <c r="E1914" s="41">
        <v>46167</v>
      </c>
      <c r="F1914" s="47">
        <v>0.92428240740740741</v>
      </c>
      <c r="G1914" s="44">
        <v>6.3</v>
      </c>
      <c r="H1914" s="43" t="s">
        <v>228</v>
      </c>
      <c r="I1914" s="40" t="s">
        <v>1300</v>
      </c>
    </row>
    <row r="1915" spans="1:9" x14ac:dyDescent="0.2">
      <c r="A1915" s="40" t="s">
        <v>361</v>
      </c>
      <c r="B1915" s="28">
        <v>2394</v>
      </c>
      <c r="C1915" s="28" t="s">
        <v>35</v>
      </c>
      <c r="D1915" s="28" t="s">
        <v>38</v>
      </c>
      <c r="E1915" s="41">
        <v>46167</v>
      </c>
      <c r="F1915" s="47">
        <v>0.94924768518518521</v>
      </c>
      <c r="G1915" s="44">
        <v>6.3</v>
      </c>
      <c r="H1915" s="43" t="s">
        <v>227</v>
      </c>
      <c r="I1915" s="40" t="s">
        <v>1300</v>
      </c>
    </row>
    <row r="1916" spans="1:9" x14ac:dyDescent="0.2">
      <c r="A1916" s="40" t="s">
        <v>361</v>
      </c>
      <c r="B1916" s="28">
        <v>2394</v>
      </c>
      <c r="C1916" s="28" t="s">
        <v>35</v>
      </c>
      <c r="D1916" s="28" t="s">
        <v>38</v>
      </c>
      <c r="E1916" s="41">
        <v>46171</v>
      </c>
      <c r="F1916" s="47">
        <v>0.79502314814814812</v>
      </c>
      <c r="G1916" s="44">
        <v>6.3</v>
      </c>
      <c r="H1916" s="43" t="s">
        <v>228</v>
      </c>
      <c r="I1916" s="40" t="s">
        <v>1300</v>
      </c>
    </row>
    <row r="1917" spans="1:9" x14ac:dyDescent="0.2">
      <c r="A1917" s="40" t="s">
        <v>361</v>
      </c>
      <c r="B1917" s="28">
        <v>2394</v>
      </c>
      <c r="C1917" s="28" t="s">
        <v>35</v>
      </c>
      <c r="D1917" s="28" t="s">
        <v>38</v>
      </c>
      <c r="E1917" s="41">
        <v>46171</v>
      </c>
      <c r="F1917" s="47">
        <v>0.80358796296296298</v>
      </c>
      <c r="G1917" s="42">
        <v>6.3</v>
      </c>
      <c r="H1917" s="40" t="s">
        <v>229</v>
      </c>
      <c r="I1917" s="40" t="s">
        <v>1300</v>
      </c>
    </row>
    <row r="1918" spans="1:9" x14ac:dyDescent="0.2">
      <c r="A1918" s="40" t="s">
        <v>361</v>
      </c>
      <c r="B1918" s="28">
        <v>2394</v>
      </c>
      <c r="C1918" s="28" t="s">
        <v>35</v>
      </c>
      <c r="D1918" s="28" t="s">
        <v>38</v>
      </c>
      <c r="E1918" s="41">
        <v>46171</v>
      </c>
      <c r="F1918" s="47">
        <v>0.94935185185185189</v>
      </c>
      <c r="G1918" s="42">
        <v>6.3</v>
      </c>
      <c r="H1918" s="40" t="s">
        <v>230</v>
      </c>
      <c r="I1918" s="40" t="s">
        <v>1300</v>
      </c>
    </row>
    <row r="1919" spans="1:9" x14ac:dyDescent="0.2">
      <c r="A1919" s="40" t="s">
        <v>361</v>
      </c>
      <c r="B1919" s="28">
        <v>2394</v>
      </c>
      <c r="C1919" s="28" t="s">
        <v>35</v>
      </c>
      <c r="D1919" s="28" t="s">
        <v>38</v>
      </c>
      <c r="E1919" s="41">
        <v>46171</v>
      </c>
      <c r="F1919" s="47">
        <v>0.95462962962962961</v>
      </c>
      <c r="G1919" s="42">
        <v>6.3</v>
      </c>
      <c r="H1919" s="40" t="s">
        <v>227</v>
      </c>
      <c r="I1919" s="40" t="s">
        <v>1300</v>
      </c>
    </row>
    <row r="1920" spans="1:9" x14ac:dyDescent="0.2">
      <c r="A1920" s="40" t="s">
        <v>361</v>
      </c>
      <c r="B1920" s="28">
        <v>2394</v>
      </c>
      <c r="C1920" s="28" t="s">
        <v>35</v>
      </c>
      <c r="D1920" s="28" t="s">
        <v>38</v>
      </c>
      <c r="E1920" s="41">
        <v>46172</v>
      </c>
      <c r="F1920" s="47">
        <v>0.88134259259259262</v>
      </c>
      <c r="G1920" s="42">
        <v>6.3</v>
      </c>
      <c r="H1920" s="40" t="s">
        <v>228</v>
      </c>
      <c r="I1920" s="40" t="s">
        <v>1300</v>
      </c>
    </row>
    <row r="1921" spans="1:9" x14ac:dyDescent="0.2">
      <c r="A1921" s="40" t="s">
        <v>361</v>
      </c>
      <c r="B1921" s="28">
        <v>2394</v>
      </c>
      <c r="C1921" s="28" t="s">
        <v>35</v>
      </c>
      <c r="D1921" s="28" t="s">
        <v>38</v>
      </c>
      <c r="E1921" s="41">
        <v>46172</v>
      </c>
      <c r="F1921" s="47">
        <v>0.88905092592592594</v>
      </c>
      <c r="G1921" s="42">
        <v>6.3</v>
      </c>
      <c r="H1921" s="40" t="s">
        <v>229</v>
      </c>
      <c r="I1921" s="40" t="s">
        <v>1300</v>
      </c>
    </row>
    <row r="1922" spans="1:9" x14ac:dyDescent="0.2">
      <c r="A1922" s="40" t="s">
        <v>361</v>
      </c>
      <c r="B1922" s="28">
        <v>2394</v>
      </c>
      <c r="C1922" s="28" t="s">
        <v>35</v>
      </c>
      <c r="D1922" s="28" t="s">
        <v>38</v>
      </c>
      <c r="E1922" s="41">
        <v>46173</v>
      </c>
      <c r="F1922" s="47">
        <v>1.9699074074074074E-2</v>
      </c>
      <c r="G1922" s="42">
        <v>6.3</v>
      </c>
      <c r="H1922" s="40" t="s">
        <v>230</v>
      </c>
      <c r="I1922" s="40" t="s">
        <v>1300</v>
      </c>
    </row>
    <row r="1923" spans="1:9" x14ac:dyDescent="0.2">
      <c r="A1923" s="40" t="s">
        <v>361</v>
      </c>
      <c r="B1923" s="28">
        <v>2394</v>
      </c>
      <c r="C1923" s="28" t="s">
        <v>35</v>
      </c>
      <c r="D1923" s="28" t="s">
        <v>38</v>
      </c>
      <c r="E1923" s="41">
        <v>46173</v>
      </c>
      <c r="F1923" s="47">
        <v>2.4363425925925927E-2</v>
      </c>
      <c r="G1923" s="42">
        <v>6.3</v>
      </c>
      <c r="H1923" s="40" t="s">
        <v>227</v>
      </c>
      <c r="I1923" s="40" t="s">
        <v>1300</v>
      </c>
    </row>
    <row r="1924" spans="1:9" x14ac:dyDescent="0.2">
      <c r="A1924" s="40" t="s">
        <v>361</v>
      </c>
      <c r="B1924" s="28">
        <v>2394</v>
      </c>
      <c r="C1924" s="28" t="s">
        <v>35</v>
      </c>
      <c r="D1924" s="28" t="s">
        <v>38</v>
      </c>
      <c r="E1924" s="45">
        <v>46173</v>
      </c>
      <c r="F1924" s="48">
        <v>0.42675925925925928</v>
      </c>
      <c r="G1924" s="42">
        <v>6.3</v>
      </c>
      <c r="H1924" s="40" t="s">
        <v>228</v>
      </c>
      <c r="I1924" s="40" t="s">
        <v>1300</v>
      </c>
    </row>
    <row r="1925" spans="1:9" x14ac:dyDescent="0.2">
      <c r="A1925" s="40" t="s">
        <v>361</v>
      </c>
      <c r="B1925" s="28">
        <v>2394</v>
      </c>
      <c r="C1925" s="28" t="s">
        <v>35</v>
      </c>
      <c r="D1925" s="28" t="s">
        <v>38</v>
      </c>
      <c r="E1925" s="41">
        <v>46173</v>
      </c>
      <c r="F1925" s="47">
        <v>0.43605324074074076</v>
      </c>
      <c r="G1925" s="42">
        <v>6.3</v>
      </c>
      <c r="H1925" s="40" t="s">
        <v>229</v>
      </c>
      <c r="I1925" s="40" t="s">
        <v>1300</v>
      </c>
    </row>
    <row r="1926" spans="1:9" x14ac:dyDescent="0.2">
      <c r="A1926" s="40" t="s">
        <v>361</v>
      </c>
      <c r="B1926" s="28">
        <v>2394</v>
      </c>
      <c r="C1926" s="28" t="s">
        <v>35</v>
      </c>
      <c r="D1926" s="28" t="s">
        <v>38</v>
      </c>
      <c r="E1926" s="41">
        <v>46173</v>
      </c>
      <c r="F1926" s="47">
        <v>0.90003472222222225</v>
      </c>
      <c r="G1926" s="44">
        <v>6.3</v>
      </c>
      <c r="H1926" s="43" t="s">
        <v>230</v>
      </c>
      <c r="I1926" s="40" t="s">
        <v>1300</v>
      </c>
    </row>
    <row r="1927" spans="1:9" x14ac:dyDescent="0.2">
      <c r="A1927" s="40" t="s">
        <v>361</v>
      </c>
      <c r="B1927" s="28">
        <v>2394</v>
      </c>
      <c r="C1927" s="28" t="s">
        <v>35</v>
      </c>
      <c r="D1927" s="28" t="s">
        <v>38</v>
      </c>
      <c r="E1927" s="41">
        <v>46173</v>
      </c>
      <c r="F1927" s="47">
        <v>0.9056481481481482</v>
      </c>
      <c r="G1927" s="44">
        <v>6.3</v>
      </c>
      <c r="H1927" s="43" t="s">
        <v>227</v>
      </c>
      <c r="I1927" s="40" t="s">
        <v>1300</v>
      </c>
    </row>
    <row r="1928" spans="1:9" x14ac:dyDescent="0.2">
      <c r="A1928" s="40" t="s">
        <v>241</v>
      </c>
      <c r="B1928" s="28">
        <v>2416</v>
      </c>
      <c r="C1928" s="28">
        <v>5687275</v>
      </c>
      <c r="D1928" s="28" t="s">
        <v>37</v>
      </c>
      <c r="E1928" s="41">
        <v>46168</v>
      </c>
      <c r="F1928" s="47">
        <v>0.26503472222222224</v>
      </c>
      <c r="G1928" s="44">
        <v>6.3</v>
      </c>
      <c r="H1928" s="43" t="s">
        <v>232</v>
      </c>
      <c r="I1928" s="40" t="s">
        <v>1300</v>
      </c>
    </row>
    <row r="1929" spans="1:9" x14ac:dyDescent="0.2">
      <c r="A1929" s="40" t="s">
        <v>241</v>
      </c>
      <c r="B1929" s="28">
        <v>2416</v>
      </c>
      <c r="C1929" s="28">
        <v>5688307</v>
      </c>
      <c r="D1929" s="28"/>
      <c r="E1929" s="41">
        <v>46170</v>
      </c>
      <c r="F1929" s="47">
        <v>0.25715277777777779</v>
      </c>
      <c r="G1929" s="44">
        <v>6.3</v>
      </c>
      <c r="H1929" s="43" t="s">
        <v>232</v>
      </c>
      <c r="I1929" s="40" t="s">
        <v>1300</v>
      </c>
    </row>
    <row r="1930" spans="1:9" x14ac:dyDescent="0.2">
      <c r="A1930" s="40" t="s">
        <v>125</v>
      </c>
      <c r="B1930" s="28">
        <v>2441</v>
      </c>
      <c r="C1930" s="28" t="s">
        <v>35</v>
      </c>
      <c r="D1930" s="28" t="s">
        <v>38</v>
      </c>
      <c r="E1930" s="41">
        <v>46172</v>
      </c>
      <c r="F1930" s="47">
        <v>0.6996296296296296</v>
      </c>
      <c r="G1930" s="44">
        <v>6.3</v>
      </c>
      <c r="H1930" s="43" t="s">
        <v>229</v>
      </c>
      <c r="I1930" s="40" t="s">
        <v>1300</v>
      </c>
    </row>
    <row r="1931" spans="1:9" x14ac:dyDescent="0.2">
      <c r="A1931" s="40" t="s">
        <v>126</v>
      </c>
      <c r="B1931" s="28">
        <v>2463</v>
      </c>
      <c r="C1931" s="28" t="s">
        <v>728</v>
      </c>
      <c r="D1931" s="28"/>
      <c r="E1931" s="45">
        <v>46167</v>
      </c>
      <c r="F1931" s="48">
        <v>0.51162037037037034</v>
      </c>
      <c r="G1931" s="44">
        <v>6.3</v>
      </c>
      <c r="H1931" s="43" t="s">
        <v>228</v>
      </c>
      <c r="I1931" s="40" t="s">
        <v>1300</v>
      </c>
    </row>
    <row r="1932" spans="1:9" x14ac:dyDescent="0.2">
      <c r="A1932" s="40" t="s">
        <v>126</v>
      </c>
      <c r="B1932" s="28">
        <v>2463</v>
      </c>
      <c r="C1932" s="28" t="s">
        <v>728</v>
      </c>
      <c r="D1932" s="28"/>
      <c r="E1932" s="41">
        <v>46167</v>
      </c>
      <c r="F1932" s="47">
        <v>0.52187499999999998</v>
      </c>
      <c r="G1932" s="44">
        <v>6.3</v>
      </c>
      <c r="H1932" s="43" t="s">
        <v>229</v>
      </c>
      <c r="I1932" s="40" t="s">
        <v>1300</v>
      </c>
    </row>
    <row r="1933" spans="1:9" x14ac:dyDescent="0.2">
      <c r="A1933" s="40" t="s">
        <v>126</v>
      </c>
      <c r="B1933" s="28">
        <v>2463</v>
      </c>
      <c r="C1933" s="28" t="s">
        <v>35</v>
      </c>
      <c r="D1933" s="28" t="s">
        <v>38</v>
      </c>
      <c r="E1933" s="41">
        <v>46168</v>
      </c>
      <c r="F1933" s="47">
        <v>0.80467592592592596</v>
      </c>
      <c r="G1933" s="44">
        <v>6.3</v>
      </c>
      <c r="H1933" s="43" t="s">
        <v>228</v>
      </c>
      <c r="I1933" s="40" t="s">
        <v>1300</v>
      </c>
    </row>
    <row r="1934" spans="1:9" x14ac:dyDescent="0.2">
      <c r="A1934" s="40" t="s">
        <v>126</v>
      </c>
      <c r="B1934" s="28">
        <v>2463</v>
      </c>
      <c r="C1934" s="28" t="s">
        <v>35</v>
      </c>
      <c r="D1934" s="28" t="s">
        <v>38</v>
      </c>
      <c r="E1934" s="41">
        <v>46168</v>
      </c>
      <c r="F1934" s="47">
        <v>0.81961805555555556</v>
      </c>
      <c r="G1934" s="44">
        <v>6.3</v>
      </c>
      <c r="H1934" s="43" t="s">
        <v>229</v>
      </c>
      <c r="I1934" s="40" t="s">
        <v>1300</v>
      </c>
    </row>
    <row r="1935" spans="1:9" x14ac:dyDescent="0.2">
      <c r="A1935" s="40" t="s">
        <v>126</v>
      </c>
      <c r="B1935" s="28">
        <v>2463</v>
      </c>
      <c r="C1935" s="28" t="s">
        <v>35</v>
      </c>
      <c r="D1935" s="28" t="s">
        <v>38</v>
      </c>
      <c r="E1935" s="45">
        <v>46168</v>
      </c>
      <c r="F1935" s="48">
        <v>0.84663194444444445</v>
      </c>
      <c r="G1935" s="44">
        <v>6.3</v>
      </c>
      <c r="H1935" s="43" t="s">
        <v>230</v>
      </c>
      <c r="I1935" s="40" t="s">
        <v>1300</v>
      </c>
    </row>
    <row r="1936" spans="1:9" x14ac:dyDescent="0.2">
      <c r="A1936" s="40" t="s">
        <v>126</v>
      </c>
      <c r="B1936" s="28">
        <v>2463</v>
      </c>
      <c r="C1936" s="28" t="s">
        <v>35</v>
      </c>
      <c r="D1936" s="28" t="s">
        <v>38</v>
      </c>
      <c r="E1936" s="41">
        <v>46168</v>
      </c>
      <c r="F1936" s="47">
        <v>0.85499999999999998</v>
      </c>
      <c r="G1936" s="44">
        <v>6.3</v>
      </c>
      <c r="H1936" s="43" t="s">
        <v>227</v>
      </c>
      <c r="I1936" s="40" t="s">
        <v>1300</v>
      </c>
    </row>
    <row r="1937" spans="1:9" x14ac:dyDescent="0.2">
      <c r="A1937" s="40" t="s">
        <v>126</v>
      </c>
      <c r="B1937" s="28">
        <v>2463</v>
      </c>
      <c r="C1937" s="28" t="s">
        <v>35</v>
      </c>
      <c r="D1937" s="28" t="s">
        <v>38</v>
      </c>
      <c r="E1937" s="41">
        <v>46170</v>
      </c>
      <c r="F1937" s="47">
        <v>0.95011574074074079</v>
      </c>
      <c r="G1937" s="44">
        <v>6.3</v>
      </c>
      <c r="H1937" s="43" t="s">
        <v>228</v>
      </c>
      <c r="I1937" s="40" t="s">
        <v>1300</v>
      </c>
    </row>
    <row r="1938" spans="1:9" x14ac:dyDescent="0.2">
      <c r="A1938" s="40" t="s">
        <v>126</v>
      </c>
      <c r="B1938" s="28">
        <v>2463</v>
      </c>
      <c r="C1938" s="28" t="s">
        <v>35</v>
      </c>
      <c r="D1938" s="28" t="s">
        <v>38</v>
      </c>
      <c r="E1938" s="41">
        <v>46170</v>
      </c>
      <c r="F1938" s="47">
        <v>0.95763888888888893</v>
      </c>
      <c r="G1938" s="44">
        <v>6.3</v>
      </c>
      <c r="H1938" s="43" t="s">
        <v>229</v>
      </c>
      <c r="I1938" s="40" t="s">
        <v>1300</v>
      </c>
    </row>
    <row r="1939" spans="1:9" x14ac:dyDescent="0.2">
      <c r="A1939" s="40" t="s">
        <v>126</v>
      </c>
      <c r="B1939" s="28">
        <v>2463</v>
      </c>
      <c r="C1939" s="28" t="s">
        <v>35</v>
      </c>
      <c r="D1939" s="28" t="s">
        <v>38</v>
      </c>
      <c r="E1939" s="41">
        <v>46171</v>
      </c>
      <c r="F1939" s="47">
        <v>8.2094907407407408E-2</v>
      </c>
      <c r="G1939" s="44">
        <v>6.3</v>
      </c>
      <c r="H1939" s="43" t="s">
        <v>228</v>
      </c>
      <c r="I1939" s="40" t="s">
        <v>1300</v>
      </c>
    </row>
    <row r="1940" spans="1:9" x14ac:dyDescent="0.2">
      <c r="A1940" s="40" t="s">
        <v>126</v>
      </c>
      <c r="B1940" s="28">
        <v>2463</v>
      </c>
      <c r="C1940" s="28" t="s">
        <v>35</v>
      </c>
      <c r="D1940" s="28" t="s">
        <v>38</v>
      </c>
      <c r="E1940" s="41">
        <v>46171</v>
      </c>
      <c r="F1940" s="47">
        <v>9.0023148148148144E-2</v>
      </c>
      <c r="G1940" s="44">
        <v>6.3</v>
      </c>
      <c r="H1940" s="43" t="s">
        <v>229</v>
      </c>
      <c r="I1940" s="40" t="s">
        <v>1300</v>
      </c>
    </row>
    <row r="1941" spans="1:9" x14ac:dyDescent="0.2">
      <c r="A1941" s="40" t="s">
        <v>729</v>
      </c>
      <c r="B1941" s="28">
        <v>2467</v>
      </c>
      <c r="C1941" s="28" t="s">
        <v>35</v>
      </c>
      <c r="D1941" s="28" t="s">
        <v>38</v>
      </c>
      <c r="E1941" s="41">
        <v>46168</v>
      </c>
      <c r="F1941" s="47">
        <v>1.9328703703703704E-3</v>
      </c>
      <c r="G1941" s="44">
        <v>6.3</v>
      </c>
      <c r="H1941" s="43" t="s">
        <v>230</v>
      </c>
      <c r="I1941" s="40" t="s">
        <v>1300</v>
      </c>
    </row>
    <row r="1942" spans="1:9" x14ac:dyDescent="0.2">
      <c r="A1942" s="40" t="s">
        <v>730</v>
      </c>
      <c r="B1942" s="28">
        <v>2484</v>
      </c>
      <c r="C1942" s="28" t="s">
        <v>35</v>
      </c>
      <c r="D1942" s="28" t="s">
        <v>38</v>
      </c>
      <c r="E1942" s="41">
        <v>46172</v>
      </c>
      <c r="F1942" s="47">
        <v>0.77152777777777781</v>
      </c>
      <c r="G1942" s="44">
        <v>6.3</v>
      </c>
      <c r="H1942" s="43" t="s">
        <v>228</v>
      </c>
      <c r="I1942" s="40" t="s">
        <v>1301</v>
      </c>
    </row>
    <row r="1943" spans="1:9" x14ac:dyDescent="0.2">
      <c r="A1943" s="40" t="s">
        <v>127</v>
      </c>
      <c r="B1943" s="28">
        <v>2501</v>
      </c>
      <c r="C1943" s="28">
        <v>5691827</v>
      </c>
      <c r="D1943" s="28"/>
      <c r="E1943" s="41">
        <v>46170</v>
      </c>
      <c r="F1943" s="47">
        <v>0.82437499999999997</v>
      </c>
      <c r="G1943" s="44">
        <v>6.3</v>
      </c>
      <c r="H1943" s="43" t="s">
        <v>230</v>
      </c>
      <c r="I1943" s="40" t="s">
        <v>1300</v>
      </c>
    </row>
    <row r="1944" spans="1:9" x14ac:dyDescent="0.2">
      <c r="A1944" s="40" t="s">
        <v>127</v>
      </c>
      <c r="B1944" s="28">
        <v>2501</v>
      </c>
      <c r="C1944" s="28">
        <v>5692359</v>
      </c>
      <c r="D1944" s="28"/>
      <c r="E1944" s="41">
        <v>46170</v>
      </c>
      <c r="F1944" s="47">
        <v>0.97341435185185188</v>
      </c>
      <c r="G1944" s="44">
        <v>6.3</v>
      </c>
      <c r="H1944" s="43" t="s">
        <v>228</v>
      </c>
      <c r="I1944" s="40" t="s">
        <v>1300</v>
      </c>
    </row>
    <row r="1945" spans="1:9" x14ac:dyDescent="0.2">
      <c r="A1945" s="40" t="s">
        <v>127</v>
      </c>
      <c r="B1945" s="28">
        <v>2501</v>
      </c>
      <c r="C1945" s="28">
        <v>5692359</v>
      </c>
      <c r="D1945" s="28"/>
      <c r="E1945" s="41">
        <v>46170</v>
      </c>
      <c r="F1945" s="47">
        <v>0.98112268518518519</v>
      </c>
      <c r="G1945" s="42">
        <v>6.3</v>
      </c>
      <c r="H1945" s="40" t="s">
        <v>229</v>
      </c>
      <c r="I1945" s="40" t="s">
        <v>1300</v>
      </c>
    </row>
    <row r="1946" spans="1:9" x14ac:dyDescent="0.2">
      <c r="A1946" s="40" t="s">
        <v>127</v>
      </c>
      <c r="B1946" s="28">
        <v>2501</v>
      </c>
      <c r="C1946" s="28">
        <v>5690877</v>
      </c>
      <c r="D1946" s="28"/>
      <c r="E1946" s="45">
        <v>46171</v>
      </c>
      <c r="F1946" s="48">
        <v>0.15108796296296295</v>
      </c>
      <c r="G1946" s="42">
        <v>6.3</v>
      </c>
      <c r="H1946" s="40" t="s">
        <v>230</v>
      </c>
      <c r="I1946" s="40" t="s">
        <v>1300</v>
      </c>
    </row>
    <row r="1947" spans="1:9" x14ac:dyDescent="0.2">
      <c r="A1947" s="40" t="s">
        <v>127</v>
      </c>
      <c r="B1947" s="28">
        <v>2501</v>
      </c>
      <c r="C1947" s="28">
        <v>5690877</v>
      </c>
      <c r="D1947" s="28"/>
      <c r="E1947" s="41">
        <v>46171</v>
      </c>
      <c r="F1947" s="47">
        <v>0.15640046296296295</v>
      </c>
      <c r="G1947" s="44">
        <v>6.3</v>
      </c>
      <c r="H1947" s="43" t="s">
        <v>227</v>
      </c>
      <c r="I1947" s="40" t="s">
        <v>1300</v>
      </c>
    </row>
    <row r="1948" spans="1:9" x14ac:dyDescent="0.2">
      <c r="A1948" s="40" t="s">
        <v>127</v>
      </c>
      <c r="B1948" s="28">
        <v>2501</v>
      </c>
      <c r="C1948" s="28" t="s">
        <v>35</v>
      </c>
      <c r="D1948" s="28" t="s">
        <v>38</v>
      </c>
      <c r="E1948" s="41">
        <v>46172</v>
      </c>
      <c r="F1948" s="47">
        <v>0.61187499999999995</v>
      </c>
      <c r="G1948" s="44">
        <v>6.3</v>
      </c>
      <c r="H1948" s="43" t="s">
        <v>230</v>
      </c>
      <c r="I1948" s="40" t="s">
        <v>1300</v>
      </c>
    </row>
    <row r="1949" spans="1:9" x14ac:dyDescent="0.2">
      <c r="A1949" s="40" t="s">
        <v>127</v>
      </c>
      <c r="B1949" s="28">
        <v>2501</v>
      </c>
      <c r="C1949" s="28">
        <v>5695250</v>
      </c>
      <c r="D1949" s="28"/>
      <c r="E1949" s="41">
        <v>46172</v>
      </c>
      <c r="F1949" s="47">
        <v>0.9701967592592593</v>
      </c>
      <c r="G1949" s="44">
        <v>6.3</v>
      </c>
      <c r="H1949" s="43" t="s">
        <v>228</v>
      </c>
      <c r="I1949" s="40" t="s">
        <v>1300</v>
      </c>
    </row>
    <row r="1950" spans="1:9" x14ac:dyDescent="0.2">
      <c r="A1950" s="40" t="s">
        <v>127</v>
      </c>
      <c r="B1950" s="28">
        <v>2501</v>
      </c>
      <c r="C1950" s="28">
        <v>5695250</v>
      </c>
      <c r="D1950" s="28"/>
      <c r="E1950" s="41">
        <v>46172</v>
      </c>
      <c r="F1950" s="47">
        <v>0.97759259259259257</v>
      </c>
      <c r="G1950" s="44">
        <v>6.3</v>
      </c>
      <c r="H1950" s="43" t="s">
        <v>229</v>
      </c>
      <c r="I1950" s="40" t="s">
        <v>1300</v>
      </c>
    </row>
    <row r="1951" spans="1:9" x14ac:dyDescent="0.2">
      <c r="A1951" s="40" t="s">
        <v>127</v>
      </c>
      <c r="B1951" s="28">
        <v>2501</v>
      </c>
      <c r="C1951" s="28">
        <v>5695238</v>
      </c>
      <c r="D1951" s="28"/>
      <c r="E1951" s="41">
        <v>46173</v>
      </c>
      <c r="F1951" s="47">
        <v>0.13939814814814816</v>
      </c>
      <c r="G1951" s="44">
        <v>6.3</v>
      </c>
      <c r="H1951" s="43" t="s">
        <v>230</v>
      </c>
      <c r="I1951" s="40" t="s">
        <v>1300</v>
      </c>
    </row>
    <row r="1952" spans="1:9" x14ac:dyDescent="0.2">
      <c r="A1952" s="40" t="s">
        <v>127</v>
      </c>
      <c r="B1952" s="28">
        <v>2501</v>
      </c>
      <c r="C1952" s="28">
        <v>5695238</v>
      </c>
      <c r="D1952" s="28"/>
      <c r="E1952" s="41">
        <v>46173</v>
      </c>
      <c r="F1952" s="47">
        <v>0.14439814814814814</v>
      </c>
      <c r="G1952" s="44">
        <v>6.3</v>
      </c>
      <c r="H1952" s="43" t="s">
        <v>227</v>
      </c>
      <c r="I1952" s="40" t="s">
        <v>1300</v>
      </c>
    </row>
    <row r="1953" spans="1:9" x14ac:dyDescent="0.2">
      <c r="A1953" s="40" t="s">
        <v>127</v>
      </c>
      <c r="B1953" s="28">
        <v>2501</v>
      </c>
      <c r="C1953" s="28" t="s">
        <v>35</v>
      </c>
      <c r="D1953" s="28" t="s">
        <v>38</v>
      </c>
      <c r="E1953" s="41">
        <v>46173</v>
      </c>
      <c r="F1953" s="47">
        <v>0.57854166666666662</v>
      </c>
      <c r="G1953" s="44">
        <v>6.3</v>
      </c>
      <c r="H1953" s="43" t="s">
        <v>230</v>
      </c>
      <c r="I1953" s="40" t="s">
        <v>1300</v>
      </c>
    </row>
    <row r="1954" spans="1:9" x14ac:dyDescent="0.2">
      <c r="A1954" s="40" t="s">
        <v>419</v>
      </c>
      <c r="B1954" s="28">
        <v>2520</v>
      </c>
      <c r="C1954" s="28">
        <v>5685162</v>
      </c>
      <c r="D1954" s="28"/>
      <c r="E1954" s="41">
        <v>46167</v>
      </c>
      <c r="F1954" s="47">
        <v>0.22137731481481482</v>
      </c>
      <c r="G1954" s="44">
        <v>6.3</v>
      </c>
      <c r="H1954" s="43" t="s">
        <v>228</v>
      </c>
      <c r="I1954" s="40" t="s">
        <v>1300</v>
      </c>
    </row>
    <row r="1955" spans="1:9" x14ac:dyDescent="0.2">
      <c r="A1955" s="40" t="s">
        <v>419</v>
      </c>
      <c r="B1955" s="28">
        <v>2520</v>
      </c>
      <c r="C1955" s="28">
        <v>5685162</v>
      </c>
      <c r="D1955" s="28"/>
      <c r="E1955" s="41">
        <v>46167</v>
      </c>
      <c r="F1955" s="47">
        <v>0.22750000000000001</v>
      </c>
      <c r="G1955" s="44">
        <v>6.3</v>
      </c>
      <c r="H1955" s="43" t="s">
        <v>229</v>
      </c>
      <c r="I1955" s="40" t="s">
        <v>1300</v>
      </c>
    </row>
    <row r="1956" spans="1:9" x14ac:dyDescent="0.2">
      <c r="A1956" s="40" t="s">
        <v>419</v>
      </c>
      <c r="B1956" s="28">
        <v>2520</v>
      </c>
      <c r="C1956" s="28">
        <v>5685420</v>
      </c>
      <c r="D1956" s="28"/>
      <c r="E1956" s="41">
        <v>46167</v>
      </c>
      <c r="F1956" s="47">
        <v>0.28723379629629631</v>
      </c>
      <c r="G1956" s="44">
        <v>6.3</v>
      </c>
      <c r="H1956" s="43" t="s">
        <v>230</v>
      </c>
      <c r="I1956" s="40" t="s">
        <v>1300</v>
      </c>
    </row>
    <row r="1957" spans="1:9" x14ac:dyDescent="0.2">
      <c r="A1957" s="40" t="s">
        <v>419</v>
      </c>
      <c r="B1957" s="28">
        <v>2520</v>
      </c>
      <c r="C1957" s="28">
        <v>5685420</v>
      </c>
      <c r="D1957" s="28"/>
      <c r="E1957" s="41">
        <v>46167</v>
      </c>
      <c r="F1957" s="47">
        <v>0.29476851851851854</v>
      </c>
      <c r="G1957" s="42">
        <v>6.3</v>
      </c>
      <c r="H1957" s="40" t="s">
        <v>227</v>
      </c>
      <c r="I1957" s="40" t="s">
        <v>1300</v>
      </c>
    </row>
    <row r="1958" spans="1:9" x14ac:dyDescent="0.2">
      <c r="A1958" s="40" t="s">
        <v>419</v>
      </c>
      <c r="B1958" s="28">
        <v>2520</v>
      </c>
      <c r="C1958" s="28" t="s">
        <v>35</v>
      </c>
      <c r="D1958" s="28" t="s">
        <v>38</v>
      </c>
      <c r="E1958" s="41">
        <v>46167</v>
      </c>
      <c r="F1958" s="47">
        <v>0.89675925925925926</v>
      </c>
      <c r="G1958" s="42">
        <v>6.3</v>
      </c>
      <c r="H1958" s="40" t="s">
        <v>229</v>
      </c>
      <c r="I1958" s="40" t="s">
        <v>1300</v>
      </c>
    </row>
    <row r="1959" spans="1:9" x14ac:dyDescent="0.2">
      <c r="A1959" s="40" t="s">
        <v>419</v>
      </c>
      <c r="B1959" s="28">
        <v>2520</v>
      </c>
      <c r="C1959" s="28">
        <v>5687611</v>
      </c>
      <c r="D1959" s="28"/>
      <c r="E1959" s="41">
        <v>46168</v>
      </c>
      <c r="F1959" s="47">
        <v>0.47298611111111111</v>
      </c>
      <c r="G1959" s="44">
        <v>6.3</v>
      </c>
      <c r="H1959" s="43" t="s">
        <v>230</v>
      </c>
      <c r="I1959" s="40" t="s">
        <v>1300</v>
      </c>
    </row>
    <row r="1960" spans="1:9" x14ac:dyDescent="0.2">
      <c r="A1960" s="40" t="s">
        <v>419</v>
      </c>
      <c r="B1960" s="28">
        <v>2520</v>
      </c>
      <c r="C1960" s="28">
        <v>5688288</v>
      </c>
      <c r="D1960" s="28"/>
      <c r="E1960" s="41">
        <v>46168</v>
      </c>
      <c r="F1960" s="47">
        <v>0.79432870370370368</v>
      </c>
      <c r="G1960" s="44">
        <v>6.3</v>
      </c>
      <c r="H1960" s="43" t="s">
        <v>228</v>
      </c>
      <c r="I1960" s="40" t="s">
        <v>1300</v>
      </c>
    </row>
    <row r="1961" spans="1:9" x14ac:dyDescent="0.2">
      <c r="A1961" s="40" t="s">
        <v>419</v>
      </c>
      <c r="B1961" s="28">
        <v>2520</v>
      </c>
      <c r="C1961" s="28">
        <v>5688288</v>
      </c>
      <c r="D1961" s="28"/>
      <c r="E1961" s="41">
        <v>46168</v>
      </c>
      <c r="F1961" s="47">
        <v>0.80562500000000004</v>
      </c>
      <c r="G1961" s="44">
        <v>6.3</v>
      </c>
      <c r="H1961" s="43" t="s">
        <v>229</v>
      </c>
      <c r="I1961" s="40" t="s">
        <v>1300</v>
      </c>
    </row>
    <row r="1962" spans="1:9" x14ac:dyDescent="0.2">
      <c r="A1962" s="40" t="s">
        <v>419</v>
      </c>
      <c r="B1962" s="28">
        <v>2520</v>
      </c>
      <c r="C1962" s="28" t="s">
        <v>35</v>
      </c>
      <c r="D1962" s="28" t="s">
        <v>38</v>
      </c>
      <c r="E1962" s="41">
        <v>46169</v>
      </c>
      <c r="F1962" s="47">
        <v>0.54940972222222217</v>
      </c>
      <c r="G1962" s="44">
        <v>6.3</v>
      </c>
      <c r="H1962" s="43" t="s">
        <v>229</v>
      </c>
      <c r="I1962" s="40" t="s">
        <v>1300</v>
      </c>
    </row>
    <row r="1963" spans="1:9" x14ac:dyDescent="0.2">
      <c r="A1963" s="40" t="s">
        <v>419</v>
      </c>
      <c r="B1963" s="28">
        <v>2520</v>
      </c>
      <c r="C1963" s="28">
        <v>5690602</v>
      </c>
      <c r="D1963" s="28"/>
      <c r="E1963" s="41">
        <v>46170</v>
      </c>
      <c r="F1963" s="47">
        <v>0.74156250000000001</v>
      </c>
      <c r="G1963" s="44">
        <v>6.3</v>
      </c>
      <c r="H1963" s="43" t="s">
        <v>228</v>
      </c>
      <c r="I1963" s="40" t="s">
        <v>1300</v>
      </c>
    </row>
    <row r="1964" spans="1:9" x14ac:dyDescent="0.2">
      <c r="A1964" s="40" t="s">
        <v>419</v>
      </c>
      <c r="B1964" s="28">
        <v>2520</v>
      </c>
      <c r="C1964" s="28">
        <v>5690602</v>
      </c>
      <c r="D1964" s="28"/>
      <c r="E1964" s="45">
        <v>46170</v>
      </c>
      <c r="F1964" s="48">
        <v>0.75289351851851849</v>
      </c>
      <c r="G1964" s="44">
        <v>6.3</v>
      </c>
      <c r="H1964" s="43" t="s">
        <v>229</v>
      </c>
      <c r="I1964" s="40" t="s">
        <v>1300</v>
      </c>
    </row>
    <row r="1965" spans="1:9" x14ac:dyDescent="0.2">
      <c r="A1965" s="40" t="s">
        <v>419</v>
      </c>
      <c r="B1965" s="28">
        <v>2520</v>
      </c>
      <c r="C1965" s="28">
        <v>5694198</v>
      </c>
      <c r="D1965" s="28"/>
      <c r="E1965" s="41">
        <v>46172</v>
      </c>
      <c r="F1965" s="47">
        <v>0.33133101851851854</v>
      </c>
      <c r="G1965" s="44">
        <v>6.3</v>
      </c>
      <c r="H1965" s="43" t="s">
        <v>230</v>
      </c>
      <c r="I1965" s="40" t="s">
        <v>1300</v>
      </c>
    </row>
    <row r="1966" spans="1:9" x14ac:dyDescent="0.2">
      <c r="A1966" s="40" t="s">
        <v>419</v>
      </c>
      <c r="B1966" s="28">
        <v>2520</v>
      </c>
      <c r="C1966" s="28">
        <v>5694645</v>
      </c>
      <c r="D1966" s="28"/>
      <c r="E1966" s="41">
        <v>46172</v>
      </c>
      <c r="F1966" s="47">
        <v>0.61759259259259258</v>
      </c>
      <c r="G1966" s="44">
        <v>6.3</v>
      </c>
      <c r="H1966" s="43" t="s">
        <v>229</v>
      </c>
      <c r="I1966" s="40" t="s">
        <v>1300</v>
      </c>
    </row>
    <row r="1967" spans="1:9" x14ac:dyDescent="0.2">
      <c r="A1967" s="40" t="s">
        <v>419</v>
      </c>
      <c r="B1967" s="28">
        <v>2520</v>
      </c>
      <c r="C1967" s="28">
        <v>5693694</v>
      </c>
      <c r="D1967" s="28"/>
      <c r="E1967" s="41">
        <v>46173</v>
      </c>
      <c r="F1967" s="47">
        <v>0.17550925925925925</v>
      </c>
      <c r="G1967" s="44">
        <v>6.3</v>
      </c>
      <c r="H1967" s="43" t="s">
        <v>230</v>
      </c>
      <c r="I1967" s="40" t="s">
        <v>1300</v>
      </c>
    </row>
    <row r="1968" spans="1:9" x14ac:dyDescent="0.2">
      <c r="A1968" s="40" t="s">
        <v>419</v>
      </c>
      <c r="B1968" s="28">
        <v>2520</v>
      </c>
      <c r="C1968" s="28">
        <v>5693694</v>
      </c>
      <c r="D1968" s="28"/>
      <c r="E1968" s="41">
        <v>46173</v>
      </c>
      <c r="F1968" s="47">
        <v>0.1801851851851852</v>
      </c>
      <c r="G1968" s="44">
        <v>6.3</v>
      </c>
      <c r="H1968" s="43" t="s">
        <v>227</v>
      </c>
      <c r="I1968" s="40" t="s">
        <v>1300</v>
      </c>
    </row>
    <row r="1969" spans="1:9" x14ac:dyDescent="0.2">
      <c r="A1969" s="40" t="s">
        <v>128</v>
      </c>
      <c r="B1969" s="28">
        <v>2547</v>
      </c>
      <c r="C1969" s="28">
        <v>5686247</v>
      </c>
      <c r="D1969" s="28"/>
      <c r="E1969" s="41">
        <v>46167</v>
      </c>
      <c r="F1969" s="47">
        <v>0.84704861111111107</v>
      </c>
      <c r="G1969" s="44">
        <v>6.3</v>
      </c>
      <c r="H1969" s="43" t="s">
        <v>231</v>
      </c>
      <c r="I1969" s="40" t="s">
        <v>1300</v>
      </c>
    </row>
    <row r="1970" spans="1:9" x14ac:dyDescent="0.2">
      <c r="A1970" s="40" t="s">
        <v>128</v>
      </c>
      <c r="B1970" s="28">
        <v>2547</v>
      </c>
      <c r="C1970" s="28" t="s">
        <v>35</v>
      </c>
      <c r="D1970" s="28" t="s">
        <v>38</v>
      </c>
      <c r="E1970" s="41">
        <v>46169</v>
      </c>
      <c r="F1970" s="47">
        <v>0.40049768518518519</v>
      </c>
      <c r="G1970" s="44">
        <v>6.3</v>
      </c>
      <c r="H1970" s="43" t="s">
        <v>231</v>
      </c>
      <c r="I1970" s="40" t="s">
        <v>1300</v>
      </c>
    </row>
    <row r="1971" spans="1:9" x14ac:dyDescent="0.2">
      <c r="A1971" s="40" t="s">
        <v>128</v>
      </c>
      <c r="B1971" s="28">
        <v>2547</v>
      </c>
      <c r="C1971" s="28" t="s">
        <v>35</v>
      </c>
      <c r="D1971" s="28" t="s">
        <v>38</v>
      </c>
      <c r="E1971" s="41">
        <v>46169</v>
      </c>
      <c r="F1971" s="47">
        <v>0.43862268518518521</v>
      </c>
      <c r="G1971" s="44">
        <v>6.3</v>
      </c>
      <c r="H1971" s="43" t="s">
        <v>232</v>
      </c>
      <c r="I1971" s="40" t="s">
        <v>1300</v>
      </c>
    </row>
    <row r="1972" spans="1:9" x14ac:dyDescent="0.2">
      <c r="A1972" s="40" t="s">
        <v>128</v>
      </c>
      <c r="B1972" s="28">
        <v>2547</v>
      </c>
      <c r="C1972" s="28">
        <v>5691319</v>
      </c>
      <c r="D1972" s="28"/>
      <c r="E1972" s="45">
        <v>46170</v>
      </c>
      <c r="F1972" s="48">
        <v>0.76501157407407405</v>
      </c>
      <c r="G1972" s="44">
        <v>6.3</v>
      </c>
      <c r="H1972" s="43" t="s">
        <v>228</v>
      </c>
      <c r="I1972" s="40" t="s">
        <v>1300</v>
      </c>
    </row>
    <row r="1973" spans="1:9" x14ac:dyDescent="0.2">
      <c r="A1973" s="40" t="s">
        <v>128</v>
      </c>
      <c r="B1973" s="28">
        <v>2547</v>
      </c>
      <c r="C1973" s="28">
        <v>5691319</v>
      </c>
      <c r="D1973" s="28" t="s">
        <v>36</v>
      </c>
      <c r="E1973" s="45">
        <v>46170</v>
      </c>
      <c r="F1973" s="48">
        <v>0.77761574074074069</v>
      </c>
      <c r="G1973" s="44">
        <v>6.3</v>
      </c>
      <c r="H1973" s="43" t="s">
        <v>229</v>
      </c>
      <c r="I1973" s="40" t="s">
        <v>1300</v>
      </c>
    </row>
    <row r="1974" spans="1:9" x14ac:dyDescent="0.2">
      <c r="A1974" s="40" t="s">
        <v>128</v>
      </c>
      <c r="B1974" s="28">
        <v>2547</v>
      </c>
      <c r="C1974" s="28">
        <v>5692153</v>
      </c>
      <c r="D1974" s="28"/>
      <c r="E1974" s="41">
        <v>46171</v>
      </c>
      <c r="F1974" s="47">
        <v>0.29108796296296297</v>
      </c>
      <c r="G1974" s="44">
        <v>6.3</v>
      </c>
      <c r="H1974" s="43" t="s">
        <v>230</v>
      </c>
      <c r="I1974" s="40" t="s">
        <v>1300</v>
      </c>
    </row>
    <row r="1975" spans="1:9" x14ac:dyDescent="0.2">
      <c r="A1975" s="40" t="s">
        <v>128</v>
      </c>
      <c r="B1975" s="28">
        <v>2547</v>
      </c>
      <c r="C1975" s="28">
        <v>5692153</v>
      </c>
      <c r="D1975" s="28"/>
      <c r="E1975" s="45">
        <v>46171</v>
      </c>
      <c r="F1975" s="48">
        <v>0.30109953703703701</v>
      </c>
      <c r="G1975" s="42">
        <v>6.3</v>
      </c>
      <c r="H1975" s="40" t="s">
        <v>227</v>
      </c>
      <c r="I1975" s="40" t="s">
        <v>1300</v>
      </c>
    </row>
    <row r="1976" spans="1:9" x14ac:dyDescent="0.2">
      <c r="A1976" s="40" t="s">
        <v>128</v>
      </c>
      <c r="B1976" s="28">
        <v>2547</v>
      </c>
      <c r="C1976" s="28" t="s">
        <v>35</v>
      </c>
      <c r="D1976" s="28" t="s">
        <v>38</v>
      </c>
      <c r="E1976" s="41">
        <v>46173</v>
      </c>
      <c r="F1976" s="47">
        <v>0.29268518518518516</v>
      </c>
      <c r="G1976" s="42">
        <v>6.3</v>
      </c>
      <c r="H1976" s="40" t="s">
        <v>230</v>
      </c>
      <c r="I1976" s="40" t="s">
        <v>1300</v>
      </c>
    </row>
    <row r="1977" spans="1:9" x14ac:dyDescent="0.2">
      <c r="A1977" s="40" t="s">
        <v>128</v>
      </c>
      <c r="B1977" s="28">
        <v>2547</v>
      </c>
      <c r="C1977" s="28" t="s">
        <v>35</v>
      </c>
      <c r="D1977" s="28" t="s">
        <v>38</v>
      </c>
      <c r="E1977" s="41">
        <v>46173</v>
      </c>
      <c r="F1977" s="47">
        <v>0.38280092592592591</v>
      </c>
      <c r="G1977" s="42">
        <v>6.3</v>
      </c>
      <c r="H1977" s="40" t="s">
        <v>229</v>
      </c>
      <c r="I1977" s="40" t="s">
        <v>1300</v>
      </c>
    </row>
    <row r="1978" spans="1:9" x14ac:dyDescent="0.2">
      <c r="A1978" s="40" t="s">
        <v>134</v>
      </c>
      <c r="B1978" s="28">
        <v>2549</v>
      </c>
      <c r="C1978" s="28">
        <v>5685218</v>
      </c>
      <c r="D1978" s="28"/>
      <c r="E1978" s="41">
        <v>46167</v>
      </c>
      <c r="F1978" s="47">
        <v>0.16474537037037038</v>
      </c>
      <c r="G1978" s="42">
        <v>6.3</v>
      </c>
      <c r="H1978" s="40" t="s">
        <v>230</v>
      </c>
      <c r="I1978" s="40" t="s">
        <v>1300</v>
      </c>
    </row>
    <row r="1979" spans="1:9" x14ac:dyDescent="0.2">
      <c r="A1979" s="40" t="s">
        <v>134</v>
      </c>
      <c r="B1979" s="28">
        <v>2549</v>
      </c>
      <c r="C1979" s="28">
        <v>5685218</v>
      </c>
      <c r="D1979" s="28"/>
      <c r="E1979" s="41">
        <v>46167</v>
      </c>
      <c r="F1979" s="47">
        <v>0.16968749999999999</v>
      </c>
      <c r="G1979" s="44">
        <v>6.3</v>
      </c>
      <c r="H1979" s="43" t="s">
        <v>227</v>
      </c>
      <c r="I1979" s="40" t="s">
        <v>1300</v>
      </c>
    </row>
    <row r="1980" spans="1:9" x14ac:dyDescent="0.2">
      <c r="A1980" s="40" t="s">
        <v>134</v>
      </c>
      <c r="B1980" s="28">
        <v>2549</v>
      </c>
      <c r="C1980" s="28">
        <v>5686824</v>
      </c>
      <c r="D1980" s="28"/>
      <c r="E1980" s="45">
        <v>46168</v>
      </c>
      <c r="F1980" s="48">
        <v>0.17136574074074074</v>
      </c>
      <c r="G1980" s="44">
        <v>6.3</v>
      </c>
      <c r="H1980" s="43" t="s">
        <v>230</v>
      </c>
      <c r="I1980" s="40" t="s">
        <v>1300</v>
      </c>
    </row>
    <row r="1981" spans="1:9" x14ac:dyDescent="0.2">
      <c r="A1981" s="40" t="s">
        <v>134</v>
      </c>
      <c r="B1981" s="28">
        <v>2549</v>
      </c>
      <c r="C1981" s="28">
        <v>5686824</v>
      </c>
      <c r="D1981" s="28"/>
      <c r="E1981" s="45">
        <v>46168</v>
      </c>
      <c r="F1981" s="48">
        <v>0.17666666666666667</v>
      </c>
      <c r="G1981" s="44">
        <v>6.3</v>
      </c>
      <c r="H1981" s="43" t="s">
        <v>227</v>
      </c>
      <c r="I1981" s="40" t="s">
        <v>1300</v>
      </c>
    </row>
    <row r="1982" spans="1:9" x14ac:dyDescent="0.2">
      <c r="A1982" s="40" t="s">
        <v>134</v>
      </c>
      <c r="B1982" s="28">
        <v>2549</v>
      </c>
      <c r="C1982" s="28" t="s">
        <v>731</v>
      </c>
      <c r="D1982" s="28"/>
      <c r="E1982" s="41">
        <v>46169</v>
      </c>
      <c r="F1982" s="47">
        <v>0.40214120370370371</v>
      </c>
      <c r="G1982" s="44">
        <v>6.3</v>
      </c>
      <c r="H1982" s="43" t="s">
        <v>228</v>
      </c>
      <c r="I1982" s="40" t="s">
        <v>1300</v>
      </c>
    </row>
    <row r="1983" spans="1:9" x14ac:dyDescent="0.2">
      <c r="A1983" s="40" t="s">
        <v>134</v>
      </c>
      <c r="B1983" s="28">
        <v>2549</v>
      </c>
      <c r="C1983" s="28" t="s">
        <v>731</v>
      </c>
      <c r="D1983" s="28"/>
      <c r="E1983" s="41">
        <v>46169</v>
      </c>
      <c r="F1983" s="47">
        <v>0.41261574074074076</v>
      </c>
      <c r="G1983" s="44">
        <v>6.3</v>
      </c>
      <c r="H1983" s="43" t="s">
        <v>232</v>
      </c>
      <c r="I1983" s="40" t="s">
        <v>1300</v>
      </c>
    </row>
    <row r="1984" spans="1:9" x14ac:dyDescent="0.2">
      <c r="A1984" s="40" t="s">
        <v>134</v>
      </c>
      <c r="B1984" s="28">
        <v>2549</v>
      </c>
      <c r="C1984" s="28" t="s">
        <v>35</v>
      </c>
      <c r="D1984" s="28" t="s">
        <v>38</v>
      </c>
      <c r="E1984" s="41">
        <v>46169</v>
      </c>
      <c r="F1984" s="47">
        <v>0.45065972222222223</v>
      </c>
      <c r="G1984" s="44">
        <v>6.3</v>
      </c>
      <c r="H1984" s="43" t="s">
        <v>226</v>
      </c>
      <c r="I1984" s="40" t="s">
        <v>1300</v>
      </c>
    </row>
    <row r="1985" spans="1:9" x14ac:dyDescent="0.2">
      <c r="A1985" s="40" t="s">
        <v>134</v>
      </c>
      <c r="B1985" s="28">
        <v>2549</v>
      </c>
      <c r="C1985" s="28" t="s">
        <v>35</v>
      </c>
      <c r="D1985" s="28" t="s">
        <v>38</v>
      </c>
      <c r="E1985" s="41">
        <v>46169</v>
      </c>
      <c r="F1985" s="47">
        <v>0.45872685185185186</v>
      </c>
      <c r="G1985" s="44">
        <v>6.3</v>
      </c>
      <c r="H1985" s="43" t="s">
        <v>227</v>
      </c>
      <c r="I1985" s="40" t="s">
        <v>1300</v>
      </c>
    </row>
    <row r="1986" spans="1:9" x14ac:dyDescent="0.2">
      <c r="A1986" s="40" t="s">
        <v>134</v>
      </c>
      <c r="B1986" s="28">
        <v>2549</v>
      </c>
      <c r="C1986" s="28">
        <v>5690491</v>
      </c>
      <c r="D1986" s="28"/>
      <c r="E1986" s="41">
        <v>46170</v>
      </c>
      <c r="F1986" s="47">
        <v>0.18089120370370371</v>
      </c>
      <c r="G1986" s="44">
        <v>6.3</v>
      </c>
      <c r="H1986" s="43" t="s">
        <v>230</v>
      </c>
      <c r="I1986" s="40" t="s">
        <v>1300</v>
      </c>
    </row>
    <row r="1987" spans="1:9" x14ac:dyDescent="0.2">
      <c r="A1987" s="40" t="s">
        <v>134</v>
      </c>
      <c r="B1987" s="28">
        <v>2549</v>
      </c>
      <c r="C1987" s="28">
        <v>5690491</v>
      </c>
      <c r="D1987" s="28"/>
      <c r="E1987" s="41">
        <v>46170</v>
      </c>
      <c r="F1987" s="47">
        <v>0.18649305555555556</v>
      </c>
      <c r="G1987" s="44">
        <v>6.3</v>
      </c>
      <c r="H1987" s="43" t="s">
        <v>227</v>
      </c>
      <c r="I1987" s="40" t="s">
        <v>1300</v>
      </c>
    </row>
    <row r="1988" spans="1:9" x14ac:dyDescent="0.2">
      <c r="A1988" s="40" t="s">
        <v>134</v>
      </c>
      <c r="B1988" s="28">
        <v>2549</v>
      </c>
      <c r="C1988" s="28">
        <v>5691464</v>
      </c>
      <c r="D1988" s="28"/>
      <c r="E1988" s="41">
        <v>46170</v>
      </c>
      <c r="F1988" s="47">
        <v>0.59225694444444443</v>
      </c>
      <c r="G1988" s="44">
        <v>6.3</v>
      </c>
      <c r="H1988" s="43" t="s">
        <v>229</v>
      </c>
      <c r="I1988" s="40" t="s">
        <v>1300</v>
      </c>
    </row>
    <row r="1989" spans="1:9" x14ac:dyDescent="0.2">
      <c r="A1989" s="40" t="s">
        <v>420</v>
      </c>
      <c r="B1989" s="28">
        <v>2583</v>
      </c>
      <c r="C1989" s="28">
        <v>5684571</v>
      </c>
      <c r="D1989" s="28"/>
      <c r="E1989" s="41">
        <v>46167</v>
      </c>
      <c r="F1989" s="47">
        <v>0.15379629629629629</v>
      </c>
      <c r="G1989" s="44">
        <v>6.3</v>
      </c>
      <c r="H1989" s="43" t="s">
        <v>234</v>
      </c>
      <c r="I1989" s="40" t="s">
        <v>1300</v>
      </c>
    </row>
    <row r="1990" spans="1:9" x14ac:dyDescent="0.2">
      <c r="A1990" s="40" t="s">
        <v>420</v>
      </c>
      <c r="B1990" s="28">
        <v>2583</v>
      </c>
      <c r="C1990" s="28">
        <v>5684571</v>
      </c>
      <c r="D1990" s="28"/>
      <c r="E1990" s="41">
        <v>46167</v>
      </c>
      <c r="F1990" s="47">
        <v>0.1567361111111111</v>
      </c>
      <c r="G1990" s="42">
        <v>6.3</v>
      </c>
      <c r="H1990" s="40" t="s">
        <v>227</v>
      </c>
      <c r="I1990" s="40" t="s">
        <v>1300</v>
      </c>
    </row>
    <row r="1991" spans="1:9" x14ac:dyDescent="0.2">
      <c r="A1991" s="40" t="s">
        <v>420</v>
      </c>
      <c r="B1991" s="28">
        <v>2583</v>
      </c>
      <c r="C1991" s="28">
        <v>5686573</v>
      </c>
      <c r="D1991" s="28"/>
      <c r="E1991" s="41">
        <v>46167</v>
      </c>
      <c r="F1991" s="47">
        <v>0.92140046296296296</v>
      </c>
      <c r="G1991" s="42">
        <v>6.3</v>
      </c>
      <c r="H1991" s="40" t="s">
        <v>228</v>
      </c>
      <c r="I1991" s="40" t="s">
        <v>1300</v>
      </c>
    </row>
    <row r="1992" spans="1:9" x14ac:dyDescent="0.2">
      <c r="A1992" s="40" t="s">
        <v>420</v>
      </c>
      <c r="B1992" s="28">
        <v>2583</v>
      </c>
      <c r="C1992" s="28">
        <v>5686573</v>
      </c>
      <c r="D1992" s="28"/>
      <c r="E1992" s="41">
        <v>46167</v>
      </c>
      <c r="F1992" s="47">
        <v>0.92803240740740744</v>
      </c>
      <c r="G1992" s="42">
        <v>6.3</v>
      </c>
      <c r="H1992" s="40" t="s">
        <v>229</v>
      </c>
      <c r="I1992" s="40" t="s">
        <v>1300</v>
      </c>
    </row>
    <row r="1993" spans="1:9" x14ac:dyDescent="0.2">
      <c r="A1993" s="40" t="s">
        <v>420</v>
      </c>
      <c r="B1993" s="28">
        <v>2583</v>
      </c>
      <c r="C1993" s="28" t="s">
        <v>35</v>
      </c>
      <c r="D1993" s="28" t="s">
        <v>38</v>
      </c>
      <c r="E1993" s="41">
        <v>46167</v>
      </c>
      <c r="F1993" s="47">
        <v>0.95211805555555551</v>
      </c>
      <c r="G1993" s="42">
        <v>6.3</v>
      </c>
      <c r="H1993" s="40" t="s">
        <v>231</v>
      </c>
      <c r="I1993" s="40" t="s">
        <v>1300</v>
      </c>
    </row>
    <row r="1994" spans="1:9" x14ac:dyDescent="0.2">
      <c r="A1994" s="40" t="s">
        <v>420</v>
      </c>
      <c r="B1994" s="28">
        <v>2583</v>
      </c>
      <c r="C1994" s="28">
        <v>5686739</v>
      </c>
      <c r="D1994" s="28"/>
      <c r="E1994" s="41">
        <v>46168</v>
      </c>
      <c r="F1994" s="47">
        <v>0.1411226851851852</v>
      </c>
      <c r="G1994" s="42">
        <v>6.3</v>
      </c>
      <c r="H1994" s="40" t="s">
        <v>234</v>
      </c>
      <c r="I1994" s="40" t="s">
        <v>1300</v>
      </c>
    </row>
    <row r="1995" spans="1:9" x14ac:dyDescent="0.2">
      <c r="A1995" s="40" t="s">
        <v>420</v>
      </c>
      <c r="B1995" s="28">
        <v>2583</v>
      </c>
      <c r="C1995" s="28">
        <v>5686739</v>
      </c>
      <c r="D1995" s="28"/>
      <c r="E1995" s="45">
        <v>46168</v>
      </c>
      <c r="F1995" s="48">
        <v>0.14361111111111111</v>
      </c>
      <c r="G1995" s="42">
        <v>6.3</v>
      </c>
      <c r="H1995" s="40" t="s">
        <v>227</v>
      </c>
      <c r="I1995" s="40" t="s">
        <v>1300</v>
      </c>
    </row>
    <row r="1996" spans="1:9" x14ac:dyDescent="0.2">
      <c r="A1996" s="40" t="s">
        <v>420</v>
      </c>
      <c r="B1996" s="28">
        <v>2583</v>
      </c>
      <c r="C1996" s="28">
        <v>5686844</v>
      </c>
      <c r="D1996" s="28" t="s">
        <v>37</v>
      </c>
      <c r="E1996" s="41">
        <v>46168</v>
      </c>
      <c r="F1996" s="47">
        <v>0.25373842592592594</v>
      </c>
      <c r="G1996" s="42">
        <v>6.3</v>
      </c>
      <c r="H1996" s="40" t="s">
        <v>230</v>
      </c>
      <c r="I1996" s="40" t="s">
        <v>1300</v>
      </c>
    </row>
    <row r="1997" spans="1:9" x14ac:dyDescent="0.2">
      <c r="A1997" s="40" t="s">
        <v>420</v>
      </c>
      <c r="B1997" s="28">
        <v>2583</v>
      </c>
      <c r="C1997" s="28">
        <v>5686844</v>
      </c>
      <c r="D1997" s="28" t="s">
        <v>37</v>
      </c>
      <c r="E1997" s="41">
        <v>46168</v>
      </c>
      <c r="F1997" s="47">
        <v>0.26043981481481482</v>
      </c>
      <c r="G1997" s="42">
        <v>6.3</v>
      </c>
      <c r="H1997" s="40" t="s">
        <v>227</v>
      </c>
      <c r="I1997" s="40" t="s">
        <v>1300</v>
      </c>
    </row>
    <row r="1998" spans="1:9" x14ac:dyDescent="0.2">
      <c r="A1998" s="40" t="s">
        <v>420</v>
      </c>
      <c r="B1998" s="28">
        <v>2583</v>
      </c>
      <c r="C1998" s="28" t="s">
        <v>732</v>
      </c>
      <c r="D1998" s="28"/>
      <c r="E1998" s="41">
        <v>46168</v>
      </c>
      <c r="F1998" s="47">
        <v>0.70224537037037038</v>
      </c>
      <c r="G1998" s="44">
        <v>6.3</v>
      </c>
      <c r="H1998" s="43" t="s">
        <v>228</v>
      </c>
      <c r="I1998" s="40" t="s">
        <v>1300</v>
      </c>
    </row>
    <row r="1999" spans="1:9" x14ac:dyDescent="0.2">
      <c r="A1999" s="40" t="s">
        <v>420</v>
      </c>
      <c r="B1999" s="28">
        <v>2583</v>
      </c>
      <c r="C1999" s="28" t="s">
        <v>732</v>
      </c>
      <c r="D1999" s="28"/>
      <c r="E1999" s="41">
        <v>46168</v>
      </c>
      <c r="F1999" s="47">
        <v>0.71613425925925922</v>
      </c>
      <c r="G1999" s="44">
        <v>6.3</v>
      </c>
      <c r="H1999" s="43" t="s">
        <v>229</v>
      </c>
      <c r="I1999" s="40" t="s">
        <v>1300</v>
      </c>
    </row>
    <row r="2000" spans="1:9" x14ac:dyDescent="0.2">
      <c r="A2000" s="40" t="s">
        <v>420</v>
      </c>
      <c r="B2000" s="28">
        <v>2583</v>
      </c>
      <c r="C2000" s="28">
        <v>5688204</v>
      </c>
      <c r="D2000" s="28"/>
      <c r="E2000" s="41">
        <v>46168</v>
      </c>
      <c r="F2000" s="47">
        <v>0.7904282407407407</v>
      </c>
      <c r="G2000" s="44">
        <v>6.3</v>
      </c>
      <c r="H2000" s="43" t="s">
        <v>230</v>
      </c>
      <c r="I2000" s="40" t="s">
        <v>1300</v>
      </c>
    </row>
    <row r="2001" spans="1:9" x14ac:dyDescent="0.2">
      <c r="A2001" s="40" t="s">
        <v>420</v>
      </c>
      <c r="B2001" s="28">
        <v>2583</v>
      </c>
      <c r="C2001" s="28">
        <v>5688204</v>
      </c>
      <c r="D2001" s="28"/>
      <c r="E2001" s="41">
        <v>46168</v>
      </c>
      <c r="F2001" s="47">
        <v>0.80484953703703699</v>
      </c>
      <c r="G2001" s="44">
        <v>6.3</v>
      </c>
      <c r="H2001" s="43" t="s">
        <v>227</v>
      </c>
      <c r="I2001" s="40" t="s">
        <v>1300</v>
      </c>
    </row>
    <row r="2002" spans="1:9" x14ac:dyDescent="0.2">
      <c r="A2002" s="40" t="s">
        <v>420</v>
      </c>
      <c r="B2002" s="28">
        <v>2583</v>
      </c>
      <c r="C2002" s="28" t="s">
        <v>35</v>
      </c>
      <c r="D2002" s="28" t="s">
        <v>38</v>
      </c>
      <c r="E2002" s="41">
        <v>46171</v>
      </c>
      <c r="F2002" s="47">
        <v>0.23093749999999999</v>
      </c>
      <c r="G2002" s="44">
        <v>6.3</v>
      </c>
      <c r="H2002" s="43" t="s">
        <v>227</v>
      </c>
      <c r="I2002" s="40" t="s">
        <v>1300</v>
      </c>
    </row>
    <row r="2003" spans="1:9" x14ac:dyDescent="0.2">
      <c r="A2003" s="40" t="s">
        <v>420</v>
      </c>
      <c r="B2003" s="28">
        <v>2583</v>
      </c>
      <c r="C2003" s="28" t="s">
        <v>733</v>
      </c>
      <c r="D2003" s="28"/>
      <c r="E2003" s="41">
        <v>46172</v>
      </c>
      <c r="F2003" s="47">
        <v>2.9699074074074076E-2</v>
      </c>
      <c r="G2003" s="44">
        <v>6.3</v>
      </c>
      <c r="H2003" s="43" t="s">
        <v>228</v>
      </c>
      <c r="I2003" s="40" t="s">
        <v>1300</v>
      </c>
    </row>
    <row r="2004" spans="1:9" x14ac:dyDescent="0.2">
      <c r="A2004" s="40" t="s">
        <v>420</v>
      </c>
      <c r="B2004" s="28">
        <v>2583</v>
      </c>
      <c r="C2004" s="28" t="s">
        <v>734</v>
      </c>
      <c r="D2004" s="28"/>
      <c r="E2004" s="41">
        <v>46172</v>
      </c>
      <c r="F2004" s="47">
        <v>0.47413194444444445</v>
      </c>
      <c r="G2004" s="44">
        <v>6.3</v>
      </c>
      <c r="H2004" s="43" t="s">
        <v>228</v>
      </c>
      <c r="I2004" s="40" t="s">
        <v>1300</v>
      </c>
    </row>
    <row r="2005" spans="1:9" x14ac:dyDescent="0.2">
      <c r="A2005" s="40" t="s">
        <v>420</v>
      </c>
      <c r="B2005" s="28">
        <v>2583</v>
      </c>
      <c r="C2005" s="28" t="s">
        <v>734</v>
      </c>
      <c r="D2005" s="28"/>
      <c r="E2005" s="45">
        <v>46172</v>
      </c>
      <c r="F2005" s="48">
        <v>0.48324074074074075</v>
      </c>
      <c r="G2005" s="44">
        <v>6.3</v>
      </c>
      <c r="H2005" s="43" t="s">
        <v>229</v>
      </c>
      <c r="I2005" s="40" t="s">
        <v>1300</v>
      </c>
    </row>
    <row r="2006" spans="1:9" x14ac:dyDescent="0.2">
      <c r="A2006" s="40" t="s">
        <v>420</v>
      </c>
      <c r="B2006" s="28">
        <v>2583</v>
      </c>
      <c r="C2006" s="28">
        <v>5693492</v>
      </c>
      <c r="D2006" s="28"/>
      <c r="E2006" s="45">
        <v>46172</v>
      </c>
      <c r="F2006" s="48">
        <v>0.8149305555555556</v>
      </c>
      <c r="G2006" s="44">
        <v>6.3</v>
      </c>
      <c r="H2006" s="43" t="s">
        <v>230</v>
      </c>
      <c r="I2006" s="40" t="s">
        <v>1300</v>
      </c>
    </row>
    <row r="2007" spans="1:9" x14ac:dyDescent="0.2">
      <c r="A2007" s="40" t="s">
        <v>420</v>
      </c>
      <c r="B2007" s="28">
        <v>2583</v>
      </c>
      <c r="C2007" s="28">
        <v>5693492</v>
      </c>
      <c r="D2007" s="28"/>
      <c r="E2007" s="41">
        <v>46172</v>
      </c>
      <c r="F2007" s="47">
        <v>0.82065972222222228</v>
      </c>
      <c r="G2007" s="44">
        <v>6.3</v>
      </c>
      <c r="H2007" s="43" t="s">
        <v>227</v>
      </c>
      <c r="I2007" s="40" t="s">
        <v>1300</v>
      </c>
    </row>
    <row r="2008" spans="1:9" x14ac:dyDescent="0.2">
      <c r="A2008" s="40" t="s">
        <v>420</v>
      </c>
      <c r="B2008" s="28">
        <v>2583</v>
      </c>
      <c r="C2008" s="28" t="s">
        <v>35</v>
      </c>
      <c r="D2008" s="28" t="s">
        <v>38</v>
      </c>
      <c r="E2008" s="41">
        <v>46172</v>
      </c>
      <c r="F2008" s="47">
        <v>0.90642361111111114</v>
      </c>
      <c r="G2008" s="44">
        <v>6.3</v>
      </c>
      <c r="H2008" s="43" t="s">
        <v>228</v>
      </c>
      <c r="I2008" s="40" t="s">
        <v>1300</v>
      </c>
    </row>
    <row r="2009" spans="1:9" x14ac:dyDescent="0.2">
      <c r="A2009" s="40" t="s">
        <v>420</v>
      </c>
      <c r="B2009" s="28">
        <v>2583</v>
      </c>
      <c r="C2009" s="28" t="s">
        <v>35</v>
      </c>
      <c r="D2009" s="28" t="s">
        <v>38</v>
      </c>
      <c r="E2009" s="41">
        <v>46172</v>
      </c>
      <c r="F2009" s="47">
        <v>0.91319444444444442</v>
      </c>
      <c r="G2009" s="44">
        <v>6.3</v>
      </c>
      <c r="H2009" s="43" t="s">
        <v>229</v>
      </c>
      <c r="I2009" s="40" t="s">
        <v>1300</v>
      </c>
    </row>
    <row r="2010" spans="1:9" x14ac:dyDescent="0.2">
      <c r="A2010" s="40" t="s">
        <v>420</v>
      </c>
      <c r="B2010" s="28">
        <v>2583</v>
      </c>
      <c r="C2010" s="28" t="s">
        <v>35</v>
      </c>
      <c r="D2010" s="28" t="s">
        <v>38</v>
      </c>
      <c r="E2010" s="45">
        <v>46173</v>
      </c>
      <c r="F2010" s="48">
        <v>3.3101851851851855E-2</v>
      </c>
      <c r="G2010" s="44">
        <v>6.3</v>
      </c>
      <c r="H2010" s="43" t="s">
        <v>231</v>
      </c>
      <c r="I2010" s="40" t="s">
        <v>1300</v>
      </c>
    </row>
    <row r="2011" spans="1:9" x14ac:dyDescent="0.2">
      <c r="A2011" s="40" t="s">
        <v>420</v>
      </c>
      <c r="B2011" s="28">
        <v>2583</v>
      </c>
      <c r="C2011" s="28">
        <v>5692135</v>
      </c>
      <c r="D2011" s="28"/>
      <c r="E2011" s="41">
        <v>46173</v>
      </c>
      <c r="F2011" s="47">
        <v>0.3550462962962963</v>
      </c>
      <c r="G2011" s="44">
        <v>6.3</v>
      </c>
      <c r="H2011" s="43" t="s">
        <v>231</v>
      </c>
      <c r="I2011" s="40" t="s">
        <v>1300</v>
      </c>
    </row>
    <row r="2012" spans="1:9" x14ac:dyDescent="0.2">
      <c r="A2012" s="40" t="s">
        <v>420</v>
      </c>
      <c r="B2012" s="28">
        <v>2583</v>
      </c>
      <c r="C2012" s="28">
        <v>5692135</v>
      </c>
      <c r="D2012" s="28"/>
      <c r="E2012" s="41">
        <v>46173</v>
      </c>
      <c r="F2012" s="47">
        <v>0.35971064814814813</v>
      </c>
      <c r="G2012" s="44">
        <v>6.3</v>
      </c>
      <c r="H2012" s="43" t="s">
        <v>227</v>
      </c>
      <c r="I2012" s="40" t="s">
        <v>1300</v>
      </c>
    </row>
    <row r="2013" spans="1:9" x14ac:dyDescent="0.2">
      <c r="A2013" s="40" t="s">
        <v>420</v>
      </c>
      <c r="B2013" s="28">
        <v>2583</v>
      </c>
      <c r="C2013" s="28">
        <v>5695983</v>
      </c>
      <c r="D2013" s="28"/>
      <c r="E2013" s="41">
        <v>46173</v>
      </c>
      <c r="F2013" s="47">
        <v>0.6594444444444445</v>
      </c>
      <c r="G2013" s="44">
        <v>6.3</v>
      </c>
      <c r="H2013" s="43" t="s">
        <v>228</v>
      </c>
      <c r="I2013" s="40" t="s">
        <v>1300</v>
      </c>
    </row>
    <row r="2014" spans="1:9" x14ac:dyDescent="0.2">
      <c r="A2014" s="40" t="s">
        <v>420</v>
      </c>
      <c r="B2014" s="28">
        <v>2583</v>
      </c>
      <c r="C2014" s="28" t="s">
        <v>35</v>
      </c>
      <c r="D2014" s="28" t="s">
        <v>38</v>
      </c>
      <c r="E2014" s="41">
        <v>46173</v>
      </c>
      <c r="F2014" s="47">
        <v>0.7245949074074074</v>
      </c>
      <c r="G2014" s="44">
        <v>6.3</v>
      </c>
      <c r="H2014" s="43" t="s">
        <v>230</v>
      </c>
      <c r="I2014" s="40" t="s">
        <v>1300</v>
      </c>
    </row>
    <row r="2015" spans="1:9" x14ac:dyDescent="0.2">
      <c r="A2015" s="40" t="s">
        <v>420</v>
      </c>
      <c r="B2015" s="28">
        <v>2583</v>
      </c>
      <c r="C2015" s="28" t="s">
        <v>35</v>
      </c>
      <c r="D2015" s="28" t="s">
        <v>38</v>
      </c>
      <c r="E2015" s="45">
        <v>46173</v>
      </c>
      <c r="F2015" s="48">
        <v>0.72996527777777775</v>
      </c>
      <c r="G2015" s="44">
        <v>6.3</v>
      </c>
      <c r="H2015" s="43" t="s">
        <v>227</v>
      </c>
      <c r="I2015" s="40" t="s">
        <v>1300</v>
      </c>
    </row>
    <row r="2016" spans="1:9" x14ac:dyDescent="0.2">
      <c r="A2016" s="40" t="s">
        <v>341</v>
      </c>
      <c r="B2016" s="28">
        <v>2597</v>
      </c>
      <c r="C2016" s="28">
        <v>10736242</v>
      </c>
      <c r="D2016" s="28" t="s">
        <v>36</v>
      </c>
      <c r="E2016" s="41">
        <v>46167</v>
      </c>
      <c r="F2016" s="47">
        <v>0.44633101851851853</v>
      </c>
      <c r="G2016" s="44">
        <v>6.3</v>
      </c>
      <c r="H2016" s="43" t="s">
        <v>228</v>
      </c>
      <c r="I2016" s="40" t="s">
        <v>1300</v>
      </c>
    </row>
    <row r="2017" spans="1:9" x14ac:dyDescent="0.2">
      <c r="A2017" s="40" t="s">
        <v>341</v>
      </c>
      <c r="B2017" s="28">
        <v>2597</v>
      </c>
      <c r="C2017" s="28">
        <v>10736242</v>
      </c>
      <c r="D2017" s="28" t="s">
        <v>36</v>
      </c>
      <c r="E2017" s="41">
        <v>46167</v>
      </c>
      <c r="F2017" s="47">
        <v>0.45643518518518517</v>
      </c>
      <c r="G2017" s="44">
        <v>6.3</v>
      </c>
      <c r="H2017" s="43" t="s">
        <v>232</v>
      </c>
      <c r="I2017" s="40" t="s">
        <v>1300</v>
      </c>
    </row>
    <row r="2018" spans="1:9" x14ac:dyDescent="0.2">
      <c r="A2018" s="40" t="s">
        <v>341</v>
      </c>
      <c r="B2018" s="28">
        <v>2597</v>
      </c>
      <c r="C2018" s="28">
        <v>10738143</v>
      </c>
      <c r="D2018" s="28"/>
      <c r="E2018" s="41">
        <v>46167</v>
      </c>
      <c r="F2018" s="47">
        <v>0.51340277777777776</v>
      </c>
      <c r="G2018" s="44">
        <v>6.3</v>
      </c>
      <c r="H2018" s="43" t="s">
        <v>226</v>
      </c>
      <c r="I2018" s="40" t="s">
        <v>1300</v>
      </c>
    </row>
    <row r="2019" spans="1:9" x14ac:dyDescent="0.2">
      <c r="A2019" s="40" t="s">
        <v>341</v>
      </c>
      <c r="B2019" s="28">
        <v>2597</v>
      </c>
      <c r="C2019" s="28">
        <v>10738143</v>
      </c>
      <c r="D2019" s="28"/>
      <c r="E2019" s="41">
        <v>46167</v>
      </c>
      <c r="F2019" s="47">
        <v>0.5190393518518519</v>
      </c>
      <c r="G2019" s="44">
        <v>6.3</v>
      </c>
      <c r="H2019" s="43" t="s">
        <v>227</v>
      </c>
      <c r="I2019" s="40" t="s">
        <v>1300</v>
      </c>
    </row>
    <row r="2020" spans="1:9" x14ac:dyDescent="0.2">
      <c r="A2020" s="40" t="s">
        <v>341</v>
      </c>
      <c r="B2020" s="28">
        <v>2597</v>
      </c>
      <c r="C2020" s="28" t="s">
        <v>35</v>
      </c>
      <c r="D2020" s="28" t="s">
        <v>38</v>
      </c>
      <c r="E2020" s="45">
        <v>46167</v>
      </c>
      <c r="F2020" s="48">
        <v>0.72368055555555555</v>
      </c>
      <c r="G2020" s="44">
        <v>6.3</v>
      </c>
      <c r="H2020" s="43" t="s">
        <v>230</v>
      </c>
      <c r="I2020" s="40" t="s">
        <v>1300</v>
      </c>
    </row>
    <row r="2021" spans="1:9" x14ac:dyDescent="0.2">
      <c r="A2021" s="40" t="s">
        <v>341</v>
      </c>
      <c r="B2021" s="28">
        <v>2597</v>
      </c>
      <c r="C2021" s="28" t="s">
        <v>735</v>
      </c>
      <c r="D2021" s="28"/>
      <c r="E2021" s="41">
        <v>46169</v>
      </c>
      <c r="F2021" s="47">
        <v>0.4291550925925926</v>
      </c>
      <c r="G2021" s="44">
        <v>6.3</v>
      </c>
      <c r="H2021" s="43" t="s">
        <v>228</v>
      </c>
      <c r="I2021" s="40" t="s">
        <v>1300</v>
      </c>
    </row>
    <row r="2022" spans="1:9" x14ac:dyDescent="0.2">
      <c r="A2022" s="40" t="s">
        <v>341</v>
      </c>
      <c r="B2022" s="28">
        <v>2597</v>
      </c>
      <c r="C2022" s="28" t="s">
        <v>735</v>
      </c>
      <c r="D2022" s="28"/>
      <c r="E2022" s="41">
        <v>46169</v>
      </c>
      <c r="F2022" s="47">
        <v>0.44248842592592591</v>
      </c>
      <c r="G2022" s="44">
        <v>6.3</v>
      </c>
      <c r="H2022" s="43" t="s">
        <v>229</v>
      </c>
      <c r="I2022" s="40" t="s">
        <v>1300</v>
      </c>
    </row>
    <row r="2023" spans="1:9" x14ac:dyDescent="0.2">
      <c r="A2023" s="40" t="s">
        <v>341</v>
      </c>
      <c r="B2023" s="28">
        <v>2597</v>
      </c>
      <c r="C2023" s="28">
        <v>10769123</v>
      </c>
      <c r="D2023" s="28"/>
      <c r="E2023" s="41">
        <v>46170</v>
      </c>
      <c r="F2023" s="47">
        <v>0.8200925925925926</v>
      </c>
      <c r="G2023" s="44">
        <v>6.3</v>
      </c>
      <c r="H2023" s="43" t="s">
        <v>228</v>
      </c>
      <c r="I2023" s="40" t="s">
        <v>1300</v>
      </c>
    </row>
    <row r="2024" spans="1:9" x14ac:dyDescent="0.2">
      <c r="A2024" s="40" t="s">
        <v>341</v>
      </c>
      <c r="B2024" s="28">
        <v>2597</v>
      </c>
      <c r="C2024" s="28" t="s">
        <v>35</v>
      </c>
      <c r="D2024" s="28" t="s">
        <v>38</v>
      </c>
      <c r="E2024" s="41">
        <v>46170</v>
      </c>
      <c r="F2024" s="47">
        <v>0.82886574074074071</v>
      </c>
      <c r="G2024" s="44">
        <v>6.3</v>
      </c>
      <c r="H2024" s="43" t="s">
        <v>229</v>
      </c>
      <c r="I2024" s="40" t="s">
        <v>1300</v>
      </c>
    </row>
    <row r="2025" spans="1:9" x14ac:dyDescent="0.2">
      <c r="A2025" s="40" t="s">
        <v>341</v>
      </c>
      <c r="B2025" s="28">
        <v>2597</v>
      </c>
      <c r="C2025" s="28" t="s">
        <v>35</v>
      </c>
      <c r="D2025" s="28" t="s">
        <v>38</v>
      </c>
      <c r="E2025" s="41">
        <v>46171</v>
      </c>
      <c r="F2025" s="47">
        <v>0.50024305555555559</v>
      </c>
      <c r="G2025" s="44">
        <v>6.3</v>
      </c>
      <c r="H2025" s="43" t="s">
        <v>230</v>
      </c>
      <c r="I2025" s="40" t="s">
        <v>1300</v>
      </c>
    </row>
    <row r="2026" spans="1:9" x14ac:dyDescent="0.2">
      <c r="A2026" s="40" t="s">
        <v>341</v>
      </c>
      <c r="B2026" s="28">
        <v>2597</v>
      </c>
      <c r="C2026" s="28" t="s">
        <v>35</v>
      </c>
      <c r="D2026" s="28" t="s">
        <v>38</v>
      </c>
      <c r="E2026" s="41">
        <v>46172</v>
      </c>
      <c r="F2026" s="47">
        <v>0.6897685185185185</v>
      </c>
      <c r="G2026" s="44">
        <v>6.3</v>
      </c>
      <c r="H2026" s="43" t="s">
        <v>235</v>
      </c>
      <c r="I2026" s="40" t="s">
        <v>1300</v>
      </c>
    </row>
    <row r="2027" spans="1:9" x14ac:dyDescent="0.2">
      <c r="A2027" s="40" t="s">
        <v>341</v>
      </c>
      <c r="B2027" s="28">
        <v>2597</v>
      </c>
      <c r="C2027" s="28" t="s">
        <v>35</v>
      </c>
      <c r="D2027" s="28" t="s">
        <v>38</v>
      </c>
      <c r="E2027" s="41">
        <v>46172</v>
      </c>
      <c r="F2027" s="47">
        <v>0.69587962962962968</v>
      </c>
      <c r="G2027" s="44">
        <v>6.3</v>
      </c>
      <c r="H2027" s="43" t="s">
        <v>233</v>
      </c>
      <c r="I2027" s="40" t="s">
        <v>1300</v>
      </c>
    </row>
    <row r="2028" spans="1:9" x14ac:dyDescent="0.2">
      <c r="A2028" s="40" t="s">
        <v>341</v>
      </c>
      <c r="B2028" s="28">
        <v>2597</v>
      </c>
      <c r="C2028" s="28" t="s">
        <v>35</v>
      </c>
      <c r="D2028" s="28" t="s">
        <v>38</v>
      </c>
      <c r="E2028" s="41">
        <v>46172</v>
      </c>
      <c r="F2028" s="47">
        <v>0.77908564814814818</v>
      </c>
      <c r="G2028" s="44">
        <v>6.3</v>
      </c>
      <c r="H2028" s="43" t="s">
        <v>229</v>
      </c>
      <c r="I2028" s="40" t="s">
        <v>1300</v>
      </c>
    </row>
    <row r="2029" spans="1:9" x14ac:dyDescent="0.2">
      <c r="A2029" s="40" t="s">
        <v>421</v>
      </c>
      <c r="B2029" s="28">
        <v>2609</v>
      </c>
      <c r="C2029" s="28" t="s">
        <v>736</v>
      </c>
      <c r="D2029" s="28"/>
      <c r="E2029" s="41">
        <v>46170</v>
      </c>
      <c r="F2029" s="47">
        <v>0.18199074074074073</v>
      </c>
      <c r="G2029" s="44">
        <v>6.3</v>
      </c>
      <c r="H2029" s="43" t="s">
        <v>230</v>
      </c>
      <c r="I2029" s="40" t="s">
        <v>1300</v>
      </c>
    </row>
    <row r="2030" spans="1:9" x14ac:dyDescent="0.2">
      <c r="A2030" s="40" t="s">
        <v>421</v>
      </c>
      <c r="B2030" s="28">
        <v>2609</v>
      </c>
      <c r="C2030" s="28" t="s">
        <v>736</v>
      </c>
      <c r="D2030" s="28"/>
      <c r="E2030" s="41">
        <v>46170</v>
      </c>
      <c r="F2030" s="47">
        <v>0.18699074074074074</v>
      </c>
      <c r="G2030" s="44">
        <v>6.3</v>
      </c>
      <c r="H2030" s="43" t="s">
        <v>227</v>
      </c>
      <c r="I2030" s="40" t="s">
        <v>1300</v>
      </c>
    </row>
    <row r="2031" spans="1:9" x14ac:dyDescent="0.2">
      <c r="A2031" s="40" t="s">
        <v>421</v>
      </c>
      <c r="B2031" s="28">
        <v>2609</v>
      </c>
      <c r="C2031" s="28" t="s">
        <v>737</v>
      </c>
      <c r="D2031" s="28"/>
      <c r="E2031" s="45">
        <v>46172</v>
      </c>
      <c r="F2031" s="48">
        <v>3.2430555555555553E-2</v>
      </c>
      <c r="G2031" s="44">
        <v>6.3</v>
      </c>
      <c r="H2031" s="43" t="s">
        <v>228</v>
      </c>
      <c r="I2031" s="40" t="s">
        <v>1300</v>
      </c>
    </row>
    <row r="2032" spans="1:9" x14ac:dyDescent="0.2">
      <c r="A2032" s="40" t="s">
        <v>421</v>
      </c>
      <c r="B2032" s="28">
        <v>2609</v>
      </c>
      <c r="C2032" s="28" t="s">
        <v>737</v>
      </c>
      <c r="D2032" s="28"/>
      <c r="E2032" s="41">
        <v>46172</v>
      </c>
      <c r="F2032" s="47">
        <v>4.175925925925926E-2</v>
      </c>
      <c r="G2032" s="44">
        <v>6.3</v>
      </c>
      <c r="H2032" s="43" t="s">
        <v>229</v>
      </c>
      <c r="I2032" s="40" t="s">
        <v>1300</v>
      </c>
    </row>
    <row r="2033" spans="1:9" x14ac:dyDescent="0.2">
      <c r="A2033" s="40" t="s">
        <v>421</v>
      </c>
      <c r="B2033" s="28">
        <v>2609</v>
      </c>
      <c r="C2033" s="28">
        <v>5695010</v>
      </c>
      <c r="D2033" s="28"/>
      <c r="E2033" s="41">
        <v>46173</v>
      </c>
      <c r="F2033" s="47">
        <v>9.4444444444444445E-3</v>
      </c>
      <c r="G2033" s="42">
        <v>6.3</v>
      </c>
      <c r="H2033" s="40" t="s">
        <v>230</v>
      </c>
      <c r="I2033" s="40" t="s">
        <v>1300</v>
      </c>
    </row>
    <row r="2034" spans="1:9" x14ac:dyDescent="0.2">
      <c r="A2034" s="40" t="s">
        <v>421</v>
      </c>
      <c r="B2034" s="28">
        <v>2609</v>
      </c>
      <c r="C2034" s="28">
        <v>5695010</v>
      </c>
      <c r="D2034" s="28"/>
      <c r="E2034" s="41">
        <v>46173</v>
      </c>
      <c r="F2034" s="47">
        <v>1.5057870370370371E-2</v>
      </c>
      <c r="G2034" s="42">
        <v>6.3</v>
      </c>
      <c r="H2034" s="40" t="s">
        <v>227</v>
      </c>
      <c r="I2034" s="40" t="s">
        <v>1300</v>
      </c>
    </row>
    <row r="2035" spans="1:9" x14ac:dyDescent="0.2">
      <c r="A2035" s="40" t="s">
        <v>310</v>
      </c>
      <c r="B2035" s="28">
        <v>2653</v>
      </c>
      <c r="C2035" s="28" t="s">
        <v>35</v>
      </c>
      <c r="D2035" s="28" t="s">
        <v>38</v>
      </c>
      <c r="E2035" s="41">
        <v>46167</v>
      </c>
      <c r="F2035" s="47">
        <v>0.1491898148148148</v>
      </c>
      <c r="G2035" s="42">
        <v>6.3</v>
      </c>
      <c r="H2035" s="40" t="s">
        <v>227</v>
      </c>
      <c r="I2035" s="40" t="s">
        <v>1300</v>
      </c>
    </row>
    <row r="2036" spans="1:9" x14ac:dyDescent="0.2">
      <c r="A2036" s="40" t="s">
        <v>310</v>
      </c>
      <c r="B2036" s="28">
        <v>2653</v>
      </c>
      <c r="C2036" s="28" t="s">
        <v>35</v>
      </c>
      <c r="D2036" s="28" t="s">
        <v>38</v>
      </c>
      <c r="E2036" s="41">
        <v>46169</v>
      </c>
      <c r="F2036" s="47">
        <v>0.26916666666666667</v>
      </c>
      <c r="G2036" s="42">
        <v>6.3</v>
      </c>
      <c r="H2036" s="40" t="s">
        <v>230</v>
      </c>
      <c r="I2036" s="40" t="s">
        <v>1300</v>
      </c>
    </row>
    <row r="2037" spans="1:9" x14ac:dyDescent="0.2">
      <c r="A2037" s="40" t="s">
        <v>310</v>
      </c>
      <c r="B2037" s="28">
        <v>2653</v>
      </c>
      <c r="C2037" s="28" t="s">
        <v>35</v>
      </c>
      <c r="D2037" s="28" t="s">
        <v>38</v>
      </c>
      <c r="E2037" s="41">
        <v>46169</v>
      </c>
      <c r="F2037" s="47">
        <v>0.27513888888888888</v>
      </c>
      <c r="G2037" s="44">
        <v>6.3</v>
      </c>
      <c r="H2037" s="43" t="s">
        <v>227</v>
      </c>
      <c r="I2037" s="40" t="s">
        <v>1300</v>
      </c>
    </row>
    <row r="2038" spans="1:9" x14ac:dyDescent="0.2">
      <c r="A2038" s="40" t="s">
        <v>310</v>
      </c>
      <c r="B2038" s="28">
        <v>2653</v>
      </c>
      <c r="C2038" s="28">
        <v>5690422</v>
      </c>
      <c r="D2038" s="28"/>
      <c r="E2038" s="41">
        <v>46170</v>
      </c>
      <c r="F2038" s="47">
        <v>0.15792824074074074</v>
      </c>
      <c r="G2038" s="44">
        <v>6.3</v>
      </c>
      <c r="H2038" s="43" t="s">
        <v>231</v>
      </c>
      <c r="I2038" s="40" t="s">
        <v>1300</v>
      </c>
    </row>
    <row r="2039" spans="1:9" x14ac:dyDescent="0.2">
      <c r="A2039" s="40" t="s">
        <v>310</v>
      </c>
      <c r="B2039" s="28">
        <v>2653</v>
      </c>
      <c r="C2039" s="28">
        <v>5690422</v>
      </c>
      <c r="D2039" s="28"/>
      <c r="E2039" s="41">
        <v>46170</v>
      </c>
      <c r="F2039" s="47">
        <v>0.16229166666666667</v>
      </c>
      <c r="G2039" s="44">
        <v>6.3</v>
      </c>
      <c r="H2039" s="43" t="s">
        <v>227</v>
      </c>
      <c r="I2039" s="40" t="s">
        <v>1300</v>
      </c>
    </row>
    <row r="2040" spans="1:9" x14ac:dyDescent="0.2">
      <c r="A2040" s="40" t="s">
        <v>310</v>
      </c>
      <c r="B2040" s="28">
        <v>2653</v>
      </c>
      <c r="C2040" s="28">
        <v>5685901</v>
      </c>
      <c r="D2040" s="28"/>
      <c r="E2040" s="45">
        <v>46170</v>
      </c>
      <c r="F2040" s="48">
        <v>0.35678240740740741</v>
      </c>
      <c r="G2040" s="44">
        <v>6.3</v>
      </c>
      <c r="H2040" s="43" t="s">
        <v>227</v>
      </c>
      <c r="I2040" s="40" t="s">
        <v>1300</v>
      </c>
    </row>
    <row r="2041" spans="1:9" x14ac:dyDescent="0.2">
      <c r="A2041" s="40" t="s">
        <v>310</v>
      </c>
      <c r="B2041" s="28">
        <v>2653</v>
      </c>
      <c r="C2041" s="28">
        <v>5691774</v>
      </c>
      <c r="D2041" s="28"/>
      <c r="E2041" s="41">
        <v>46170</v>
      </c>
      <c r="F2041" s="47">
        <v>0.73783564814814817</v>
      </c>
      <c r="G2041" s="44">
        <v>6.3</v>
      </c>
      <c r="H2041" s="43" t="s">
        <v>228</v>
      </c>
      <c r="I2041" s="40" t="s">
        <v>1300</v>
      </c>
    </row>
    <row r="2042" spans="1:9" x14ac:dyDescent="0.2">
      <c r="A2042" s="40" t="s">
        <v>310</v>
      </c>
      <c r="B2042" s="28">
        <v>2653</v>
      </c>
      <c r="C2042" s="28">
        <v>5691774</v>
      </c>
      <c r="D2042" s="28"/>
      <c r="E2042" s="41">
        <v>46170</v>
      </c>
      <c r="F2042" s="47">
        <v>0.75047453703703704</v>
      </c>
      <c r="G2042" s="44">
        <v>6.3</v>
      </c>
      <c r="H2042" s="43" t="s">
        <v>229</v>
      </c>
      <c r="I2042" s="40" t="s">
        <v>1300</v>
      </c>
    </row>
    <row r="2043" spans="1:9" x14ac:dyDescent="0.2">
      <c r="A2043" s="40" t="s">
        <v>310</v>
      </c>
      <c r="B2043" s="28">
        <v>2653</v>
      </c>
      <c r="C2043" s="28">
        <v>5686132</v>
      </c>
      <c r="D2043" s="28"/>
      <c r="E2043" s="41">
        <v>46171</v>
      </c>
      <c r="F2043" s="47">
        <v>0.26341435185185186</v>
      </c>
      <c r="G2043" s="44">
        <v>6.3</v>
      </c>
      <c r="H2043" s="43" t="s">
        <v>226</v>
      </c>
      <c r="I2043" s="40" t="s">
        <v>1300</v>
      </c>
    </row>
    <row r="2044" spans="1:9" x14ac:dyDescent="0.2">
      <c r="A2044" s="40" t="s">
        <v>310</v>
      </c>
      <c r="B2044" s="28">
        <v>2653</v>
      </c>
      <c r="C2044" s="28">
        <v>5686132</v>
      </c>
      <c r="D2044" s="28"/>
      <c r="E2044" s="41">
        <v>46171</v>
      </c>
      <c r="F2044" s="47">
        <v>0.26945601851851853</v>
      </c>
      <c r="G2044" s="44">
        <v>6.3</v>
      </c>
      <c r="H2044" s="43" t="s">
        <v>227</v>
      </c>
      <c r="I2044" s="40" t="s">
        <v>1300</v>
      </c>
    </row>
    <row r="2045" spans="1:9" x14ac:dyDescent="0.2">
      <c r="A2045" s="40" t="s">
        <v>310</v>
      </c>
      <c r="B2045" s="28">
        <v>2653</v>
      </c>
      <c r="C2045" s="28" t="s">
        <v>35</v>
      </c>
      <c r="D2045" s="28" t="s">
        <v>38</v>
      </c>
      <c r="E2045" s="41">
        <v>46171</v>
      </c>
      <c r="F2045" s="47">
        <v>0.59237268518518515</v>
      </c>
      <c r="G2045" s="44">
        <v>6.3</v>
      </c>
      <c r="H2045" s="43" t="s">
        <v>227</v>
      </c>
      <c r="I2045" s="40" t="s">
        <v>1300</v>
      </c>
    </row>
    <row r="2046" spans="1:9" x14ac:dyDescent="0.2">
      <c r="A2046" s="40" t="s">
        <v>310</v>
      </c>
      <c r="B2046" s="28">
        <v>2653</v>
      </c>
      <c r="C2046" s="28" t="s">
        <v>35</v>
      </c>
      <c r="D2046" s="28" t="s">
        <v>38</v>
      </c>
      <c r="E2046" s="41">
        <v>46171</v>
      </c>
      <c r="F2046" s="47">
        <v>0.91648148148148145</v>
      </c>
      <c r="G2046" s="44">
        <v>6.3</v>
      </c>
      <c r="H2046" s="43" t="s">
        <v>227</v>
      </c>
      <c r="I2046" s="40" t="s">
        <v>1300</v>
      </c>
    </row>
    <row r="2047" spans="1:9" x14ac:dyDescent="0.2">
      <c r="A2047" s="40" t="s">
        <v>310</v>
      </c>
      <c r="B2047" s="28">
        <v>2653</v>
      </c>
      <c r="C2047" s="28">
        <v>5693878</v>
      </c>
      <c r="D2047" s="28"/>
      <c r="E2047" s="41">
        <v>46172</v>
      </c>
      <c r="F2047" s="47">
        <v>0.2388888888888889</v>
      </c>
      <c r="G2047" s="44">
        <v>6.3</v>
      </c>
      <c r="H2047" s="43" t="s">
        <v>230</v>
      </c>
      <c r="I2047" s="40" t="s">
        <v>1300</v>
      </c>
    </row>
    <row r="2048" spans="1:9" x14ac:dyDescent="0.2">
      <c r="A2048" s="40" t="s">
        <v>310</v>
      </c>
      <c r="B2048" s="28">
        <v>2653</v>
      </c>
      <c r="C2048" s="28">
        <v>5693878</v>
      </c>
      <c r="D2048" s="28"/>
      <c r="E2048" s="41">
        <v>46172</v>
      </c>
      <c r="F2048" s="47">
        <v>0.24505787037037038</v>
      </c>
      <c r="G2048" s="44">
        <v>6.3</v>
      </c>
      <c r="H2048" s="43" t="s">
        <v>227</v>
      </c>
      <c r="I2048" s="40" t="s">
        <v>1300</v>
      </c>
    </row>
    <row r="2049" spans="1:9" x14ac:dyDescent="0.2">
      <c r="A2049" s="40" t="s">
        <v>310</v>
      </c>
      <c r="B2049" s="28">
        <v>2653</v>
      </c>
      <c r="C2049" s="28" t="s">
        <v>738</v>
      </c>
      <c r="D2049" s="28"/>
      <c r="E2049" s="41">
        <v>46172</v>
      </c>
      <c r="F2049" s="47">
        <v>0.35820601851851852</v>
      </c>
      <c r="G2049" s="44">
        <v>6.3</v>
      </c>
      <c r="H2049" s="43" t="s">
        <v>228</v>
      </c>
      <c r="I2049" s="40" t="s">
        <v>1300</v>
      </c>
    </row>
    <row r="2050" spans="1:9" x14ac:dyDescent="0.2">
      <c r="A2050" s="40" t="s">
        <v>310</v>
      </c>
      <c r="B2050" s="28">
        <v>2653</v>
      </c>
      <c r="C2050" s="28" t="s">
        <v>738</v>
      </c>
      <c r="D2050" s="28"/>
      <c r="E2050" s="41">
        <v>46172</v>
      </c>
      <c r="F2050" s="47">
        <v>0.36877314814814816</v>
      </c>
      <c r="G2050" s="44">
        <v>6.3</v>
      </c>
      <c r="H2050" s="43" t="s">
        <v>229</v>
      </c>
      <c r="I2050" s="40" t="s">
        <v>1300</v>
      </c>
    </row>
    <row r="2051" spans="1:9" x14ac:dyDescent="0.2">
      <c r="A2051" s="40" t="s">
        <v>310</v>
      </c>
      <c r="B2051" s="28">
        <v>2653</v>
      </c>
      <c r="C2051" s="28" t="s">
        <v>35</v>
      </c>
      <c r="D2051" s="28" t="s">
        <v>38</v>
      </c>
      <c r="E2051" s="41">
        <v>46172</v>
      </c>
      <c r="F2051" s="47">
        <v>0.51505787037037032</v>
      </c>
      <c r="G2051" s="44">
        <v>6.3</v>
      </c>
      <c r="H2051" s="43" t="s">
        <v>231</v>
      </c>
      <c r="I2051" s="40" t="s">
        <v>1300</v>
      </c>
    </row>
    <row r="2052" spans="1:9" x14ac:dyDescent="0.2">
      <c r="A2052" s="40" t="s">
        <v>310</v>
      </c>
      <c r="B2052" s="28">
        <v>2653</v>
      </c>
      <c r="C2052" s="28" t="s">
        <v>35</v>
      </c>
      <c r="D2052" s="28" t="s">
        <v>38</v>
      </c>
      <c r="E2052" s="41">
        <v>46172</v>
      </c>
      <c r="F2052" s="47">
        <v>0.52539351851851857</v>
      </c>
      <c r="G2052" s="44">
        <v>6.3</v>
      </c>
      <c r="H2052" s="43" t="s">
        <v>227</v>
      </c>
      <c r="I2052" s="40" t="s">
        <v>1300</v>
      </c>
    </row>
    <row r="2053" spans="1:9" x14ac:dyDescent="0.2">
      <c r="A2053" s="40" t="s">
        <v>310</v>
      </c>
      <c r="B2053" s="28">
        <v>2653</v>
      </c>
      <c r="C2053" s="28" t="s">
        <v>35</v>
      </c>
      <c r="D2053" s="28" t="s">
        <v>38</v>
      </c>
      <c r="E2053" s="41">
        <v>46172</v>
      </c>
      <c r="F2053" s="47">
        <v>0.58416666666666661</v>
      </c>
      <c r="G2053" s="44">
        <v>6.3</v>
      </c>
      <c r="H2053" s="43" t="s">
        <v>228</v>
      </c>
      <c r="I2053" s="40" t="s">
        <v>1300</v>
      </c>
    </row>
    <row r="2054" spans="1:9" x14ac:dyDescent="0.2">
      <c r="A2054" s="40" t="s">
        <v>310</v>
      </c>
      <c r="B2054" s="28">
        <v>2653</v>
      </c>
      <c r="C2054" s="28">
        <v>5695969</v>
      </c>
      <c r="D2054" s="28"/>
      <c r="E2054" s="41">
        <v>46173</v>
      </c>
      <c r="F2054" s="47">
        <v>0.64949074074074076</v>
      </c>
      <c r="G2054" s="44">
        <v>6.3</v>
      </c>
      <c r="H2054" s="43" t="s">
        <v>228</v>
      </c>
      <c r="I2054" s="40" t="s">
        <v>1300</v>
      </c>
    </row>
    <row r="2055" spans="1:9" x14ac:dyDescent="0.2">
      <c r="A2055" s="40" t="s">
        <v>91</v>
      </c>
      <c r="B2055" s="28">
        <v>9045</v>
      </c>
      <c r="C2055" s="28">
        <v>10757461</v>
      </c>
      <c r="D2055" s="28"/>
      <c r="E2055" s="41">
        <v>46169</v>
      </c>
      <c r="F2055" s="47">
        <v>0.61804398148148143</v>
      </c>
      <c r="G2055" s="44">
        <v>6.3</v>
      </c>
      <c r="H2055" s="43" t="s">
        <v>228</v>
      </c>
      <c r="I2055" s="40" t="s">
        <v>1300</v>
      </c>
    </row>
    <row r="2056" spans="1:9" x14ac:dyDescent="0.2">
      <c r="A2056" s="40" t="s">
        <v>91</v>
      </c>
      <c r="B2056" s="28">
        <v>9045</v>
      </c>
      <c r="C2056" s="28">
        <v>10757461</v>
      </c>
      <c r="D2056" s="28"/>
      <c r="E2056" s="41">
        <v>46169</v>
      </c>
      <c r="F2056" s="47">
        <v>0.63680555555555551</v>
      </c>
      <c r="G2056" s="44">
        <v>6.3</v>
      </c>
      <c r="H2056" s="43" t="s">
        <v>229</v>
      </c>
      <c r="I2056" s="40" t="s">
        <v>1300</v>
      </c>
    </row>
    <row r="2057" spans="1:9" x14ac:dyDescent="0.2">
      <c r="A2057" s="40" t="s">
        <v>91</v>
      </c>
      <c r="B2057" s="28">
        <v>9045</v>
      </c>
      <c r="C2057" s="28">
        <v>5688104</v>
      </c>
      <c r="D2057" s="28" t="s">
        <v>37</v>
      </c>
      <c r="E2057" s="45">
        <v>46169</v>
      </c>
      <c r="F2057" s="48">
        <v>0.85571759259259261</v>
      </c>
      <c r="G2057" s="44">
        <v>6.3</v>
      </c>
      <c r="H2057" s="43" t="s">
        <v>230</v>
      </c>
      <c r="I2057" s="40" t="s">
        <v>1300</v>
      </c>
    </row>
    <row r="2058" spans="1:9" x14ac:dyDescent="0.2">
      <c r="A2058" s="40" t="s">
        <v>91</v>
      </c>
      <c r="B2058" s="28">
        <v>9045</v>
      </c>
      <c r="C2058" s="28">
        <v>5688104</v>
      </c>
      <c r="D2058" s="28" t="s">
        <v>37</v>
      </c>
      <c r="E2058" s="41">
        <v>46169</v>
      </c>
      <c r="F2058" s="47">
        <v>0.86342592592592593</v>
      </c>
      <c r="G2058" s="42">
        <v>6.3</v>
      </c>
      <c r="H2058" s="40" t="s">
        <v>227</v>
      </c>
      <c r="I2058" s="40" t="s">
        <v>1300</v>
      </c>
    </row>
    <row r="2059" spans="1:9" x14ac:dyDescent="0.2">
      <c r="A2059" s="40" t="s">
        <v>91</v>
      </c>
      <c r="B2059" s="28">
        <v>9045</v>
      </c>
      <c r="C2059" s="28">
        <v>10775854</v>
      </c>
      <c r="D2059" s="28"/>
      <c r="E2059" s="41">
        <v>46171</v>
      </c>
      <c r="F2059" s="47">
        <v>0.8021180555555556</v>
      </c>
      <c r="G2059" s="42">
        <v>6.3</v>
      </c>
      <c r="H2059" s="40" t="s">
        <v>228</v>
      </c>
      <c r="I2059" s="40" t="s">
        <v>1300</v>
      </c>
    </row>
    <row r="2060" spans="1:9" x14ac:dyDescent="0.2">
      <c r="A2060" s="40" t="s">
        <v>91</v>
      </c>
      <c r="B2060" s="28">
        <v>9045</v>
      </c>
      <c r="C2060" s="28">
        <v>10775854</v>
      </c>
      <c r="D2060" s="28"/>
      <c r="E2060" s="41">
        <v>46171</v>
      </c>
      <c r="F2060" s="47">
        <v>0.8112152777777778</v>
      </c>
      <c r="G2060" s="44">
        <v>6.3</v>
      </c>
      <c r="H2060" s="43" t="s">
        <v>229</v>
      </c>
      <c r="I2060" s="40" t="s">
        <v>1300</v>
      </c>
    </row>
    <row r="2061" spans="1:9" x14ac:dyDescent="0.2">
      <c r="A2061" s="40" t="s">
        <v>91</v>
      </c>
      <c r="B2061" s="28">
        <v>9045</v>
      </c>
      <c r="C2061" s="28">
        <v>5693827</v>
      </c>
      <c r="D2061" s="28"/>
      <c r="E2061" s="41">
        <v>46171</v>
      </c>
      <c r="F2061" s="47">
        <v>0.85137731481481482</v>
      </c>
      <c r="G2061" s="44">
        <v>6.3</v>
      </c>
      <c r="H2061" s="43" t="s">
        <v>226</v>
      </c>
      <c r="I2061" s="40" t="s">
        <v>1300</v>
      </c>
    </row>
    <row r="2062" spans="1:9" x14ac:dyDescent="0.2">
      <c r="A2062" s="40" t="s">
        <v>91</v>
      </c>
      <c r="B2062" s="28">
        <v>9045</v>
      </c>
      <c r="C2062" s="28">
        <v>5693827</v>
      </c>
      <c r="D2062" s="28"/>
      <c r="E2062" s="41">
        <v>46171</v>
      </c>
      <c r="F2062" s="47">
        <v>0.89038194444444441</v>
      </c>
      <c r="G2062" s="44">
        <v>6.3</v>
      </c>
      <c r="H2062" s="43" t="s">
        <v>227</v>
      </c>
      <c r="I2062" s="40" t="s">
        <v>1300</v>
      </c>
    </row>
    <row r="2063" spans="1:9" x14ac:dyDescent="0.2">
      <c r="A2063" s="40" t="s">
        <v>250</v>
      </c>
      <c r="B2063" s="28">
        <v>2722</v>
      </c>
      <c r="C2063" s="28" t="s">
        <v>739</v>
      </c>
      <c r="D2063" s="28"/>
      <c r="E2063" s="41">
        <v>46170</v>
      </c>
      <c r="F2063" s="47">
        <v>0.39129629629629631</v>
      </c>
      <c r="G2063" s="44">
        <v>6.3</v>
      </c>
      <c r="H2063" s="43" t="s">
        <v>228</v>
      </c>
      <c r="I2063" s="40" t="s">
        <v>1300</v>
      </c>
    </row>
    <row r="2064" spans="1:9" x14ac:dyDescent="0.2">
      <c r="A2064" s="40" t="s">
        <v>250</v>
      </c>
      <c r="B2064" s="28">
        <v>2722</v>
      </c>
      <c r="C2064" s="28" t="s">
        <v>739</v>
      </c>
      <c r="D2064" s="28"/>
      <c r="E2064" s="41">
        <v>46170</v>
      </c>
      <c r="F2064" s="47">
        <v>0.40447916666666667</v>
      </c>
      <c r="G2064" s="44">
        <v>6.3</v>
      </c>
      <c r="H2064" s="43" t="s">
        <v>229</v>
      </c>
      <c r="I2064" s="40" t="s">
        <v>1300</v>
      </c>
    </row>
    <row r="2065" spans="1:9" x14ac:dyDescent="0.2">
      <c r="A2065" s="40" t="s">
        <v>250</v>
      </c>
      <c r="B2065" s="28">
        <v>2722</v>
      </c>
      <c r="C2065" s="28" t="s">
        <v>740</v>
      </c>
      <c r="D2065" s="28"/>
      <c r="E2065" s="41">
        <v>46171</v>
      </c>
      <c r="F2065" s="47">
        <v>0.46187499999999998</v>
      </c>
      <c r="G2065" s="44">
        <v>6.3</v>
      </c>
      <c r="H2065" s="43" t="s">
        <v>228</v>
      </c>
      <c r="I2065" s="40" t="s">
        <v>1300</v>
      </c>
    </row>
    <row r="2066" spans="1:9" x14ac:dyDescent="0.2">
      <c r="A2066" s="40" t="s">
        <v>250</v>
      </c>
      <c r="B2066" s="28">
        <v>2722</v>
      </c>
      <c r="C2066" s="28" t="s">
        <v>740</v>
      </c>
      <c r="D2066" s="28"/>
      <c r="E2066" s="41">
        <v>46171</v>
      </c>
      <c r="F2066" s="47">
        <v>0.48741898148148149</v>
      </c>
      <c r="G2066" s="44">
        <v>6.3</v>
      </c>
      <c r="H2066" s="43" t="s">
        <v>226</v>
      </c>
      <c r="I2066" s="40" t="s">
        <v>1300</v>
      </c>
    </row>
    <row r="2067" spans="1:9" x14ac:dyDescent="0.2">
      <c r="A2067" s="40" t="s">
        <v>250</v>
      </c>
      <c r="B2067" s="28">
        <v>2722</v>
      </c>
      <c r="C2067" s="28">
        <v>5692887</v>
      </c>
      <c r="D2067" s="28"/>
      <c r="E2067" s="41">
        <v>46171</v>
      </c>
      <c r="F2067" s="47">
        <v>0.57692129629629629</v>
      </c>
      <c r="G2067" s="44">
        <v>6.3</v>
      </c>
      <c r="H2067" s="43" t="s">
        <v>228</v>
      </c>
      <c r="I2067" s="40" t="s">
        <v>1300</v>
      </c>
    </row>
    <row r="2068" spans="1:9" x14ac:dyDescent="0.2">
      <c r="A2068" s="40" t="s">
        <v>250</v>
      </c>
      <c r="B2068" s="28">
        <v>2722</v>
      </c>
      <c r="C2068" s="28">
        <v>5692887</v>
      </c>
      <c r="D2068" s="28"/>
      <c r="E2068" s="41">
        <v>46171</v>
      </c>
      <c r="F2068" s="47">
        <v>0.58657407407407403</v>
      </c>
      <c r="G2068" s="44">
        <v>6.3</v>
      </c>
      <c r="H2068" s="43" t="s">
        <v>232</v>
      </c>
      <c r="I2068" s="40" t="s">
        <v>1300</v>
      </c>
    </row>
    <row r="2069" spans="1:9" x14ac:dyDescent="0.2">
      <c r="A2069" s="40" t="s">
        <v>250</v>
      </c>
      <c r="B2069" s="28">
        <v>2722</v>
      </c>
      <c r="C2069" s="28" t="s">
        <v>741</v>
      </c>
      <c r="D2069" s="28"/>
      <c r="E2069" s="45">
        <v>46172</v>
      </c>
      <c r="F2069" s="48">
        <v>0.40342592592592591</v>
      </c>
      <c r="G2069" s="44">
        <v>6.3</v>
      </c>
      <c r="H2069" s="43" t="s">
        <v>228</v>
      </c>
      <c r="I2069" s="40" t="s">
        <v>1300</v>
      </c>
    </row>
    <row r="2070" spans="1:9" x14ac:dyDescent="0.2">
      <c r="A2070" s="40" t="s">
        <v>250</v>
      </c>
      <c r="B2070" s="28">
        <v>2722</v>
      </c>
      <c r="C2070" s="28" t="s">
        <v>35</v>
      </c>
      <c r="D2070" s="28" t="s">
        <v>38</v>
      </c>
      <c r="E2070" s="41">
        <v>46172</v>
      </c>
      <c r="F2070" s="47">
        <v>0.45425925925925925</v>
      </c>
      <c r="G2070" s="44">
        <v>6.3</v>
      </c>
      <c r="H2070" s="43" t="s">
        <v>227</v>
      </c>
      <c r="I2070" s="40" t="s">
        <v>1300</v>
      </c>
    </row>
    <row r="2071" spans="1:9" x14ac:dyDescent="0.2">
      <c r="A2071" s="40" t="s">
        <v>250</v>
      </c>
      <c r="B2071" s="28">
        <v>2722</v>
      </c>
      <c r="C2071" s="28">
        <v>5694580</v>
      </c>
      <c r="D2071" s="28"/>
      <c r="E2071" s="41">
        <v>46173</v>
      </c>
      <c r="F2071" s="47">
        <v>0.63412037037037039</v>
      </c>
      <c r="G2071" s="42">
        <v>6.3</v>
      </c>
      <c r="H2071" s="40" t="s">
        <v>230</v>
      </c>
      <c r="I2071" s="40" t="s">
        <v>1300</v>
      </c>
    </row>
    <row r="2072" spans="1:9" x14ac:dyDescent="0.2">
      <c r="A2072" s="40" t="s">
        <v>250</v>
      </c>
      <c r="B2072" s="28">
        <v>2722</v>
      </c>
      <c r="C2072" s="28">
        <v>5694580</v>
      </c>
      <c r="D2072" s="28"/>
      <c r="E2072" s="45">
        <v>46173</v>
      </c>
      <c r="F2072" s="48">
        <v>0.63996527777777779</v>
      </c>
      <c r="G2072" s="42">
        <v>6.3</v>
      </c>
      <c r="H2072" s="40" t="s">
        <v>227</v>
      </c>
      <c r="I2072" s="40" t="s">
        <v>1300</v>
      </c>
    </row>
    <row r="2073" spans="1:9" x14ac:dyDescent="0.2">
      <c r="A2073" s="40" t="s">
        <v>160</v>
      </c>
      <c r="B2073" s="28">
        <v>2736</v>
      </c>
      <c r="C2073" s="28">
        <v>5689040</v>
      </c>
      <c r="D2073" s="28"/>
      <c r="E2073" s="41">
        <v>46169</v>
      </c>
      <c r="F2073" s="47">
        <v>0.28420138888888891</v>
      </c>
      <c r="G2073" s="44">
        <v>6.3</v>
      </c>
      <c r="H2073" s="43" t="s">
        <v>227</v>
      </c>
      <c r="I2073" s="40" t="s">
        <v>1300</v>
      </c>
    </row>
    <row r="2074" spans="1:9" x14ac:dyDescent="0.2">
      <c r="A2074" s="40" t="s">
        <v>160</v>
      </c>
      <c r="B2074" s="28">
        <v>2736</v>
      </c>
      <c r="C2074" s="28">
        <v>5689301</v>
      </c>
      <c r="D2074" s="28"/>
      <c r="E2074" s="41">
        <v>46169</v>
      </c>
      <c r="F2074" s="47">
        <v>0.40318287037037037</v>
      </c>
      <c r="G2074" s="44">
        <v>6.3</v>
      </c>
      <c r="H2074" s="43" t="s">
        <v>232</v>
      </c>
      <c r="I2074" s="40" t="s">
        <v>1300</v>
      </c>
    </row>
    <row r="2075" spans="1:9" x14ac:dyDescent="0.2">
      <c r="A2075" s="40" t="s">
        <v>160</v>
      </c>
      <c r="B2075" s="28">
        <v>2736</v>
      </c>
      <c r="C2075" s="28" t="s">
        <v>742</v>
      </c>
      <c r="D2075" s="28"/>
      <c r="E2075" s="41">
        <v>46172</v>
      </c>
      <c r="F2075" s="47">
        <v>0.72725694444444444</v>
      </c>
      <c r="G2075" s="44">
        <v>6.3</v>
      </c>
      <c r="H2075" s="43" t="s">
        <v>228</v>
      </c>
      <c r="I2075" s="40" t="s">
        <v>1300</v>
      </c>
    </row>
    <row r="2076" spans="1:9" x14ac:dyDescent="0.2">
      <c r="A2076" s="40" t="s">
        <v>160</v>
      </c>
      <c r="B2076" s="28">
        <v>2736</v>
      </c>
      <c r="C2076" s="28" t="s">
        <v>742</v>
      </c>
      <c r="D2076" s="28"/>
      <c r="E2076" s="41">
        <v>46172</v>
      </c>
      <c r="F2076" s="47">
        <v>0.73481481481481481</v>
      </c>
      <c r="G2076" s="44">
        <v>6.3</v>
      </c>
      <c r="H2076" s="43" t="s">
        <v>229</v>
      </c>
      <c r="I2076" s="40" t="s">
        <v>1300</v>
      </c>
    </row>
    <row r="2077" spans="1:9" x14ac:dyDescent="0.2">
      <c r="A2077" s="40" t="s">
        <v>357</v>
      </c>
      <c r="B2077" s="28">
        <v>2746</v>
      </c>
      <c r="C2077" s="28">
        <v>5686678</v>
      </c>
      <c r="D2077" s="28"/>
      <c r="E2077" s="41">
        <v>46167</v>
      </c>
      <c r="F2077" s="47">
        <v>0.81586805555555553</v>
      </c>
      <c r="G2077" s="44">
        <v>6.3</v>
      </c>
      <c r="H2077" s="43" t="s">
        <v>228</v>
      </c>
      <c r="I2077" s="40" t="s">
        <v>1300</v>
      </c>
    </row>
    <row r="2078" spans="1:9" x14ac:dyDescent="0.2">
      <c r="A2078" s="40" t="s">
        <v>357</v>
      </c>
      <c r="B2078" s="28">
        <v>2746</v>
      </c>
      <c r="C2078" s="28">
        <v>5686678</v>
      </c>
      <c r="D2078" s="28"/>
      <c r="E2078" s="41">
        <v>46167</v>
      </c>
      <c r="F2078" s="47">
        <v>0.82472222222222225</v>
      </c>
      <c r="G2078" s="44">
        <v>6.3</v>
      </c>
      <c r="H2078" s="43" t="s">
        <v>229</v>
      </c>
      <c r="I2078" s="40" t="s">
        <v>1300</v>
      </c>
    </row>
    <row r="2079" spans="1:9" x14ac:dyDescent="0.2">
      <c r="A2079" s="40" t="s">
        <v>357</v>
      </c>
      <c r="B2079" s="28">
        <v>2746</v>
      </c>
      <c r="C2079" s="28" t="s">
        <v>35</v>
      </c>
      <c r="D2079" s="28" t="s">
        <v>38</v>
      </c>
      <c r="E2079" s="41">
        <v>46169</v>
      </c>
      <c r="F2079" s="47">
        <v>0.2179861111111111</v>
      </c>
      <c r="G2079" s="44">
        <v>6.3</v>
      </c>
      <c r="H2079" s="43" t="s">
        <v>233</v>
      </c>
      <c r="I2079" s="40" t="s">
        <v>1300</v>
      </c>
    </row>
    <row r="2080" spans="1:9" x14ac:dyDescent="0.2">
      <c r="A2080" s="40" t="s">
        <v>357</v>
      </c>
      <c r="B2080" s="28">
        <v>2746</v>
      </c>
      <c r="C2080" s="28">
        <v>5688928</v>
      </c>
      <c r="D2080" s="28"/>
      <c r="E2080" s="41">
        <v>46169</v>
      </c>
      <c r="F2080" s="47">
        <v>0.31471064814814814</v>
      </c>
      <c r="G2080" s="44">
        <v>6.3</v>
      </c>
      <c r="H2080" s="43" t="s">
        <v>229</v>
      </c>
      <c r="I2080" s="40" t="s">
        <v>1300</v>
      </c>
    </row>
    <row r="2081" spans="1:9" x14ac:dyDescent="0.2">
      <c r="A2081" s="40" t="s">
        <v>357</v>
      </c>
      <c r="B2081" s="28">
        <v>2746</v>
      </c>
      <c r="C2081" s="28">
        <v>5690019</v>
      </c>
      <c r="D2081" s="28"/>
      <c r="E2081" s="41">
        <v>46169</v>
      </c>
      <c r="F2081" s="47">
        <v>0.71783564814814815</v>
      </c>
      <c r="G2081" s="44">
        <v>6.3</v>
      </c>
      <c r="H2081" s="43" t="s">
        <v>228</v>
      </c>
      <c r="I2081" s="40" t="s">
        <v>1300</v>
      </c>
    </row>
    <row r="2082" spans="1:9" x14ac:dyDescent="0.2">
      <c r="A2082" s="40" t="s">
        <v>357</v>
      </c>
      <c r="B2082" s="28">
        <v>2746</v>
      </c>
      <c r="C2082" s="28">
        <v>5690019</v>
      </c>
      <c r="D2082" s="28"/>
      <c r="E2082" s="41">
        <v>46169</v>
      </c>
      <c r="F2082" s="47">
        <v>0.73031250000000003</v>
      </c>
      <c r="G2082" s="44">
        <v>6.3</v>
      </c>
      <c r="H2082" s="43" t="s">
        <v>232</v>
      </c>
      <c r="I2082" s="40" t="s">
        <v>1300</v>
      </c>
    </row>
    <row r="2083" spans="1:9" x14ac:dyDescent="0.2">
      <c r="A2083" s="40" t="s">
        <v>357</v>
      </c>
      <c r="B2083" s="28">
        <v>2746</v>
      </c>
      <c r="C2083" s="28" t="s">
        <v>35</v>
      </c>
      <c r="D2083" s="28" t="s">
        <v>38</v>
      </c>
      <c r="E2083" s="41">
        <v>46170</v>
      </c>
      <c r="F2083" s="47">
        <v>0.22836805555555556</v>
      </c>
      <c r="G2083" s="44">
        <v>6.3</v>
      </c>
      <c r="H2083" s="43" t="s">
        <v>233</v>
      </c>
      <c r="I2083" s="40" t="s">
        <v>1300</v>
      </c>
    </row>
    <row r="2084" spans="1:9" x14ac:dyDescent="0.2">
      <c r="A2084" s="40" t="s">
        <v>357</v>
      </c>
      <c r="B2084" s="28">
        <v>2746</v>
      </c>
      <c r="C2084" s="28">
        <v>5690741</v>
      </c>
      <c r="D2084" s="28"/>
      <c r="E2084" s="41">
        <v>46170</v>
      </c>
      <c r="F2084" s="47">
        <v>0.31711805555555556</v>
      </c>
      <c r="G2084" s="44">
        <v>6.3</v>
      </c>
      <c r="H2084" s="43" t="s">
        <v>234</v>
      </c>
      <c r="I2084" s="40" t="s">
        <v>1300</v>
      </c>
    </row>
    <row r="2085" spans="1:9" x14ac:dyDescent="0.2">
      <c r="A2085" s="40" t="s">
        <v>357</v>
      </c>
      <c r="B2085" s="28">
        <v>2746</v>
      </c>
      <c r="C2085" s="28">
        <v>5691126</v>
      </c>
      <c r="D2085" s="28"/>
      <c r="E2085" s="41">
        <v>46170</v>
      </c>
      <c r="F2085" s="47">
        <v>0.62616898148148148</v>
      </c>
      <c r="G2085" s="44">
        <v>6.3</v>
      </c>
      <c r="H2085" s="43" t="s">
        <v>230</v>
      </c>
      <c r="I2085" s="40" t="s">
        <v>1300</v>
      </c>
    </row>
    <row r="2086" spans="1:9" x14ac:dyDescent="0.2">
      <c r="A2086" s="40" t="s">
        <v>357</v>
      </c>
      <c r="B2086" s="28">
        <v>2746</v>
      </c>
      <c r="C2086" s="28">
        <v>5691126</v>
      </c>
      <c r="D2086" s="28"/>
      <c r="E2086" s="45">
        <v>46170</v>
      </c>
      <c r="F2086" s="48">
        <v>0.63149305555555557</v>
      </c>
      <c r="G2086" s="44">
        <v>6.3</v>
      </c>
      <c r="H2086" s="43" t="s">
        <v>227</v>
      </c>
      <c r="I2086" s="40" t="s">
        <v>1300</v>
      </c>
    </row>
    <row r="2087" spans="1:9" x14ac:dyDescent="0.2">
      <c r="A2087" s="40" t="s">
        <v>357</v>
      </c>
      <c r="B2087" s="28">
        <v>2746</v>
      </c>
      <c r="C2087" s="28">
        <v>5691716</v>
      </c>
      <c r="D2087" s="28"/>
      <c r="E2087" s="45">
        <v>46170</v>
      </c>
      <c r="F2087" s="48">
        <v>0.71</v>
      </c>
      <c r="G2087" s="44">
        <v>6.3</v>
      </c>
      <c r="H2087" s="43" t="s">
        <v>228</v>
      </c>
      <c r="I2087" s="40" t="s">
        <v>1300</v>
      </c>
    </row>
    <row r="2088" spans="1:9" x14ac:dyDescent="0.2">
      <c r="A2088" s="40" t="s">
        <v>357</v>
      </c>
      <c r="B2088" s="28">
        <v>2746</v>
      </c>
      <c r="C2088" s="28">
        <v>5691716</v>
      </c>
      <c r="D2088" s="28"/>
      <c r="E2088" s="41">
        <v>46170</v>
      </c>
      <c r="F2088" s="47">
        <v>0.72591435185185182</v>
      </c>
      <c r="G2088" s="44">
        <v>6.3</v>
      </c>
      <c r="H2088" s="43" t="s">
        <v>229</v>
      </c>
      <c r="I2088" s="40" t="s">
        <v>1300</v>
      </c>
    </row>
    <row r="2089" spans="1:9" x14ac:dyDescent="0.2">
      <c r="A2089" s="40" t="s">
        <v>357</v>
      </c>
      <c r="B2089" s="28">
        <v>2746</v>
      </c>
      <c r="C2089" s="28" t="s">
        <v>35</v>
      </c>
      <c r="D2089" s="28" t="s">
        <v>38</v>
      </c>
      <c r="E2089" s="41">
        <v>46171</v>
      </c>
      <c r="F2089" s="47">
        <v>0.50591435185185185</v>
      </c>
      <c r="G2089" s="44">
        <v>6.3</v>
      </c>
      <c r="H2089" s="43" t="s">
        <v>228</v>
      </c>
      <c r="I2089" s="40" t="s">
        <v>1300</v>
      </c>
    </row>
    <row r="2090" spans="1:9" x14ac:dyDescent="0.2">
      <c r="A2090" s="40" t="s">
        <v>357</v>
      </c>
      <c r="B2090" s="28">
        <v>2746</v>
      </c>
      <c r="C2090" s="28" t="s">
        <v>35</v>
      </c>
      <c r="D2090" s="28" t="s">
        <v>38</v>
      </c>
      <c r="E2090" s="41">
        <v>46171</v>
      </c>
      <c r="F2090" s="47">
        <v>0.5191782407407407</v>
      </c>
      <c r="G2090" s="44">
        <v>6.3</v>
      </c>
      <c r="H2090" s="43" t="s">
        <v>232</v>
      </c>
      <c r="I2090" s="40" t="s">
        <v>1300</v>
      </c>
    </row>
    <row r="2091" spans="1:9" x14ac:dyDescent="0.2">
      <c r="A2091" s="40" t="s">
        <v>357</v>
      </c>
      <c r="B2091" s="28">
        <v>2746</v>
      </c>
      <c r="C2091" s="28" t="s">
        <v>35</v>
      </c>
      <c r="D2091" s="28" t="s">
        <v>38</v>
      </c>
      <c r="E2091" s="41">
        <v>46172</v>
      </c>
      <c r="F2091" s="47">
        <v>0.48020833333333335</v>
      </c>
      <c r="G2091" s="44">
        <v>6.3</v>
      </c>
      <c r="H2091" s="43" t="s">
        <v>228</v>
      </c>
      <c r="I2091" s="40" t="s">
        <v>1300</v>
      </c>
    </row>
    <row r="2092" spans="1:9" x14ac:dyDescent="0.2">
      <c r="A2092" s="40" t="s">
        <v>357</v>
      </c>
      <c r="B2092" s="28">
        <v>2746</v>
      </c>
      <c r="C2092" s="28" t="s">
        <v>35</v>
      </c>
      <c r="D2092" s="28" t="s">
        <v>38</v>
      </c>
      <c r="E2092" s="41">
        <v>46172</v>
      </c>
      <c r="F2092" s="47">
        <v>0.48899305555555556</v>
      </c>
      <c r="G2092" s="44">
        <v>6.3</v>
      </c>
      <c r="H2092" s="43" t="s">
        <v>232</v>
      </c>
      <c r="I2092" s="40" t="s">
        <v>1300</v>
      </c>
    </row>
    <row r="2093" spans="1:9" x14ac:dyDescent="0.2">
      <c r="A2093" s="40" t="s">
        <v>357</v>
      </c>
      <c r="B2093" s="28">
        <v>2746</v>
      </c>
      <c r="C2093" s="28" t="s">
        <v>35</v>
      </c>
      <c r="D2093" s="28" t="s">
        <v>38</v>
      </c>
      <c r="E2093" s="41">
        <v>46173</v>
      </c>
      <c r="F2093" s="47">
        <v>0.57307870370370373</v>
      </c>
      <c r="G2093" s="44">
        <v>6.3</v>
      </c>
      <c r="H2093" s="43" t="s">
        <v>230</v>
      </c>
      <c r="I2093" s="40" t="s">
        <v>1300</v>
      </c>
    </row>
    <row r="2094" spans="1:9" x14ac:dyDescent="0.2">
      <c r="A2094" s="40" t="s">
        <v>337</v>
      </c>
      <c r="B2094" s="28">
        <v>2755</v>
      </c>
      <c r="C2094" s="28">
        <v>5688935</v>
      </c>
      <c r="D2094" s="28"/>
      <c r="E2094" s="41">
        <v>46168</v>
      </c>
      <c r="F2094" s="47">
        <v>0.99209490740740736</v>
      </c>
      <c r="G2094" s="44">
        <v>6.3</v>
      </c>
      <c r="H2094" s="43" t="s">
        <v>228</v>
      </c>
      <c r="I2094" s="40" t="s">
        <v>1300</v>
      </c>
    </row>
    <row r="2095" spans="1:9" x14ac:dyDescent="0.2">
      <c r="A2095" s="40" t="s">
        <v>337</v>
      </c>
      <c r="B2095" s="28">
        <v>2755</v>
      </c>
      <c r="C2095" s="28">
        <v>5688935</v>
      </c>
      <c r="D2095" s="28"/>
      <c r="E2095" s="41">
        <v>46168</v>
      </c>
      <c r="F2095" s="47">
        <v>0.99891203703703701</v>
      </c>
      <c r="G2095" s="44">
        <v>6.3</v>
      </c>
      <c r="H2095" s="43" t="s">
        <v>229</v>
      </c>
      <c r="I2095" s="40" t="s">
        <v>1300</v>
      </c>
    </row>
    <row r="2096" spans="1:9" x14ac:dyDescent="0.2">
      <c r="A2096" s="40" t="s">
        <v>337</v>
      </c>
      <c r="B2096" s="28">
        <v>2755</v>
      </c>
      <c r="C2096" s="28">
        <v>5689087</v>
      </c>
      <c r="D2096" s="28"/>
      <c r="E2096" s="41">
        <v>46169</v>
      </c>
      <c r="F2096" s="47">
        <v>0.16652777777777777</v>
      </c>
      <c r="G2096" s="44">
        <v>6.3</v>
      </c>
      <c r="H2096" s="43" t="s">
        <v>230</v>
      </c>
      <c r="I2096" s="40" t="s">
        <v>1300</v>
      </c>
    </row>
    <row r="2097" spans="1:9" x14ac:dyDescent="0.2">
      <c r="A2097" s="40" t="s">
        <v>337</v>
      </c>
      <c r="B2097" s="28">
        <v>2755</v>
      </c>
      <c r="C2097" s="28">
        <v>5689087</v>
      </c>
      <c r="D2097" s="28"/>
      <c r="E2097" s="41">
        <v>46169</v>
      </c>
      <c r="F2097" s="47">
        <v>0.17159722222222223</v>
      </c>
      <c r="G2097" s="44">
        <v>6.3</v>
      </c>
      <c r="H2097" s="43" t="s">
        <v>227</v>
      </c>
      <c r="I2097" s="40" t="s">
        <v>1300</v>
      </c>
    </row>
    <row r="2098" spans="1:9" x14ac:dyDescent="0.2">
      <c r="A2098" s="40" t="s">
        <v>337</v>
      </c>
      <c r="B2098" s="28">
        <v>2755</v>
      </c>
      <c r="C2098" s="28" t="s">
        <v>35</v>
      </c>
      <c r="D2098" s="28" t="s">
        <v>38</v>
      </c>
      <c r="E2098" s="41">
        <v>46172</v>
      </c>
      <c r="F2098" s="47">
        <v>7.0023148148148145E-3</v>
      </c>
      <c r="G2098" s="44">
        <v>6.3</v>
      </c>
      <c r="H2098" s="43" t="s">
        <v>228</v>
      </c>
      <c r="I2098" s="40" t="s">
        <v>1300</v>
      </c>
    </row>
    <row r="2099" spans="1:9" x14ac:dyDescent="0.2">
      <c r="A2099" s="40" t="s">
        <v>337</v>
      </c>
      <c r="B2099" s="28">
        <v>2755</v>
      </c>
      <c r="C2099" s="28" t="s">
        <v>35</v>
      </c>
      <c r="D2099" s="28" t="s">
        <v>38</v>
      </c>
      <c r="E2099" s="41">
        <v>46172</v>
      </c>
      <c r="F2099" s="47">
        <v>0.1756712962962963</v>
      </c>
      <c r="G2099" s="44">
        <v>6.3</v>
      </c>
      <c r="H2099" s="43" t="s">
        <v>229</v>
      </c>
      <c r="I2099" s="40" t="s">
        <v>1300</v>
      </c>
    </row>
    <row r="2100" spans="1:9" x14ac:dyDescent="0.2">
      <c r="A2100" s="40" t="s">
        <v>337</v>
      </c>
      <c r="B2100" s="28">
        <v>2755</v>
      </c>
      <c r="C2100" s="28">
        <v>5694390</v>
      </c>
      <c r="D2100" s="28"/>
      <c r="E2100" s="41">
        <v>46173</v>
      </c>
      <c r="F2100" s="47">
        <v>0.8678703703703704</v>
      </c>
      <c r="G2100" s="44">
        <v>6.3</v>
      </c>
      <c r="H2100" s="43" t="s">
        <v>230</v>
      </c>
      <c r="I2100" s="40" t="s">
        <v>1300</v>
      </c>
    </row>
    <row r="2101" spans="1:9" x14ac:dyDescent="0.2">
      <c r="A2101" s="40" t="s">
        <v>337</v>
      </c>
      <c r="B2101" s="28">
        <v>2755</v>
      </c>
      <c r="C2101" s="28">
        <v>5694390</v>
      </c>
      <c r="D2101" s="28"/>
      <c r="E2101" s="41">
        <v>46173</v>
      </c>
      <c r="F2101" s="47">
        <v>0.8739351851851852</v>
      </c>
      <c r="G2101" s="44">
        <v>6.3</v>
      </c>
      <c r="H2101" s="43" t="s">
        <v>227</v>
      </c>
      <c r="I2101" s="40" t="s">
        <v>1300</v>
      </c>
    </row>
    <row r="2102" spans="1:9" x14ac:dyDescent="0.2">
      <c r="A2102" s="40" t="s">
        <v>356</v>
      </c>
      <c r="B2102" s="28">
        <v>2777</v>
      </c>
      <c r="C2102" s="28" t="s">
        <v>35</v>
      </c>
      <c r="D2102" s="28" t="s">
        <v>38</v>
      </c>
      <c r="E2102" s="41">
        <v>46167</v>
      </c>
      <c r="F2102" s="47">
        <v>2.0266203703703703E-2</v>
      </c>
      <c r="G2102" s="44">
        <v>6.3</v>
      </c>
      <c r="H2102" s="43" t="s">
        <v>230</v>
      </c>
      <c r="I2102" s="40" t="s">
        <v>1300</v>
      </c>
    </row>
    <row r="2103" spans="1:9" x14ac:dyDescent="0.2">
      <c r="A2103" s="40" t="s">
        <v>356</v>
      </c>
      <c r="B2103" s="28">
        <v>2777</v>
      </c>
      <c r="C2103" s="28" t="s">
        <v>35</v>
      </c>
      <c r="D2103" s="28" t="s">
        <v>38</v>
      </c>
      <c r="E2103" s="41">
        <v>46167</v>
      </c>
      <c r="F2103" s="47">
        <v>2.5405092592592594E-2</v>
      </c>
      <c r="G2103" s="44">
        <v>6.3</v>
      </c>
      <c r="H2103" s="43" t="s">
        <v>227</v>
      </c>
      <c r="I2103" s="40" t="s">
        <v>1300</v>
      </c>
    </row>
    <row r="2104" spans="1:9" x14ac:dyDescent="0.2">
      <c r="A2104" s="40" t="s">
        <v>356</v>
      </c>
      <c r="B2104" s="28">
        <v>2777</v>
      </c>
      <c r="C2104" s="28" t="s">
        <v>743</v>
      </c>
      <c r="D2104" s="28"/>
      <c r="E2104" s="45">
        <v>46168</v>
      </c>
      <c r="F2104" s="48">
        <v>0.8574074074074074</v>
      </c>
      <c r="G2104" s="44">
        <v>6.3</v>
      </c>
      <c r="H2104" s="43" t="s">
        <v>228</v>
      </c>
      <c r="I2104" s="40" t="s">
        <v>1300</v>
      </c>
    </row>
    <row r="2105" spans="1:9" x14ac:dyDescent="0.2">
      <c r="A2105" s="40" t="s">
        <v>356</v>
      </c>
      <c r="B2105" s="28">
        <v>2777</v>
      </c>
      <c r="C2105" s="28" t="s">
        <v>743</v>
      </c>
      <c r="D2105" s="28"/>
      <c r="E2105" s="41">
        <v>46168</v>
      </c>
      <c r="F2105" s="47">
        <v>0.86539351851851853</v>
      </c>
      <c r="G2105" s="44">
        <v>6.3</v>
      </c>
      <c r="H2105" s="43" t="s">
        <v>229</v>
      </c>
      <c r="I2105" s="40" t="s">
        <v>1300</v>
      </c>
    </row>
    <row r="2106" spans="1:9" x14ac:dyDescent="0.2">
      <c r="A2106" s="40" t="s">
        <v>356</v>
      </c>
      <c r="B2106" s="28">
        <v>2777</v>
      </c>
      <c r="C2106" s="28" t="s">
        <v>744</v>
      </c>
      <c r="D2106" s="28"/>
      <c r="E2106" s="41">
        <v>46168</v>
      </c>
      <c r="F2106" s="47">
        <v>0.91730324074074077</v>
      </c>
      <c r="G2106" s="44">
        <v>6.3</v>
      </c>
      <c r="H2106" s="43" t="s">
        <v>230</v>
      </c>
      <c r="I2106" s="40" t="s">
        <v>1300</v>
      </c>
    </row>
    <row r="2107" spans="1:9" x14ac:dyDescent="0.2">
      <c r="A2107" s="40" t="s">
        <v>356</v>
      </c>
      <c r="B2107" s="28">
        <v>2777</v>
      </c>
      <c r="C2107" s="28" t="s">
        <v>744</v>
      </c>
      <c r="D2107" s="28"/>
      <c r="E2107" s="41">
        <v>46168</v>
      </c>
      <c r="F2107" s="47">
        <v>0.9224768518518518</v>
      </c>
      <c r="G2107" s="44">
        <v>6.3</v>
      </c>
      <c r="H2107" s="43" t="s">
        <v>227</v>
      </c>
      <c r="I2107" s="40" t="s">
        <v>1300</v>
      </c>
    </row>
    <row r="2108" spans="1:9" x14ac:dyDescent="0.2">
      <c r="A2108" s="40" t="s">
        <v>356</v>
      </c>
      <c r="B2108" s="28">
        <v>2777</v>
      </c>
      <c r="C2108" s="28">
        <v>5690566</v>
      </c>
      <c r="D2108" s="28"/>
      <c r="E2108" s="41">
        <v>46169</v>
      </c>
      <c r="F2108" s="47">
        <v>0.90511574074074075</v>
      </c>
      <c r="G2108" s="44">
        <v>6.3</v>
      </c>
      <c r="H2108" s="43" t="s">
        <v>230</v>
      </c>
      <c r="I2108" s="40" t="s">
        <v>1300</v>
      </c>
    </row>
    <row r="2109" spans="1:9" x14ac:dyDescent="0.2">
      <c r="A2109" s="40" t="s">
        <v>356</v>
      </c>
      <c r="B2109" s="28">
        <v>2777</v>
      </c>
      <c r="C2109" s="28">
        <v>5690566</v>
      </c>
      <c r="D2109" s="28"/>
      <c r="E2109" s="41">
        <v>46169</v>
      </c>
      <c r="F2109" s="47">
        <v>0.91075231481481478</v>
      </c>
      <c r="G2109" s="42">
        <v>6.3</v>
      </c>
      <c r="H2109" s="40" t="s">
        <v>227</v>
      </c>
      <c r="I2109" s="40" t="s">
        <v>1300</v>
      </c>
    </row>
    <row r="2110" spans="1:9" x14ac:dyDescent="0.2">
      <c r="A2110" s="40" t="s">
        <v>422</v>
      </c>
      <c r="B2110" s="28">
        <v>2784</v>
      </c>
      <c r="C2110" s="28" t="s">
        <v>35</v>
      </c>
      <c r="D2110" s="28" t="s">
        <v>38</v>
      </c>
      <c r="E2110" s="41">
        <v>46168</v>
      </c>
      <c r="F2110" s="47">
        <v>0.35995370370370372</v>
      </c>
      <c r="G2110" s="42">
        <v>6.3</v>
      </c>
      <c r="H2110" s="40" t="s">
        <v>233</v>
      </c>
      <c r="I2110" s="40" t="s">
        <v>1300</v>
      </c>
    </row>
    <row r="2111" spans="1:9" x14ac:dyDescent="0.2">
      <c r="A2111" s="40" t="s">
        <v>422</v>
      </c>
      <c r="B2111" s="28">
        <v>2784</v>
      </c>
      <c r="C2111" s="28">
        <v>5692139</v>
      </c>
      <c r="D2111" s="28"/>
      <c r="E2111" s="41">
        <v>46170</v>
      </c>
      <c r="F2111" s="47">
        <v>0.85204861111111108</v>
      </c>
      <c r="G2111" s="44">
        <v>6.3</v>
      </c>
      <c r="H2111" s="43" t="s">
        <v>230</v>
      </c>
      <c r="I2111" s="40" t="s">
        <v>1300</v>
      </c>
    </row>
    <row r="2112" spans="1:9" x14ac:dyDescent="0.2">
      <c r="A2112" s="40" t="s">
        <v>422</v>
      </c>
      <c r="B2112" s="28">
        <v>2784</v>
      </c>
      <c r="C2112" s="28" t="s">
        <v>35</v>
      </c>
      <c r="D2112" s="28" t="s">
        <v>38</v>
      </c>
      <c r="E2112" s="41">
        <v>46173</v>
      </c>
      <c r="F2112" s="47">
        <v>0.60131944444444441</v>
      </c>
      <c r="G2112" s="44">
        <v>6.3</v>
      </c>
      <c r="H2112" s="43" t="s">
        <v>228</v>
      </c>
      <c r="I2112" s="40" t="s">
        <v>1300</v>
      </c>
    </row>
    <row r="2113" spans="1:9" x14ac:dyDescent="0.2">
      <c r="A2113" s="40" t="s">
        <v>422</v>
      </c>
      <c r="B2113" s="28">
        <v>2784</v>
      </c>
      <c r="C2113" s="28" t="s">
        <v>35</v>
      </c>
      <c r="D2113" s="28" t="s">
        <v>38</v>
      </c>
      <c r="E2113" s="41">
        <v>46173</v>
      </c>
      <c r="F2113" s="47">
        <v>0.75555555555555554</v>
      </c>
      <c r="G2113" s="44">
        <v>6.3</v>
      </c>
      <c r="H2113" s="43" t="s">
        <v>230</v>
      </c>
      <c r="I2113" s="40" t="s">
        <v>1300</v>
      </c>
    </row>
    <row r="2114" spans="1:9" x14ac:dyDescent="0.2">
      <c r="A2114" s="40" t="s">
        <v>422</v>
      </c>
      <c r="B2114" s="28">
        <v>2784</v>
      </c>
      <c r="C2114" s="28" t="s">
        <v>35</v>
      </c>
      <c r="D2114" s="28" t="s">
        <v>38</v>
      </c>
      <c r="E2114" s="41">
        <v>46173</v>
      </c>
      <c r="F2114" s="47">
        <v>0.76179398148148147</v>
      </c>
      <c r="G2114" s="44">
        <v>6.3</v>
      </c>
      <c r="H2114" s="43" t="s">
        <v>227</v>
      </c>
      <c r="I2114" s="40" t="s">
        <v>1300</v>
      </c>
    </row>
    <row r="2115" spans="1:9" x14ac:dyDescent="0.2">
      <c r="A2115" s="40" t="s">
        <v>196</v>
      </c>
      <c r="B2115" s="28">
        <v>2810</v>
      </c>
      <c r="C2115" s="28" t="s">
        <v>745</v>
      </c>
      <c r="D2115" s="28"/>
      <c r="E2115" s="41">
        <v>46167</v>
      </c>
      <c r="F2115" s="47">
        <v>4.1550925925925929E-2</v>
      </c>
      <c r="G2115" s="44">
        <v>6.3</v>
      </c>
      <c r="H2115" s="43" t="s">
        <v>228</v>
      </c>
      <c r="I2115" s="40" t="s">
        <v>1300</v>
      </c>
    </row>
    <row r="2116" spans="1:9" x14ac:dyDescent="0.2">
      <c r="A2116" s="40" t="s">
        <v>196</v>
      </c>
      <c r="B2116" s="28">
        <v>2810</v>
      </c>
      <c r="C2116" s="28" t="s">
        <v>745</v>
      </c>
      <c r="D2116" s="28"/>
      <c r="E2116" s="41">
        <v>46167</v>
      </c>
      <c r="F2116" s="47">
        <v>4.8715277777777781E-2</v>
      </c>
      <c r="G2116" s="44">
        <v>6.3</v>
      </c>
      <c r="H2116" s="43" t="s">
        <v>229</v>
      </c>
      <c r="I2116" s="40" t="s">
        <v>1300</v>
      </c>
    </row>
    <row r="2117" spans="1:9" x14ac:dyDescent="0.2">
      <c r="A2117" s="40" t="s">
        <v>196</v>
      </c>
      <c r="B2117" s="28">
        <v>2810</v>
      </c>
      <c r="C2117" s="28" t="s">
        <v>35</v>
      </c>
      <c r="D2117" s="28" t="s">
        <v>38</v>
      </c>
      <c r="E2117" s="45">
        <v>46167</v>
      </c>
      <c r="F2117" s="48">
        <v>5.5740740740740743E-2</v>
      </c>
      <c r="G2117" s="44">
        <v>6.3</v>
      </c>
      <c r="H2117" s="43" t="s">
        <v>230</v>
      </c>
      <c r="I2117" s="40" t="s">
        <v>1300</v>
      </c>
    </row>
    <row r="2118" spans="1:9" x14ac:dyDescent="0.2">
      <c r="A2118" s="40" t="s">
        <v>196</v>
      </c>
      <c r="B2118" s="28">
        <v>2810</v>
      </c>
      <c r="C2118" s="28" t="s">
        <v>35</v>
      </c>
      <c r="D2118" s="28" t="s">
        <v>38</v>
      </c>
      <c r="E2118" s="41">
        <v>46167</v>
      </c>
      <c r="F2118" s="47">
        <v>6.1608796296296293E-2</v>
      </c>
      <c r="G2118" s="44">
        <v>6.3</v>
      </c>
      <c r="H2118" s="43" t="s">
        <v>227</v>
      </c>
      <c r="I2118" s="40" t="s">
        <v>1300</v>
      </c>
    </row>
    <row r="2119" spans="1:9" x14ac:dyDescent="0.2">
      <c r="A2119" s="40" t="s">
        <v>196</v>
      </c>
      <c r="B2119" s="28">
        <v>2810</v>
      </c>
      <c r="C2119" s="28">
        <v>5684730</v>
      </c>
      <c r="D2119" s="28"/>
      <c r="E2119" s="41">
        <v>46167</v>
      </c>
      <c r="F2119" s="47">
        <v>0.19869212962962962</v>
      </c>
      <c r="G2119" s="44">
        <v>6.3</v>
      </c>
      <c r="H2119" s="43" t="s">
        <v>226</v>
      </c>
      <c r="I2119" s="40" t="s">
        <v>1300</v>
      </c>
    </row>
    <row r="2120" spans="1:9" x14ac:dyDescent="0.2">
      <c r="A2120" s="40" t="s">
        <v>196</v>
      </c>
      <c r="B2120" s="28">
        <v>2810</v>
      </c>
      <c r="C2120" s="28">
        <v>5684730</v>
      </c>
      <c r="D2120" s="28"/>
      <c r="E2120" s="41">
        <v>46167</v>
      </c>
      <c r="F2120" s="47">
        <v>0.20401620370370371</v>
      </c>
      <c r="G2120" s="44">
        <v>6.3</v>
      </c>
      <c r="H2120" s="43" t="s">
        <v>227</v>
      </c>
      <c r="I2120" s="40" t="s">
        <v>1300</v>
      </c>
    </row>
    <row r="2121" spans="1:9" x14ac:dyDescent="0.2">
      <c r="A2121" s="40" t="s">
        <v>196</v>
      </c>
      <c r="B2121" s="28">
        <v>2810</v>
      </c>
      <c r="C2121" s="28" t="s">
        <v>746</v>
      </c>
      <c r="D2121" s="28"/>
      <c r="E2121" s="41">
        <v>46167</v>
      </c>
      <c r="F2121" s="47">
        <v>0.23982638888888888</v>
      </c>
      <c r="G2121" s="44">
        <v>6.3</v>
      </c>
      <c r="H2121" s="43" t="s">
        <v>228</v>
      </c>
      <c r="I2121" s="40" t="s">
        <v>1300</v>
      </c>
    </row>
    <row r="2122" spans="1:9" x14ac:dyDescent="0.2">
      <c r="A2122" s="40" t="s">
        <v>196</v>
      </c>
      <c r="B2122" s="28">
        <v>2810</v>
      </c>
      <c r="C2122" s="28" t="s">
        <v>746</v>
      </c>
      <c r="D2122" s="28"/>
      <c r="E2122" s="41">
        <v>46167</v>
      </c>
      <c r="F2122" s="47">
        <v>0.2515162037037037</v>
      </c>
      <c r="G2122" s="44">
        <v>6.3</v>
      </c>
      <c r="H2122" s="43" t="s">
        <v>229</v>
      </c>
      <c r="I2122" s="40" t="s">
        <v>1300</v>
      </c>
    </row>
    <row r="2123" spans="1:9" x14ac:dyDescent="0.2">
      <c r="A2123" s="40" t="s">
        <v>196</v>
      </c>
      <c r="B2123" s="28">
        <v>2810</v>
      </c>
      <c r="C2123" s="28" t="s">
        <v>35</v>
      </c>
      <c r="D2123" s="28" t="s">
        <v>38</v>
      </c>
      <c r="E2123" s="41">
        <v>46167</v>
      </c>
      <c r="F2123" s="47">
        <v>0.81269675925925922</v>
      </c>
      <c r="G2123" s="44">
        <v>6.3</v>
      </c>
      <c r="H2123" s="43" t="s">
        <v>230</v>
      </c>
      <c r="I2123" s="40" t="s">
        <v>1300</v>
      </c>
    </row>
    <row r="2124" spans="1:9" x14ac:dyDescent="0.2">
      <c r="A2124" s="40" t="s">
        <v>196</v>
      </c>
      <c r="B2124" s="28">
        <v>2810</v>
      </c>
      <c r="C2124" s="28" t="s">
        <v>35</v>
      </c>
      <c r="D2124" s="28" t="s">
        <v>38</v>
      </c>
      <c r="E2124" s="45">
        <v>46167</v>
      </c>
      <c r="F2124" s="48">
        <v>0.82778935185185187</v>
      </c>
      <c r="G2124" s="44">
        <v>6.3</v>
      </c>
      <c r="H2124" s="43" t="s">
        <v>227</v>
      </c>
      <c r="I2124" s="40" t="s">
        <v>1300</v>
      </c>
    </row>
    <row r="2125" spans="1:9" x14ac:dyDescent="0.2">
      <c r="A2125" s="40" t="s">
        <v>196</v>
      </c>
      <c r="B2125" s="28">
        <v>2810</v>
      </c>
      <c r="C2125" s="28" t="s">
        <v>35</v>
      </c>
      <c r="D2125" s="28" t="s">
        <v>38</v>
      </c>
      <c r="E2125" s="41">
        <v>46167</v>
      </c>
      <c r="F2125" s="47">
        <v>0.9050231481481481</v>
      </c>
      <c r="G2125" s="42">
        <v>6.3</v>
      </c>
      <c r="H2125" s="40" t="s">
        <v>227</v>
      </c>
      <c r="I2125" s="40" t="s">
        <v>1300</v>
      </c>
    </row>
    <row r="2126" spans="1:9" x14ac:dyDescent="0.2">
      <c r="A2126" s="40" t="s">
        <v>196</v>
      </c>
      <c r="B2126" s="28">
        <v>2810</v>
      </c>
      <c r="C2126" s="28" t="s">
        <v>747</v>
      </c>
      <c r="D2126" s="28"/>
      <c r="E2126" s="45">
        <v>46167</v>
      </c>
      <c r="F2126" s="48">
        <v>0.95494212962962965</v>
      </c>
      <c r="G2126" s="42">
        <v>6.3</v>
      </c>
      <c r="H2126" s="40" t="s">
        <v>228</v>
      </c>
      <c r="I2126" s="40" t="s">
        <v>1300</v>
      </c>
    </row>
    <row r="2127" spans="1:9" x14ac:dyDescent="0.2">
      <c r="A2127" s="40" t="s">
        <v>196</v>
      </c>
      <c r="B2127" s="28">
        <v>2810</v>
      </c>
      <c r="C2127" s="28" t="s">
        <v>747</v>
      </c>
      <c r="D2127" s="28"/>
      <c r="E2127" s="41">
        <v>46167</v>
      </c>
      <c r="F2127" s="47">
        <v>0.96202546296296299</v>
      </c>
      <c r="G2127" s="44">
        <v>6.3</v>
      </c>
      <c r="H2127" s="43" t="s">
        <v>229</v>
      </c>
      <c r="I2127" s="40" t="s">
        <v>1300</v>
      </c>
    </row>
    <row r="2128" spans="1:9" x14ac:dyDescent="0.2">
      <c r="A2128" s="40" t="s">
        <v>196</v>
      </c>
      <c r="B2128" s="28">
        <v>2810</v>
      </c>
      <c r="C2128" s="28" t="s">
        <v>35</v>
      </c>
      <c r="D2128" s="28" t="s">
        <v>38</v>
      </c>
      <c r="E2128" s="41">
        <v>46167</v>
      </c>
      <c r="F2128" s="47">
        <v>0.97569444444444442</v>
      </c>
      <c r="G2128" s="44">
        <v>6.3</v>
      </c>
      <c r="H2128" s="43" t="s">
        <v>230</v>
      </c>
      <c r="I2128" s="40" t="s">
        <v>1300</v>
      </c>
    </row>
    <row r="2129" spans="1:9" x14ac:dyDescent="0.2">
      <c r="A2129" s="40" t="s">
        <v>196</v>
      </c>
      <c r="B2129" s="28">
        <v>2810</v>
      </c>
      <c r="C2129" s="28" t="s">
        <v>35</v>
      </c>
      <c r="D2129" s="28" t="s">
        <v>38</v>
      </c>
      <c r="E2129" s="41">
        <v>46167</v>
      </c>
      <c r="F2129" s="47">
        <v>0.98532407407407407</v>
      </c>
      <c r="G2129" s="44">
        <v>6.3</v>
      </c>
      <c r="H2129" s="43" t="s">
        <v>227</v>
      </c>
      <c r="I2129" s="40" t="s">
        <v>1300</v>
      </c>
    </row>
    <row r="2130" spans="1:9" x14ac:dyDescent="0.2">
      <c r="A2130" s="40" t="s">
        <v>196</v>
      </c>
      <c r="B2130" s="28">
        <v>2810</v>
      </c>
      <c r="C2130" s="28">
        <v>5685800</v>
      </c>
      <c r="D2130" s="28"/>
      <c r="E2130" s="41">
        <v>46168</v>
      </c>
      <c r="F2130" s="47">
        <v>0.15591435185185185</v>
      </c>
      <c r="G2130" s="44">
        <v>6.3</v>
      </c>
      <c r="H2130" s="43" t="s">
        <v>227</v>
      </c>
      <c r="I2130" s="40" t="s">
        <v>1300</v>
      </c>
    </row>
    <row r="2131" spans="1:9" x14ac:dyDescent="0.2">
      <c r="A2131" s="40" t="s">
        <v>196</v>
      </c>
      <c r="B2131" s="28">
        <v>2810</v>
      </c>
      <c r="C2131" s="28" t="s">
        <v>35</v>
      </c>
      <c r="D2131" s="28" t="s">
        <v>38</v>
      </c>
      <c r="E2131" s="41">
        <v>46168</v>
      </c>
      <c r="F2131" s="47">
        <v>0.83603009259259264</v>
      </c>
      <c r="G2131" s="44">
        <v>6.3</v>
      </c>
      <c r="H2131" s="43" t="s">
        <v>230</v>
      </c>
      <c r="I2131" s="40" t="s">
        <v>1300</v>
      </c>
    </row>
    <row r="2132" spans="1:9" x14ac:dyDescent="0.2">
      <c r="A2132" s="40" t="s">
        <v>196</v>
      </c>
      <c r="B2132" s="28">
        <v>2810</v>
      </c>
      <c r="C2132" s="28" t="s">
        <v>35</v>
      </c>
      <c r="D2132" s="28" t="s">
        <v>38</v>
      </c>
      <c r="E2132" s="41">
        <v>46168</v>
      </c>
      <c r="F2132" s="47">
        <v>0.84861111111111109</v>
      </c>
      <c r="G2132" s="44">
        <v>6.3</v>
      </c>
      <c r="H2132" s="43" t="s">
        <v>227</v>
      </c>
      <c r="I2132" s="40" t="s">
        <v>1300</v>
      </c>
    </row>
    <row r="2133" spans="1:9" x14ac:dyDescent="0.2">
      <c r="A2133" s="40" t="s">
        <v>196</v>
      </c>
      <c r="B2133" s="28">
        <v>2810</v>
      </c>
      <c r="C2133" s="28" t="s">
        <v>35</v>
      </c>
      <c r="D2133" s="28" t="s">
        <v>38</v>
      </c>
      <c r="E2133" s="41">
        <v>46168</v>
      </c>
      <c r="F2133" s="47">
        <v>0.95909722222222227</v>
      </c>
      <c r="G2133" s="42">
        <v>6.3</v>
      </c>
      <c r="H2133" s="40" t="s">
        <v>227</v>
      </c>
      <c r="I2133" s="40" t="s">
        <v>1300</v>
      </c>
    </row>
    <row r="2134" spans="1:9" x14ac:dyDescent="0.2">
      <c r="A2134" s="40" t="s">
        <v>196</v>
      </c>
      <c r="B2134" s="28">
        <v>2810</v>
      </c>
      <c r="C2134" s="28" t="s">
        <v>35</v>
      </c>
      <c r="D2134" s="28" t="s">
        <v>38</v>
      </c>
      <c r="E2134" s="41">
        <v>46169</v>
      </c>
      <c r="F2134" s="47">
        <v>2.2280092592592591E-2</v>
      </c>
      <c r="G2134" s="42">
        <v>6.3</v>
      </c>
      <c r="H2134" s="40" t="s">
        <v>227</v>
      </c>
      <c r="I2134" s="40" t="s">
        <v>1300</v>
      </c>
    </row>
    <row r="2135" spans="1:9" x14ac:dyDescent="0.2">
      <c r="A2135" s="40" t="s">
        <v>196</v>
      </c>
      <c r="B2135" s="28">
        <v>2810</v>
      </c>
      <c r="C2135" s="28" t="s">
        <v>35</v>
      </c>
      <c r="D2135" s="28" t="s">
        <v>38</v>
      </c>
      <c r="E2135" s="41">
        <v>46169</v>
      </c>
      <c r="F2135" s="47">
        <v>0.82052083333333337</v>
      </c>
      <c r="G2135" s="42">
        <v>6.3</v>
      </c>
      <c r="H2135" s="40" t="s">
        <v>226</v>
      </c>
      <c r="I2135" s="40" t="s">
        <v>1300</v>
      </c>
    </row>
    <row r="2136" spans="1:9" x14ac:dyDescent="0.2">
      <c r="A2136" s="40" t="s">
        <v>196</v>
      </c>
      <c r="B2136" s="28">
        <v>2810</v>
      </c>
      <c r="C2136" s="28" t="s">
        <v>35</v>
      </c>
      <c r="D2136" s="28" t="s">
        <v>38</v>
      </c>
      <c r="E2136" s="45">
        <v>46169</v>
      </c>
      <c r="F2136" s="48">
        <v>0.83945601851851848</v>
      </c>
      <c r="G2136" s="42">
        <v>6.3</v>
      </c>
      <c r="H2136" s="40" t="s">
        <v>227</v>
      </c>
      <c r="I2136" s="40" t="s">
        <v>1300</v>
      </c>
    </row>
    <row r="2137" spans="1:9" x14ac:dyDescent="0.2">
      <c r="A2137" s="40" t="s">
        <v>196</v>
      </c>
      <c r="B2137" s="28">
        <v>2810</v>
      </c>
      <c r="C2137" s="28" t="s">
        <v>35</v>
      </c>
      <c r="D2137" s="28" t="s">
        <v>38</v>
      </c>
      <c r="E2137" s="41">
        <v>46170</v>
      </c>
      <c r="F2137" s="47">
        <v>0.81035879629629626</v>
      </c>
      <c r="G2137" s="44">
        <v>6.3</v>
      </c>
      <c r="H2137" s="43" t="s">
        <v>226</v>
      </c>
      <c r="I2137" s="40" t="s">
        <v>1300</v>
      </c>
    </row>
    <row r="2138" spans="1:9" x14ac:dyDescent="0.2">
      <c r="A2138" s="40" t="s">
        <v>196</v>
      </c>
      <c r="B2138" s="28">
        <v>2810</v>
      </c>
      <c r="C2138" s="28" t="s">
        <v>35</v>
      </c>
      <c r="D2138" s="28" t="s">
        <v>38</v>
      </c>
      <c r="E2138" s="41">
        <v>46170</v>
      </c>
      <c r="F2138" s="47">
        <v>0.83023148148148151</v>
      </c>
      <c r="G2138" s="44">
        <v>6.3</v>
      </c>
      <c r="H2138" s="43" t="s">
        <v>227</v>
      </c>
      <c r="I2138" s="40" t="s">
        <v>1300</v>
      </c>
    </row>
    <row r="2139" spans="1:9" x14ac:dyDescent="0.2">
      <c r="A2139" s="40" t="s">
        <v>196</v>
      </c>
      <c r="B2139" s="28">
        <v>2810</v>
      </c>
      <c r="C2139" s="28" t="s">
        <v>35</v>
      </c>
      <c r="D2139" s="28" t="s">
        <v>38</v>
      </c>
      <c r="E2139" s="41">
        <v>46171</v>
      </c>
      <c r="F2139" s="47">
        <v>9.8206018518518512E-2</v>
      </c>
      <c r="G2139" s="44">
        <v>6.3</v>
      </c>
      <c r="H2139" s="43" t="s">
        <v>229</v>
      </c>
      <c r="I2139" s="40" t="s">
        <v>1300</v>
      </c>
    </row>
    <row r="2140" spans="1:9" x14ac:dyDescent="0.2">
      <c r="A2140" s="40" t="s">
        <v>196</v>
      </c>
      <c r="B2140" s="28">
        <v>2810</v>
      </c>
      <c r="C2140" s="28" t="s">
        <v>35</v>
      </c>
      <c r="D2140" s="28" t="s">
        <v>38</v>
      </c>
      <c r="E2140" s="45">
        <v>46171</v>
      </c>
      <c r="F2140" s="48">
        <v>0.81494212962962964</v>
      </c>
      <c r="G2140" s="44">
        <v>6.3</v>
      </c>
      <c r="H2140" s="43" t="s">
        <v>230</v>
      </c>
      <c r="I2140" s="40" t="s">
        <v>1300</v>
      </c>
    </row>
    <row r="2141" spans="1:9" x14ac:dyDescent="0.2">
      <c r="A2141" s="40" t="s">
        <v>196</v>
      </c>
      <c r="B2141" s="28">
        <v>2810</v>
      </c>
      <c r="C2141" s="28" t="s">
        <v>35</v>
      </c>
      <c r="D2141" s="28" t="s">
        <v>38</v>
      </c>
      <c r="E2141" s="41">
        <v>46171</v>
      </c>
      <c r="F2141" s="47">
        <v>0.85065972222222219</v>
      </c>
      <c r="G2141" s="44">
        <v>6.3</v>
      </c>
      <c r="H2141" s="43" t="s">
        <v>227</v>
      </c>
      <c r="I2141" s="40" t="s">
        <v>1300</v>
      </c>
    </row>
    <row r="2142" spans="1:9" x14ac:dyDescent="0.2">
      <c r="A2142" s="40" t="s">
        <v>196</v>
      </c>
      <c r="B2142" s="28">
        <v>2810</v>
      </c>
      <c r="C2142" s="28" t="s">
        <v>35</v>
      </c>
      <c r="D2142" s="28" t="s">
        <v>38</v>
      </c>
      <c r="E2142" s="41">
        <v>46172</v>
      </c>
      <c r="F2142" s="47">
        <v>0.81538194444444445</v>
      </c>
      <c r="G2142" s="44">
        <v>6.3</v>
      </c>
      <c r="H2142" s="43" t="s">
        <v>230</v>
      </c>
      <c r="I2142" s="40" t="s">
        <v>1300</v>
      </c>
    </row>
    <row r="2143" spans="1:9" x14ac:dyDescent="0.2">
      <c r="A2143" s="40" t="s">
        <v>196</v>
      </c>
      <c r="B2143" s="28">
        <v>2810</v>
      </c>
      <c r="C2143" s="28" t="s">
        <v>35</v>
      </c>
      <c r="D2143" s="28" t="s">
        <v>38</v>
      </c>
      <c r="E2143" s="41">
        <v>46172</v>
      </c>
      <c r="F2143" s="47">
        <v>0.82152777777777775</v>
      </c>
      <c r="G2143" s="44">
        <v>6.3</v>
      </c>
      <c r="H2143" s="43" t="s">
        <v>227</v>
      </c>
      <c r="I2143" s="40" t="s">
        <v>1300</v>
      </c>
    </row>
    <row r="2144" spans="1:9" x14ac:dyDescent="0.2">
      <c r="A2144" s="40" t="s">
        <v>196</v>
      </c>
      <c r="B2144" s="28">
        <v>2810</v>
      </c>
      <c r="C2144" s="28">
        <v>5695189</v>
      </c>
      <c r="D2144" s="28"/>
      <c r="E2144" s="41">
        <v>46172</v>
      </c>
      <c r="F2144" s="47">
        <v>0.9030555555555555</v>
      </c>
      <c r="G2144" s="44">
        <v>6.3</v>
      </c>
      <c r="H2144" s="43" t="s">
        <v>228</v>
      </c>
      <c r="I2144" s="40" t="s">
        <v>1300</v>
      </c>
    </row>
    <row r="2145" spans="1:9" x14ac:dyDescent="0.2">
      <c r="A2145" s="40" t="s">
        <v>196</v>
      </c>
      <c r="B2145" s="28">
        <v>2810</v>
      </c>
      <c r="C2145" s="28">
        <v>5695189</v>
      </c>
      <c r="D2145" s="28"/>
      <c r="E2145" s="41">
        <v>46172</v>
      </c>
      <c r="F2145" s="47">
        <v>0.91106481481481483</v>
      </c>
      <c r="G2145" s="44">
        <v>6.3</v>
      </c>
      <c r="H2145" s="43" t="s">
        <v>229</v>
      </c>
      <c r="I2145" s="40" t="s">
        <v>1300</v>
      </c>
    </row>
    <row r="2146" spans="1:9" x14ac:dyDescent="0.2">
      <c r="A2146" s="40" t="s">
        <v>196</v>
      </c>
      <c r="B2146" s="28">
        <v>2810</v>
      </c>
      <c r="C2146" s="28" t="s">
        <v>35</v>
      </c>
      <c r="D2146" s="28" t="s">
        <v>38</v>
      </c>
      <c r="E2146" s="45">
        <v>46172</v>
      </c>
      <c r="F2146" s="48">
        <v>0.95015046296296302</v>
      </c>
      <c r="G2146" s="44">
        <v>6.3</v>
      </c>
      <c r="H2146" s="43" t="s">
        <v>226</v>
      </c>
      <c r="I2146" s="40" t="s">
        <v>1300</v>
      </c>
    </row>
    <row r="2147" spans="1:9" x14ac:dyDescent="0.2">
      <c r="A2147" s="40" t="s">
        <v>196</v>
      </c>
      <c r="B2147" s="28">
        <v>2810</v>
      </c>
      <c r="C2147" s="28" t="s">
        <v>35</v>
      </c>
      <c r="D2147" s="28" t="s">
        <v>38</v>
      </c>
      <c r="E2147" s="41">
        <v>46172</v>
      </c>
      <c r="F2147" s="47">
        <v>0.96024305555555556</v>
      </c>
      <c r="G2147" s="44">
        <v>6.3</v>
      </c>
      <c r="H2147" s="43" t="s">
        <v>227</v>
      </c>
      <c r="I2147" s="40" t="s">
        <v>1300</v>
      </c>
    </row>
    <row r="2148" spans="1:9" x14ac:dyDescent="0.2">
      <c r="A2148" s="40" t="s">
        <v>196</v>
      </c>
      <c r="B2148" s="28">
        <v>2810</v>
      </c>
      <c r="C2148" s="28" t="s">
        <v>35</v>
      </c>
      <c r="D2148" s="28" t="s">
        <v>38</v>
      </c>
      <c r="E2148" s="45">
        <v>46173</v>
      </c>
      <c r="F2148" s="48">
        <v>0.80460648148148151</v>
      </c>
      <c r="G2148" s="44">
        <v>6.3</v>
      </c>
      <c r="H2148" s="43" t="s">
        <v>230</v>
      </c>
      <c r="I2148" s="40" t="s">
        <v>1300</v>
      </c>
    </row>
    <row r="2149" spans="1:9" x14ac:dyDescent="0.2">
      <c r="A2149" s="40" t="s">
        <v>196</v>
      </c>
      <c r="B2149" s="28">
        <v>2810</v>
      </c>
      <c r="C2149" s="28" t="s">
        <v>35</v>
      </c>
      <c r="D2149" s="28" t="s">
        <v>38</v>
      </c>
      <c r="E2149" s="45">
        <v>46173</v>
      </c>
      <c r="F2149" s="48">
        <v>0.81039351851851849</v>
      </c>
      <c r="G2149" s="44">
        <v>6.3</v>
      </c>
      <c r="H2149" s="43" t="s">
        <v>227</v>
      </c>
      <c r="I2149" s="40" t="s">
        <v>1300</v>
      </c>
    </row>
    <row r="2150" spans="1:9" x14ac:dyDescent="0.2">
      <c r="A2150" s="40" t="s">
        <v>260</v>
      </c>
      <c r="B2150" s="28">
        <v>2848</v>
      </c>
      <c r="C2150" s="28" t="s">
        <v>748</v>
      </c>
      <c r="D2150" s="28"/>
      <c r="E2150" s="41">
        <v>46167</v>
      </c>
      <c r="F2150" s="47">
        <v>0.45658564814814817</v>
      </c>
      <c r="G2150" s="44">
        <v>6.3</v>
      </c>
      <c r="H2150" s="43" t="s">
        <v>228</v>
      </c>
      <c r="I2150" s="40" t="s">
        <v>1300</v>
      </c>
    </row>
    <row r="2151" spans="1:9" x14ac:dyDescent="0.2">
      <c r="A2151" s="40" t="s">
        <v>260</v>
      </c>
      <c r="B2151" s="28">
        <v>2848</v>
      </c>
      <c r="C2151" s="28" t="s">
        <v>748</v>
      </c>
      <c r="D2151" s="28"/>
      <c r="E2151" s="45">
        <v>46167</v>
      </c>
      <c r="F2151" s="48">
        <v>0.46603009259259259</v>
      </c>
      <c r="G2151" s="44">
        <v>6.3</v>
      </c>
      <c r="H2151" s="43" t="s">
        <v>229</v>
      </c>
      <c r="I2151" s="40" t="s">
        <v>1300</v>
      </c>
    </row>
    <row r="2152" spans="1:9" x14ac:dyDescent="0.2">
      <c r="A2152" s="40" t="s">
        <v>260</v>
      </c>
      <c r="B2152" s="28">
        <v>2848</v>
      </c>
      <c r="C2152" s="28">
        <v>5685619</v>
      </c>
      <c r="D2152" s="28" t="s">
        <v>37</v>
      </c>
      <c r="E2152" s="41">
        <v>46167</v>
      </c>
      <c r="F2152" s="47">
        <v>0.53222222222222226</v>
      </c>
      <c r="G2152" s="44">
        <v>6.3</v>
      </c>
      <c r="H2152" s="43" t="s">
        <v>231</v>
      </c>
      <c r="I2152" s="40" t="s">
        <v>1300</v>
      </c>
    </row>
    <row r="2153" spans="1:9" x14ac:dyDescent="0.2">
      <c r="A2153" s="40" t="s">
        <v>260</v>
      </c>
      <c r="B2153" s="28">
        <v>2848</v>
      </c>
      <c r="C2153" s="28">
        <v>5685619</v>
      </c>
      <c r="D2153" s="28" t="s">
        <v>37</v>
      </c>
      <c r="E2153" s="41">
        <v>46167</v>
      </c>
      <c r="F2153" s="47">
        <v>0.53684027777777776</v>
      </c>
      <c r="G2153" s="44">
        <v>6.3</v>
      </c>
      <c r="H2153" s="43" t="s">
        <v>227</v>
      </c>
      <c r="I2153" s="40" t="s">
        <v>1300</v>
      </c>
    </row>
    <row r="2154" spans="1:9" x14ac:dyDescent="0.2">
      <c r="A2154" s="40" t="s">
        <v>260</v>
      </c>
      <c r="B2154" s="28">
        <v>2848</v>
      </c>
      <c r="C2154" s="28" t="s">
        <v>35</v>
      </c>
      <c r="D2154" s="28" t="s">
        <v>38</v>
      </c>
      <c r="E2154" s="41">
        <v>46168</v>
      </c>
      <c r="F2154" s="47">
        <v>0.4480439814814815</v>
      </c>
      <c r="G2154" s="44">
        <v>6.3</v>
      </c>
      <c r="H2154" s="43" t="s">
        <v>228</v>
      </c>
      <c r="I2154" s="40" t="s">
        <v>1300</v>
      </c>
    </row>
    <row r="2155" spans="1:9" x14ac:dyDescent="0.2">
      <c r="A2155" s="40" t="s">
        <v>260</v>
      </c>
      <c r="B2155" s="28">
        <v>2848</v>
      </c>
      <c r="C2155" s="28" t="s">
        <v>35</v>
      </c>
      <c r="D2155" s="28" t="s">
        <v>38</v>
      </c>
      <c r="E2155" s="41">
        <v>46168</v>
      </c>
      <c r="F2155" s="47">
        <v>0.45657407407407408</v>
      </c>
      <c r="G2155" s="44">
        <v>6.3</v>
      </c>
      <c r="H2155" s="43" t="s">
        <v>232</v>
      </c>
      <c r="I2155" s="40" t="s">
        <v>1300</v>
      </c>
    </row>
    <row r="2156" spans="1:9" x14ac:dyDescent="0.2">
      <c r="A2156" s="40" t="s">
        <v>260</v>
      </c>
      <c r="B2156" s="28">
        <v>2848</v>
      </c>
      <c r="C2156" s="28" t="s">
        <v>749</v>
      </c>
      <c r="D2156" s="28"/>
      <c r="E2156" s="41">
        <v>46168</v>
      </c>
      <c r="F2156" s="47">
        <v>0.84510416666666666</v>
      </c>
      <c r="G2156" s="44">
        <v>6.3</v>
      </c>
      <c r="H2156" s="43" t="s">
        <v>228</v>
      </c>
      <c r="I2156" s="40" t="s">
        <v>1300</v>
      </c>
    </row>
    <row r="2157" spans="1:9" x14ac:dyDescent="0.2">
      <c r="A2157" s="40" t="s">
        <v>260</v>
      </c>
      <c r="B2157" s="28">
        <v>2848</v>
      </c>
      <c r="C2157" s="28" t="s">
        <v>749</v>
      </c>
      <c r="D2157" s="28"/>
      <c r="E2157" s="41">
        <v>46168</v>
      </c>
      <c r="F2157" s="47">
        <v>0.85335648148148147</v>
      </c>
      <c r="G2157" s="44">
        <v>6.3</v>
      </c>
      <c r="H2157" s="43" t="s">
        <v>229</v>
      </c>
      <c r="I2157" s="40" t="s">
        <v>1300</v>
      </c>
    </row>
    <row r="2158" spans="1:9" x14ac:dyDescent="0.2">
      <c r="A2158" s="40" t="s">
        <v>260</v>
      </c>
      <c r="B2158" s="28">
        <v>2848</v>
      </c>
      <c r="C2158" s="28" t="s">
        <v>35</v>
      </c>
      <c r="D2158" s="28" t="s">
        <v>38</v>
      </c>
      <c r="E2158" s="41">
        <v>46168</v>
      </c>
      <c r="F2158" s="47">
        <v>0.89416666666666667</v>
      </c>
      <c r="G2158" s="44">
        <v>6.3</v>
      </c>
      <c r="H2158" s="43" t="s">
        <v>230</v>
      </c>
      <c r="I2158" s="40" t="s">
        <v>1300</v>
      </c>
    </row>
    <row r="2159" spans="1:9" x14ac:dyDescent="0.2">
      <c r="A2159" s="40" t="s">
        <v>260</v>
      </c>
      <c r="B2159" s="28">
        <v>2848</v>
      </c>
      <c r="C2159" s="28" t="s">
        <v>35</v>
      </c>
      <c r="D2159" s="28" t="s">
        <v>38</v>
      </c>
      <c r="E2159" s="41">
        <v>46168</v>
      </c>
      <c r="F2159" s="47">
        <v>0.89958333333333329</v>
      </c>
      <c r="G2159" s="44">
        <v>6.3</v>
      </c>
      <c r="H2159" s="43" t="s">
        <v>227</v>
      </c>
      <c r="I2159" s="40" t="s">
        <v>1300</v>
      </c>
    </row>
    <row r="2160" spans="1:9" x14ac:dyDescent="0.2">
      <c r="A2160" s="40" t="s">
        <v>260</v>
      </c>
      <c r="B2160" s="28">
        <v>2848</v>
      </c>
      <c r="C2160" s="28">
        <v>5690277</v>
      </c>
      <c r="D2160" s="28"/>
      <c r="E2160" s="45">
        <v>46169</v>
      </c>
      <c r="F2160" s="48">
        <v>0.81152777777777774</v>
      </c>
      <c r="G2160" s="44">
        <v>6.3</v>
      </c>
      <c r="H2160" s="43" t="s">
        <v>228</v>
      </c>
      <c r="I2160" s="40" t="s">
        <v>1300</v>
      </c>
    </row>
    <row r="2161" spans="1:9" x14ac:dyDescent="0.2">
      <c r="A2161" s="40" t="s">
        <v>260</v>
      </c>
      <c r="B2161" s="28">
        <v>2848</v>
      </c>
      <c r="C2161" s="28" t="s">
        <v>35</v>
      </c>
      <c r="D2161" s="28" t="s">
        <v>38</v>
      </c>
      <c r="E2161" s="41">
        <v>46169</v>
      </c>
      <c r="F2161" s="47">
        <v>0.85754629629629631</v>
      </c>
      <c r="G2161" s="44">
        <v>6.3</v>
      </c>
      <c r="H2161" s="43" t="s">
        <v>227</v>
      </c>
      <c r="I2161" s="40" t="s">
        <v>1300</v>
      </c>
    </row>
    <row r="2162" spans="1:9" x14ac:dyDescent="0.2">
      <c r="A2162" s="40" t="s">
        <v>260</v>
      </c>
      <c r="B2162" s="28">
        <v>2848</v>
      </c>
      <c r="C2162" s="28">
        <v>5689271</v>
      </c>
      <c r="D2162" s="28"/>
      <c r="E2162" s="41">
        <v>46169</v>
      </c>
      <c r="F2162" s="47">
        <v>0.9078356481481481</v>
      </c>
      <c r="G2162" s="44">
        <v>6.3</v>
      </c>
      <c r="H2162" s="43" t="s">
        <v>228</v>
      </c>
      <c r="I2162" s="40" t="s">
        <v>1300</v>
      </c>
    </row>
    <row r="2163" spans="1:9" x14ac:dyDescent="0.2">
      <c r="A2163" s="40" t="s">
        <v>260</v>
      </c>
      <c r="B2163" s="28">
        <v>2848</v>
      </c>
      <c r="C2163" s="28" t="s">
        <v>750</v>
      </c>
      <c r="D2163" s="28"/>
      <c r="E2163" s="41">
        <v>46173</v>
      </c>
      <c r="F2163" s="47">
        <v>0.60614583333333338</v>
      </c>
      <c r="G2163" s="44">
        <v>6.3</v>
      </c>
      <c r="H2163" s="43" t="s">
        <v>228</v>
      </c>
      <c r="I2163" s="40" t="s">
        <v>1300</v>
      </c>
    </row>
    <row r="2164" spans="1:9" x14ac:dyDescent="0.2">
      <c r="A2164" s="40" t="s">
        <v>423</v>
      </c>
      <c r="B2164" s="28">
        <v>2850</v>
      </c>
      <c r="C2164" s="28">
        <v>5684785</v>
      </c>
      <c r="D2164" s="28" t="s">
        <v>37</v>
      </c>
      <c r="E2164" s="45">
        <v>46167</v>
      </c>
      <c r="F2164" s="48">
        <v>0.31718750000000001</v>
      </c>
      <c r="G2164" s="44">
        <v>6.3</v>
      </c>
      <c r="H2164" s="43" t="s">
        <v>231</v>
      </c>
      <c r="I2164" s="40" t="s">
        <v>1300</v>
      </c>
    </row>
    <row r="2165" spans="1:9" x14ac:dyDescent="0.2">
      <c r="A2165" s="40" t="s">
        <v>423</v>
      </c>
      <c r="B2165" s="28">
        <v>2850</v>
      </c>
      <c r="C2165" s="28">
        <v>5684785</v>
      </c>
      <c r="D2165" s="28" t="s">
        <v>37</v>
      </c>
      <c r="E2165" s="41">
        <v>46167</v>
      </c>
      <c r="F2165" s="47">
        <v>0.32217592592592592</v>
      </c>
      <c r="G2165" s="42">
        <v>6.3</v>
      </c>
      <c r="H2165" s="40" t="s">
        <v>227</v>
      </c>
      <c r="I2165" s="40" t="s">
        <v>1300</v>
      </c>
    </row>
    <row r="2166" spans="1:9" x14ac:dyDescent="0.2">
      <c r="A2166" s="40" t="s">
        <v>423</v>
      </c>
      <c r="B2166" s="28">
        <v>2850</v>
      </c>
      <c r="C2166" s="28">
        <v>5685726</v>
      </c>
      <c r="D2166" s="28"/>
      <c r="E2166" s="45">
        <v>46167</v>
      </c>
      <c r="F2166" s="48">
        <v>0.50289351851851849</v>
      </c>
      <c r="G2166" s="42">
        <v>6.3</v>
      </c>
      <c r="H2166" s="40" t="s">
        <v>230</v>
      </c>
      <c r="I2166" s="40" t="s">
        <v>1300</v>
      </c>
    </row>
    <row r="2167" spans="1:9" x14ac:dyDescent="0.2">
      <c r="A2167" s="40" t="s">
        <v>423</v>
      </c>
      <c r="B2167" s="28">
        <v>2850</v>
      </c>
      <c r="C2167" s="28">
        <v>5685726</v>
      </c>
      <c r="D2167" s="28"/>
      <c r="E2167" s="45">
        <v>46167</v>
      </c>
      <c r="F2167" s="48">
        <v>0.50814814814814813</v>
      </c>
      <c r="G2167" s="42">
        <v>6.3</v>
      </c>
      <c r="H2167" s="40" t="s">
        <v>227</v>
      </c>
      <c r="I2167" s="40" t="s">
        <v>1300</v>
      </c>
    </row>
    <row r="2168" spans="1:9" x14ac:dyDescent="0.2">
      <c r="A2168" s="40" t="s">
        <v>423</v>
      </c>
      <c r="B2168" s="28">
        <v>2850</v>
      </c>
      <c r="C2168" s="28">
        <v>5687423</v>
      </c>
      <c r="D2168" s="28"/>
      <c r="E2168" s="41">
        <v>46168</v>
      </c>
      <c r="F2168" s="47">
        <v>0.37745370370370368</v>
      </c>
      <c r="G2168" s="44">
        <v>6.3</v>
      </c>
      <c r="H2168" s="43" t="s">
        <v>227</v>
      </c>
      <c r="I2168" s="40" t="s">
        <v>1300</v>
      </c>
    </row>
    <row r="2169" spans="1:9" x14ac:dyDescent="0.2">
      <c r="A2169" s="40" t="s">
        <v>423</v>
      </c>
      <c r="B2169" s="28">
        <v>2850</v>
      </c>
      <c r="C2169" s="28">
        <v>5687577</v>
      </c>
      <c r="D2169" s="28"/>
      <c r="E2169" s="41">
        <v>46168</v>
      </c>
      <c r="F2169" s="47">
        <v>0.65446759259259257</v>
      </c>
      <c r="G2169" s="44">
        <v>6.3</v>
      </c>
      <c r="H2169" s="43" t="s">
        <v>230</v>
      </c>
      <c r="I2169" s="40" t="s">
        <v>1300</v>
      </c>
    </row>
    <row r="2170" spans="1:9" x14ac:dyDescent="0.2">
      <c r="A2170" s="40" t="s">
        <v>423</v>
      </c>
      <c r="B2170" s="28">
        <v>2850</v>
      </c>
      <c r="C2170" s="28">
        <v>5687577</v>
      </c>
      <c r="D2170" s="28"/>
      <c r="E2170" s="41">
        <v>46168</v>
      </c>
      <c r="F2170" s="47">
        <v>0.66011574074074075</v>
      </c>
      <c r="G2170" s="44">
        <v>6.3</v>
      </c>
      <c r="H2170" s="43" t="s">
        <v>227</v>
      </c>
      <c r="I2170" s="40" t="s">
        <v>1300</v>
      </c>
    </row>
    <row r="2171" spans="1:9" x14ac:dyDescent="0.2">
      <c r="A2171" s="40" t="s">
        <v>423</v>
      </c>
      <c r="B2171" s="28">
        <v>2850</v>
      </c>
      <c r="C2171" s="28">
        <v>5688389</v>
      </c>
      <c r="D2171" s="28"/>
      <c r="E2171" s="41">
        <v>46168</v>
      </c>
      <c r="F2171" s="47">
        <v>0.77800925925925923</v>
      </c>
      <c r="G2171" s="44">
        <v>6.3</v>
      </c>
      <c r="H2171" s="43" t="s">
        <v>228</v>
      </c>
      <c r="I2171" s="40" t="s">
        <v>1300</v>
      </c>
    </row>
    <row r="2172" spans="1:9" x14ac:dyDescent="0.2">
      <c r="A2172" s="40" t="s">
        <v>423</v>
      </c>
      <c r="B2172" s="28">
        <v>2850</v>
      </c>
      <c r="C2172" s="28">
        <v>5688389</v>
      </c>
      <c r="D2172" s="28"/>
      <c r="E2172" s="41">
        <v>46168</v>
      </c>
      <c r="F2172" s="47">
        <v>0.79508101851851853</v>
      </c>
      <c r="G2172" s="44">
        <v>6.3</v>
      </c>
      <c r="H2172" s="43" t="s">
        <v>229</v>
      </c>
      <c r="I2172" s="40" t="s">
        <v>1300</v>
      </c>
    </row>
    <row r="2173" spans="1:9" x14ac:dyDescent="0.2">
      <c r="A2173" s="40" t="s">
        <v>423</v>
      </c>
      <c r="B2173" s="28">
        <v>2850</v>
      </c>
      <c r="C2173" s="28" t="s">
        <v>751</v>
      </c>
      <c r="D2173" s="28"/>
      <c r="E2173" s="41">
        <v>46169</v>
      </c>
      <c r="F2173" s="47">
        <v>0.35508101851851853</v>
      </c>
      <c r="G2173" s="44">
        <v>6.3</v>
      </c>
      <c r="H2173" s="43" t="s">
        <v>228</v>
      </c>
      <c r="I2173" s="40" t="s">
        <v>1300</v>
      </c>
    </row>
    <row r="2174" spans="1:9" x14ac:dyDescent="0.2">
      <c r="A2174" s="40" t="s">
        <v>423</v>
      </c>
      <c r="B2174" s="28">
        <v>2850</v>
      </c>
      <c r="C2174" s="28" t="s">
        <v>751</v>
      </c>
      <c r="D2174" s="28"/>
      <c r="E2174" s="41">
        <v>46169</v>
      </c>
      <c r="F2174" s="47">
        <v>0.37018518518518517</v>
      </c>
      <c r="G2174" s="44">
        <v>6.3</v>
      </c>
      <c r="H2174" s="43" t="s">
        <v>229</v>
      </c>
      <c r="I2174" s="40" t="s">
        <v>1300</v>
      </c>
    </row>
    <row r="2175" spans="1:9" x14ac:dyDescent="0.2">
      <c r="A2175" s="40" t="s">
        <v>423</v>
      </c>
      <c r="B2175" s="28">
        <v>2850</v>
      </c>
      <c r="C2175" s="28">
        <v>5688844</v>
      </c>
      <c r="D2175" s="28" t="s">
        <v>37</v>
      </c>
      <c r="E2175" s="41">
        <v>46169</v>
      </c>
      <c r="F2175" s="47">
        <v>0.43</v>
      </c>
      <c r="G2175" s="44">
        <v>6.3</v>
      </c>
      <c r="H2175" s="43" t="s">
        <v>231</v>
      </c>
      <c r="I2175" s="40" t="s">
        <v>1300</v>
      </c>
    </row>
    <row r="2176" spans="1:9" x14ac:dyDescent="0.2">
      <c r="A2176" s="40" t="s">
        <v>423</v>
      </c>
      <c r="B2176" s="28">
        <v>2850</v>
      </c>
      <c r="C2176" s="28">
        <v>5688844</v>
      </c>
      <c r="D2176" s="28" t="s">
        <v>37</v>
      </c>
      <c r="E2176" s="41">
        <v>46169</v>
      </c>
      <c r="F2176" s="47">
        <v>0.43627314814814816</v>
      </c>
      <c r="G2176" s="44">
        <v>6.3</v>
      </c>
      <c r="H2176" s="43" t="s">
        <v>227</v>
      </c>
      <c r="I2176" s="40" t="s">
        <v>1300</v>
      </c>
    </row>
    <row r="2177" spans="1:9" x14ac:dyDescent="0.2">
      <c r="A2177" s="40" t="s">
        <v>423</v>
      </c>
      <c r="B2177" s="28">
        <v>2850</v>
      </c>
      <c r="C2177" s="28">
        <v>5689338</v>
      </c>
      <c r="D2177" s="28"/>
      <c r="E2177" s="41">
        <v>46169</v>
      </c>
      <c r="F2177" s="47">
        <v>0.66025462962962966</v>
      </c>
      <c r="G2177" s="44">
        <v>6.3</v>
      </c>
      <c r="H2177" s="43" t="s">
        <v>228</v>
      </c>
      <c r="I2177" s="40" t="s">
        <v>1300</v>
      </c>
    </row>
    <row r="2178" spans="1:9" x14ac:dyDescent="0.2">
      <c r="A2178" s="40" t="s">
        <v>423</v>
      </c>
      <c r="B2178" s="28">
        <v>2850</v>
      </c>
      <c r="C2178" s="28">
        <v>5689338</v>
      </c>
      <c r="D2178" s="28"/>
      <c r="E2178" s="41">
        <v>46169</v>
      </c>
      <c r="F2178" s="47">
        <v>0.66723379629629631</v>
      </c>
      <c r="G2178" s="44">
        <v>6.3</v>
      </c>
      <c r="H2178" s="43" t="s">
        <v>233</v>
      </c>
      <c r="I2178" s="40" t="s">
        <v>1300</v>
      </c>
    </row>
    <row r="2179" spans="1:9" x14ac:dyDescent="0.2">
      <c r="A2179" s="40" t="s">
        <v>423</v>
      </c>
      <c r="B2179" s="28">
        <v>2850</v>
      </c>
      <c r="C2179" s="28" t="s">
        <v>35</v>
      </c>
      <c r="D2179" s="28" t="s">
        <v>38</v>
      </c>
      <c r="E2179" s="41">
        <v>46169</v>
      </c>
      <c r="F2179" s="47">
        <v>0.75553240740740746</v>
      </c>
      <c r="G2179" s="44">
        <v>6.3</v>
      </c>
      <c r="H2179" s="43" t="s">
        <v>234</v>
      </c>
      <c r="I2179" s="40" t="s">
        <v>1300</v>
      </c>
    </row>
    <row r="2180" spans="1:9" x14ac:dyDescent="0.2">
      <c r="A2180" s="40" t="s">
        <v>423</v>
      </c>
      <c r="B2180" s="28">
        <v>2850</v>
      </c>
      <c r="C2180" s="28" t="s">
        <v>35</v>
      </c>
      <c r="D2180" s="28" t="s">
        <v>38</v>
      </c>
      <c r="E2180" s="41">
        <v>46169</v>
      </c>
      <c r="F2180" s="47">
        <v>0.77061342592592597</v>
      </c>
      <c r="G2180" s="44">
        <v>6.3</v>
      </c>
      <c r="H2180" s="43" t="s">
        <v>227</v>
      </c>
      <c r="I2180" s="40" t="s">
        <v>1300</v>
      </c>
    </row>
    <row r="2181" spans="1:9" x14ac:dyDescent="0.2">
      <c r="A2181" s="40" t="s">
        <v>423</v>
      </c>
      <c r="B2181" s="28">
        <v>2850</v>
      </c>
      <c r="C2181" s="28">
        <v>5687567</v>
      </c>
      <c r="D2181" s="28"/>
      <c r="E2181" s="41">
        <v>46170</v>
      </c>
      <c r="F2181" s="47">
        <v>0.26581018518518518</v>
      </c>
      <c r="G2181" s="44">
        <v>6.3</v>
      </c>
      <c r="H2181" s="43" t="s">
        <v>230</v>
      </c>
      <c r="I2181" s="40" t="s">
        <v>1300</v>
      </c>
    </row>
    <row r="2182" spans="1:9" x14ac:dyDescent="0.2">
      <c r="A2182" s="40" t="s">
        <v>423</v>
      </c>
      <c r="B2182" s="28">
        <v>2850</v>
      </c>
      <c r="C2182" s="28">
        <v>5687567</v>
      </c>
      <c r="D2182" s="28"/>
      <c r="E2182" s="45">
        <v>46170</v>
      </c>
      <c r="F2182" s="48">
        <v>0.2722222222222222</v>
      </c>
      <c r="G2182" s="42">
        <v>6.3</v>
      </c>
      <c r="H2182" s="40" t="s">
        <v>227</v>
      </c>
      <c r="I2182" s="40" t="s">
        <v>1300</v>
      </c>
    </row>
    <row r="2183" spans="1:9" x14ac:dyDescent="0.2">
      <c r="A2183" s="40" t="s">
        <v>423</v>
      </c>
      <c r="B2183" s="28">
        <v>2850</v>
      </c>
      <c r="C2183" s="28">
        <v>5691341</v>
      </c>
      <c r="D2183" s="28"/>
      <c r="E2183" s="41">
        <v>46170</v>
      </c>
      <c r="F2183" s="47">
        <v>0.52712962962962961</v>
      </c>
      <c r="G2183" s="44">
        <v>6.3</v>
      </c>
      <c r="H2183" s="43" t="s">
        <v>228</v>
      </c>
      <c r="I2183" s="40" t="s">
        <v>1300</v>
      </c>
    </row>
    <row r="2184" spans="1:9" x14ac:dyDescent="0.2">
      <c r="A2184" s="40" t="s">
        <v>423</v>
      </c>
      <c r="B2184" s="28">
        <v>2850</v>
      </c>
      <c r="C2184" s="28">
        <v>5691341</v>
      </c>
      <c r="D2184" s="28"/>
      <c r="E2184" s="41">
        <v>46170</v>
      </c>
      <c r="F2184" s="47">
        <v>0.53673611111111108</v>
      </c>
      <c r="G2184" s="44">
        <v>6.3</v>
      </c>
      <c r="H2184" s="43" t="s">
        <v>229</v>
      </c>
      <c r="I2184" s="40" t="s">
        <v>1300</v>
      </c>
    </row>
    <row r="2185" spans="1:9" x14ac:dyDescent="0.2">
      <c r="A2185" s="40" t="s">
        <v>423</v>
      </c>
      <c r="B2185" s="28">
        <v>2850</v>
      </c>
      <c r="C2185" s="28">
        <v>5690747</v>
      </c>
      <c r="D2185" s="28"/>
      <c r="E2185" s="41">
        <v>46170</v>
      </c>
      <c r="F2185" s="47">
        <v>0.65289351851851851</v>
      </c>
      <c r="G2185" s="44">
        <v>6.3</v>
      </c>
      <c r="H2185" s="43" t="s">
        <v>231</v>
      </c>
      <c r="I2185" s="40" t="s">
        <v>1300</v>
      </c>
    </row>
    <row r="2186" spans="1:9" x14ac:dyDescent="0.2">
      <c r="A2186" s="40" t="s">
        <v>423</v>
      </c>
      <c r="B2186" s="28">
        <v>2850</v>
      </c>
      <c r="C2186" s="28">
        <v>5690747</v>
      </c>
      <c r="D2186" s="28"/>
      <c r="E2186" s="41">
        <v>46170</v>
      </c>
      <c r="F2186" s="47">
        <v>0.65825231481481483</v>
      </c>
      <c r="G2186" s="44">
        <v>6.3</v>
      </c>
      <c r="H2186" s="43" t="s">
        <v>227</v>
      </c>
      <c r="I2186" s="40" t="s">
        <v>1300</v>
      </c>
    </row>
    <row r="2187" spans="1:9" x14ac:dyDescent="0.2">
      <c r="A2187" s="40" t="s">
        <v>423</v>
      </c>
      <c r="B2187" s="28">
        <v>2850</v>
      </c>
      <c r="C2187" s="28">
        <v>5692261</v>
      </c>
      <c r="D2187" s="28"/>
      <c r="E2187" s="41">
        <v>46170</v>
      </c>
      <c r="F2187" s="47">
        <v>0.88231481481481477</v>
      </c>
      <c r="G2187" s="44">
        <v>6.3</v>
      </c>
      <c r="H2187" s="43" t="s">
        <v>228</v>
      </c>
      <c r="I2187" s="40" t="s">
        <v>1300</v>
      </c>
    </row>
    <row r="2188" spans="1:9" x14ac:dyDescent="0.2">
      <c r="A2188" s="40" t="s">
        <v>423</v>
      </c>
      <c r="B2188" s="28">
        <v>2850</v>
      </c>
      <c r="C2188" s="28">
        <v>5692261</v>
      </c>
      <c r="D2188" s="28"/>
      <c r="E2188" s="41">
        <v>46170</v>
      </c>
      <c r="F2188" s="47">
        <v>0.8893981481481481</v>
      </c>
      <c r="G2188" s="44">
        <v>6.3</v>
      </c>
      <c r="H2188" s="43" t="s">
        <v>229</v>
      </c>
      <c r="I2188" s="40" t="s">
        <v>1300</v>
      </c>
    </row>
    <row r="2189" spans="1:9" x14ac:dyDescent="0.2">
      <c r="A2189" s="40" t="s">
        <v>423</v>
      </c>
      <c r="B2189" s="28">
        <v>2850</v>
      </c>
      <c r="C2189" s="28">
        <v>5692685</v>
      </c>
      <c r="D2189" s="28"/>
      <c r="E2189" s="41">
        <v>46171</v>
      </c>
      <c r="F2189" s="47">
        <v>0.35723379629629631</v>
      </c>
      <c r="G2189" s="44">
        <v>6.3</v>
      </c>
      <c r="H2189" s="43" t="s">
        <v>226</v>
      </c>
      <c r="I2189" s="40" t="s">
        <v>1300</v>
      </c>
    </row>
    <row r="2190" spans="1:9" x14ac:dyDescent="0.2">
      <c r="A2190" s="40" t="s">
        <v>423</v>
      </c>
      <c r="B2190" s="28">
        <v>2850</v>
      </c>
      <c r="C2190" s="28">
        <v>5692685</v>
      </c>
      <c r="D2190" s="28"/>
      <c r="E2190" s="45">
        <v>46171</v>
      </c>
      <c r="F2190" s="48">
        <v>0.3662037037037037</v>
      </c>
      <c r="G2190" s="44">
        <v>6.3</v>
      </c>
      <c r="H2190" s="43" t="s">
        <v>227</v>
      </c>
      <c r="I2190" s="40" t="s">
        <v>1300</v>
      </c>
    </row>
    <row r="2191" spans="1:9" x14ac:dyDescent="0.2">
      <c r="A2191" s="40" t="s">
        <v>423</v>
      </c>
      <c r="B2191" s="28">
        <v>2850</v>
      </c>
      <c r="C2191" s="28">
        <v>5695547</v>
      </c>
      <c r="D2191" s="28" t="s">
        <v>37</v>
      </c>
      <c r="E2191" s="41">
        <v>46173</v>
      </c>
      <c r="F2191" s="47">
        <v>0.40542824074074074</v>
      </c>
      <c r="G2191" s="44">
        <v>6.3</v>
      </c>
      <c r="H2191" s="43" t="s">
        <v>227</v>
      </c>
      <c r="I2191" s="40" t="s">
        <v>1300</v>
      </c>
    </row>
    <row r="2192" spans="1:9" x14ac:dyDescent="0.2">
      <c r="A2192" s="40" t="s">
        <v>267</v>
      </c>
      <c r="B2192" s="28">
        <v>2913</v>
      </c>
      <c r="C2192" s="28">
        <v>5685526</v>
      </c>
      <c r="D2192" s="28"/>
      <c r="E2192" s="41">
        <v>46167</v>
      </c>
      <c r="F2192" s="47">
        <v>0.37452546296296296</v>
      </c>
      <c r="G2192" s="44">
        <v>6.3</v>
      </c>
      <c r="H2192" s="43" t="s">
        <v>230</v>
      </c>
      <c r="I2192" s="40" t="s">
        <v>1300</v>
      </c>
    </row>
    <row r="2193" spans="1:9" x14ac:dyDescent="0.2">
      <c r="A2193" s="40" t="s">
        <v>267</v>
      </c>
      <c r="B2193" s="28">
        <v>2913</v>
      </c>
      <c r="C2193" s="28">
        <v>5685526</v>
      </c>
      <c r="D2193" s="28"/>
      <c r="E2193" s="45">
        <v>46167</v>
      </c>
      <c r="F2193" s="48">
        <v>0.38296296296296295</v>
      </c>
      <c r="G2193" s="44">
        <v>6.3</v>
      </c>
      <c r="H2193" s="43" t="s">
        <v>227</v>
      </c>
      <c r="I2193" s="40" t="s">
        <v>1300</v>
      </c>
    </row>
    <row r="2194" spans="1:9" x14ac:dyDescent="0.2">
      <c r="A2194" s="40" t="s">
        <v>267</v>
      </c>
      <c r="B2194" s="28">
        <v>2913</v>
      </c>
      <c r="C2194" s="28" t="s">
        <v>35</v>
      </c>
      <c r="D2194" s="28" t="s">
        <v>38</v>
      </c>
      <c r="E2194" s="41">
        <v>46168</v>
      </c>
      <c r="F2194" s="47">
        <v>0.47644675925925928</v>
      </c>
      <c r="G2194" s="44">
        <v>6.3</v>
      </c>
      <c r="H2194" s="43" t="s">
        <v>229</v>
      </c>
      <c r="I2194" s="40" t="s">
        <v>1300</v>
      </c>
    </row>
    <row r="2195" spans="1:9" x14ac:dyDescent="0.2">
      <c r="A2195" s="40" t="s">
        <v>267</v>
      </c>
      <c r="B2195" s="28">
        <v>2913</v>
      </c>
      <c r="C2195" s="28">
        <v>5691035</v>
      </c>
      <c r="D2195" s="28"/>
      <c r="E2195" s="41">
        <v>46170</v>
      </c>
      <c r="F2195" s="47">
        <v>0.42891203703703706</v>
      </c>
      <c r="G2195" s="44">
        <v>6.3</v>
      </c>
      <c r="H2195" s="43" t="s">
        <v>230</v>
      </c>
      <c r="I2195" s="40" t="s">
        <v>1300</v>
      </c>
    </row>
    <row r="2196" spans="1:9" x14ac:dyDescent="0.2">
      <c r="A2196" s="40" t="s">
        <v>267</v>
      </c>
      <c r="B2196" s="28">
        <v>2913</v>
      </c>
      <c r="C2196" s="28">
        <v>5691185</v>
      </c>
      <c r="D2196" s="28"/>
      <c r="E2196" s="41">
        <v>46170</v>
      </c>
      <c r="F2196" s="47">
        <v>0.49321759259259257</v>
      </c>
      <c r="G2196" s="44">
        <v>6.3</v>
      </c>
      <c r="H2196" s="43" t="s">
        <v>229</v>
      </c>
      <c r="I2196" s="40" t="s">
        <v>1300</v>
      </c>
    </row>
    <row r="2197" spans="1:9" x14ac:dyDescent="0.2">
      <c r="A2197" s="40" t="s">
        <v>267</v>
      </c>
      <c r="B2197" s="28">
        <v>2913</v>
      </c>
      <c r="C2197" s="28">
        <v>5692460</v>
      </c>
      <c r="D2197" s="28"/>
      <c r="E2197" s="41">
        <v>46171</v>
      </c>
      <c r="F2197" s="47">
        <v>0.30886574074074075</v>
      </c>
      <c r="G2197" s="44">
        <v>6.3</v>
      </c>
      <c r="H2197" s="43" t="s">
        <v>228</v>
      </c>
      <c r="I2197" s="40" t="s">
        <v>1300</v>
      </c>
    </row>
    <row r="2198" spans="1:9" x14ac:dyDescent="0.2">
      <c r="A2198" s="40" t="s">
        <v>267</v>
      </c>
      <c r="B2198" s="28">
        <v>2913</v>
      </c>
      <c r="C2198" s="28">
        <v>5692460</v>
      </c>
      <c r="D2198" s="28"/>
      <c r="E2198" s="45">
        <v>46171</v>
      </c>
      <c r="F2198" s="48">
        <v>0.32016203703703705</v>
      </c>
      <c r="G2198" s="44">
        <v>6.3</v>
      </c>
      <c r="H2198" s="43" t="s">
        <v>229</v>
      </c>
      <c r="I2198" s="40" t="s">
        <v>1300</v>
      </c>
    </row>
    <row r="2199" spans="1:9" x14ac:dyDescent="0.2">
      <c r="A2199" s="40" t="s">
        <v>338</v>
      </c>
      <c r="B2199" s="28">
        <v>2916</v>
      </c>
      <c r="C2199" s="28">
        <v>5685280</v>
      </c>
      <c r="D2199" s="28"/>
      <c r="E2199" s="41">
        <v>46167</v>
      </c>
      <c r="F2199" s="47">
        <v>0.32104166666666667</v>
      </c>
      <c r="G2199" s="44">
        <v>6.3</v>
      </c>
      <c r="H2199" s="43" t="s">
        <v>228</v>
      </c>
      <c r="I2199" s="40" t="s">
        <v>1300</v>
      </c>
    </row>
    <row r="2200" spans="1:9" x14ac:dyDescent="0.2">
      <c r="A2200" s="40" t="s">
        <v>338</v>
      </c>
      <c r="B2200" s="28">
        <v>2916</v>
      </c>
      <c r="C2200" s="28">
        <v>5685548</v>
      </c>
      <c r="D2200" s="28"/>
      <c r="E2200" s="41">
        <v>46167</v>
      </c>
      <c r="F2200" s="47">
        <v>0.36758101851851854</v>
      </c>
      <c r="G2200" s="44">
        <v>6.3</v>
      </c>
      <c r="H2200" s="43" t="s">
        <v>227</v>
      </c>
      <c r="I2200" s="40" t="s">
        <v>1300</v>
      </c>
    </row>
    <row r="2201" spans="1:9" x14ac:dyDescent="0.2">
      <c r="A2201" s="40" t="s">
        <v>338</v>
      </c>
      <c r="B2201" s="28">
        <v>2916</v>
      </c>
      <c r="C2201" s="28" t="s">
        <v>35</v>
      </c>
      <c r="D2201" s="28" t="s">
        <v>38</v>
      </c>
      <c r="E2201" s="41">
        <v>46169</v>
      </c>
      <c r="F2201" s="47">
        <v>0.5284375</v>
      </c>
      <c r="G2201" s="44">
        <v>6.3</v>
      </c>
      <c r="H2201" s="43" t="s">
        <v>228</v>
      </c>
      <c r="I2201" s="40" t="s">
        <v>1300</v>
      </c>
    </row>
    <row r="2202" spans="1:9" x14ac:dyDescent="0.2">
      <c r="A2202" s="40" t="s">
        <v>338</v>
      </c>
      <c r="B2202" s="28">
        <v>2916</v>
      </c>
      <c r="C2202" s="28">
        <v>5690947</v>
      </c>
      <c r="D2202" s="28"/>
      <c r="E2202" s="41">
        <v>46170</v>
      </c>
      <c r="F2202" s="47">
        <v>0.3689351851851852</v>
      </c>
      <c r="G2202" s="44">
        <v>6.3</v>
      </c>
      <c r="H2202" s="43" t="s">
        <v>229</v>
      </c>
      <c r="I2202" s="40" t="s">
        <v>1300</v>
      </c>
    </row>
    <row r="2203" spans="1:9" x14ac:dyDescent="0.2">
      <c r="A2203" s="40" t="s">
        <v>338</v>
      </c>
      <c r="B2203" s="28">
        <v>2916</v>
      </c>
      <c r="C2203" s="28" t="s">
        <v>35</v>
      </c>
      <c r="D2203" s="28" t="s">
        <v>38</v>
      </c>
      <c r="E2203" s="41">
        <v>46173</v>
      </c>
      <c r="F2203" s="47">
        <v>0.5098611111111111</v>
      </c>
      <c r="G2203" s="44">
        <v>6.3</v>
      </c>
      <c r="H2203" s="43" t="s">
        <v>230</v>
      </c>
      <c r="I2203" s="40" t="s">
        <v>1300</v>
      </c>
    </row>
    <row r="2204" spans="1:9" x14ac:dyDescent="0.2">
      <c r="A2204" s="40" t="s">
        <v>424</v>
      </c>
      <c r="B2204" s="28">
        <v>2961</v>
      </c>
      <c r="C2204" s="28">
        <v>5684459</v>
      </c>
      <c r="D2204" s="28"/>
      <c r="E2204" s="41">
        <v>46167</v>
      </c>
      <c r="F2204" s="47">
        <v>0.15204861111111112</v>
      </c>
      <c r="G2204" s="44">
        <v>6.3</v>
      </c>
      <c r="H2204" s="43" t="s">
        <v>230</v>
      </c>
      <c r="I2204" s="40" t="s">
        <v>1300</v>
      </c>
    </row>
    <row r="2205" spans="1:9" x14ac:dyDescent="0.2">
      <c r="A2205" s="40" t="s">
        <v>424</v>
      </c>
      <c r="B2205" s="28">
        <v>2961</v>
      </c>
      <c r="C2205" s="28">
        <v>5684459</v>
      </c>
      <c r="D2205" s="28"/>
      <c r="E2205" s="41">
        <v>46167</v>
      </c>
      <c r="F2205" s="47">
        <v>0.15715277777777778</v>
      </c>
      <c r="G2205" s="42">
        <v>6.3</v>
      </c>
      <c r="H2205" s="40" t="s">
        <v>227</v>
      </c>
      <c r="I2205" s="40" t="s">
        <v>1300</v>
      </c>
    </row>
    <row r="2206" spans="1:9" x14ac:dyDescent="0.2">
      <c r="A2206" s="40" t="s">
        <v>424</v>
      </c>
      <c r="B2206" s="28">
        <v>2961</v>
      </c>
      <c r="C2206" s="28">
        <v>5685936</v>
      </c>
      <c r="D2206" s="28"/>
      <c r="E2206" s="45">
        <v>46167</v>
      </c>
      <c r="F2206" s="48">
        <v>0.62313657407407408</v>
      </c>
      <c r="G2206" s="42">
        <v>6.3</v>
      </c>
      <c r="H2206" s="40" t="s">
        <v>230</v>
      </c>
      <c r="I2206" s="40" t="s">
        <v>1300</v>
      </c>
    </row>
    <row r="2207" spans="1:9" x14ac:dyDescent="0.2">
      <c r="A2207" s="40" t="s">
        <v>424</v>
      </c>
      <c r="B2207" s="28">
        <v>2961</v>
      </c>
      <c r="C2207" s="28">
        <v>5685936</v>
      </c>
      <c r="D2207" s="28"/>
      <c r="E2207" s="45">
        <v>46167</v>
      </c>
      <c r="F2207" s="48">
        <v>0.62920138888888888</v>
      </c>
      <c r="G2207" s="44">
        <v>6.3</v>
      </c>
      <c r="H2207" s="43" t="s">
        <v>227</v>
      </c>
      <c r="I2207" s="40" t="s">
        <v>1300</v>
      </c>
    </row>
    <row r="2208" spans="1:9" x14ac:dyDescent="0.2">
      <c r="A2208" s="40" t="s">
        <v>424</v>
      </c>
      <c r="B2208" s="28">
        <v>2961</v>
      </c>
      <c r="C2208" s="28">
        <v>5683481</v>
      </c>
      <c r="D2208" s="28"/>
      <c r="E2208" s="45">
        <v>46168</v>
      </c>
      <c r="F2208" s="48">
        <v>0.39001157407407405</v>
      </c>
      <c r="G2208" s="44">
        <v>6.3</v>
      </c>
      <c r="H2208" s="43" t="s">
        <v>228</v>
      </c>
      <c r="I2208" s="40" t="s">
        <v>1300</v>
      </c>
    </row>
    <row r="2209" spans="1:9" x14ac:dyDescent="0.2">
      <c r="A2209" s="40" t="s">
        <v>424</v>
      </c>
      <c r="B2209" s="28">
        <v>2961</v>
      </c>
      <c r="C2209" s="28">
        <v>5683481</v>
      </c>
      <c r="D2209" s="28"/>
      <c r="E2209" s="41">
        <v>46168</v>
      </c>
      <c r="F2209" s="47">
        <v>0.4042824074074074</v>
      </c>
      <c r="G2209" s="44">
        <v>6.3</v>
      </c>
      <c r="H2209" s="43" t="s">
        <v>229</v>
      </c>
      <c r="I2209" s="40" t="s">
        <v>1300</v>
      </c>
    </row>
    <row r="2210" spans="1:9" x14ac:dyDescent="0.2">
      <c r="A2210" s="40" t="s">
        <v>424</v>
      </c>
      <c r="B2210" s="28">
        <v>2961</v>
      </c>
      <c r="C2210" s="28" t="s">
        <v>35</v>
      </c>
      <c r="D2210" s="28" t="s">
        <v>38</v>
      </c>
      <c r="E2210" s="41">
        <v>46170</v>
      </c>
      <c r="F2210" s="47">
        <v>0.5965625</v>
      </c>
      <c r="G2210" s="44">
        <v>6.3</v>
      </c>
      <c r="H2210" s="43" t="s">
        <v>228</v>
      </c>
      <c r="I2210" s="40" t="s">
        <v>1300</v>
      </c>
    </row>
    <row r="2211" spans="1:9" x14ac:dyDescent="0.2">
      <c r="A2211" s="40" t="s">
        <v>424</v>
      </c>
      <c r="B2211" s="28">
        <v>2961</v>
      </c>
      <c r="C2211" s="28" t="s">
        <v>35</v>
      </c>
      <c r="D2211" s="28" t="s">
        <v>38</v>
      </c>
      <c r="E2211" s="41">
        <v>46170</v>
      </c>
      <c r="F2211" s="47">
        <v>0.74827546296296299</v>
      </c>
      <c r="G2211" s="42">
        <v>6.3</v>
      </c>
      <c r="H2211" s="40" t="s">
        <v>227</v>
      </c>
      <c r="I2211" s="40" t="s">
        <v>1300</v>
      </c>
    </row>
    <row r="2212" spans="1:9" x14ac:dyDescent="0.2">
      <c r="A2212" s="40" t="s">
        <v>424</v>
      </c>
      <c r="B2212" s="28">
        <v>2961</v>
      </c>
      <c r="C2212" s="28">
        <v>5693288</v>
      </c>
      <c r="D2212" s="28"/>
      <c r="E2212" s="45">
        <v>46172</v>
      </c>
      <c r="F2212" s="48">
        <v>0.16837962962962963</v>
      </c>
      <c r="G2212" s="42">
        <v>6.3</v>
      </c>
      <c r="H2212" s="40" t="s">
        <v>230</v>
      </c>
      <c r="I2212" s="40" t="s">
        <v>1300</v>
      </c>
    </row>
    <row r="2213" spans="1:9" x14ac:dyDescent="0.2">
      <c r="A2213" s="40" t="s">
        <v>424</v>
      </c>
      <c r="B2213" s="28">
        <v>2961</v>
      </c>
      <c r="C2213" s="28" t="s">
        <v>35</v>
      </c>
      <c r="D2213" s="28" t="s">
        <v>38</v>
      </c>
      <c r="E2213" s="45">
        <v>46172</v>
      </c>
      <c r="F2213" s="48">
        <v>0.25981481481481483</v>
      </c>
      <c r="G2213" s="42">
        <v>6.3</v>
      </c>
      <c r="H2213" s="40" t="s">
        <v>228</v>
      </c>
      <c r="I2213" s="40" t="s">
        <v>1300</v>
      </c>
    </row>
    <row r="2214" spans="1:9" x14ac:dyDescent="0.2">
      <c r="A2214" s="40" t="s">
        <v>237</v>
      </c>
      <c r="B2214" s="28">
        <v>2976</v>
      </c>
      <c r="C2214" s="28" t="s">
        <v>35</v>
      </c>
      <c r="D2214" s="28" t="s">
        <v>38</v>
      </c>
      <c r="E2214" s="41">
        <v>46167</v>
      </c>
      <c r="F2214" s="47">
        <v>9.7708333333333328E-2</v>
      </c>
      <c r="G2214" s="44">
        <v>6.3</v>
      </c>
      <c r="H2214" s="43" t="s">
        <v>228</v>
      </c>
      <c r="I2214" s="40" t="s">
        <v>1300</v>
      </c>
    </row>
    <row r="2215" spans="1:9" x14ac:dyDescent="0.2">
      <c r="A2215" s="40" t="s">
        <v>237</v>
      </c>
      <c r="B2215" s="28">
        <v>2974</v>
      </c>
      <c r="C2215" s="28" t="s">
        <v>35</v>
      </c>
      <c r="D2215" s="28" t="s">
        <v>38</v>
      </c>
      <c r="E2215" s="41">
        <v>46167</v>
      </c>
      <c r="F2215" s="47">
        <v>0.37847222222222221</v>
      </c>
      <c r="G2215" s="44">
        <v>6.3</v>
      </c>
      <c r="H2215" s="43" t="s">
        <v>228</v>
      </c>
      <c r="I2215" s="40" t="s">
        <v>1300</v>
      </c>
    </row>
    <row r="2216" spans="1:9" x14ac:dyDescent="0.2">
      <c r="A2216" s="40" t="s">
        <v>237</v>
      </c>
      <c r="B2216" s="28">
        <v>2974</v>
      </c>
      <c r="C2216" s="28" t="s">
        <v>35</v>
      </c>
      <c r="D2216" s="28" t="s">
        <v>38</v>
      </c>
      <c r="E2216" s="41">
        <v>46169</v>
      </c>
      <c r="F2216" s="47">
        <v>0.49646990740740743</v>
      </c>
      <c r="G2216" s="44">
        <v>6.3</v>
      </c>
      <c r="H2216" s="43" t="s">
        <v>228</v>
      </c>
      <c r="I2216" s="40" t="s">
        <v>1300</v>
      </c>
    </row>
    <row r="2217" spans="1:9" x14ac:dyDescent="0.2">
      <c r="A2217" s="40" t="s">
        <v>237</v>
      </c>
      <c r="B2217" s="28">
        <v>2974</v>
      </c>
      <c r="C2217" s="28" t="s">
        <v>35</v>
      </c>
      <c r="D2217" s="28" t="s">
        <v>38</v>
      </c>
      <c r="E2217" s="41">
        <v>46169</v>
      </c>
      <c r="F2217" s="47">
        <v>0.50634259259259262</v>
      </c>
      <c r="G2217" s="44">
        <v>6.3</v>
      </c>
      <c r="H2217" s="43" t="s">
        <v>229</v>
      </c>
      <c r="I2217" s="40" t="s">
        <v>1300</v>
      </c>
    </row>
    <row r="2218" spans="1:9" x14ac:dyDescent="0.2">
      <c r="A2218" s="40" t="s">
        <v>237</v>
      </c>
      <c r="B2218" s="28">
        <v>2976</v>
      </c>
      <c r="C2218" s="28" t="s">
        <v>35</v>
      </c>
      <c r="D2218" s="28" t="s">
        <v>38</v>
      </c>
      <c r="E2218" s="41">
        <v>46169</v>
      </c>
      <c r="F2218" s="47">
        <v>0.75591435185185185</v>
      </c>
      <c r="G2218" s="44">
        <v>6.3</v>
      </c>
      <c r="H2218" s="43" t="s">
        <v>228</v>
      </c>
      <c r="I2218" s="40" t="s">
        <v>1300</v>
      </c>
    </row>
    <row r="2219" spans="1:9" x14ac:dyDescent="0.2">
      <c r="A2219" s="40" t="s">
        <v>237</v>
      </c>
      <c r="B2219" s="28">
        <v>2976</v>
      </c>
      <c r="C2219" s="28" t="s">
        <v>35</v>
      </c>
      <c r="D2219" s="28" t="s">
        <v>38</v>
      </c>
      <c r="E2219" s="41">
        <v>46169</v>
      </c>
      <c r="F2219" s="47">
        <v>0.77261574074074069</v>
      </c>
      <c r="G2219" s="44">
        <v>6.3</v>
      </c>
      <c r="H2219" s="43" t="s">
        <v>229</v>
      </c>
      <c r="I2219" s="40" t="s">
        <v>1300</v>
      </c>
    </row>
    <row r="2220" spans="1:9" x14ac:dyDescent="0.2">
      <c r="A2220" s="40" t="s">
        <v>237</v>
      </c>
      <c r="B2220" s="28">
        <v>2976</v>
      </c>
      <c r="C2220" s="28" t="s">
        <v>35</v>
      </c>
      <c r="D2220" s="28" t="s">
        <v>38</v>
      </c>
      <c r="E2220" s="45">
        <v>46169</v>
      </c>
      <c r="F2220" s="48">
        <v>0.97513888888888889</v>
      </c>
      <c r="G2220" s="44">
        <v>6.3</v>
      </c>
      <c r="H2220" s="43" t="s">
        <v>228</v>
      </c>
      <c r="I2220" s="40" t="s">
        <v>1300</v>
      </c>
    </row>
    <row r="2221" spans="1:9" x14ac:dyDescent="0.2">
      <c r="A2221" s="40" t="s">
        <v>237</v>
      </c>
      <c r="B2221" s="28">
        <v>2976</v>
      </c>
      <c r="C2221" s="28" t="s">
        <v>35</v>
      </c>
      <c r="D2221" s="28" t="s">
        <v>38</v>
      </c>
      <c r="E2221" s="41">
        <v>46169</v>
      </c>
      <c r="F2221" s="47">
        <v>0.98238425925925921</v>
      </c>
      <c r="G2221" s="44">
        <v>6.3</v>
      </c>
      <c r="H2221" s="43" t="s">
        <v>232</v>
      </c>
      <c r="I2221" s="40" t="s">
        <v>1300</v>
      </c>
    </row>
    <row r="2222" spans="1:9" x14ac:dyDescent="0.2">
      <c r="A2222" s="40" t="s">
        <v>237</v>
      </c>
      <c r="B2222" s="28">
        <v>2976</v>
      </c>
      <c r="C2222" s="28" t="s">
        <v>35</v>
      </c>
      <c r="D2222" s="28" t="s">
        <v>38</v>
      </c>
      <c r="E2222" s="41">
        <v>46170</v>
      </c>
      <c r="F2222" s="47">
        <v>7.0023148148148145E-3</v>
      </c>
      <c r="G2222" s="44">
        <v>6.3</v>
      </c>
      <c r="H2222" s="43" t="s">
        <v>226</v>
      </c>
      <c r="I2222" s="40" t="s">
        <v>1300</v>
      </c>
    </row>
    <row r="2223" spans="1:9" x14ac:dyDescent="0.2">
      <c r="A2223" s="40" t="s">
        <v>237</v>
      </c>
      <c r="B2223" s="28">
        <v>2976</v>
      </c>
      <c r="C2223" s="28" t="s">
        <v>35</v>
      </c>
      <c r="D2223" s="28" t="s">
        <v>38</v>
      </c>
      <c r="E2223" s="41">
        <v>46170</v>
      </c>
      <c r="F2223" s="47">
        <v>1.1875E-2</v>
      </c>
      <c r="G2223" s="44">
        <v>6.3</v>
      </c>
      <c r="H2223" s="43" t="s">
        <v>227</v>
      </c>
      <c r="I2223" s="40" t="s">
        <v>1300</v>
      </c>
    </row>
    <row r="2224" spans="1:9" x14ac:dyDescent="0.2">
      <c r="A2224" s="40" t="s">
        <v>237</v>
      </c>
      <c r="B2224" s="28">
        <v>2974</v>
      </c>
      <c r="C2224" s="28" t="s">
        <v>35</v>
      </c>
      <c r="D2224" s="28" t="s">
        <v>38</v>
      </c>
      <c r="E2224" s="41">
        <v>46170</v>
      </c>
      <c r="F2224" s="47">
        <v>0.43077546296296299</v>
      </c>
      <c r="G2224" s="44">
        <v>6.3</v>
      </c>
      <c r="H2224" s="43" t="s">
        <v>228</v>
      </c>
      <c r="I2224" s="40" t="s">
        <v>1300</v>
      </c>
    </row>
    <row r="2225" spans="1:9" x14ac:dyDescent="0.2">
      <c r="A2225" s="40" t="s">
        <v>237</v>
      </c>
      <c r="B2225" s="28">
        <v>2974</v>
      </c>
      <c r="C2225" s="28" t="s">
        <v>35</v>
      </c>
      <c r="D2225" s="28" t="s">
        <v>38</v>
      </c>
      <c r="E2225" s="41">
        <v>46170</v>
      </c>
      <c r="F2225" s="47">
        <v>0.43807870370370372</v>
      </c>
      <c r="G2225" s="44">
        <v>6.3</v>
      </c>
      <c r="H2225" s="43" t="s">
        <v>232</v>
      </c>
      <c r="I2225" s="40" t="s">
        <v>1300</v>
      </c>
    </row>
    <row r="2226" spans="1:9" x14ac:dyDescent="0.2">
      <c r="A2226" s="40" t="s">
        <v>237</v>
      </c>
      <c r="B2226" s="28">
        <v>2974</v>
      </c>
      <c r="C2226" s="28" t="s">
        <v>35</v>
      </c>
      <c r="D2226" s="28" t="s">
        <v>38</v>
      </c>
      <c r="E2226" s="45">
        <v>46170</v>
      </c>
      <c r="F2226" s="48">
        <v>0.60136574074074078</v>
      </c>
      <c r="G2226" s="44">
        <v>6.3</v>
      </c>
      <c r="H2226" s="43" t="s">
        <v>228</v>
      </c>
      <c r="I2226" s="40" t="s">
        <v>1300</v>
      </c>
    </row>
    <row r="2227" spans="1:9" x14ac:dyDescent="0.2">
      <c r="A2227" s="40" t="s">
        <v>237</v>
      </c>
      <c r="B2227" s="28">
        <v>2974</v>
      </c>
      <c r="C2227" s="28" t="s">
        <v>35</v>
      </c>
      <c r="D2227" s="28" t="s">
        <v>38</v>
      </c>
      <c r="E2227" s="41">
        <v>46170</v>
      </c>
      <c r="F2227" s="47">
        <v>0.61571759259259262</v>
      </c>
      <c r="G2227" s="44">
        <v>6.3</v>
      </c>
      <c r="H2227" s="43" t="s">
        <v>229</v>
      </c>
      <c r="I2227" s="40" t="s">
        <v>1300</v>
      </c>
    </row>
    <row r="2228" spans="1:9" x14ac:dyDescent="0.2">
      <c r="A2228" s="40" t="s">
        <v>237</v>
      </c>
      <c r="B2228" s="28">
        <v>2974</v>
      </c>
      <c r="C2228" s="28" t="s">
        <v>35</v>
      </c>
      <c r="D2228" s="28" t="s">
        <v>38</v>
      </c>
      <c r="E2228" s="41">
        <v>46170</v>
      </c>
      <c r="F2228" s="47">
        <v>0.63991898148148152</v>
      </c>
      <c r="G2228" s="42">
        <v>6.3</v>
      </c>
      <c r="H2228" s="40" t="s">
        <v>230</v>
      </c>
      <c r="I2228" s="40" t="s">
        <v>1300</v>
      </c>
    </row>
    <row r="2229" spans="1:9" x14ac:dyDescent="0.2">
      <c r="A2229" s="40" t="s">
        <v>237</v>
      </c>
      <c r="B2229" s="28">
        <v>2974</v>
      </c>
      <c r="C2229" s="28" t="s">
        <v>35</v>
      </c>
      <c r="D2229" s="28" t="s">
        <v>38</v>
      </c>
      <c r="E2229" s="41">
        <v>46170</v>
      </c>
      <c r="F2229" s="47">
        <v>0.68811342592592595</v>
      </c>
      <c r="G2229" s="42">
        <v>6.3</v>
      </c>
      <c r="H2229" s="40" t="s">
        <v>231</v>
      </c>
      <c r="I2229" s="40" t="s">
        <v>1300</v>
      </c>
    </row>
    <row r="2230" spans="1:9" x14ac:dyDescent="0.2">
      <c r="A2230" s="40" t="s">
        <v>237</v>
      </c>
      <c r="B2230" s="28">
        <v>2976</v>
      </c>
      <c r="C2230" s="28" t="s">
        <v>35</v>
      </c>
      <c r="D2230" s="28" t="s">
        <v>38</v>
      </c>
      <c r="E2230" s="41">
        <v>46170</v>
      </c>
      <c r="F2230" s="47">
        <v>0.69797453703703705</v>
      </c>
      <c r="G2230" s="44">
        <v>6.3</v>
      </c>
      <c r="H2230" s="43" t="s">
        <v>227</v>
      </c>
      <c r="I2230" s="40" t="s">
        <v>1300</v>
      </c>
    </row>
    <row r="2231" spans="1:9" x14ac:dyDescent="0.2">
      <c r="A2231" s="40" t="s">
        <v>237</v>
      </c>
      <c r="B2231" s="28">
        <v>2976</v>
      </c>
      <c r="C2231" s="28" t="s">
        <v>35</v>
      </c>
      <c r="D2231" s="28" t="s">
        <v>38</v>
      </c>
      <c r="E2231" s="45">
        <v>46170</v>
      </c>
      <c r="F2231" s="48">
        <v>0.80979166666666669</v>
      </c>
      <c r="G2231" s="44">
        <v>6.3</v>
      </c>
      <c r="H2231" s="43" t="s">
        <v>228</v>
      </c>
      <c r="I2231" s="40" t="s">
        <v>1300</v>
      </c>
    </row>
    <row r="2232" spans="1:9" x14ac:dyDescent="0.2">
      <c r="A2232" s="40" t="s">
        <v>237</v>
      </c>
      <c r="B2232" s="28">
        <v>2976</v>
      </c>
      <c r="C2232" s="28" t="s">
        <v>35</v>
      </c>
      <c r="D2232" s="28" t="s">
        <v>38</v>
      </c>
      <c r="E2232" s="45">
        <v>46170</v>
      </c>
      <c r="F2232" s="48">
        <v>0.81917824074074075</v>
      </c>
      <c r="G2232" s="44">
        <v>6.3</v>
      </c>
      <c r="H2232" s="43" t="s">
        <v>229</v>
      </c>
      <c r="I2232" s="40" t="s">
        <v>1300</v>
      </c>
    </row>
    <row r="2233" spans="1:9" x14ac:dyDescent="0.2">
      <c r="A2233" s="40" t="s">
        <v>237</v>
      </c>
      <c r="B2233" s="28">
        <v>2976</v>
      </c>
      <c r="C2233" s="28" t="s">
        <v>35</v>
      </c>
      <c r="D2233" s="28" t="s">
        <v>38</v>
      </c>
      <c r="E2233" s="41">
        <v>46171</v>
      </c>
      <c r="F2233" s="47">
        <v>0.24637731481481481</v>
      </c>
      <c r="G2233" s="44">
        <v>6.3</v>
      </c>
      <c r="H2233" s="43" t="s">
        <v>228</v>
      </c>
      <c r="I2233" s="40" t="s">
        <v>1300</v>
      </c>
    </row>
    <row r="2234" spans="1:9" x14ac:dyDescent="0.2">
      <c r="A2234" s="40" t="s">
        <v>237</v>
      </c>
      <c r="B2234" s="28">
        <v>2976</v>
      </c>
      <c r="C2234" s="28" t="s">
        <v>35</v>
      </c>
      <c r="D2234" s="28" t="s">
        <v>38</v>
      </c>
      <c r="E2234" s="41">
        <v>46171</v>
      </c>
      <c r="F2234" s="47">
        <v>0.25512731481481482</v>
      </c>
      <c r="G2234" s="44">
        <v>6.3</v>
      </c>
      <c r="H2234" s="43" t="s">
        <v>232</v>
      </c>
      <c r="I2234" s="40" t="s">
        <v>1300</v>
      </c>
    </row>
    <row r="2235" spans="1:9" x14ac:dyDescent="0.2">
      <c r="A2235" s="40" t="s">
        <v>237</v>
      </c>
      <c r="B2235" s="28">
        <v>2974</v>
      </c>
      <c r="C2235" s="28" t="s">
        <v>35</v>
      </c>
      <c r="D2235" s="28" t="s">
        <v>38</v>
      </c>
      <c r="E2235" s="41">
        <v>46171</v>
      </c>
      <c r="F2235" s="47">
        <v>0.33707175925925925</v>
      </c>
      <c r="G2235" s="44">
        <v>6.3</v>
      </c>
      <c r="H2235" s="43" t="s">
        <v>230</v>
      </c>
      <c r="I2235" s="40" t="s">
        <v>1300</v>
      </c>
    </row>
    <row r="2236" spans="1:9" x14ac:dyDescent="0.2">
      <c r="A2236" s="40" t="s">
        <v>237</v>
      </c>
      <c r="B2236" s="28">
        <v>2974</v>
      </c>
      <c r="C2236" s="28" t="s">
        <v>35</v>
      </c>
      <c r="D2236" s="28" t="s">
        <v>38</v>
      </c>
      <c r="E2236" s="41">
        <v>46171</v>
      </c>
      <c r="F2236" s="47">
        <v>0.35188657407407409</v>
      </c>
      <c r="G2236" s="44">
        <v>6.3</v>
      </c>
      <c r="H2236" s="43" t="s">
        <v>227</v>
      </c>
      <c r="I2236" s="40" t="s">
        <v>1300</v>
      </c>
    </row>
    <row r="2237" spans="1:9" x14ac:dyDescent="0.2">
      <c r="A2237" s="40" t="s">
        <v>237</v>
      </c>
      <c r="B2237" s="28">
        <v>2974</v>
      </c>
      <c r="C2237" s="28" t="s">
        <v>35</v>
      </c>
      <c r="D2237" s="28" t="s">
        <v>38</v>
      </c>
      <c r="E2237" s="41">
        <v>46171</v>
      </c>
      <c r="F2237" s="47">
        <v>0.44820601851851855</v>
      </c>
      <c r="G2237" s="44">
        <v>6.3</v>
      </c>
      <c r="H2237" s="43" t="s">
        <v>228</v>
      </c>
      <c r="I2237" s="40" t="s">
        <v>1300</v>
      </c>
    </row>
    <row r="2238" spans="1:9" x14ac:dyDescent="0.2">
      <c r="A2238" s="40" t="s">
        <v>237</v>
      </c>
      <c r="B2238" s="28">
        <v>2974</v>
      </c>
      <c r="C2238" s="28" t="s">
        <v>35</v>
      </c>
      <c r="D2238" s="28" t="s">
        <v>38</v>
      </c>
      <c r="E2238" s="41">
        <v>46171</v>
      </c>
      <c r="F2238" s="47">
        <v>0.46032407407407405</v>
      </c>
      <c r="G2238" s="44">
        <v>6.3</v>
      </c>
      <c r="H2238" s="43" t="s">
        <v>229</v>
      </c>
      <c r="I2238" s="40" t="s">
        <v>1300</v>
      </c>
    </row>
    <row r="2239" spans="1:9" x14ac:dyDescent="0.2">
      <c r="A2239" s="40" t="s">
        <v>237</v>
      </c>
      <c r="B2239" s="28">
        <v>2974</v>
      </c>
      <c r="C2239" s="28" t="s">
        <v>35</v>
      </c>
      <c r="D2239" s="28" t="s">
        <v>38</v>
      </c>
      <c r="E2239" s="41">
        <v>46171</v>
      </c>
      <c r="F2239" s="47">
        <v>0.59607638888888892</v>
      </c>
      <c r="G2239" s="44">
        <v>6.3</v>
      </c>
      <c r="H2239" s="43" t="s">
        <v>228</v>
      </c>
      <c r="I2239" s="40" t="s">
        <v>1300</v>
      </c>
    </row>
    <row r="2240" spans="1:9" x14ac:dyDescent="0.2">
      <c r="A2240" s="40" t="s">
        <v>237</v>
      </c>
      <c r="B2240" s="28">
        <v>2974</v>
      </c>
      <c r="C2240" s="28" t="s">
        <v>35</v>
      </c>
      <c r="D2240" s="28" t="s">
        <v>38</v>
      </c>
      <c r="E2240" s="41">
        <v>46171</v>
      </c>
      <c r="F2240" s="47">
        <v>0.60752314814814812</v>
      </c>
      <c r="G2240" s="44">
        <v>6.3</v>
      </c>
      <c r="H2240" s="43" t="s">
        <v>229</v>
      </c>
      <c r="I2240" s="40" t="s">
        <v>1300</v>
      </c>
    </row>
    <row r="2241" spans="1:9" x14ac:dyDescent="0.2">
      <c r="A2241" s="40" t="s">
        <v>237</v>
      </c>
      <c r="B2241" s="28">
        <v>2974</v>
      </c>
      <c r="C2241" s="28" t="s">
        <v>35</v>
      </c>
      <c r="D2241" s="28" t="s">
        <v>38</v>
      </c>
      <c r="E2241" s="41">
        <v>46172</v>
      </c>
      <c r="F2241" s="47">
        <v>0.24488425925925925</v>
      </c>
      <c r="G2241" s="44">
        <v>6.3</v>
      </c>
      <c r="H2241" s="43" t="s">
        <v>228</v>
      </c>
      <c r="I2241" s="40" t="s">
        <v>1300</v>
      </c>
    </row>
    <row r="2242" spans="1:9" x14ac:dyDescent="0.2">
      <c r="A2242" s="40" t="s">
        <v>237</v>
      </c>
      <c r="B2242" s="28">
        <v>2974</v>
      </c>
      <c r="C2242" s="28" t="s">
        <v>35</v>
      </c>
      <c r="D2242" s="28" t="s">
        <v>38</v>
      </c>
      <c r="E2242" s="41">
        <v>46172</v>
      </c>
      <c r="F2242" s="47">
        <v>0.25266203703703705</v>
      </c>
      <c r="G2242" s="44">
        <v>6.3</v>
      </c>
      <c r="H2242" s="43" t="s">
        <v>232</v>
      </c>
      <c r="I2242" s="40" t="s">
        <v>1300</v>
      </c>
    </row>
    <row r="2243" spans="1:9" x14ac:dyDescent="0.2">
      <c r="A2243" s="40" t="s">
        <v>237</v>
      </c>
      <c r="B2243" s="28">
        <v>2974</v>
      </c>
      <c r="C2243" s="28" t="s">
        <v>35</v>
      </c>
      <c r="D2243" s="28" t="s">
        <v>38</v>
      </c>
      <c r="E2243" s="45">
        <v>46172</v>
      </c>
      <c r="F2243" s="48">
        <v>0.32155092592592593</v>
      </c>
      <c r="G2243" s="44">
        <v>6.3</v>
      </c>
      <c r="H2243" s="43" t="s">
        <v>230</v>
      </c>
      <c r="I2243" s="40" t="s">
        <v>1300</v>
      </c>
    </row>
    <row r="2244" spans="1:9" x14ac:dyDescent="0.2">
      <c r="A2244" s="40" t="s">
        <v>237</v>
      </c>
      <c r="B2244" s="28">
        <v>2974</v>
      </c>
      <c r="C2244" s="28" t="s">
        <v>35</v>
      </c>
      <c r="D2244" s="28" t="s">
        <v>38</v>
      </c>
      <c r="E2244" s="41">
        <v>46172</v>
      </c>
      <c r="F2244" s="47">
        <v>0.32710648148148147</v>
      </c>
      <c r="G2244" s="44">
        <v>6.3</v>
      </c>
      <c r="H2244" s="43" t="s">
        <v>227</v>
      </c>
      <c r="I2244" s="40" t="s">
        <v>1300</v>
      </c>
    </row>
    <row r="2245" spans="1:9" x14ac:dyDescent="0.2">
      <c r="A2245" s="40" t="s">
        <v>237</v>
      </c>
      <c r="B2245" s="28">
        <v>2974</v>
      </c>
      <c r="C2245" s="28" t="s">
        <v>35</v>
      </c>
      <c r="D2245" s="28" t="s">
        <v>38</v>
      </c>
      <c r="E2245" s="41">
        <v>46172</v>
      </c>
      <c r="F2245" s="47">
        <v>0.42755787037037035</v>
      </c>
      <c r="G2245" s="44">
        <v>6.3</v>
      </c>
      <c r="H2245" s="43" t="s">
        <v>228</v>
      </c>
      <c r="I2245" s="40" t="s">
        <v>1300</v>
      </c>
    </row>
    <row r="2246" spans="1:9" x14ac:dyDescent="0.2">
      <c r="A2246" s="40" t="s">
        <v>237</v>
      </c>
      <c r="B2246" s="28">
        <v>2974</v>
      </c>
      <c r="C2246" s="28" t="s">
        <v>35</v>
      </c>
      <c r="D2246" s="28" t="s">
        <v>38</v>
      </c>
      <c r="E2246" s="41">
        <v>46172</v>
      </c>
      <c r="F2246" s="47">
        <v>0.43589120370370371</v>
      </c>
      <c r="G2246" s="44">
        <v>6.3</v>
      </c>
      <c r="H2246" s="43" t="s">
        <v>232</v>
      </c>
      <c r="I2246" s="40" t="s">
        <v>1300</v>
      </c>
    </row>
    <row r="2247" spans="1:9" x14ac:dyDescent="0.2">
      <c r="A2247" s="40" t="s">
        <v>319</v>
      </c>
      <c r="B2247" s="28">
        <v>2979</v>
      </c>
      <c r="C2247" s="28">
        <v>5663669</v>
      </c>
      <c r="D2247" s="28"/>
      <c r="E2247" s="41">
        <v>46167</v>
      </c>
      <c r="F2247" s="47">
        <v>0.37950231481481483</v>
      </c>
      <c r="G2247" s="44">
        <v>6.3</v>
      </c>
      <c r="H2247" s="43" t="s">
        <v>230</v>
      </c>
      <c r="I2247" s="40" t="s">
        <v>1300</v>
      </c>
    </row>
    <row r="2248" spans="1:9" x14ac:dyDescent="0.2">
      <c r="A2248" s="40" t="s">
        <v>319</v>
      </c>
      <c r="B2248" s="28">
        <v>2979</v>
      </c>
      <c r="C2248" s="28">
        <v>5663669</v>
      </c>
      <c r="D2248" s="28"/>
      <c r="E2248" s="41">
        <v>46167</v>
      </c>
      <c r="F2248" s="47">
        <v>0.38792824074074073</v>
      </c>
      <c r="G2248" s="44">
        <v>6.3</v>
      </c>
      <c r="H2248" s="43" t="s">
        <v>227</v>
      </c>
      <c r="I2248" s="40" t="s">
        <v>1300</v>
      </c>
    </row>
    <row r="2249" spans="1:9" x14ac:dyDescent="0.2">
      <c r="A2249" s="40" t="s">
        <v>319</v>
      </c>
      <c r="B2249" s="28">
        <v>2979</v>
      </c>
      <c r="C2249" s="28">
        <v>5685867</v>
      </c>
      <c r="D2249" s="28"/>
      <c r="E2249" s="45">
        <v>46167</v>
      </c>
      <c r="F2249" s="48">
        <v>0.59320601851851851</v>
      </c>
      <c r="G2249" s="44">
        <v>6.3</v>
      </c>
      <c r="H2249" s="43" t="s">
        <v>231</v>
      </c>
      <c r="I2249" s="40" t="s">
        <v>1300</v>
      </c>
    </row>
    <row r="2250" spans="1:9" x14ac:dyDescent="0.2">
      <c r="A2250" s="40" t="s">
        <v>319</v>
      </c>
      <c r="B2250" s="28">
        <v>2979</v>
      </c>
      <c r="C2250" s="28">
        <v>5685867</v>
      </c>
      <c r="D2250" s="28"/>
      <c r="E2250" s="45">
        <v>46167</v>
      </c>
      <c r="F2250" s="48">
        <v>0.59858796296296302</v>
      </c>
      <c r="G2250" s="44">
        <v>6.3</v>
      </c>
      <c r="H2250" s="43" t="s">
        <v>227</v>
      </c>
      <c r="I2250" s="40" t="s">
        <v>1300</v>
      </c>
    </row>
    <row r="2251" spans="1:9" x14ac:dyDescent="0.2">
      <c r="A2251" s="40" t="s">
        <v>319</v>
      </c>
      <c r="B2251" s="28">
        <v>2986</v>
      </c>
      <c r="C2251" s="28">
        <v>5687038</v>
      </c>
      <c r="D2251" s="28"/>
      <c r="E2251" s="41">
        <v>46167</v>
      </c>
      <c r="F2251" s="47">
        <v>0.95429398148148148</v>
      </c>
      <c r="G2251" s="44">
        <v>6.3</v>
      </c>
      <c r="H2251" s="43" t="s">
        <v>228</v>
      </c>
      <c r="I2251" s="40" t="s">
        <v>1300</v>
      </c>
    </row>
    <row r="2252" spans="1:9" x14ac:dyDescent="0.2">
      <c r="A2252" s="40" t="s">
        <v>319</v>
      </c>
      <c r="B2252" s="28">
        <v>2986</v>
      </c>
      <c r="C2252" s="28">
        <v>5687038</v>
      </c>
      <c r="D2252" s="28"/>
      <c r="E2252" s="45">
        <v>46167</v>
      </c>
      <c r="F2252" s="48">
        <v>0.96141203703703704</v>
      </c>
      <c r="G2252" s="44">
        <v>6.3</v>
      </c>
      <c r="H2252" s="43" t="s">
        <v>229</v>
      </c>
      <c r="I2252" s="40" t="s">
        <v>1300</v>
      </c>
    </row>
    <row r="2253" spans="1:9" x14ac:dyDescent="0.2">
      <c r="A2253" s="40" t="s">
        <v>319</v>
      </c>
      <c r="B2253" s="28">
        <v>2986</v>
      </c>
      <c r="C2253" s="28">
        <v>5686875</v>
      </c>
      <c r="D2253" s="28"/>
      <c r="E2253" s="41">
        <v>46168</v>
      </c>
      <c r="F2253" s="47">
        <v>0.14396990740740739</v>
      </c>
      <c r="G2253" s="44">
        <v>6.3</v>
      </c>
      <c r="H2253" s="43" t="s">
        <v>230</v>
      </c>
      <c r="I2253" s="40" t="s">
        <v>1300</v>
      </c>
    </row>
    <row r="2254" spans="1:9" x14ac:dyDescent="0.2">
      <c r="A2254" s="40" t="s">
        <v>319</v>
      </c>
      <c r="B2254" s="28">
        <v>2986</v>
      </c>
      <c r="C2254" s="28">
        <v>5686875</v>
      </c>
      <c r="D2254" s="28"/>
      <c r="E2254" s="41">
        <v>46168</v>
      </c>
      <c r="F2254" s="47">
        <v>0.14887731481481481</v>
      </c>
      <c r="G2254" s="44">
        <v>6.3</v>
      </c>
      <c r="H2254" s="43" t="s">
        <v>227</v>
      </c>
      <c r="I2254" s="40" t="s">
        <v>1300</v>
      </c>
    </row>
    <row r="2255" spans="1:9" x14ac:dyDescent="0.2">
      <c r="A2255" s="40" t="s">
        <v>319</v>
      </c>
      <c r="B2255" s="28">
        <v>2979</v>
      </c>
      <c r="C2255" s="28">
        <v>5687442</v>
      </c>
      <c r="D2255" s="28" t="s">
        <v>37</v>
      </c>
      <c r="E2255" s="41">
        <v>46168</v>
      </c>
      <c r="F2255" s="47">
        <v>0.5978472222222222</v>
      </c>
      <c r="G2255" s="44">
        <v>6.3</v>
      </c>
      <c r="H2255" s="43" t="s">
        <v>230</v>
      </c>
      <c r="I2255" s="40" t="s">
        <v>1300</v>
      </c>
    </row>
    <row r="2256" spans="1:9" x14ac:dyDescent="0.2">
      <c r="A2256" s="40" t="s">
        <v>319</v>
      </c>
      <c r="B2256" s="28">
        <v>2979</v>
      </c>
      <c r="C2256" s="28">
        <v>5687442</v>
      </c>
      <c r="D2256" s="28" t="s">
        <v>37</v>
      </c>
      <c r="E2256" s="41">
        <v>46168</v>
      </c>
      <c r="F2256" s="47">
        <v>0.60409722222222217</v>
      </c>
      <c r="G2256" s="44">
        <v>6.3</v>
      </c>
      <c r="H2256" s="43" t="s">
        <v>227</v>
      </c>
      <c r="I2256" s="40" t="s">
        <v>1300</v>
      </c>
    </row>
    <row r="2257" spans="1:9" x14ac:dyDescent="0.2">
      <c r="A2257" s="40" t="s">
        <v>319</v>
      </c>
      <c r="B2257" s="28">
        <v>2986</v>
      </c>
      <c r="C2257" s="28">
        <v>5688317</v>
      </c>
      <c r="D2257" s="28"/>
      <c r="E2257" s="41">
        <v>46168</v>
      </c>
      <c r="F2257" s="47">
        <v>0.74178240740740742</v>
      </c>
      <c r="G2257" s="44">
        <v>6.3</v>
      </c>
      <c r="H2257" s="43" t="s">
        <v>228</v>
      </c>
      <c r="I2257" s="40" t="s">
        <v>1300</v>
      </c>
    </row>
    <row r="2258" spans="1:9" x14ac:dyDescent="0.2">
      <c r="A2258" s="40" t="s">
        <v>319</v>
      </c>
      <c r="B2258" s="28">
        <v>2986</v>
      </c>
      <c r="C2258" s="28">
        <v>5688317</v>
      </c>
      <c r="D2258" s="28"/>
      <c r="E2258" s="41">
        <v>46168</v>
      </c>
      <c r="F2258" s="47">
        <v>0.75930555555555557</v>
      </c>
      <c r="G2258" s="44">
        <v>6.3</v>
      </c>
      <c r="H2258" s="43" t="s">
        <v>229</v>
      </c>
      <c r="I2258" s="40" t="s">
        <v>1300</v>
      </c>
    </row>
    <row r="2259" spans="1:9" x14ac:dyDescent="0.2">
      <c r="A2259" s="40" t="s">
        <v>319</v>
      </c>
      <c r="B2259" s="28">
        <v>2986</v>
      </c>
      <c r="C2259" s="28">
        <v>5687503</v>
      </c>
      <c r="D2259" s="28" t="s">
        <v>36</v>
      </c>
      <c r="E2259" s="41">
        <v>46168</v>
      </c>
      <c r="F2259" s="47">
        <v>0.83968750000000003</v>
      </c>
      <c r="G2259" s="44">
        <v>6.3</v>
      </c>
      <c r="H2259" s="43" t="s">
        <v>226</v>
      </c>
      <c r="I2259" s="40" t="s">
        <v>1300</v>
      </c>
    </row>
    <row r="2260" spans="1:9" x14ac:dyDescent="0.2">
      <c r="A2260" s="40" t="s">
        <v>319</v>
      </c>
      <c r="B2260" s="28">
        <v>2986</v>
      </c>
      <c r="C2260" s="28">
        <v>5687503</v>
      </c>
      <c r="D2260" s="28" t="s">
        <v>36</v>
      </c>
      <c r="E2260" s="41">
        <v>46168</v>
      </c>
      <c r="F2260" s="47">
        <v>0.84875</v>
      </c>
      <c r="G2260" s="44">
        <v>6.3</v>
      </c>
      <c r="H2260" s="43" t="s">
        <v>227</v>
      </c>
      <c r="I2260" s="40" t="s">
        <v>1300</v>
      </c>
    </row>
    <row r="2261" spans="1:9" x14ac:dyDescent="0.2">
      <c r="A2261" s="40" t="s">
        <v>319</v>
      </c>
      <c r="B2261" s="28">
        <v>2986</v>
      </c>
      <c r="C2261" s="28">
        <v>5688969</v>
      </c>
      <c r="D2261" s="28"/>
      <c r="E2261" s="41">
        <v>46169</v>
      </c>
      <c r="F2261" s="47">
        <v>0.15561342592592592</v>
      </c>
      <c r="G2261" s="44">
        <v>6.3</v>
      </c>
      <c r="H2261" s="43" t="s">
        <v>226</v>
      </c>
      <c r="I2261" s="40" t="s">
        <v>1300</v>
      </c>
    </row>
    <row r="2262" spans="1:9" x14ac:dyDescent="0.2">
      <c r="A2262" s="40" t="s">
        <v>319</v>
      </c>
      <c r="B2262" s="28">
        <v>2986</v>
      </c>
      <c r="C2262" s="28">
        <v>5688969</v>
      </c>
      <c r="D2262" s="28"/>
      <c r="E2262" s="41">
        <v>46169</v>
      </c>
      <c r="F2262" s="47">
        <v>0.1605324074074074</v>
      </c>
      <c r="G2262" s="44">
        <v>6.3</v>
      </c>
      <c r="H2262" s="43" t="s">
        <v>227</v>
      </c>
      <c r="I2262" s="40" t="s">
        <v>1300</v>
      </c>
    </row>
    <row r="2263" spans="1:9" x14ac:dyDescent="0.2">
      <c r="A2263" s="40" t="s">
        <v>319</v>
      </c>
      <c r="B2263" s="28">
        <v>2979</v>
      </c>
      <c r="C2263" s="28">
        <v>5688773</v>
      </c>
      <c r="D2263" s="28"/>
      <c r="E2263" s="41">
        <v>46169</v>
      </c>
      <c r="F2263" s="47">
        <v>0.3454976851851852</v>
      </c>
      <c r="G2263" s="44">
        <v>6.3</v>
      </c>
      <c r="H2263" s="43" t="s">
        <v>228</v>
      </c>
      <c r="I2263" s="40" t="s">
        <v>1300</v>
      </c>
    </row>
    <row r="2264" spans="1:9" x14ac:dyDescent="0.2">
      <c r="A2264" s="40" t="s">
        <v>319</v>
      </c>
      <c r="B2264" s="28">
        <v>2979</v>
      </c>
      <c r="C2264" s="28">
        <v>5688773</v>
      </c>
      <c r="D2264" s="28"/>
      <c r="E2264" s="45">
        <v>46169</v>
      </c>
      <c r="F2264" s="48">
        <v>0.36262731481481481</v>
      </c>
      <c r="G2264" s="44">
        <v>6.3</v>
      </c>
      <c r="H2264" s="43" t="s">
        <v>229</v>
      </c>
      <c r="I2264" s="40" t="s">
        <v>1300</v>
      </c>
    </row>
    <row r="2265" spans="1:9" x14ac:dyDescent="0.2">
      <c r="A2265" s="40" t="s">
        <v>319</v>
      </c>
      <c r="B2265" s="28">
        <v>2979</v>
      </c>
      <c r="C2265" s="28">
        <v>5688621</v>
      </c>
      <c r="D2265" s="28"/>
      <c r="E2265" s="41">
        <v>46169</v>
      </c>
      <c r="F2265" s="47">
        <v>0.52119212962962957</v>
      </c>
      <c r="G2265" s="44">
        <v>6.3</v>
      </c>
      <c r="H2265" s="43" t="s">
        <v>230</v>
      </c>
      <c r="I2265" s="40" t="s">
        <v>1300</v>
      </c>
    </row>
    <row r="2266" spans="1:9" x14ac:dyDescent="0.2">
      <c r="A2266" s="40" t="s">
        <v>319</v>
      </c>
      <c r="B2266" s="28">
        <v>2979</v>
      </c>
      <c r="C2266" s="28">
        <v>5688621</v>
      </c>
      <c r="D2266" s="28"/>
      <c r="E2266" s="41">
        <v>46169</v>
      </c>
      <c r="F2266" s="47">
        <v>0.52737268518518521</v>
      </c>
      <c r="G2266" s="42">
        <v>6.3</v>
      </c>
      <c r="H2266" s="40" t="s">
        <v>227</v>
      </c>
      <c r="I2266" s="40" t="s">
        <v>1300</v>
      </c>
    </row>
    <row r="2267" spans="1:9" x14ac:dyDescent="0.2">
      <c r="A2267" s="40" t="s">
        <v>319</v>
      </c>
      <c r="B2267" s="28">
        <v>2979</v>
      </c>
      <c r="C2267" s="28">
        <v>5689460</v>
      </c>
      <c r="D2267" s="28"/>
      <c r="E2267" s="41">
        <v>46169</v>
      </c>
      <c r="F2267" s="47">
        <v>0.62633101851851847</v>
      </c>
      <c r="G2267" s="42">
        <v>6.3</v>
      </c>
      <c r="H2267" s="40" t="s">
        <v>229</v>
      </c>
      <c r="I2267" s="40" t="s">
        <v>1300</v>
      </c>
    </row>
    <row r="2268" spans="1:9" x14ac:dyDescent="0.2">
      <c r="A2268" s="40" t="s">
        <v>319</v>
      </c>
      <c r="B2268" s="28">
        <v>2979</v>
      </c>
      <c r="C2268" s="28" t="s">
        <v>35</v>
      </c>
      <c r="D2268" s="28" t="s">
        <v>38</v>
      </c>
      <c r="E2268" s="41">
        <v>46169</v>
      </c>
      <c r="F2268" s="47">
        <v>0.65238425925925925</v>
      </c>
      <c r="G2268" s="42">
        <v>6.3</v>
      </c>
      <c r="H2268" s="40" t="s">
        <v>230</v>
      </c>
      <c r="I2268" s="40" t="s">
        <v>1300</v>
      </c>
    </row>
    <row r="2269" spans="1:9" x14ac:dyDescent="0.2">
      <c r="A2269" s="40" t="s">
        <v>319</v>
      </c>
      <c r="B2269" s="28">
        <v>2979</v>
      </c>
      <c r="C2269" s="28" t="s">
        <v>35</v>
      </c>
      <c r="D2269" s="28" t="s">
        <v>38</v>
      </c>
      <c r="E2269" s="45">
        <v>46169</v>
      </c>
      <c r="F2269" s="48">
        <v>0.65869212962962964</v>
      </c>
      <c r="G2269" s="42">
        <v>6.3</v>
      </c>
      <c r="H2269" s="40" t="s">
        <v>227</v>
      </c>
      <c r="I2269" s="40" t="s">
        <v>1300</v>
      </c>
    </row>
    <row r="2270" spans="1:9" x14ac:dyDescent="0.2">
      <c r="A2270" s="40" t="s">
        <v>319</v>
      </c>
      <c r="B2270" s="28">
        <v>2986</v>
      </c>
      <c r="C2270" s="28">
        <v>5690262</v>
      </c>
      <c r="D2270" s="28"/>
      <c r="E2270" s="41">
        <v>46169</v>
      </c>
      <c r="F2270" s="47">
        <v>0.78087962962962965</v>
      </c>
      <c r="G2270" s="44">
        <v>6.3</v>
      </c>
      <c r="H2270" s="43" t="s">
        <v>228</v>
      </c>
      <c r="I2270" s="40" t="s">
        <v>1300</v>
      </c>
    </row>
    <row r="2271" spans="1:9" x14ac:dyDescent="0.2">
      <c r="A2271" s="40" t="s">
        <v>319</v>
      </c>
      <c r="B2271" s="28">
        <v>2986</v>
      </c>
      <c r="C2271" s="28">
        <v>5690262</v>
      </c>
      <c r="D2271" s="28"/>
      <c r="E2271" s="41">
        <v>46169</v>
      </c>
      <c r="F2271" s="47">
        <v>0.79101851851851857</v>
      </c>
      <c r="G2271" s="44">
        <v>6.3</v>
      </c>
      <c r="H2271" s="43" t="s">
        <v>229</v>
      </c>
      <c r="I2271" s="40" t="s">
        <v>1300</v>
      </c>
    </row>
    <row r="2272" spans="1:9" x14ac:dyDescent="0.2">
      <c r="A2272" s="40" t="s">
        <v>319</v>
      </c>
      <c r="B2272" s="28">
        <v>2986</v>
      </c>
      <c r="C2272" s="28">
        <v>5689772</v>
      </c>
      <c r="D2272" s="28"/>
      <c r="E2272" s="41">
        <v>46169</v>
      </c>
      <c r="F2272" s="47">
        <v>0.88146990740740738</v>
      </c>
      <c r="G2272" s="44">
        <v>6.3</v>
      </c>
      <c r="H2272" s="43" t="s">
        <v>230</v>
      </c>
      <c r="I2272" s="40" t="s">
        <v>1300</v>
      </c>
    </row>
    <row r="2273" spans="1:9" x14ac:dyDescent="0.2">
      <c r="A2273" s="40" t="s">
        <v>319</v>
      </c>
      <c r="B2273" s="28">
        <v>2986</v>
      </c>
      <c r="C2273" s="28">
        <v>5689772</v>
      </c>
      <c r="D2273" s="28"/>
      <c r="E2273" s="41">
        <v>46169</v>
      </c>
      <c r="F2273" s="47">
        <v>0.8872106481481481</v>
      </c>
      <c r="G2273" s="44">
        <v>6.3</v>
      </c>
      <c r="H2273" s="43" t="s">
        <v>227</v>
      </c>
      <c r="I2273" s="40" t="s">
        <v>1300</v>
      </c>
    </row>
    <row r="2274" spans="1:9" x14ac:dyDescent="0.2">
      <c r="A2274" s="40" t="s">
        <v>319</v>
      </c>
      <c r="B2274" s="28">
        <v>2979</v>
      </c>
      <c r="C2274" s="28">
        <v>5691099</v>
      </c>
      <c r="D2274" s="28"/>
      <c r="E2274" s="41">
        <v>46170</v>
      </c>
      <c r="F2274" s="47">
        <v>0.54143518518518519</v>
      </c>
      <c r="G2274" s="44">
        <v>6.3</v>
      </c>
      <c r="H2274" s="43" t="s">
        <v>230</v>
      </c>
      <c r="I2274" s="40" t="s">
        <v>1300</v>
      </c>
    </row>
    <row r="2275" spans="1:9" x14ac:dyDescent="0.2">
      <c r="A2275" s="40" t="s">
        <v>319</v>
      </c>
      <c r="B2275" s="28">
        <v>2979</v>
      </c>
      <c r="C2275" s="28">
        <v>5691099</v>
      </c>
      <c r="D2275" s="28"/>
      <c r="E2275" s="41">
        <v>46170</v>
      </c>
      <c r="F2275" s="47">
        <v>0.54690972222222223</v>
      </c>
      <c r="G2275" s="44">
        <v>6.3</v>
      </c>
      <c r="H2275" s="43" t="s">
        <v>227</v>
      </c>
      <c r="I2275" s="40" t="s">
        <v>1300</v>
      </c>
    </row>
    <row r="2276" spans="1:9" x14ac:dyDescent="0.2">
      <c r="A2276" s="40" t="s">
        <v>319</v>
      </c>
      <c r="B2276" s="28">
        <v>2986</v>
      </c>
      <c r="C2276" s="28">
        <v>5691009</v>
      </c>
      <c r="D2276" s="28"/>
      <c r="E2276" s="41">
        <v>46170</v>
      </c>
      <c r="F2276" s="47">
        <v>0.77888888888888885</v>
      </c>
      <c r="G2276" s="44">
        <v>6.3</v>
      </c>
      <c r="H2276" s="43" t="s">
        <v>228</v>
      </c>
      <c r="I2276" s="40" t="s">
        <v>1300</v>
      </c>
    </row>
    <row r="2277" spans="1:9" x14ac:dyDescent="0.2">
      <c r="A2277" s="40" t="s">
        <v>319</v>
      </c>
      <c r="B2277" s="28">
        <v>2986</v>
      </c>
      <c r="C2277" s="28">
        <v>5691009</v>
      </c>
      <c r="D2277" s="28"/>
      <c r="E2277" s="41">
        <v>46170</v>
      </c>
      <c r="F2277" s="47">
        <v>0.79274305555555558</v>
      </c>
      <c r="G2277" s="44">
        <v>6.3</v>
      </c>
      <c r="H2277" s="43" t="s">
        <v>229</v>
      </c>
      <c r="I2277" s="40" t="s">
        <v>1300</v>
      </c>
    </row>
    <row r="2278" spans="1:9" x14ac:dyDescent="0.2">
      <c r="A2278" s="40" t="s">
        <v>319</v>
      </c>
      <c r="B2278" s="28">
        <v>2979</v>
      </c>
      <c r="C2278" s="28">
        <v>5692663</v>
      </c>
      <c r="D2278" s="28"/>
      <c r="E2278" s="41">
        <v>46171</v>
      </c>
      <c r="F2278" s="47">
        <v>0.31493055555555555</v>
      </c>
      <c r="G2278" s="44">
        <v>6.3</v>
      </c>
      <c r="H2278" s="43" t="s">
        <v>228</v>
      </c>
      <c r="I2278" s="40" t="s">
        <v>1300</v>
      </c>
    </row>
    <row r="2279" spans="1:9" x14ac:dyDescent="0.2">
      <c r="A2279" s="40" t="s">
        <v>319</v>
      </c>
      <c r="B2279" s="28">
        <v>2979</v>
      </c>
      <c r="C2279" s="28">
        <v>5692663</v>
      </c>
      <c r="D2279" s="28"/>
      <c r="E2279" s="45">
        <v>46171</v>
      </c>
      <c r="F2279" s="48">
        <v>0.32653935185185184</v>
      </c>
      <c r="G2279" s="44">
        <v>6.3</v>
      </c>
      <c r="H2279" s="43" t="s">
        <v>229</v>
      </c>
      <c r="I2279" s="40" t="s">
        <v>1300</v>
      </c>
    </row>
    <row r="2280" spans="1:9" x14ac:dyDescent="0.2">
      <c r="A2280" s="40" t="s">
        <v>319</v>
      </c>
      <c r="B2280" s="28">
        <v>2979</v>
      </c>
      <c r="C2280" s="28">
        <v>5692083</v>
      </c>
      <c r="D2280" s="28" t="s">
        <v>37</v>
      </c>
      <c r="E2280" s="41">
        <v>46171</v>
      </c>
      <c r="F2280" s="47">
        <v>0.40763888888888888</v>
      </c>
      <c r="G2280" s="44">
        <v>6.3</v>
      </c>
      <c r="H2280" s="43" t="s">
        <v>231</v>
      </c>
      <c r="I2280" s="40" t="s">
        <v>1300</v>
      </c>
    </row>
    <row r="2281" spans="1:9" x14ac:dyDescent="0.2">
      <c r="A2281" s="40" t="s">
        <v>319</v>
      </c>
      <c r="B2281" s="28">
        <v>2979</v>
      </c>
      <c r="C2281" s="28">
        <v>5692083</v>
      </c>
      <c r="D2281" s="28" t="s">
        <v>37</v>
      </c>
      <c r="E2281" s="45">
        <v>46171</v>
      </c>
      <c r="F2281" s="48">
        <v>0.41910879629629627</v>
      </c>
      <c r="G2281" s="44">
        <v>6.3</v>
      </c>
      <c r="H2281" s="43" t="s">
        <v>227</v>
      </c>
      <c r="I2281" s="40" t="s">
        <v>1300</v>
      </c>
    </row>
    <row r="2282" spans="1:9" x14ac:dyDescent="0.2">
      <c r="A2282" s="40" t="s">
        <v>319</v>
      </c>
      <c r="B2282" s="28">
        <v>2979</v>
      </c>
      <c r="C2282" s="28">
        <v>5692491</v>
      </c>
      <c r="D2282" s="28"/>
      <c r="E2282" s="41">
        <v>46171</v>
      </c>
      <c r="F2282" s="47">
        <v>0.58082175925925927</v>
      </c>
      <c r="G2282" s="44">
        <v>6.3</v>
      </c>
      <c r="H2282" s="43" t="s">
        <v>230</v>
      </c>
      <c r="I2282" s="40" t="s">
        <v>1300</v>
      </c>
    </row>
    <row r="2283" spans="1:9" x14ac:dyDescent="0.2">
      <c r="A2283" s="40" t="s">
        <v>319</v>
      </c>
      <c r="B2283" s="28">
        <v>2979</v>
      </c>
      <c r="C2283" s="28">
        <v>5692491</v>
      </c>
      <c r="D2283" s="28"/>
      <c r="E2283" s="41">
        <v>46171</v>
      </c>
      <c r="F2283" s="47">
        <v>0.59668981481481487</v>
      </c>
      <c r="G2283" s="44">
        <v>6.3</v>
      </c>
      <c r="H2283" s="43" t="s">
        <v>227</v>
      </c>
      <c r="I2283" s="40" t="s">
        <v>1300</v>
      </c>
    </row>
    <row r="2284" spans="1:9" x14ac:dyDescent="0.2">
      <c r="A2284" s="40" t="s">
        <v>319</v>
      </c>
      <c r="B2284" s="28">
        <v>2979</v>
      </c>
      <c r="C2284" s="28">
        <v>5694469</v>
      </c>
      <c r="D2284" s="28" t="s">
        <v>37</v>
      </c>
      <c r="E2284" s="41">
        <v>46173</v>
      </c>
      <c r="F2284" s="47">
        <v>0.35105324074074074</v>
      </c>
      <c r="G2284" s="44">
        <v>6.3</v>
      </c>
      <c r="H2284" s="43" t="s">
        <v>227</v>
      </c>
      <c r="I2284" s="40" t="s">
        <v>1300</v>
      </c>
    </row>
    <row r="2285" spans="1:9" x14ac:dyDescent="0.2">
      <c r="A2285" s="40" t="s">
        <v>319</v>
      </c>
      <c r="B2285" s="28">
        <v>2979</v>
      </c>
      <c r="C2285" s="28">
        <v>5688410</v>
      </c>
      <c r="D2285" s="28"/>
      <c r="E2285" s="41">
        <v>46173</v>
      </c>
      <c r="F2285" s="47">
        <v>0.45810185185185187</v>
      </c>
      <c r="G2285" s="44">
        <v>6.3</v>
      </c>
      <c r="H2285" s="43" t="s">
        <v>227</v>
      </c>
      <c r="I2285" s="40" t="s">
        <v>1300</v>
      </c>
    </row>
    <row r="2286" spans="1:9" x14ac:dyDescent="0.2">
      <c r="A2286" s="40" t="s">
        <v>319</v>
      </c>
      <c r="B2286" s="28">
        <v>2979</v>
      </c>
      <c r="C2286" s="28">
        <v>5695938</v>
      </c>
      <c r="D2286" s="28"/>
      <c r="E2286" s="45">
        <v>46173</v>
      </c>
      <c r="F2286" s="48">
        <v>0.61675925925925923</v>
      </c>
      <c r="G2286" s="42">
        <v>6.3</v>
      </c>
      <c r="H2286" s="40" t="s">
        <v>228</v>
      </c>
      <c r="I2286" s="40" t="s">
        <v>1300</v>
      </c>
    </row>
    <row r="2287" spans="1:9" x14ac:dyDescent="0.2">
      <c r="A2287" s="40" t="s">
        <v>319</v>
      </c>
      <c r="B2287" s="28">
        <v>2979</v>
      </c>
      <c r="C2287" s="28" t="s">
        <v>35</v>
      </c>
      <c r="D2287" s="28" t="s">
        <v>38</v>
      </c>
      <c r="E2287" s="45">
        <v>46173</v>
      </c>
      <c r="F2287" s="48">
        <v>0.64684027777777775</v>
      </c>
      <c r="G2287" s="42">
        <v>6.3</v>
      </c>
      <c r="H2287" s="40" t="s">
        <v>227</v>
      </c>
      <c r="I2287" s="40" t="s">
        <v>1300</v>
      </c>
    </row>
    <row r="2288" spans="1:9" x14ac:dyDescent="0.2">
      <c r="A2288" s="40" t="s">
        <v>319</v>
      </c>
      <c r="B2288" s="28">
        <v>2986</v>
      </c>
      <c r="C2288" s="28">
        <v>5695709</v>
      </c>
      <c r="D2288" s="28"/>
      <c r="E2288" s="45">
        <v>46173</v>
      </c>
      <c r="F2288" s="48">
        <v>0.8900231481481482</v>
      </c>
      <c r="G2288" s="44">
        <v>6.3</v>
      </c>
      <c r="H2288" s="43" t="s">
        <v>228</v>
      </c>
      <c r="I2288" s="40" t="s">
        <v>1300</v>
      </c>
    </row>
    <row r="2289" spans="1:9" x14ac:dyDescent="0.2">
      <c r="A2289" s="40" t="s">
        <v>239</v>
      </c>
      <c r="B2289" s="28">
        <v>4223</v>
      </c>
      <c r="C2289" s="28" t="s">
        <v>35</v>
      </c>
      <c r="D2289" s="28" t="s">
        <v>38</v>
      </c>
      <c r="E2289" s="41">
        <v>46167</v>
      </c>
      <c r="F2289" s="47">
        <v>0.96731481481481485</v>
      </c>
      <c r="G2289" s="44">
        <v>6.3</v>
      </c>
      <c r="H2289" s="43" t="s">
        <v>228</v>
      </c>
      <c r="I2289" s="40" t="s">
        <v>1300</v>
      </c>
    </row>
    <row r="2290" spans="1:9" x14ac:dyDescent="0.2">
      <c r="A2290" s="40" t="s">
        <v>239</v>
      </c>
      <c r="B2290" s="28">
        <v>4223</v>
      </c>
      <c r="C2290" s="28" t="s">
        <v>35</v>
      </c>
      <c r="D2290" s="28" t="s">
        <v>38</v>
      </c>
      <c r="E2290" s="45">
        <v>46167</v>
      </c>
      <c r="F2290" s="48">
        <v>0.9762615740740741</v>
      </c>
      <c r="G2290" s="44">
        <v>6.3</v>
      </c>
      <c r="H2290" s="43" t="s">
        <v>229</v>
      </c>
      <c r="I2290" s="40" t="s">
        <v>1300</v>
      </c>
    </row>
    <row r="2291" spans="1:9" x14ac:dyDescent="0.2">
      <c r="A2291" s="40" t="s">
        <v>239</v>
      </c>
      <c r="B2291" s="28">
        <v>4223</v>
      </c>
      <c r="C2291" s="28" t="s">
        <v>35</v>
      </c>
      <c r="D2291" s="28" t="s">
        <v>38</v>
      </c>
      <c r="E2291" s="41">
        <v>46168</v>
      </c>
      <c r="F2291" s="47">
        <v>8.700231481481481E-2</v>
      </c>
      <c r="G2291" s="44">
        <v>6.3</v>
      </c>
      <c r="H2291" s="43" t="s">
        <v>231</v>
      </c>
      <c r="I2291" s="40" t="s">
        <v>1300</v>
      </c>
    </row>
    <row r="2292" spans="1:9" x14ac:dyDescent="0.2">
      <c r="A2292" s="40" t="s">
        <v>239</v>
      </c>
      <c r="B2292" s="28">
        <v>4223</v>
      </c>
      <c r="C2292" s="28" t="s">
        <v>35</v>
      </c>
      <c r="D2292" s="28" t="s">
        <v>38</v>
      </c>
      <c r="E2292" s="45">
        <v>46168</v>
      </c>
      <c r="F2292" s="48">
        <v>9.1874999999999998E-2</v>
      </c>
      <c r="G2292" s="44">
        <v>6.3</v>
      </c>
      <c r="H2292" s="43" t="s">
        <v>227</v>
      </c>
      <c r="I2292" s="40" t="s">
        <v>1300</v>
      </c>
    </row>
    <row r="2293" spans="1:9" x14ac:dyDescent="0.2">
      <c r="A2293" s="40" t="s">
        <v>239</v>
      </c>
      <c r="B2293" s="28">
        <v>4223</v>
      </c>
      <c r="C2293" s="28" t="s">
        <v>35</v>
      </c>
      <c r="D2293" s="28" t="s">
        <v>38</v>
      </c>
      <c r="E2293" s="41">
        <v>46168</v>
      </c>
      <c r="F2293" s="47">
        <v>0.92075231481481479</v>
      </c>
      <c r="G2293" s="44">
        <v>6.3</v>
      </c>
      <c r="H2293" s="43" t="s">
        <v>226</v>
      </c>
      <c r="I2293" s="40" t="s">
        <v>1300</v>
      </c>
    </row>
    <row r="2294" spans="1:9" x14ac:dyDescent="0.2">
      <c r="A2294" s="40" t="s">
        <v>239</v>
      </c>
      <c r="B2294" s="28">
        <v>4223</v>
      </c>
      <c r="C2294" s="28" t="s">
        <v>35</v>
      </c>
      <c r="D2294" s="28" t="s">
        <v>38</v>
      </c>
      <c r="E2294" s="45">
        <v>46168</v>
      </c>
      <c r="F2294" s="48">
        <v>0.92622685185185183</v>
      </c>
      <c r="G2294" s="44">
        <v>6.3</v>
      </c>
      <c r="H2294" s="43" t="s">
        <v>227</v>
      </c>
      <c r="I2294" s="40" t="s">
        <v>1300</v>
      </c>
    </row>
    <row r="2295" spans="1:9" x14ac:dyDescent="0.2">
      <c r="A2295" s="40" t="s">
        <v>239</v>
      </c>
      <c r="B2295" s="28">
        <v>4223</v>
      </c>
      <c r="C2295" s="28" t="s">
        <v>35</v>
      </c>
      <c r="D2295" s="28" t="s">
        <v>38</v>
      </c>
      <c r="E2295" s="41">
        <v>46169</v>
      </c>
      <c r="F2295" s="47">
        <v>0.17986111111111111</v>
      </c>
      <c r="G2295" s="44">
        <v>6.3</v>
      </c>
      <c r="H2295" s="43" t="s">
        <v>230</v>
      </c>
      <c r="I2295" s="40" t="s">
        <v>1300</v>
      </c>
    </row>
    <row r="2296" spans="1:9" x14ac:dyDescent="0.2">
      <c r="A2296" s="40" t="s">
        <v>239</v>
      </c>
      <c r="B2296" s="28">
        <v>4223</v>
      </c>
      <c r="C2296" s="28" t="s">
        <v>35</v>
      </c>
      <c r="D2296" s="28" t="s">
        <v>38</v>
      </c>
      <c r="E2296" s="41">
        <v>46169</v>
      </c>
      <c r="F2296" s="47">
        <v>0.18578703703703703</v>
      </c>
      <c r="G2296" s="42">
        <v>6.3</v>
      </c>
      <c r="H2296" s="40" t="s">
        <v>227</v>
      </c>
      <c r="I2296" s="40" t="s">
        <v>1300</v>
      </c>
    </row>
    <row r="2297" spans="1:9" x14ac:dyDescent="0.2">
      <c r="A2297" s="40" t="s">
        <v>239</v>
      </c>
      <c r="B2297" s="28">
        <v>4223</v>
      </c>
      <c r="C2297" s="28" t="s">
        <v>35</v>
      </c>
      <c r="D2297" s="28" t="s">
        <v>38</v>
      </c>
      <c r="E2297" s="41">
        <v>46169</v>
      </c>
      <c r="F2297" s="47">
        <v>0.8817476851851852</v>
      </c>
      <c r="G2297" s="42">
        <v>6.3</v>
      </c>
      <c r="H2297" s="40" t="s">
        <v>230</v>
      </c>
      <c r="I2297" s="40" t="s">
        <v>1300</v>
      </c>
    </row>
    <row r="2298" spans="1:9" x14ac:dyDescent="0.2">
      <c r="A2298" s="40" t="s">
        <v>239</v>
      </c>
      <c r="B2298" s="28">
        <v>4223</v>
      </c>
      <c r="C2298" s="28" t="s">
        <v>35</v>
      </c>
      <c r="D2298" s="28" t="s">
        <v>38</v>
      </c>
      <c r="E2298" s="45">
        <v>46170</v>
      </c>
      <c r="F2298" s="48">
        <v>0.19465277777777779</v>
      </c>
      <c r="G2298" s="44">
        <v>6.3</v>
      </c>
      <c r="H2298" s="43" t="s">
        <v>230</v>
      </c>
      <c r="I2298" s="40" t="s">
        <v>1300</v>
      </c>
    </row>
    <row r="2299" spans="1:9" x14ac:dyDescent="0.2">
      <c r="A2299" s="40" t="s">
        <v>239</v>
      </c>
      <c r="B2299" s="28">
        <v>4223</v>
      </c>
      <c r="C2299" s="28" t="s">
        <v>35</v>
      </c>
      <c r="D2299" s="28" t="s">
        <v>38</v>
      </c>
      <c r="E2299" s="41">
        <v>46170</v>
      </c>
      <c r="F2299" s="47">
        <v>0.20021990740740742</v>
      </c>
      <c r="G2299" s="44">
        <v>6.3</v>
      </c>
      <c r="H2299" s="43" t="s">
        <v>227</v>
      </c>
      <c r="I2299" s="40" t="s">
        <v>1300</v>
      </c>
    </row>
    <row r="2300" spans="1:9" x14ac:dyDescent="0.2">
      <c r="A2300" s="40" t="s">
        <v>239</v>
      </c>
      <c r="B2300" s="28">
        <v>2980</v>
      </c>
      <c r="C2300" s="28">
        <v>5690973</v>
      </c>
      <c r="D2300" s="28" t="s">
        <v>37</v>
      </c>
      <c r="E2300" s="41">
        <v>46170</v>
      </c>
      <c r="F2300" s="47">
        <v>0.55164351851851856</v>
      </c>
      <c r="G2300" s="44">
        <v>6.3</v>
      </c>
      <c r="H2300" s="43" t="s">
        <v>230</v>
      </c>
      <c r="I2300" s="40" t="s">
        <v>1300</v>
      </c>
    </row>
    <row r="2301" spans="1:9" x14ac:dyDescent="0.2">
      <c r="A2301" s="40" t="s">
        <v>239</v>
      </c>
      <c r="B2301" s="28">
        <v>2980</v>
      </c>
      <c r="C2301" s="28">
        <v>5690973</v>
      </c>
      <c r="D2301" s="28" t="s">
        <v>37</v>
      </c>
      <c r="E2301" s="41">
        <v>46170</v>
      </c>
      <c r="F2301" s="47">
        <v>0.55805555555555553</v>
      </c>
      <c r="G2301" s="44">
        <v>6.3</v>
      </c>
      <c r="H2301" s="43" t="s">
        <v>227</v>
      </c>
      <c r="I2301" s="40" t="s">
        <v>1300</v>
      </c>
    </row>
    <row r="2302" spans="1:9" x14ac:dyDescent="0.2">
      <c r="A2302" s="40" t="s">
        <v>239</v>
      </c>
      <c r="B2302" s="28">
        <v>2980</v>
      </c>
      <c r="C2302" s="28">
        <v>5691607</v>
      </c>
      <c r="D2302" s="28"/>
      <c r="E2302" s="41">
        <v>46170</v>
      </c>
      <c r="F2302" s="47">
        <v>0.61589120370370365</v>
      </c>
      <c r="G2302" s="44">
        <v>6.3</v>
      </c>
      <c r="H2302" s="43" t="s">
        <v>228</v>
      </c>
      <c r="I2302" s="40" t="s">
        <v>1300</v>
      </c>
    </row>
    <row r="2303" spans="1:9" x14ac:dyDescent="0.2">
      <c r="A2303" s="40" t="s">
        <v>239</v>
      </c>
      <c r="B2303" s="28">
        <v>2980</v>
      </c>
      <c r="C2303" s="28">
        <v>5691607</v>
      </c>
      <c r="D2303" s="28"/>
      <c r="E2303" s="41">
        <v>46170</v>
      </c>
      <c r="F2303" s="47">
        <v>0.63450231481481478</v>
      </c>
      <c r="G2303" s="44">
        <v>6.3</v>
      </c>
      <c r="H2303" s="43" t="s">
        <v>232</v>
      </c>
      <c r="I2303" s="40" t="s">
        <v>1300</v>
      </c>
    </row>
    <row r="2304" spans="1:9" x14ac:dyDescent="0.2">
      <c r="A2304" s="40" t="s">
        <v>239</v>
      </c>
      <c r="B2304" s="28">
        <v>2980</v>
      </c>
      <c r="C2304" s="28">
        <v>5691676</v>
      </c>
      <c r="D2304" s="28" t="s">
        <v>37</v>
      </c>
      <c r="E2304" s="41">
        <v>46170</v>
      </c>
      <c r="F2304" s="47">
        <v>0.68811342592592595</v>
      </c>
      <c r="G2304" s="44">
        <v>6.3</v>
      </c>
      <c r="H2304" s="43" t="s">
        <v>230</v>
      </c>
      <c r="I2304" s="40" t="s">
        <v>1300</v>
      </c>
    </row>
    <row r="2305" spans="1:9" x14ac:dyDescent="0.2">
      <c r="A2305" s="40" t="s">
        <v>239</v>
      </c>
      <c r="B2305" s="28">
        <v>2980</v>
      </c>
      <c r="C2305" s="28">
        <v>5691676</v>
      </c>
      <c r="D2305" s="28" t="s">
        <v>37</v>
      </c>
      <c r="E2305" s="41">
        <v>46170</v>
      </c>
      <c r="F2305" s="47">
        <v>0.6993287037037037</v>
      </c>
      <c r="G2305" s="44">
        <v>6.3</v>
      </c>
      <c r="H2305" s="43" t="s">
        <v>227</v>
      </c>
      <c r="I2305" s="40" t="s">
        <v>1300</v>
      </c>
    </row>
    <row r="2306" spans="1:9" x14ac:dyDescent="0.2">
      <c r="A2306" s="40" t="s">
        <v>239</v>
      </c>
      <c r="B2306" s="28">
        <v>4223</v>
      </c>
      <c r="C2306" s="28" t="s">
        <v>35</v>
      </c>
      <c r="D2306" s="28" t="s">
        <v>38</v>
      </c>
      <c r="E2306" s="41">
        <v>46170</v>
      </c>
      <c r="F2306" s="47">
        <v>0.99131944444444442</v>
      </c>
      <c r="G2306" s="42">
        <v>6.3</v>
      </c>
      <c r="H2306" s="40" t="s">
        <v>228</v>
      </c>
      <c r="I2306" s="40" t="s">
        <v>1300</v>
      </c>
    </row>
    <row r="2307" spans="1:9" x14ac:dyDescent="0.2">
      <c r="A2307" s="40" t="s">
        <v>239</v>
      </c>
      <c r="B2307" s="28">
        <v>4223</v>
      </c>
      <c r="C2307" s="28" t="s">
        <v>35</v>
      </c>
      <c r="D2307" s="28" t="s">
        <v>38</v>
      </c>
      <c r="E2307" s="41">
        <v>46170</v>
      </c>
      <c r="F2307" s="47">
        <v>0.99883101851851852</v>
      </c>
      <c r="G2307" s="42">
        <v>6.3</v>
      </c>
      <c r="H2307" s="40" t="s">
        <v>232</v>
      </c>
      <c r="I2307" s="40" t="s">
        <v>1300</v>
      </c>
    </row>
    <row r="2308" spans="1:9" x14ac:dyDescent="0.2">
      <c r="A2308" s="40" t="s">
        <v>239</v>
      </c>
      <c r="B2308" s="28">
        <v>2980</v>
      </c>
      <c r="C2308" s="28">
        <v>5692873</v>
      </c>
      <c r="D2308" s="28"/>
      <c r="E2308" s="41">
        <v>46171</v>
      </c>
      <c r="F2308" s="47">
        <v>0.57649305555555552</v>
      </c>
      <c r="G2308" s="42">
        <v>6.3</v>
      </c>
      <c r="H2308" s="40" t="s">
        <v>230</v>
      </c>
      <c r="I2308" s="40" t="s">
        <v>1300</v>
      </c>
    </row>
    <row r="2309" spans="1:9" x14ac:dyDescent="0.2">
      <c r="A2309" s="40" t="s">
        <v>239</v>
      </c>
      <c r="B2309" s="28">
        <v>2980</v>
      </c>
      <c r="C2309" s="28">
        <v>5678480</v>
      </c>
      <c r="D2309" s="28"/>
      <c r="E2309" s="41">
        <v>46172</v>
      </c>
      <c r="F2309" s="47">
        <v>0.57568287037037036</v>
      </c>
      <c r="G2309" s="44">
        <v>6.3</v>
      </c>
      <c r="H2309" s="43" t="s">
        <v>228</v>
      </c>
      <c r="I2309" s="40" t="s">
        <v>1300</v>
      </c>
    </row>
    <row r="2310" spans="1:9" x14ac:dyDescent="0.2">
      <c r="A2310" s="40" t="s">
        <v>239</v>
      </c>
      <c r="B2310" s="28">
        <v>2980</v>
      </c>
      <c r="C2310" s="28">
        <v>5678480</v>
      </c>
      <c r="D2310" s="28"/>
      <c r="E2310" s="41">
        <v>46172</v>
      </c>
      <c r="F2310" s="47">
        <v>0.58540509259259255</v>
      </c>
      <c r="G2310" s="44">
        <v>6.3</v>
      </c>
      <c r="H2310" s="43" t="s">
        <v>229</v>
      </c>
      <c r="I2310" s="40" t="s">
        <v>1300</v>
      </c>
    </row>
    <row r="2311" spans="1:9" x14ac:dyDescent="0.2">
      <c r="A2311" s="40" t="s">
        <v>239</v>
      </c>
      <c r="B2311" s="28">
        <v>2980</v>
      </c>
      <c r="C2311" s="28">
        <v>5694613</v>
      </c>
      <c r="D2311" s="28" t="s">
        <v>37</v>
      </c>
      <c r="E2311" s="41">
        <v>46172</v>
      </c>
      <c r="F2311" s="47">
        <v>0.6633796296296296</v>
      </c>
      <c r="G2311" s="44">
        <v>6.3</v>
      </c>
      <c r="H2311" s="43" t="s">
        <v>231</v>
      </c>
      <c r="I2311" s="40" t="s">
        <v>1300</v>
      </c>
    </row>
    <row r="2312" spans="1:9" x14ac:dyDescent="0.2">
      <c r="A2312" s="40" t="s">
        <v>239</v>
      </c>
      <c r="B2312" s="28">
        <v>2980</v>
      </c>
      <c r="C2312" s="28">
        <v>5694613</v>
      </c>
      <c r="D2312" s="28" t="s">
        <v>37</v>
      </c>
      <c r="E2312" s="41">
        <v>46172</v>
      </c>
      <c r="F2312" s="47">
        <v>0.68599537037037039</v>
      </c>
      <c r="G2312" s="44">
        <v>6.3</v>
      </c>
      <c r="H2312" s="43" t="s">
        <v>227</v>
      </c>
      <c r="I2312" s="40" t="s">
        <v>1300</v>
      </c>
    </row>
    <row r="2313" spans="1:9" x14ac:dyDescent="0.2">
      <c r="A2313" s="40" t="s">
        <v>238</v>
      </c>
      <c r="B2313" s="28">
        <v>2983</v>
      </c>
      <c r="C2313" s="28">
        <v>5689890</v>
      </c>
      <c r="D2313" s="28"/>
      <c r="E2313" s="41">
        <v>46169</v>
      </c>
      <c r="F2313" s="47">
        <v>0.63563657407407403</v>
      </c>
      <c r="G2313" s="44">
        <v>6.3</v>
      </c>
      <c r="H2313" s="43" t="s">
        <v>228</v>
      </c>
      <c r="I2313" s="40" t="s">
        <v>1300</v>
      </c>
    </row>
    <row r="2314" spans="1:9" x14ac:dyDescent="0.2">
      <c r="A2314" s="40" t="s">
        <v>238</v>
      </c>
      <c r="B2314" s="28">
        <v>2983</v>
      </c>
      <c r="C2314" s="28">
        <v>5689890</v>
      </c>
      <c r="D2314" s="28"/>
      <c r="E2314" s="41">
        <v>46169</v>
      </c>
      <c r="F2314" s="47">
        <v>0.64754629629629634</v>
      </c>
      <c r="G2314" s="44">
        <v>6.3</v>
      </c>
      <c r="H2314" s="43" t="s">
        <v>229</v>
      </c>
      <c r="I2314" s="40" t="s">
        <v>1300</v>
      </c>
    </row>
    <row r="2315" spans="1:9" x14ac:dyDescent="0.2">
      <c r="A2315" s="40" t="s">
        <v>238</v>
      </c>
      <c r="B2315" s="28">
        <v>2983</v>
      </c>
      <c r="C2315" s="28">
        <v>5687564</v>
      </c>
      <c r="D2315" s="28"/>
      <c r="E2315" s="41">
        <v>46169</v>
      </c>
      <c r="F2315" s="47">
        <v>0.72546296296296298</v>
      </c>
      <c r="G2315" s="44">
        <v>6.3</v>
      </c>
      <c r="H2315" s="43" t="s">
        <v>230</v>
      </c>
      <c r="I2315" s="40" t="s">
        <v>1300</v>
      </c>
    </row>
    <row r="2316" spans="1:9" x14ac:dyDescent="0.2">
      <c r="A2316" s="40" t="s">
        <v>238</v>
      </c>
      <c r="B2316" s="28">
        <v>2983</v>
      </c>
      <c r="C2316" s="28">
        <v>5687564</v>
      </c>
      <c r="D2316" s="28"/>
      <c r="E2316" s="41">
        <v>46169</v>
      </c>
      <c r="F2316" s="47">
        <v>0.73924768518518513</v>
      </c>
      <c r="G2316" s="44">
        <v>6.3</v>
      </c>
      <c r="H2316" s="43" t="s">
        <v>227</v>
      </c>
      <c r="I2316" s="40" t="s">
        <v>1300</v>
      </c>
    </row>
    <row r="2317" spans="1:9" x14ac:dyDescent="0.2">
      <c r="A2317" s="40" t="s">
        <v>238</v>
      </c>
      <c r="B2317" s="28">
        <v>4217</v>
      </c>
      <c r="C2317" s="28">
        <v>5692271</v>
      </c>
      <c r="D2317" s="28" t="s">
        <v>37</v>
      </c>
      <c r="E2317" s="41">
        <v>46170</v>
      </c>
      <c r="F2317" s="47">
        <v>0.88703703703703707</v>
      </c>
      <c r="G2317" s="44">
        <v>6.3</v>
      </c>
      <c r="H2317" s="43" t="s">
        <v>228</v>
      </c>
      <c r="I2317" s="40" t="s">
        <v>1300</v>
      </c>
    </row>
    <row r="2318" spans="1:9" x14ac:dyDescent="0.2">
      <c r="A2318" s="40" t="s">
        <v>238</v>
      </c>
      <c r="B2318" s="28">
        <v>4217</v>
      </c>
      <c r="C2318" s="28" t="s">
        <v>35</v>
      </c>
      <c r="D2318" s="28" t="s">
        <v>38</v>
      </c>
      <c r="E2318" s="41">
        <v>46170</v>
      </c>
      <c r="F2318" s="47">
        <v>0.9140625</v>
      </c>
      <c r="G2318" s="44">
        <v>6.3</v>
      </c>
      <c r="H2318" s="43" t="s">
        <v>227</v>
      </c>
      <c r="I2318" s="40" t="s">
        <v>1300</v>
      </c>
    </row>
    <row r="2319" spans="1:9" x14ac:dyDescent="0.2">
      <c r="A2319" s="40" t="s">
        <v>238</v>
      </c>
      <c r="B2319" s="28">
        <v>4217</v>
      </c>
      <c r="C2319" s="28" t="s">
        <v>35</v>
      </c>
      <c r="D2319" s="28" t="s">
        <v>38</v>
      </c>
      <c r="E2319" s="41">
        <v>46172</v>
      </c>
      <c r="F2319" s="47">
        <v>5.5046296296296295E-2</v>
      </c>
      <c r="G2319" s="44">
        <v>6.3</v>
      </c>
      <c r="H2319" s="43" t="s">
        <v>226</v>
      </c>
      <c r="I2319" s="40" t="s">
        <v>1300</v>
      </c>
    </row>
    <row r="2320" spans="1:9" x14ac:dyDescent="0.2">
      <c r="A2320" s="40" t="s">
        <v>238</v>
      </c>
      <c r="B2320" s="28">
        <v>4217</v>
      </c>
      <c r="C2320" s="28" t="s">
        <v>35</v>
      </c>
      <c r="D2320" s="28" t="s">
        <v>38</v>
      </c>
      <c r="E2320" s="41">
        <v>46172</v>
      </c>
      <c r="F2320" s="47">
        <v>5.9502314814814813E-2</v>
      </c>
      <c r="G2320" s="44">
        <v>6.3</v>
      </c>
      <c r="H2320" s="43" t="s">
        <v>227</v>
      </c>
      <c r="I2320" s="40" t="s">
        <v>1300</v>
      </c>
    </row>
    <row r="2321" spans="1:9" x14ac:dyDescent="0.2">
      <c r="A2321" s="40" t="s">
        <v>238</v>
      </c>
      <c r="B2321" s="28">
        <v>4217</v>
      </c>
      <c r="C2321" s="28">
        <v>5691756</v>
      </c>
      <c r="D2321" s="28"/>
      <c r="E2321" s="41">
        <v>46172</v>
      </c>
      <c r="F2321" s="47">
        <v>9.4895833333333332E-2</v>
      </c>
      <c r="G2321" s="44">
        <v>6.3</v>
      </c>
      <c r="H2321" s="43" t="s">
        <v>228</v>
      </c>
      <c r="I2321" s="40" t="s">
        <v>1300</v>
      </c>
    </row>
    <row r="2322" spans="1:9" x14ac:dyDescent="0.2">
      <c r="A2322" s="40" t="s">
        <v>238</v>
      </c>
      <c r="B2322" s="28">
        <v>4217</v>
      </c>
      <c r="C2322" s="28">
        <v>5691756</v>
      </c>
      <c r="D2322" s="28"/>
      <c r="E2322" s="45">
        <v>46172</v>
      </c>
      <c r="F2322" s="48">
        <v>0.10265046296296296</v>
      </c>
      <c r="G2322" s="44">
        <v>6.3</v>
      </c>
      <c r="H2322" s="43" t="s">
        <v>229</v>
      </c>
      <c r="I2322" s="40" t="s">
        <v>1300</v>
      </c>
    </row>
    <row r="2323" spans="1:9" x14ac:dyDescent="0.2">
      <c r="A2323" s="40" t="s">
        <v>238</v>
      </c>
      <c r="B2323" s="28">
        <v>2983</v>
      </c>
      <c r="C2323" s="28">
        <v>5694594</v>
      </c>
      <c r="D2323" s="28"/>
      <c r="E2323" s="41">
        <v>46172</v>
      </c>
      <c r="F2323" s="47">
        <v>0.52444444444444449</v>
      </c>
      <c r="G2323" s="44">
        <v>6.3</v>
      </c>
      <c r="H2323" s="43" t="s">
        <v>228</v>
      </c>
      <c r="I2323" s="40" t="s">
        <v>1300</v>
      </c>
    </row>
    <row r="2324" spans="1:9" x14ac:dyDescent="0.2">
      <c r="A2324" s="40" t="s">
        <v>238</v>
      </c>
      <c r="B2324" s="28">
        <v>2983</v>
      </c>
      <c r="C2324" s="28">
        <v>5694594</v>
      </c>
      <c r="D2324" s="28"/>
      <c r="E2324" s="41">
        <v>46172</v>
      </c>
      <c r="F2324" s="47">
        <v>0.53503472222222226</v>
      </c>
      <c r="G2324" s="44">
        <v>6.3</v>
      </c>
      <c r="H2324" s="43" t="s">
        <v>229</v>
      </c>
      <c r="I2324" s="40" t="s">
        <v>1300</v>
      </c>
    </row>
    <row r="2325" spans="1:9" x14ac:dyDescent="0.2">
      <c r="A2325" s="40" t="s">
        <v>238</v>
      </c>
      <c r="B2325" s="28">
        <v>4217</v>
      </c>
      <c r="C2325" s="28">
        <v>5677237</v>
      </c>
      <c r="D2325" s="28"/>
      <c r="E2325" s="41">
        <v>46173</v>
      </c>
      <c r="F2325" s="47">
        <v>4.9872685185185187E-2</v>
      </c>
      <c r="G2325" s="44">
        <v>6.3</v>
      </c>
      <c r="H2325" s="43" t="s">
        <v>228</v>
      </c>
      <c r="I2325" s="40" t="s">
        <v>1300</v>
      </c>
    </row>
    <row r="2326" spans="1:9" x14ac:dyDescent="0.2">
      <c r="A2326" s="40" t="s">
        <v>238</v>
      </c>
      <c r="B2326" s="28">
        <v>4217</v>
      </c>
      <c r="C2326" s="28">
        <v>5677237</v>
      </c>
      <c r="D2326" s="28"/>
      <c r="E2326" s="41">
        <v>46173</v>
      </c>
      <c r="F2326" s="47">
        <v>5.6412037037037038E-2</v>
      </c>
      <c r="G2326" s="44">
        <v>6.3</v>
      </c>
      <c r="H2326" s="43" t="s">
        <v>232</v>
      </c>
      <c r="I2326" s="40" t="s">
        <v>1300</v>
      </c>
    </row>
    <row r="2327" spans="1:9" x14ac:dyDescent="0.2">
      <c r="A2327" s="40" t="s">
        <v>238</v>
      </c>
      <c r="B2327" s="28">
        <v>4217</v>
      </c>
      <c r="C2327" s="28">
        <v>5692481</v>
      </c>
      <c r="D2327" s="28"/>
      <c r="E2327" s="41">
        <v>46173</v>
      </c>
      <c r="F2327" s="47">
        <v>0.15388888888888888</v>
      </c>
      <c r="G2327" s="44">
        <v>6.3</v>
      </c>
      <c r="H2327" s="43" t="s">
        <v>230</v>
      </c>
      <c r="I2327" s="40" t="s">
        <v>1300</v>
      </c>
    </row>
    <row r="2328" spans="1:9" x14ac:dyDescent="0.2">
      <c r="A2328" s="40" t="s">
        <v>238</v>
      </c>
      <c r="B2328" s="28">
        <v>4217</v>
      </c>
      <c r="C2328" s="28">
        <v>5692481</v>
      </c>
      <c r="D2328" s="28"/>
      <c r="E2328" s="41">
        <v>46173</v>
      </c>
      <c r="F2328" s="47">
        <v>0.15908564814814816</v>
      </c>
      <c r="G2328" s="44">
        <v>6.3</v>
      </c>
      <c r="H2328" s="43" t="s">
        <v>227</v>
      </c>
      <c r="I2328" s="40" t="s">
        <v>1300</v>
      </c>
    </row>
    <row r="2329" spans="1:9" x14ac:dyDescent="0.2">
      <c r="A2329" s="40" t="s">
        <v>238</v>
      </c>
      <c r="B2329" s="28">
        <v>2983</v>
      </c>
      <c r="C2329" s="28">
        <v>5695071</v>
      </c>
      <c r="D2329" s="28"/>
      <c r="E2329" s="41">
        <v>46173</v>
      </c>
      <c r="F2329" s="47">
        <v>0.35476851851851854</v>
      </c>
      <c r="G2329" s="44">
        <v>6.3</v>
      </c>
      <c r="H2329" s="43" t="s">
        <v>228</v>
      </c>
      <c r="I2329" s="40" t="s">
        <v>1300</v>
      </c>
    </row>
    <row r="2330" spans="1:9" x14ac:dyDescent="0.2">
      <c r="A2330" s="40" t="s">
        <v>238</v>
      </c>
      <c r="B2330" s="28">
        <v>2983</v>
      </c>
      <c r="C2330" s="28">
        <v>5695071</v>
      </c>
      <c r="D2330" s="28"/>
      <c r="E2330" s="41">
        <v>46173</v>
      </c>
      <c r="F2330" s="47">
        <v>0.36097222222222225</v>
      </c>
      <c r="G2330" s="44">
        <v>6.3</v>
      </c>
      <c r="H2330" s="43" t="s">
        <v>229</v>
      </c>
      <c r="I2330" s="40" t="s">
        <v>1300</v>
      </c>
    </row>
    <row r="2331" spans="1:9" x14ac:dyDescent="0.2">
      <c r="A2331" s="40" t="s">
        <v>238</v>
      </c>
      <c r="B2331" s="28">
        <v>2983</v>
      </c>
      <c r="C2331" s="28" t="s">
        <v>35</v>
      </c>
      <c r="D2331" s="28" t="s">
        <v>38</v>
      </c>
      <c r="E2331" s="41">
        <v>46173</v>
      </c>
      <c r="F2331" s="47">
        <v>0.63293981481481476</v>
      </c>
      <c r="G2331" s="44">
        <v>6.3</v>
      </c>
      <c r="H2331" s="43" t="s">
        <v>232</v>
      </c>
      <c r="I2331" s="40" t="s">
        <v>1300</v>
      </c>
    </row>
    <row r="2332" spans="1:9" x14ac:dyDescent="0.2">
      <c r="A2332" s="40" t="s">
        <v>238</v>
      </c>
      <c r="B2332" s="28">
        <v>2983</v>
      </c>
      <c r="C2332" s="28" t="s">
        <v>35</v>
      </c>
      <c r="D2332" s="28" t="s">
        <v>38</v>
      </c>
      <c r="E2332" s="41">
        <v>46173</v>
      </c>
      <c r="F2332" s="47">
        <v>0.73561342592592593</v>
      </c>
      <c r="G2332" s="44">
        <v>6.3</v>
      </c>
      <c r="H2332" s="43" t="s">
        <v>232</v>
      </c>
      <c r="I2332" s="40" t="s">
        <v>1300</v>
      </c>
    </row>
    <row r="2333" spans="1:9" x14ac:dyDescent="0.2">
      <c r="A2333" s="40" t="s">
        <v>238</v>
      </c>
      <c r="B2333" s="28">
        <v>2983</v>
      </c>
      <c r="C2333" s="28">
        <v>5695926</v>
      </c>
      <c r="D2333" s="28"/>
      <c r="E2333" s="45">
        <v>46173</v>
      </c>
      <c r="F2333" s="48">
        <v>0.80443287037037037</v>
      </c>
      <c r="G2333" s="44">
        <v>6.3</v>
      </c>
      <c r="H2333" s="43" t="s">
        <v>226</v>
      </c>
      <c r="I2333" s="40" t="s">
        <v>1300</v>
      </c>
    </row>
    <row r="2334" spans="1:9" x14ac:dyDescent="0.2">
      <c r="A2334" s="40" t="s">
        <v>238</v>
      </c>
      <c r="B2334" s="28">
        <v>2983</v>
      </c>
      <c r="C2334" s="28">
        <v>5695926</v>
      </c>
      <c r="D2334" s="28"/>
      <c r="E2334" s="41">
        <v>46173</v>
      </c>
      <c r="F2334" s="47">
        <v>0.80959490740740736</v>
      </c>
      <c r="G2334" s="44">
        <v>6.3</v>
      </c>
      <c r="H2334" s="43" t="s">
        <v>227</v>
      </c>
      <c r="I2334" s="40" t="s">
        <v>1300</v>
      </c>
    </row>
    <row r="2335" spans="1:9" x14ac:dyDescent="0.2">
      <c r="A2335" s="40" t="s">
        <v>238</v>
      </c>
      <c r="B2335" s="28">
        <v>4217</v>
      </c>
      <c r="C2335" s="28">
        <v>5696093</v>
      </c>
      <c r="D2335" s="28"/>
      <c r="E2335" s="41">
        <v>46173</v>
      </c>
      <c r="F2335" s="47">
        <v>0.9432638888888889</v>
      </c>
      <c r="G2335" s="44">
        <v>6.3</v>
      </c>
      <c r="H2335" s="43" t="s">
        <v>228</v>
      </c>
      <c r="I2335" s="40" t="s">
        <v>1300</v>
      </c>
    </row>
    <row r="2336" spans="1:9" x14ac:dyDescent="0.2">
      <c r="A2336" s="40" t="s">
        <v>203</v>
      </c>
      <c r="B2336" s="28">
        <v>3006</v>
      </c>
      <c r="C2336" s="28" t="s">
        <v>752</v>
      </c>
      <c r="D2336" s="28"/>
      <c r="E2336" s="41">
        <v>46167</v>
      </c>
      <c r="F2336" s="47">
        <v>0.84137731481481481</v>
      </c>
      <c r="G2336" s="42">
        <v>6.3</v>
      </c>
      <c r="H2336" s="40" t="s">
        <v>230</v>
      </c>
      <c r="I2336" s="40" t="s">
        <v>1300</v>
      </c>
    </row>
    <row r="2337" spans="1:9" x14ac:dyDescent="0.2">
      <c r="A2337" s="40" t="s">
        <v>203</v>
      </c>
      <c r="B2337" s="28">
        <v>3006</v>
      </c>
      <c r="C2337" s="28" t="s">
        <v>752</v>
      </c>
      <c r="D2337" s="28"/>
      <c r="E2337" s="41">
        <v>46167</v>
      </c>
      <c r="F2337" s="47">
        <v>0.84795138888888888</v>
      </c>
      <c r="G2337" s="42">
        <v>6.3</v>
      </c>
      <c r="H2337" s="40" t="s">
        <v>227</v>
      </c>
      <c r="I2337" s="40" t="s">
        <v>1300</v>
      </c>
    </row>
    <row r="2338" spans="1:9" x14ac:dyDescent="0.2">
      <c r="A2338" s="40" t="s">
        <v>203</v>
      </c>
      <c r="B2338" s="28">
        <v>3006</v>
      </c>
      <c r="C2338" s="28" t="s">
        <v>753</v>
      </c>
      <c r="D2338" s="28"/>
      <c r="E2338" s="41">
        <v>46167</v>
      </c>
      <c r="F2338" s="47">
        <v>0.91876157407407411</v>
      </c>
      <c r="G2338" s="42">
        <v>6.3</v>
      </c>
      <c r="H2338" s="40" t="s">
        <v>228</v>
      </c>
      <c r="I2338" s="40" t="s">
        <v>1300</v>
      </c>
    </row>
    <row r="2339" spans="1:9" x14ac:dyDescent="0.2">
      <c r="A2339" s="40" t="s">
        <v>203</v>
      </c>
      <c r="B2339" s="28">
        <v>3006</v>
      </c>
      <c r="C2339" s="28" t="s">
        <v>753</v>
      </c>
      <c r="D2339" s="28"/>
      <c r="E2339" s="41">
        <v>46167</v>
      </c>
      <c r="F2339" s="47">
        <v>0.92620370370370375</v>
      </c>
      <c r="G2339" s="42">
        <v>6.3</v>
      </c>
      <c r="H2339" s="40" t="s">
        <v>232</v>
      </c>
      <c r="I2339" s="40" t="s">
        <v>1300</v>
      </c>
    </row>
    <row r="2340" spans="1:9" x14ac:dyDescent="0.2">
      <c r="A2340" s="40" t="s">
        <v>203</v>
      </c>
      <c r="B2340" s="28">
        <v>3006</v>
      </c>
      <c r="C2340" s="28" t="s">
        <v>754</v>
      </c>
      <c r="D2340" s="28"/>
      <c r="E2340" s="41">
        <v>46169</v>
      </c>
      <c r="F2340" s="47">
        <v>0.77730324074074075</v>
      </c>
      <c r="G2340" s="42">
        <v>6.3</v>
      </c>
      <c r="H2340" s="40" t="s">
        <v>228</v>
      </c>
      <c r="I2340" s="40" t="s">
        <v>1300</v>
      </c>
    </row>
    <row r="2341" spans="1:9" x14ac:dyDescent="0.2">
      <c r="A2341" s="40" t="s">
        <v>203</v>
      </c>
      <c r="B2341" s="28">
        <v>3006</v>
      </c>
      <c r="C2341" s="28" t="s">
        <v>754</v>
      </c>
      <c r="D2341" s="28"/>
      <c r="E2341" s="41">
        <v>46169</v>
      </c>
      <c r="F2341" s="47">
        <v>0.78613425925925928</v>
      </c>
      <c r="G2341" s="42">
        <v>6.3</v>
      </c>
      <c r="H2341" s="40" t="s">
        <v>229</v>
      </c>
      <c r="I2341" s="40" t="s">
        <v>1300</v>
      </c>
    </row>
    <row r="2342" spans="1:9" x14ac:dyDescent="0.2">
      <c r="A2342" s="40" t="s">
        <v>203</v>
      </c>
      <c r="B2342" s="28">
        <v>3006</v>
      </c>
      <c r="C2342" s="28" t="s">
        <v>755</v>
      </c>
      <c r="D2342" s="28"/>
      <c r="E2342" s="41">
        <v>46169</v>
      </c>
      <c r="F2342" s="47">
        <v>0.8913888888888889</v>
      </c>
      <c r="G2342" s="44">
        <v>6.3</v>
      </c>
      <c r="H2342" s="43" t="s">
        <v>230</v>
      </c>
      <c r="I2342" s="40" t="s">
        <v>1300</v>
      </c>
    </row>
    <row r="2343" spans="1:9" x14ac:dyDescent="0.2">
      <c r="A2343" s="40" t="s">
        <v>203</v>
      </c>
      <c r="B2343" s="28">
        <v>3006</v>
      </c>
      <c r="C2343" s="28" t="s">
        <v>755</v>
      </c>
      <c r="D2343" s="28"/>
      <c r="E2343" s="41">
        <v>46169</v>
      </c>
      <c r="F2343" s="47">
        <v>0.89782407407407405</v>
      </c>
      <c r="G2343" s="44">
        <v>6.3</v>
      </c>
      <c r="H2343" s="43" t="s">
        <v>227</v>
      </c>
      <c r="I2343" s="40" t="s">
        <v>1300</v>
      </c>
    </row>
    <row r="2344" spans="1:9" x14ac:dyDescent="0.2">
      <c r="A2344" s="40" t="s">
        <v>203</v>
      </c>
      <c r="B2344" s="28">
        <v>3006</v>
      </c>
      <c r="C2344" s="28" t="s">
        <v>756</v>
      </c>
      <c r="D2344" s="28"/>
      <c r="E2344" s="41">
        <v>46170</v>
      </c>
      <c r="F2344" s="47">
        <v>0.77709490740740739</v>
      </c>
      <c r="G2344" s="44">
        <v>6.3</v>
      </c>
      <c r="H2344" s="43" t="s">
        <v>228</v>
      </c>
      <c r="I2344" s="40" t="s">
        <v>1300</v>
      </c>
    </row>
    <row r="2345" spans="1:9" x14ac:dyDescent="0.2">
      <c r="A2345" s="40" t="s">
        <v>203</v>
      </c>
      <c r="B2345" s="28">
        <v>3006</v>
      </c>
      <c r="C2345" s="28" t="s">
        <v>756</v>
      </c>
      <c r="D2345" s="28"/>
      <c r="E2345" s="45">
        <v>46170</v>
      </c>
      <c r="F2345" s="48">
        <v>0.79091435185185188</v>
      </c>
      <c r="G2345" s="44">
        <v>6.3</v>
      </c>
      <c r="H2345" s="43" t="s">
        <v>229</v>
      </c>
      <c r="I2345" s="40" t="s">
        <v>1300</v>
      </c>
    </row>
    <row r="2346" spans="1:9" x14ac:dyDescent="0.2">
      <c r="A2346" s="40" t="s">
        <v>203</v>
      </c>
      <c r="B2346" s="28">
        <v>3006</v>
      </c>
      <c r="C2346" s="28" t="s">
        <v>757</v>
      </c>
      <c r="D2346" s="28"/>
      <c r="E2346" s="41">
        <v>46170</v>
      </c>
      <c r="F2346" s="47">
        <v>0.88851851851851849</v>
      </c>
      <c r="G2346" s="44">
        <v>6.3</v>
      </c>
      <c r="H2346" s="43" t="s">
        <v>230</v>
      </c>
      <c r="I2346" s="40" t="s">
        <v>1300</v>
      </c>
    </row>
    <row r="2347" spans="1:9" x14ac:dyDescent="0.2">
      <c r="A2347" s="40" t="s">
        <v>203</v>
      </c>
      <c r="B2347" s="28">
        <v>3006</v>
      </c>
      <c r="C2347" s="28" t="s">
        <v>757</v>
      </c>
      <c r="D2347" s="28"/>
      <c r="E2347" s="41">
        <v>46170</v>
      </c>
      <c r="F2347" s="47">
        <v>0.89753472222222219</v>
      </c>
      <c r="G2347" s="44">
        <v>6.3</v>
      </c>
      <c r="H2347" s="43" t="s">
        <v>227</v>
      </c>
      <c r="I2347" s="40" t="s">
        <v>1300</v>
      </c>
    </row>
    <row r="2348" spans="1:9" x14ac:dyDescent="0.2">
      <c r="A2348" s="40" t="s">
        <v>203</v>
      </c>
      <c r="B2348" s="28">
        <v>3006</v>
      </c>
      <c r="C2348" s="28" t="s">
        <v>758</v>
      </c>
      <c r="D2348" s="28"/>
      <c r="E2348" s="41">
        <v>46170</v>
      </c>
      <c r="F2348" s="47">
        <v>0.98281249999999998</v>
      </c>
      <c r="G2348" s="44">
        <v>6.3</v>
      </c>
      <c r="H2348" s="43" t="s">
        <v>228</v>
      </c>
      <c r="I2348" s="40" t="s">
        <v>1300</v>
      </c>
    </row>
    <row r="2349" spans="1:9" x14ac:dyDescent="0.2">
      <c r="A2349" s="40" t="s">
        <v>203</v>
      </c>
      <c r="B2349" s="28">
        <v>3006</v>
      </c>
      <c r="C2349" s="28" t="s">
        <v>758</v>
      </c>
      <c r="D2349" s="28"/>
      <c r="E2349" s="41">
        <v>46170</v>
      </c>
      <c r="F2349" s="47">
        <v>0.99023148148148143</v>
      </c>
      <c r="G2349" s="42">
        <v>6.3</v>
      </c>
      <c r="H2349" s="40" t="s">
        <v>229</v>
      </c>
      <c r="I2349" s="40" t="s">
        <v>1300</v>
      </c>
    </row>
    <row r="2350" spans="1:9" x14ac:dyDescent="0.2">
      <c r="A2350" s="40" t="s">
        <v>203</v>
      </c>
      <c r="B2350" s="28">
        <v>3006</v>
      </c>
      <c r="C2350" s="28" t="s">
        <v>759</v>
      </c>
      <c r="D2350" s="28"/>
      <c r="E2350" s="41">
        <v>46171</v>
      </c>
      <c r="F2350" s="47">
        <v>0.75535879629629632</v>
      </c>
      <c r="G2350" s="42">
        <v>6.3</v>
      </c>
      <c r="H2350" s="40" t="s">
        <v>228</v>
      </c>
      <c r="I2350" s="40" t="s">
        <v>1300</v>
      </c>
    </row>
    <row r="2351" spans="1:9" x14ac:dyDescent="0.2">
      <c r="A2351" s="40" t="s">
        <v>203</v>
      </c>
      <c r="B2351" s="28">
        <v>3006</v>
      </c>
      <c r="C2351" s="28" t="s">
        <v>759</v>
      </c>
      <c r="D2351" s="28"/>
      <c r="E2351" s="41">
        <v>46171</v>
      </c>
      <c r="F2351" s="47">
        <v>0.77064814814814819</v>
      </c>
      <c r="G2351" s="42">
        <v>6.3</v>
      </c>
      <c r="H2351" s="40" t="s">
        <v>229</v>
      </c>
      <c r="I2351" s="40" t="s">
        <v>1300</v>
      </c>
    </row>
    <row r="2352" spans="1:9" x14ac:dyDescent="0.2">
      <c r="A2352" s="40" t="s">
        <v>92</v>
      </c>
      <c r="B2352" s="28">
        <v>3038</v>
      </c>
      <c r="C2352" s="28">
        <v>5684303</v>
      </c>
      <c r="D2352" s="28"/>
      <c r="E2352" s="45">
        <v>46167</v>
      </c>
      <c r="F2352" s="48">
        <v>0.15122685185185186</v>
      </c>
      <c r="G2352" s="42">
        <v>6.3</v>
      </c>
      <c r="H2352" s="40" t="s">
        <v>226</v>
      </c>
      <c r="I2352" s="40" t="s">
        <v>1300</v>
      </c>
    </row>
    <row r="2353" spans="1:9" x14ac:dyDescent="0.2">
      <c r="A2353" s="40" t="s">
        <v>92</v>
      </c>
      <c r="B2353" s="28">
        <v>3038</v>
      </c>
      <c r="C2353" s="28">
        <v>5684303</v>
      </c>
      <c r="D2353" s="28"/>
      <c r="E2353" s="41">
        <v>46167</v>
      </c>
      <c r="F2353" s="47">
        <v>0.15659722222222222</v>
      </c>
      <c r="G2353" s="42">
        <v>6.3</v>
      </c>
      <c r="H2353" s="40" t="s">
        <v>227</v>
      </c>
      <c r="I2353" s="40" t="s">
        <v>1300</v>
      </c>
    </row>
    <row r="2354" spans="1:9" x14ac:dyDescent="0.2">
      <c r="A2354" s="40" t="s">
        <v>92</v>
      </c>
      <c r="B2354" s="28">
        <v>3038</v>
      </c>
      <c r="C2354" s="28">
        <v>5685100</v>
      </c>
      <c r="D2354" s="28"/>
      <c r="E2354" s="41">
        <v>46167</v>
      </c>
      <c r="F2354" s="47">
        <v>0.24020833333333333</v>
      </c>
      <c r="G2354" s="42">
        <v>6.3</v>
      </c>
      <c r="H2354" s="40" t="s">
        <v>226</v>
      </c>
      <c r="I2354" s="40" t="s">
        <v>1300</v>
      </c>
    </row>
    <row r="2355" spans="1:9" x14ac:dyDescent="0.2">
      <c r="A2355" s="40" t="s">
        <v>92</v>
      </c>
      <c r="B2355" s="28">
        <v>3038</v>
      </c>
      <c r="C2355" s="28">
        <v>5685100</v>
      </c>
      <c r="D2355" s="28"/>
      <c r="E2355" s="41">
        <v>46167</v>
      </c>
      <c r="F2355" s="47">
        <v>0.24600694444444443</v>
      </c>
      <c r="G2355" s="44">
        <v>6.3</v>
      </c>
      <c r="H2355" s="43" t="s">
        <v>227</v>
      </c>
      <c r="I2355" s="40" t="s">
        <v>1300</v>
      </c>
    </row>
    <row r="2356" spans="1:9" x14ac:dyDescent="0.2">
      <c r="A2356" s="40" t="s">
        <v>92</v>
      </c>
      <c r="B2356" s="28">
        <v>3038</v>
      </c>
      <c r="C2356" s="28" t="s">
        <v>760</v>
      </c>
      <c r="D2356" s="28"/>
      <c r="E2356" s="41">
        <v>46167</v>
      </c>
      <c r="F2356" s="47">
        <v>0.35325231481481484</v>
      </c>
      <c r="G2356" s="44">
        <v>6.3</v>
      </c>
      <c r="H2356" s="43" t="s">
        <v>228</v>
      </c>
      <c r="I2356" s="40" t="s">
        <v>1300</v>
      </c>
    </row>
    <row r="2357" spans="1:9" x14ac:dyDescent="0.2">
      <c r="A2357" s="40" t="s">
        <v>92</v>
      </c>
      <c r="B2357" s="28">
        <v>3038</v>
      </c>
      <c r="C2357" s="28" t="s">
        <v>760</v>
      </c>
      <c r="D2357" s="28"/>
      <c r="E2357" s="41">
        <v>46167</v>
      </c>
      <c r="F2357" s="47">
        <v>0.36260416666666667</v>
      </c>
      <c r="G2357" s="44">
        <v>6.3</v>
      </c>
      <c r="H2357" s="43" t="s">
        <v>233</v>
      </c>
      <c r="I2357" s="40" t="s">
        <v>1300</v>
      </c>
    </row>
    <row r="2358" spans="1:9" x14ac:dyDescent="0.2">
      <c r="A2358" s="40" t="s">
        <v>92</v>
      </c>
      <c r="B2358" s="28">
        <v>3038</v>
      </c>
      <c r="C2358" s="28">
        <v>5684873</v>
      </c>
      <c r="D2358" s="28" t="s">
        <v>37</v>
      </c>
      <c r="E2358" s="41">
        <v>46167</v>
      </c>
      <c r="F2358" s="47">
        <v>0.44471064814814815</v>
      </c>
      <c r="G2358" s="44">
        <v>6.3</v>
      </c>
      <c r="H2358" s="43" t="s">
        <v>227</v>
      </c>
      <c r="I2358" s="40" t="s">
        <v>1300</v>
      </c>
    </row>
    <row r="2359" spans="1:9" x14ac:dyDescent="0.2">
      <c r="A2359" s="40" t="s">
        <v>92</v>
      </c>
      <c r="B2359" s="28">
        <v>3038</v>
      </c>
      <c r="C2359" s="28" t="s">
        <v>761</v>
      </c>
      <c r="D2359" s="28"/>
      <c r="E2359" s="41">
        <v>46168</v>
      </c>
      <c r="F2359" s="47">
        <v>0.23115740740740739</v>
      </c>
      <c r="G2359" s="44">
        <v>6.3</v>
      </c>
      <c r="H2359" s="43" t="s">
        <v>230</v>
      </c>
      <c r="I2359" s="40" t="s">
        <v>1300</v>
      </c>
    </row>
    <row r="2360" spans="1:9" x14ac:dyDescent="0.2">
      <c r="A2360" s="40" t="s">
        <v>92</v>
      </c>
      <c r="B2360" s="28">
        <v>3038</v>
      </c>
      <c r="C2360" s="28" t="s">
        <v>761</v>
      </c>
      <c r="D2360" s="28"/>
      <c r="E2360" s="45">
        <v>46168</v>
      </c>
      <c r="F2360" s="48">
        <v>0.23668981481481483</v>
      </c>
      <c r="G2360" s="44">
        <v>6.3</v>
      </c>
      <c r="H2360" s="43" t="s">
        <v>227</v>
      </c>
      <c r="I2360" s="40" t="s">
        <v>1300</v>
      </c>
    </row>
    <row r="2361" spans="1:9" x14ac:dyDescent="0.2">
      <c r="A2361" s="40" t="s">
        <v>92</v>
      </c>
      <c r="B2361" s="28">
        <v>3038</v>
      </c>
      <c r="C2361" s="28" t="s">
        <v>762</v>
      </c>
      <c r="D2361" s="28"/>
      <c r="E2361" s="41">
        <v>46168</v>
      </c>
      <c r="F2361" s="47">
        <v>0.28202546296296294</v>
      </c>
      <c r="G2361" s="42">
        <v>6.3</v>
      </c>
      <c r="H2361" s="40" t="s">
        <v>228</v>
      </c>
      <c r="I2361" s="40" t="s">
        <v>1300</v>
      </c>
    </row>
    <row r="2362" spans="1:9" x14ac:dyDescent="0.2">
      <c r="A2362" s="40" t="s">
        <v>92</v>
      </c>
      <c r="B2362" s="28">
        <v>3038</v>
      </c>
      <c r="C2362" s="28" t="s">
        <v>762</v>
      </c>
      <c r="D2362" s="28"/>
      <c r="E2362" s="41">
        <v>46168</v>
      </c>
      <c r="F2362" s="47">
        <v>0.29608796296296297</v>
      </c>
      <c r="G2362" s="42">
        <v>6.3</v>
      </c>
      <c r="H2362" s="40" t="s">
        <v>229</v>
      </c>
      <c r="I2362" s="40" t="s">
        <v>1300</v>
      </c>
    </row>
    <row r="2363" spans="1:9" x14ac:dyDescent="0.2">
      <c r="A2363" s="40" t="s">
        <v>92</v>
      </c>
      <c r="B2363" s="28">
        <v>3038</v>
      </c>
      <c r="C2363" s="28" t="s">
        <v>763</v>
      </c>
      <c r="D2363" s="28"/>
      <c r="E2363" s="45">
        <v>46168</v>
      </c>
      <c r="F2363" s="48">
        <v>0.40515046296296298</v>
      </c>
      <c r="G2363" s="42">
        <v>6.3</v>
      </c>
      <c r="H2363" s="40" t="s">
        <v>230</v>
      </c>
      <c r="I2363" s="40" t="s">
        <v>1300</v>
      </c>
    </row>
    <row r="2364" spans="1:9" x14ac:dyDescent="0.2">
      <c r="A2364" s="40" t="s">
        <v>92</v>
      </c>
      <c r="B2364" s="28">
        <v>3038</v>
      </c>
      <c r="C2364" s="28" t="s">
        <v>763</v>
      </c>
      <c r="D2364" s="28"/>
      <c r="E2364" s="45">
        <v>46168</v>
      </c>
      <c r="F2364" s="48">
        <v>0.41137731481481482</v>
      </c>
      <c r="G2364" s="42">
        <v>6.3</v>
      </c>
      <c r="H2364" s="40" t="s">
        <v>227</v>
      </c>
      <c r="I2364" s="40" t="s">
        <v>1300</v>
      </c>
    </row>
    <row r="2365" spans="1:9" x14ac:dyDescent="0.2">
      <c r="A2365" s="40" t="s">
        <v>92</v>
      </c>
      <c r="B2365" s="28">
        <v>3038</v>
      </c>
      <c r="C2365" s="28" t="s">
        <v>764</v>
      </c>
      <c r="D2365" s="28"/>
      <c r="E2365" s="41">
        <v>46168</v>
      </c>
      <c r="F2365" s="47">
        <v>0.55755787037037041</v>
      </c>
      <c r="G2365" s="42">
        <v>6.3</v>
      </c>
      <c r="H2365" s="40" t="s">
        <v>230</v>
      </c>
      <c r="I2365" s="40" t="s">
        <v>1300</v>
      </c>
    </row>
    <row r="2366" spans="1:9" x14ac:dyDescent="0.2">
      <c r="A2366" s="40" t="s">
        <v>92</v>
      </c>
      <c r="B2366" s="28">
        <v>3038</v>
      </c>
      <c r="C2366" s="28" t="s">
        <v>764</v>
      </c>
      <c r="D2366" s="28"/>
      <c r="E2366" s="45">
        <v>46168</v>
      </c>
      <c r="F2366" s="48">
        <v>0.56370370370370371</v>
      </c>
      <c r="G2366" s="42">
        <v>6.3</v>
      </c>
      <c r="H2366" s="40" t="s">
        <v>227</v>
      </c>
      <c r="I2366" s="40" t="s">
        <v>1300</v>
      </c>
    </row>
    <row r="2367" spans="1:9" x14ac:dyDescent="0.2">
      <c r="A2367" s="40" t="s">
        <v>92</v>
      </c>
      <c r="B2367" s="28">
        <v>3038</v>
      </c>
      <c r="C2367" s="28" t="s">
        <v>765</v>
      </c>
      <c r="D2367" s="28"/>
      <c r="E2367" s="41">
        <v>46168</v>
      </c>
      <c r="F2367" s="47">
        <v>0.6275694444444444</v>
      </c>
      <c r="G2367" s="44">
        <v>6.3</v>
      </c>
      <c r="H2367" s="43" t="s">
        <v>228</v>
      </c>
      <c r="I2367" s="40" t="s">
        <v>1300</v>
      </c>
    </row>
    <row r="2368" spans="1:9" x14ac:dyDescent="0.2">
      <c r="A2368" s="40" t="s">
        <v>92</v>
      </c>
      <c r="B2368" s="28">
        <v>3038</v>
      </c>
      <c r="C2368" s="28" t="s">
        <v>766</v>
      </c>
      <c r="D2368" s="28"/>
      <c r="E2368" s="45">
        <v>46169</v>
      </c>
      <c r="F2368" s="48">
        <v>0.16744212962962962</v>
      </c>
      <c r="G2368" s="44">
        <v>6.3</v>
      </c>
      <c r="H2368" s="43" t="s">
        <v>234</v>
      </c>
      <c r="I2368" s="40" t="s">
        <v>1300</v>
      </c>
    </row>
    <row r="2369" spans="1:9" x14ac:dyDescent="0.2">
      <c r="A2369" s="40" t="s">
        <v>92</v>
      </c>
      <c r="B2369" s="28">
        <v>3038</v>
      </c>
      <c r="C2369" s="28" t="s">
        <v>766</v>
      </c>
      <c r="D2369" s="28"/>
      <c r="E2369" s="45">
        <v>46169</v>
      </c>
      <c r="F2369" s="48">
        <v>0.17040509259259259</v>
      </c>
      <c r="G2369" s="44">
        <v>6.3</v>
      </c>
      <c r="H2369" s="43" t="s">
        <v>227</v>
      </c>
      <c r="I2369" s="40" t="s">
        <v>1300</v>
      </c>
    </row>
    <row r="2370" spans="1:9" x14ac:dyDescent="0.2">
      <c r="A2370" s="40" t="s">
        <v>92</v>
      </c>
      <c r="B2370" s="28">
        <v>3038</v>
      </c>
      <c r="C2370" s="28" t="s">
        <v>767</v>
      </c>
      <c r="D2370" s="28"/>
      <c r="E2370" s="41">
        <v>46169</v>
      </c>
      <c r="F2370" s="47">
        <v>0.19611111111111112</v>
      </c>
      <c r="G2370" s="44">
        <v>6.3</v>
      </c>
      <c r="H2370" s="43" t="s">
        <v>228</v>
      </c>
      <c r="I2370" s="40" t="s">
        <v>1300</v>
      </c>
    </row>
    <row r="2371" spans="1:9" x14ac:dyDescent="0.2">
      <c r="A2371" s="40" t="s">
        <v>92</v>
      </c>
      <c r="B2371" s="28">
        <v>3038</v>
      </c>
      <c r="C2371" s="28" t="s">
        <v>767</v>
      </c>
      <c r="D2371" s="28"/>
      <c r="E2371" s="41">
        <v>46169</v>
      </c>
      <c r="F2371" s="47">
        <v>0.20392361111111112</v>
      </c>
      <c r="G2371" s="44">
        <v>6.3</v>
      </c>
      <c r="H2371" s="43" t="s">
        <v>229</v>
      </c>
      <c r="I2371" s="40" t="s">
        <v>1300</v>
      </c>
    </row>
    <row r="2372" spans="1:9" x14ac:dyDescent="0.2">
      <c r="A2372" s="40" t="s">
        <v>92</v>
      </c>
      <c r="B2372" s="28">
        <v>3038</v>
      </c>
      <c r="C2372" s="28" t="s">
        <v>767</v>
      </c>
      <c r="D2372" s="28"/>
      <c r="E2372" s="41">
        <v>46169</v>
      </c>
      <c r="F2372" s="47">
        <v>0.22826388888888888</v>
      </c>
      <c r="G2372" s="44">
        <v>6.3</v>
      </c>
      <c r="H2372" s="43" t="s">
        <v>230</v>
      </c>
      <c r="I2372" s="40" t="s">
        <v>1300</v>
      </c>
    </row>
    <row r="2373" spans="1:9" x14ac:dyDescent="0.2">
      <c r="A2373" s="40" t="s">
        <v>92</v>
      </c>
      <c r="B2373" s="28">
        <v>3038</v>
      </c>
      <c r="C2373" s="28" t="s">
        <v>767</v>
      </c>
      <c r="D2373" s="28"/>
      <c r="E2373" s="41">
        <v>46169</v>
      </c>
      <c r="F2373" s="47">
        <v>0.23408564814814814</v>
      </c>
      <c r="G2373" s="44">
        <v>6.3</v>
      </c>
      <c r="H2373" s="43" t="s">
        <v>227</v>
      </c>
      <c r="I2373" s="40" t="s">
        <v>1300</v>
      </c>
    </row>
    <row r="2374" spans="1:9" x14ac:dyDescent="0.2">
      <c r="A2374" s="40" t="s">
        <v>92</v>
      </c>
      <c r="B2374" s="28">
        <v>3038</v>
      </c>
      <c r="C2374" s="28" t="s">
        <v>768</v>
      </c>
      <c r="D2374" s="28"/>
      <c r="E2374" s="41">
        <v>46170</v>
      </c>
      <c r="F2374" s="47">
        <v>0.2361111111111111</v>
      </c>
      <c r="G2374" s="44">
        <v>6.3</v>
      </c>
      <c r="H2374" s="43" t="s">
        <v>230</v>
      </c>
      <c r="I2374" s="40" t="s">
        <v>1300</v>
      </c>
    </row>
    <row r="2375" spans="1:9" x14ac:dyDescent="0.2">
      <c r="A2375" s="40" t="s">
        <v>92</v>
      </c>
      <c r="B2375" s="28">
        <v>3038</v>
      </c>
      <c r="C2375" s="28" t="s">
        <v>768</v>
      </c>
      <c r="D2375" s="28"/>
      <c r="E2375" s="41">
        <v>46170</v>
      </c>
      <c r="F2375" s="47">
        <v>0.24167824074074074</v>
      </c>
      <c r="G2375" s="44">
        <v>6.3</v>
      </c>
      <c r="H2375" s="43" t="s">
        <v>227</v>
      </c>
      <c r="I2375" s="40" t="s">
        <v>1300</v>
      </c>
    </row>
    <row r="2376" spans="1:9" x14ac:dyDescent="0.2">
      <c r="A2376" s="40" t="s">
        <v>92</v>
      </c>
      <c r="B2376" s="28">
        <v>3038</v>
      </c>
      <c r="C2376" s="28" t="s">
        <v>769</v>
      </c>
      <c r="D2376" s="28"/>
      <c r="E2376" s="41">
        <v>46170</v>
      </c>
      <c r="F2376" s="47">
        <v>0.3268287037037037</v>
      </c>
      <c r="G2376" s="44">
        <v>6.3</v>
      </c>
      <c r="H2376" s="43" t="s">
        <v>228</v>
      </c>
      <c r="I2376" s="40" t="s">
        <v>1300</v>
      </c>
    </row>
    <row r="2377" spans="1:9" x14ac:dyDescent="0.2">
      <c r="A2377" s="40" t="s">
        <v>92</v>
      </c>
      <c r="B2377" s="28">
        <v>3038</v>
      </c>
      <c r="C2377" s="28" t="s">
        <v>769</v>
      </c>
      <c r="D2377" s="28"/>
      <c r="E2377" s="41">
        <v>46170</v>
      </c>
      <c r="F2377" s="47">
        <v>0.34010416666666665</v>
      </c>
      <c r="G2377" s="44">
        <v>6.3</v>
      </c>
      <c r="H2377" s="43" t="s">
        <v>229</v>
      </c>
      <c r="I2377" s="40" t="s">
        <v>1300</v>
      </c>
    </row>
    <row r="2378" spans="1:9" x14ac:dyDescent="0.2">
      <c r="A2378" s="40" t="s">
        <v>92</v>
      </c>
      <c r="B2378" s="28">
        <v>3038</v>
      </c>
      <c r="C2378" s="28" t="s">
        <v>770</v>
      </c>
      <c r="D2378" s="28"/>
      <c r="E2378" s="41">
        <v>46170</v>
      </c>
      <c r="F2378" s="47">
        <v>0.43753472222222223</v>
      </c>
      <c r="G2378" s="44">
        <v>6.3</v>
      </c>
      <c r="H2378" s="43" t="s">
        <v>230</v>
      </c>
      <c r="I2378" s="40" t="s">
        <v>1300</v>
      </c>
    </row>
    <row r="2379" spans="1:9" x14ac:dyDescent="0.2">
      <c r="A2379" s="40" t="s">
        <v>92</v>
      </c>
      <c r="B2379" s="28">
        <v>3038</v>
      </c>
      <c r="C2379" s="28" t="s">
        <v>770</v>
      </c>
      <c r="D2379" s="28"/>
      <c r="E2379" s="41">
        <v>46170</v>
      </c>
      <c r="F2379" s="47">
        <v>0.44370370370370371</v>
      </c>
      <c r="G2379" s="44">
        <v>6.3</v>
      </c>
      <c r="H2379" s="43" t="s">
        <v>227</v>
      </c>
      <c r="I2379" s="40" t="s">
        <v>1300</v>
      </c>
    </row>
    <row r="2380" spans="1:9" x14ac:dyDescent="0.2">
      <c r="A2380" s="40" t="s">
        <v>92</v>
      </c>
      <c r="B2380" s="28">
        <v>3038</v>
      </c>
      <c r="C2380" s="28" t="s">
        <v>771</v>
      </c>
      <c r="D2380" s="28"/>
      <c r="E2380" s="41">
        <v>46170</v>
      </c>
      <c r="F2380" s="47">
        <v>0.5204050925925926</v>
      </c>
      <c r="G2380" s="44">
        <v>6.3</v>
      </c>
      <c r="H2380" s="43" t="s">
        <v>229</v>
      </c>
      <c r="I2380" s="40" t="s">
        <v>1300</v>
      </c>
    </row>
    <row r="2381" spans="1:9" x14ac:dyDescent="0.2">
      <c r="A2381" s="40" t="s">
        <v>92</v>
      </c>
      <c r="B2381" s="28">
        <v>3038</v>
      </c>
      <c r="C2381" s="28" t="s">
        <v>772</v>
      </c>
      <c r="D2381" s="28"/>
      <c r="E2381" s="41">
        <v>46171</v>
      </c>
      <c r="F2381" s="47">
        <v>0.22804398148148147</v>
      </c>
      <c r="G2381" s="44">
        <v>6.3</v>
      </c>
      <c r="H2381" s="43" t="s">
        <v>230</v>
      </c>
      <c r="I2381" s="40" t="s">
        <v>1300</v>
      </c>
    </row>
    <row r="2382" spans="1:9" x14ac:dyDescent="0.2">
      <c r="A2382" s="40" t="s">
        <v>92</v>
      </c>
      <c r="B2382" s="28">
        <v>3038</v>
      </c>
      <c r="C2382" s="28" t="s">
        <v>772</v>
      </c>
      <c r="D2382" s="28"/>
      <c r="E2382" s="41">
        <v>46171</v>
      </c>
      <c r="F2382" s="47">
        <v>0.23349537037037038</v>
      </c>
      <c r="G2382" s="44">
        <v>6.3</v>
      </c>
      <c r="H2382" s="43" t="s">
        <v>227</v>
      </c>
      <c r="I2382" s="40" t="s">
        <v>1300</v>
      </c>
    </row>
    <row r="2383" spans="1:9" x14ac:dyDescent="0.2">
      <c r="A2383" s="40" t="s">
        <v>92</v>
      </c>
      <c r="B2383" s="28">
        <v>3038</v>
      </c>
      <c r="C2383" s="28" t="s">
        <v>773</v>
      </c>
      <c r="D2383" s="28"/>
      <c r="E2383" s="41">
        <v>46171</v>
      </c>
      <c r="F2383" s="47">
        <v>0.30315972222222221</v>
      </c>
      <c r="G2383" s="44">
        <v>6.3</v>
      </c>
      <c r="H2383" s="43" t="s">
        <v>228</v>
      </c>
      <c r="I2383" s="40" t="s">
        <v>1300</v>
      </c>
    </row>
    <row r="2384" spans="1:9" x14ac:dyDescent="0.2">
      <c r="A2384" s="40" t="s">
        <v>92</v>
      </c>
      <c r="B2384" s="28">
        <v>3038</v>
      </c>
      <c r="C2384" s="28" t="s">
        <v>773</v>
      </c>
      <c r="D2384" s="28"/>
      <c r="E2384" s="41">
        <v>46171</v>
      </c>
      <c r="F2384" s="47">
        <v>0.31482638888888886</v>
      </c>
      <c r="G2384" s="44">
        <v>6.3</v>
      </c>
      <c r="H2384" s="43" t="s">
        <v>229</v>
      </c>
      <c r="I2384" s="40" t="s">
        <v>1300</v>
      </c>
    </row>
    <row r="2385" spans="1:9" x14ac:dyDescent="0.2">
      <c r="A2385" s="40" t="s">
        <v>92</v>
      </c>
      <c r="B2385" s="28">
        <v>3038</v>
      </c>
      <c r="C2385" s="28" t="s">
        <v>774</v>
      </c>
      <c r="D2385" s="28"/>
      <c r="E2385" s="41">
        <v>46171</v>
      </c>
      <c r="F2385" s="47">
        <v>0.3604398148148148</v>
      </c>
      <c r="G2385" s="44">
        <v>6.3</v>
      </c>
      <c r="H2385" s="43" t="s">
        <v>230</v>
      </c>
      <c r="I2385" s="40" t="s">
        <v>1300</v>
      </c>
    </row>
    <row r="2386" spans="1:9" x14ac:dyDescent="0.2">
      <c r="A2386" s="40" t="s">
        <v>92</v>
      </c>
      <c r="B2386" s="28">
        <v>3038</v>
      </c>
      <c r="C2386" s="28" t="s">
        <v>774</v>
      </c>
      <c r="D2386" s="28"/>
      <c r="E2386" s="45">
        <v>46171</v>
      </c>
      <c r="F2386" s="48">
        <v>0.36903935185185183</v>
      </c>
      <c r="G2386" s="44">
        <v>6.3</v>
      </c>
      <c r="H2386" s="43" t="s">
        <v>227</v>
      </c>
      <c r="I2386" s="40" t="s">
        <v>1300</v>
      </c>
    </row>
    <row r="2387" spans="1:9" x14ac:dyDescent="0.2">
      <c r="A2387" s="40" t="s">
        <v>92</v>
      </c>
      <c r="B2387" s="28">
        <v>3038</v>
      </c>
      <c r="C2387" s="28" t="s">
        <v>775</v>
      </c>
      <c r="D2387" s="28"/>
      <c r="E2387" s="41">
        <v>46171</v>
      </c>
      <c r="F2387" s="47">
        <v>0.4415972222222222</v>
      </c>
      <c r="G2387" s="44">
        <v>6.3</v>
      </c>
      <c r="H2387" s="43" t="s">
        <v>228</v>
      </c>
      <c r="I2387" s="40" t="s">
        <v>1300</v>
      </c>
    </row>
    <row r="2388" spans="1:9" x14ac:dyDescent="0.2">
      <c r="A2388" s="40" t="s">
        <v>92</v>
      </c>
      <c r="B2388" s="28">
        <v>3038</v>
      </c>
      <c r="C2388" s="28" t="s">
        <v>775</v>
      </c>
      <c r="D2388" s="28"/>
      <c r="E2388" s="41">
        <v>46171</v>
      </c>
      <c r="F2388" s="47">
        <v>0.45363425925925926</v>
      </c>
      <c r="G2388" s="44">
        <v>6.3</v>
      </c>
      <c r="H2388" s="43" t="s">
        <v>232</v>
      </c>
      <c r="I2388" s="40" t="s">
        <v>1300</v>
      </c>
    </row>
    <row r="2389" spans="1:9" x14ac:dyDescent="0.2">
      <c r="A2389" s="40" t="s">
        <v>92</v>
      </c>
      <c r="B2389" s="28">
        <v>3038</v>
      </c>
      <c r="C2389" s="28">
        <v>10765672</v>
      </c>
      <c r="D2389" s="28" t="s">
        <v>36</v>
      </c>
      <c r="E2389" s="45">
        <v>46171</v>
      </c>
      <c r="F2389" s="48">
        <v>0.52324074074074078</v>
      </c>
      <c r="G2389" s="44">
        <v>6.3</v>
      </c>
      <c r="H2389" s="43" t="s">
        <v>230</v>
      </c>
      <c r="I2389" s="40" t="s">
        <v>1300</v>
      </c>
    </row>
    <row r="2390" spans="1:9" x14ac:dyDescent="0.2">
      <c r="A2390" s="40" t="s">
        <v>92</v>
      </c>
      <c r="B2390" s="28">
        <v>3038</v>
      </c>
      <c r="C2390" s="28">
        <v>10765672</v>
      </c>
      <c r="D2390" s="28" t="s">
        <v>36</v>
      </c>
      <c r="E2390" s="45">
        <v>46171</v>
      </c>
      <c r="F2390" s="48">
        <v>0.53652777777777783</v>
      </c>
      <c r="G2390" s="44">
        <v>6.3</v>
      </c>
      <c r="H2390" s="43" t="s">
        <v>227</v>
      </c>
      <c r="I2390" s="40" t="s">
        <v>1300</v>
      </c>
    </row>
    <row r="2391" spans="1:9" x14ac:dyDescent="0.2">
      <c r="A2391" s="40" t="s">
        <v>92</v>
      </c>
      <c r="B2391" s="28">
        <v>3038</v>
      </c>
      <c r="C2391" s="28">
        <v>10765520</v>
      </c>
      <c r="D2391" s="28" t="s">
        <v>36</v>
      </c>
      <c r="E2391" s="45">
        <v>46171</v>
      </c>
      <c r="F2391" s="48">
        <v>0.57138888888888884</v>
      </c>
      <c r="G2391" s="44">
        <v>6.3</v>
      </c>
      <c r="H2391" s="43" t="s">
        <v>228</v>
      </c>
      <c r="I2391" s="40" t="s">
        <v>1300</v>
      </c>
    </row>
    <row r="2392" spans="1:9" x14ac:dyDescent="0.2">
      <c r="A2392" s="40" t="s">
        <v>92</v>
      </c>
      <c r="B2392" s="28">
        <v>3038</v>
      </c>
      <c r="C2392" s="28">
        <v>10765520</v>
      </c>
      <c r="D2392" s="28" t="s">
        <v>36</v>
      </c>
      <c r="E2392" s="41">
        <v>46171</v>
      </c>
      <c r="F2392" s="47">
        <v>0.58226851851851846</v>
      </c>
      <c r="G2392" s="44">
        <v>6.3</v>
      </c>
      <c r="H2392" s="43" t="s">
        <v>229</v>
      </c>
      <c r="I2392" s="40" t="s">
        <v>1300</v>
      </c>
    </row>
    <row r="2393" spans="1:9" x14ac:dyDescent="0.2">
      <c r="A2393" s="40" t="s">
        <v>92</v>
      </c>
      <c r="B2393" s="28">
        <v>3038</v>
      </c>
      <c r="C2393" s="28" t="s">
        <v>776</v>
      </c>
      <c r="D2393" s="28"/>
      <c r="E2393" s="45">
        <v>46172</v>
      </c>
      <c r="F2393" s="48">
        <v>0.22761574074074073</v>
      </c>
      <c r="G2393" s="44">
        <v>6.3</v>
      </c>
      <c r="H2393" s="43" t="s">
        <v>230</v>
      </c>
      <c r="I2393" s="40" t="s">
        <v>1300</v>
      </c>
    </row>
    <row r="2394" spans="1:9" x14ac:dyDescent="0.2">
      <c r="A2394" s="40" t="s">
        <v>92</v>
      </c>
      <c r="B2394" s="28">
        <v>3038</v>
      </c>
      <c r="C2394" s="28" t="s">
        <v>776</v>
      </c>
      <c r="D2394" s="28"/>
      <c r="E2394" s="41">
        <v>46172</v>
      </c>
      <c r="F2394" s="47">
        <v>0.23319444444444445</v>
      </c>
      <c r="G2394" s="44">
        <v>6.3</v>
      </c>
      <c r="H2394" s="43" t="s">
        <v>227</v>
      </c>
      <c r="I2394" s="40" t="s">
        <v>1300</v>
      </c>
    </row>
    <row r="2395" spans="1:9" x14ac:dyDescent="0.2">
      <c r="A2395" s="40" t="s">
        <v>92</v>
      </c>
      <c r="B2395" s="28">
        <v>3038</v>
      </c>
      <c r="C2395" s="28" t="s">
        <v>777</v>
      </c>
      <c r="D2395" s="28"/>
      <c r="E2395" s="41">
        <v>46172</v>
      </c>
      <c r="F2395" s="47">
        <v>0.29931712962962964</v>
      </c>
      <c r="G2395" s="44">
        <v>6.3</v>
      </c>
      <c r="H2395" s="43" t="s">
        <v>228</v>
      </c>
      <c r="I2395" s="40" t="s">
        <v>1300</v>
      </c>
    </row>
    <row r="2396" spans="1:9" x14ac:dyDescent="0.2">
      <c r="A2396" s="40" t="s">
        <v>92</v>
      </c>
      <c r="B2396" s="28">
        <v>3038</v>
      </c>
      <c r="C2396" s="28" t="s">
        <v>777</v>
      </c>
      <c r="D2396" s="28"/>
      <c r="E2396" s="41">
        <v>46172</v>
      </c>
      <c r="F2396" s="47">
        <v>0.30916666666666665</v>
      </c>
      <c r="G2396" s="44">
        <v>6.3</v>
      </c>
      <c r="H2396" s="43" t="s">
        <v>229</v>
      </c>
      <c r="I2396" s="40" t="s">
        <v>1300</v>
      </c>
    </row>
    <row r="2397" spans="1:9" x14ac:dyDescent="0.2">
      <c r="A2397" s="40" t="s">
        <v>92</v>
      </c>
      <c r="B2397" s="28">
        <v>3038</v>
      </c>
      <c r="C2397" s="28" t="s">
        <v>778</v>
      </c>
      <c r="D2397" s="28"/>
      <c r="E2397" s="41">
        <v>46172</v>
      </c>
      <c r="F2397" s="47">
        <v>0.36168981481481483</v>
      </c>
      <c r="G2397" s="44">
        <v>6.3</v>
      </c>
      <c r="H2397" s="43" t="s">
        <v>230</v>
      </c>
      <c r="I2397" s="40" t="s">
        <v>1300</v>
      </c>
    </row>
    <row r="2398" spans="1:9" x14ac:dyDescent="0.2">
      <c r="A2398" s="40" t="s">
        <v>92</v>
      </c>
      <c r="B2398" s="28">
        <v>3038</v>
      </c>
      <c r="C2398" s="28" t="s">
        <v>778</v>
      </c>
      <c r="D2398" s="28"/>
      <c r="E2398" s="41">
        <v>46172</v>
      </c>
      <c r="F2398" s="47">
        <v>0.3679513888888889</v>
      </c>
      <c r="G2398" s="44">
        <v>6.3</v>
      </c>
      <c r="H2398" s="43" t="s">
        <v>227</v>
      </c>
      <c r="I2398" s="40" t="s">
        <v>1300</v>
      </c>
    </row>
    <row r="2399" spans="1:9" x14ac:dyDescent="0.2">
      <c r="A2399" s="40" t="s">
        <v>92</v>
      </c>
      <c r="B2399" s="28">
        <v>3038</v>
      </c>
      <c r="C2399" s="28" t="s">
        <v>779</v>
      </c>
      <c r="D2399" s="28"/>
      <c r="E2399" s="45">
        <v>46173</v>
      </c>
      <c r="F2399" s="48">
        <v>0.19596064814814815</v>
      </c>
      <c r="G2399" s="44">
        <v>6.3</v>
      </c>
      <c r="H2399" s="43" t="s">
        <v>230</v>
      </c>
      <c r="I2399" s="40" t="s">
        <v>1300</v>
      </c>
    </row>
    <row r="2400" spans="1:9" x14ac:dyDescent="0.2">
      <c r="A2400" s="40" t="s">
        <v>92</v>
      </c>
      <c r="B2400" s="28">
        <v>3038</v>
      </c>
      <c r="C2400" s="28" t="s">
        <v>779</v>
      </c>
      <c r="D2400" s="28"/>
      <c r="E2400" s="45">
        <v>46173</v>
      </c>
      <c r="F2400" s="48">
        <v>0.20152777777777778</v>
      </c>
      <c r="G2400" s="44">
        <v>6.3</v>
      </c>
      <c r="H2400" s="43" t="s">
        <v>227</v>
      </c>
      <c r="I2400" s="40" t="s">
        <v>1300</v>
      </c>
    </row>
    <row r="2401" spans="1:9" x14ac:dyDescent="0.2">
      <c r="A2401" s="40" t="s">
        <v>92</v>
      </c>
      <c r="B2401" s="28">
        <v>3038</v>
      </c>
      <c r="C2401" s="28">
        <v>5695399</v>
      </c>
      <c r="D2401" s="28"/>
      <c r="E2401" s="41">
        <v>46173</v>
      </c>
      <c r="F2401" s="47">
        <v>0.23434027777777777</v>
      </c>
      <c r="G2401" s="44">
        <v>6.3</v>
      </c>
      <c r="H2401" s="43" t="s">
        <v>228</v>
      </c>
      <c r="I2401" s="40" t="s">
        <v>1300</v>
      </c>
    </row>
    <row r="2402" spans="1:9" x14ac:dyDescent="0.2">
      <c r="A2402" s="40" t="s">
        <v>92</v>
      </c>
      <c r="B2402" s="28">
        <v>3038</v>
      </c>
      <c r="C2402" s="28">
        <v>5695399</v>
      </c>
      <c r="D2402" s="28"/>
      <c r="E2402" s="41">
        <v>46173</v>
      </c>
      <c r="F2402" s="47">
        <v>0.24182870370370371</v>
      </c>
      <c r="G2402" s="42">
        <v>6.3</v>
      </c>
      <c r="H2402" s="40" t="s">
        <v>229</v>
      </c>
      <c r="I2402" s="40" t="s">
        <v>1300</v>
      </c>
    </row>
    <row r="2403" spans="1:9" x14ac:dyDescent="0.2">
      <c r="A2403" s="40" t="s">
        <v>92</v>
      </c>
      <c r="B2403" s="28">
        <v>3038</v>
      </c>
      <c r="C2403" s="28">
        <v>5695058</v>
      </c>
      <c r="D2403" s="28"/>
      <c r="E2403" s="41">
        <v>46173</v>
      </c>
      <c r="F2403" s="47">
        <v>0.32769675925925928</v>
      </c>
      <c r="G2403" s="42">
        <v>6.3</v>
      </c>
      <c r="H2403" s="40" t="s">
        <v>228</v>
      </c>
      <c r="I2403" s="40" t="s">
        <v>1300</v>
      </c>
    </row>
    <row r="2404" spans="1:9" x14ac:dyDescent="0.2">
      <c r="A2404" s="40" t="s">
        <v>92</v>
      </c>
      <c r="B2404" s="28">
        <v>3038</v>
      </c>
      <c r="C2404" s="28">
        <v>5695058</v>
      </c>
      <c r="D2404" s="28"/>
      <c r="E2404" s="41">
        <v>46173</v>
      </c>
      <c r="F2404" s="47">
        <v>0.33526620370370369</v>
      </c>
      <c r="G2404" s="42">
        <v>6.3</v>
      </c>
      <c r="H2404" s="40" t="s">
        <v>229</v>
      </c>
      <c r="I2404" s="40" t="s">
        <v>1300</v>
      </c>
    </row>
    <row r="2405" spans="1:9" x14ac:dyDescent="0.2">
      <c r="A2405" s="40" t="s">
        <v>92</v>
      </c>
      <c r="B2405" s="28">
        <v>3038</v>
      </c>
      <c r="C2405" s="28" t="s">
        <v>780</v>
      </c>
      <c r="D2405" s="28"/>
      <c r="E2405" s="41">
        <v>46173</v>
      </c>
      <c r="F2405" s="47">
        <v>0.40694444444444444</v>
      </c>
      <c r="G2405" s="42">
        <v>6.3</v>
      </c>
      <c r="H2405" s="40" t="s">
        <v>230</v>
      </c>
      <c r="I2405" s="40" t="s">
        <v>1300</v>
      </c>
    </row>
    <row r="2406" spans="1:9" x14ac:dyDescent="0.2">
      <c r="A2406" s="40" t="s">
        <v>92</v>
      </c>
      <c r="B2406" s="28">
        <v>3038</v>
      </c>
      <c r="C2406" s="28" t="s">
        <v>780</v>
      </c>
      <c r="D2406" s="28"/>
      <c r="E2406" s="41">
        <v>46173</v>
      </c>
      <c r="F2406" s="47">
        <v>0.41246527777777775</v>
      </c>
      <c r="G2406" s="44">
        <v>6.3</v>
      </c>
      <c r="H2406" s="43" t="s">
        <v>227</v>
      </c>
      <c r="I2406" s="40" t="s">
        <v>1300</v>
      </c>
    </row>
    <row r="2407" spans="1:9" x14ac:dyDescent="0.2">
      <c r="A2407" s="40" t="s">
        <v>92</v>
      </c>
      <c r="B2407" s="28">
        <v>3038</v>
      </c>
      <c r="C2407" s="28">
        <v>5695572</v>
      </c>
      <c r="D2407" s="28"/>
      <c r="E2407" s="41">
        <v>46173</v>
      </c>
      <c r="F2407" s="47">
        <v>0.46429398148148149</v>
      </c>
      <c r="G2407" s="44">
        <v>6.3</v>
      </c>
      <c r="H2407" s="43" t="s">
        <v>228</v>
      </c>
      <c r="I2407" s="40" t="s">
        <v>1300</v>
      </c>
    </row>
    <row r="2408" spans="1:9" x14ac:dyDescent="0.2">
      <c r="A2408" s="40" t="s">
        <v>92</v>
      </c>
      <c r="B2408" s="28">
        <v>3038</v>
      </c>
      <c r="C2408" s="28">
        <v>5695572</v>
      </c>
      <c r="D2408" s="28"/>
      <c r="E2408" s="41">
        <v>46173</v>
      </c>
      <c r="F2408" s="47">
        <v>0.4715509259259259</v>
      </c>
      <c r="G2408" s="44">
        <v>6.3</v>
      </c>
      <c r="H2408" s="43" t="s">
        <v>232</v>
      </c>
      <c r="I2408" s="40" t="s">
        <v>1300</v>
      </c>
    </row>
    <row r="2409" spans="1:9" x14ac:dyDescent="0.2">
      <c r="A2409" s="40" t="s">
        <v>781</v>
      </c>
      <c r="B2409" s="28">
        <v>3039</v>
      </c>
      <c r="C2409" s="28" t="s">
        <v>35</v>
      </c>
      <c r="D2409" s="28" t="s">
        <v>38</v>
      </c>
      <c r="E2409" s="41">
        <v>46173</v>
      </c>
      <c r="F2409" s="47">
        <v>0.13056712962962963</v>
      </c>
      <c r="G2409" s="44">
        <v>6.3</v>
      </c>
      <c r="H2409" s="43" t="s">
        <v>231</v>
      </c>
      <c r="I2409" s="40" t="s">
        <v>1300</v>
      </c>
    </row>
    <row r="2410" spans="1:9" x14ac:dyDescent="0.2">
      <c r="A2410" s="40" t="s">
        <v>201</v>
      </c>
      <c r="B2410" s="28">
        <v>3041</v>
      </c>
      <c r="C2410" s="28">
        <v>10736208</v>
      </c>
      <c r="D2410" s="28"/>
      <c r="E2410" s="41">
        <v>46167</v>
      </c>
      <c r="F2410" s="47">
        <v>0.65077546296296296</v>
      </c>
      <c r="G2410" s="44">
        <v>6.3</v>
      </c>
      <c r="H2410" s="43" t="s">
        <v>228</v>
      </c>
      <c r="I2410" s="40" t="s">
        <v>1300</v>
      </c>
    </row>
    <row r="2411" spans="1:9" x14ac:dyDescent="0.2">
      <c r="A2411" s="40" t="s">
        <v>201</v>
      </c>
      <c r="B2411" s="28">
        <v>3041</v>
      </c>
      <c r="C2411" s="28">
        <v>10736328</v>
      </c>
      <c r="D2411" s="28"/>
      <c r="E2411" s="41">
        <v>46167</v>
      </c>
      <c r="F2411" s="47">
        <v>0.7707060185185185</v>
      </c>
      <c r="G2411" s="44">
        <v>6.3</v>
      </c>
      <c r="H2411" s="43" t="s">
        <v>230</v>
      </c>
      <c r="I2411" s="40" t="s">
        <v>1300</v>
      </c>
    </row>
    <row r="2412" spans="1:9" x14ac:dyDescent="0.2">
      <c r="A2412" s="40" t="s">
        <v>201</v>
      </c>
      <c r="B2412" s="28">
        <v>3041</v>
      </c>
      <c r="C2412" s="28">
        <v>10736328</v>
      </c>
      <c r="D2412" s="28"/>
      <c r="E2412" s="45">
        <v>46167</v>
      </c>
      <c r="F2412" s="48">
        <v>0.78751157407407413</v>
      </c>
      <c r="G2412" s="44">
        <v>6.3</v>
      </c>
      <c r="H2412" s="43" t="s">
        <v>227</v>
      </c>
      <c r="I2412" s="40" t="s">
        <v>1300</v>
      </c>
    </row>
    <row r="2413" spans="1:9" x14ac:dyDescent="0.2">
      <c r="A2413" s="40" t="s">
        <v>201</v>
      </c>
      <c r="B2413" s="28">
        <v>3041</v>
      </c>
      <c r="C2413" s="28" t="s">
        <v>782</v>
      </c>
      <c r="D2413" s="28"/>
      <c r="E2413" s="41">
        <v>46167</v>
      </c>
      <c r="F2413" s="47">
        <v>0.83486111111111116</v>
      </c>
      <c r="G2413" s="44">
        <v>6.3</v>
      </c>
      <c r="H2413" s="43" t="s">
        <v>228</v>
      </c>
      <c r="I2413" s="40" t="s">
        <v>1300</v>
      </c>
    </row>
    <row r="2414" spans="1:9" x14ac:dyDescent="0.2">
      <c r="A2414" s="40" t="s">
        <v>201</v>
      </c>
      <c r="B2414" s="28">
        <v>3041</v>
      </c>
      <c r="C2414" s="28" t="s">
        <v>782</v>
      </c>
      <c r="D2414" s="28"/>
      <c r="E2414" s="41">
        <v>46167</v>
      </c>
      <c r="F2414" s="47">
        <v>0.84530092592592587</v>
      </c>
      <c r="G2414" s="44">
        <v>6.3</v>
      </c>
      <c r="H2414" s="43" t="s">
        <v>229</v>
      </c>
      <c r="I2414" s="40" t="s">
        <v>1300</v>
      </c>
    </row>
    <row r="2415" spans="1:9" x14ac:dyDescent="0.2">
      <c r="A2415" s="40" t="s">
        <v>201</v>
      </c>
      <c r="B2415" s="28">
        <v>3041</v>
      </c>
      <c r="C2415" s="28" t="s">
        <v>35</v>
      </c>
      <c r="D2415" s="28" t="s">
        <v>38</v>
      </c>
      <c r="E2415" s="41">
        <v>46167</v>
      </c>
      <c r="F2415" s="47">
        <v>0.8727893518518518</v>
      </c>
      <c r="G2415" s="42">
        <v>6.3</v>
      </c>
      <c r="H2415" s="40" t="s">
        <v>230</v>
      </c>
      <c r="I2415" s="40" t="s">
        <v>1300</v>
      </c>
    </row>
    <row r="2416" spans="1:9" x14ac:dyDescent="0.2">
      <c r="A2416" s="40" t="s">
        <v>201</v>
      </c>
      <c r="B2416" s="28">
        <v>3041</v>
      </c>
      <c r="C2416" s="28" t="s">
        <v>35</v>
      </c>
      <c r="D2416" s="28" t="s">
        <v>38</v>
      </c>
      <c r="E2416" s="41">
        <v>46167</v>
      </c>
      <c r="F2416" s="47">
        <v>0.87877314814814811</v>
      </c>
      <c r="G2416" s="42">
        <v>6.3</v>
      </c>
      <c r="H2416" s="40" t="s">
        <v>227</v>
      </c>
      <c r="I2416" s="40" t="s">
        <v>1300</v>
      </c>
    </row>
    <row r="2417" spans="1:9" x14ac:dyDescent="0.2">
      <c r="A2417" s="40" t="s">
        <v>201</v>
      </c>
      <c r="B2417" s="28">
        <v>3041</v>
      </c>
      <c r="C2417" s="28">
        <v>10744248</v>
      </c>
      <c r="D2417" s="28"/>
      <c r="E2417" s="41">
        <v>46168</v>
      </c>
      <c r="F2417" s="47">
        <v>0.40748842592592593</v>
      </c>
      <c r="G2417" s="44">
        <v>6.3</v>
      </c>
      <c r="H2417" s="43" t="s">
        <v>231</v>
      </c>
      <c r="I2417" s="40" t="s">
        <v>1300</v>
      </c>
    </row>
    <row r="2418" spans="1:9" x14ac:dyDescent="0.2">
      <c r="A2418" s="40" t="s">
        <v>201</v>
      </c>
      <c r="B2418" s="28">
        <v>3041</v>
      </c>
      <c r="C2418" s="28">
        <v>10744248</v>
      </c>
      <c r="D2418" s="28" t="s">
        <v>36</v>
      </c>
      <c r="E2418" s="45">
        <v>46168</v>
      </c>
      <c r="F2418" s="48">
        <v>0.4135300925925926</v>
      </c>
      <c r="G2418" s="44">
        <v>6.3</v>
      </c>
      <c r="H2418" s="43" t="s">
        <v>227</v>
      </c>
      <c r="I2418" s="40" t="s">
        <v>1300</v>
      </c>
    </row>
    <row r="2419" spans="1:9" x14ac:dyDescent="0.2">
      <c r="A2419" s="40" t="s">
        <v>201</v>
      </c>
      <c r="B2419" s="28">
        <v>3041</v>
      </c>
      <c r="C2419" s="28" t="s">
        <v>783</v>
      </c>
      <c r="D2419" s="28"/>
      <c r="E2419" s="41">
        <v>46169</v>
      </c>
      <c r="F2419" s="47">
        <v>0.61012731481481486</v>
      </c>
      <c r="G2419" s="44">
        <v>6.3</v>
      </c>
      <c r="H2419" s="43" t="s">
        <v>228</v>
      </c>
      <c r="I2419" s="40" t="s">
        <v>1300</v>
      </c>
    </row>
    <row r="2420" spans="1:9" x14ac:dyDescent="0.2">
      <c r="A2420" s="40" t="s">
        <v>201</v>
      </c>
      <c r="B2420" s="28">
        <v>3041</v>
      </c>
      <c r="C2420" s="28" t="s">
        <v>783</v>
      </c>
      <c r="D2420" s="28"/>
      <c r="E2420" s="41">
        <v>46169</v>
      </c>
      <c r="F2420" s="47">
        <v>0.62035879629629631</v>
      </c>
      <c r="G2420" s="44">
        <v>6.3</v>
      </c>
      <c r="H2420" s="43" t="s">
        <v>229</v>
      </c>
      <c r="I2420" s="40" t="s">
        <v>1300</v>
      </c>
    </row>
    <row r="2421" spans="1:9" x14ac:dyDescent="0.2">
      <c r="A2421" s="40" t="s">
        <v>201</v>
      </c>
      <c r="B2421" s="28">
        <v>3041</v>
      </c>
      <c r="C2421" s="28">
        <v>10751833</v>
      </c>
      <c r="D2421" s="28"/>
      <c r="E2421" s="41">
        <v>46169</v>
      </c>
      <c r="F2421" s="47">
        <v>0.77755787037037039</v>
      </c>
      <c r="G2421" s="44">
        <v>6.3</v>
      </c>
      <c r="H2421" s="43" t="s">
        <v>230</v>
      </c>
      <c r="I2421" s="40" t="s">
        <v>1300</v>
      </c>
    </row>
    <row r="2422" spans="1:9" x14ac:dyDescent="0.2">
      <c r="A2422" s="40" t="s">
        <v>201</v>
      </c>
      <c r="B2422" s="28">
        <v>3041</v>
      </c>
      <c r="C2422" s="28">
        <v>10751833</v>
      </c>
      <c r="D2422" s="28"/>
      <c r="E2422" s="45">
        <v>46169</v>
      </c>
      <c r="F2422" s="48">
        <v>0.79740740740740745</v>
      </c>
      <c r="G2422" s="44">
        <v>6.3</v>
      </c>
      <c r="H2422" s="43" t="s">
        <v>227</v>
      </c>
      <c r="I2422" s="40" t="s">
        <v>1300</v>
      </c>
    </row>
    <row r="2423" spans="1:9" x14ac:dyDescent="0.2">
      <c r="A2423" s="40" t="s">
        <v>201</v>
      </c>
      <c r="B2423" s="28">
        <v>3041</v>
      </c>
      <c r="C2423" s="28">
        <v>10751684</v>
      </c>
      <c r="D2423" s="28"/>
      <c r="E2423" s="45">
        <v>46169</v>
      </c>
      <c r="F2423" s="48">
        <v>0.85969907407407409</v>
      </c>
      <c r="G2423" s="44">
        <v>6.3</v>
      </c>
      <c r="H2423" s="43" t="s">
        <v>228</v>
      </c>
      <c r="I2423" s="40" t="s">
        <v>1300</v>
      </c>
    </row>
    <row r="2424" spans="1:9" x14ac:dyDescent="0.2">
      <c r="A2424" s="40" t="s">
        <v>201</v>
      </c>
      <c r="B2424" s="28">
        <v>3041</v>
      </c>
      <c r="C2424" s="28" t="s">
        <v>35</v>
      </c>
      <c r="D2424" s="28" t="s">
        <v>38</v>
      </c>
      <c r="E2424" s="45">
        <v>46169</v>
      </c>
      <c r="F2424" s="48">
        <v>0.86699074074074078</v>
      </c>
      <c r="G2424" s="44">
        <v>6.3</v>
      </c>
      <c r="H2424" s="43" t="s">
        <v>229</v>
      </c>
      <c r="I2424" s="40" t="s">
        <v>1300</v>
      </c>
    </row>
    <row r="2425" spans="1:9" x14ac:dyDescent="0.2">
      <c r="A2425" s="40" t="s">
        <v>201</v>
      </c>
      <c r="B2425" s="28">
        <v>3041</v>
      </c>
      <c r="C2425" s="28" t="s">
        <v>35</v>
      </c>
      <c r="D2425" s="28" t="s">
        <v>38</v>
      </c>
      <c r="E2425" s="41">
        <v>46169</v>
      </c>
      <c r="F2425" s="47">
        <v>0.91978009259259264</v>
      </c>
      <c r="G2425" s="44">
        <v>6.3</v>
      </c>
      <c r="H2425" s="43" t="s">
        <v>230</v>
      </c>
      <c r="I2425" s="40" t="s">
        <v>1300</v>
      </c>
    </row>
    <row r="2426" spans="1:9" x14ac:dyDescent="0.2">
      <c r="A2426" s="40" t="s">
        <v>201</v>
      </c>
      <c r="B2426" s="28">
        <v>3041</v>
      </c>
      <c r="C2426" s="28">
        <v>10765533</v>
      </c>
      <c r="D2426" s="28" t="s">
        <v>36</v>
      </c>
      <c r="E2426" s="41">
        <v>46171</v>
      </c>
      <c r="F2426" s="47">
        <v>0.61758101851851854</v>
      </c>
      <c r="G2426" s="44">
        <v>6.3</v>
      </c>
      <c r="H2426" s="43" t="s">
        <v>232</v>
      </c>
      <c r="I2426" s="40" t="s">
        <v>1300</v>
      </c>
    </row>
    <row r="2427" spans="1:9" x14ac:dyDescent="0.2">
      <c r="A2427" s="40" t="s">
        <v>201</v>
      </c>
      <c r="B2427" s="28">
        <v>3041</v>
      </c>
      <c r="C2427" s="28" t="s">
        <v>784</v>
      </c>
      <c r="D2427" s="28"/>
      <c r="E2427" s="41">
        <v>46171</v>
      </c>
      <c r="F2427" s="47">
        <v>0.69116898148148154</v>
      </c>
      <c r="G2427" s="44">
        <v>6.3</v>
      </c>
      <c r="H2427" s="43" t="s">
        <v>230</v>
      </c>
      <c r="I2427" s="40" t="s">
        <v>1300</v>
      </c>
    </row>
    <row r="2428" spans="1:9" x14ac:dyDescent="0.2">
      <c r="A2428" s="40" t="s">
        <v>201</v>
      </c>
      <c r="B2428" s="28">
        <v>3041</v>
      </c>
      <c r="C2428" s="28" t="s">
        <v>784</v>
      </c>
      <c r="D2428" s="28"/>
      <c r="E2428" s="41">
        <v>46171</v>
      </c>
      <c r="F2428" s="47">
        <v>0.72446759259259264</v>
      </c>
      <c r="G2428" s="44">
        <v>6.3</v>
      </c>
      <c r="H2428" s="43" t="s">
        <v>227</v>
      </c>
      <c r="I2428" s="40" t="s">
        <v>1300</v>
      </c>
    </row>
    <row r="2429" spans="1:9" x14ac:dyDescent="0.2">
      <c r="A2429" s="40" t="s">
        <v>201</v>
      </c>
      <c r="B2429" s="28">
        <v>3041</v>
      </c>
      <c r="C2429" s="28" t="s">
        <v>785</v>
      </c>
      <c r="D2429" s="28"/>
      <c r="E2429" s="41">
        <v>46171</v>
      </c>
      <c r="F2429" s="47">
        <v>0.77785879629629628</v>
      </c>
      <c r="G2429" s="44">
        <v>6.3</v>
      </c>
      <c r="H2429" s="43" t="s">
        <v>228</v>
      </c>
      <c r="I2429" s="40" t="s">
        <v>1300</v>
      </c>
    </row>
    <row r="2430" spans="1:9" x14ac:dyDescent="0.2">
      <c r="A2430" s="40" t="s">
        <v>201</v>
      </c>
      <c r="B2430" s="28">
        <v>3041</v>
      </c>
      <c r="C2430" s="28" t="s">
        <v>785</v>
      </c>
      <c r="D2430" s="28"/>
      <c r="E2430" s="41">
        <v>46171</v>
      </c>
      <c r="F2430" s="47">
        <v>0.78890046296296301</v>
      </c>
      <c r="G2430" s="44">
        <v>6.3</v>
      </c>
      <c r="H2430" s="43" t="s">
        <v>229</v>
      </c>
      <c r="I2430" s="40" t="s">
        <v>1300</v>
      </c>
    </row>
    <row r="2431" spans="1:9" x14ac:dyDescent="0.2">
      <c r="A2431" s="40" t="s">
        <v>201</v>
      </c>
      <c r="B2431" s="28">
        <v>3041</v>
      </c>
      <c r="C2431" s="28" t="s">
        <v>786</v>
      </c>
      <c r="D2431" s="28"/>
      <c r="E2431" s="41">
        <v>46172</v>
      </c>
      <c r="F2431" s="47">
        <v>0.56797453703703704</v>
      </c>
      <c r="G2431" s="44">
        <v>6.3</v>
      </c>
      <c r="H2431" s="43" t="s">
        <v>226</v>
      </c>
      <c r="I2431" s="40" t="s">
        <v>1300</v>
      </c>
    </row>
    <row r="2432" spans="1:9" x14ac:dyDescent="0.2">
      <c r="A2432" s="40" t="s">
        <v>201</v>
      </c>
      <c r="B2432" s="28">
        <v>3041</v>
      </c>
      <c r="C2432" s="28" t="s">
        <v>786</v>
      </c>
      <c r="D2432" s="28"/>
      <c r="E2432" s="41">
        <v>46172</v>
      </c>
      <c r="F2432" s="47">
        <v>0.59818287037037032</v>
      </c>
      <c r="G2432" s="44">
        <v>6.3</v>
      </c>
      <c r="H2432" s="43" t="s">
        <v>227</v>
      </c>
      <c r="I2432" s="40" t="s">
        <v>1300</v>
      </c>
    </row>
    <row r="2433" spans="1:9" x14ac:dyDescent="0.2">
      <c r="A2433" s="40" t="s">
        <v>201</v>
      </c>
      <c r="B2433" s="28">
        <v>3041</v>
      </c>
      <c r="C2433" s="28" t="s">
        <v>787</v>
      </c>
      <c r="D2433" s="28"/>
      <c r="E2433" s="41">
        <v>46172</v>
      </c>
      <c r="F2433" s="47">
        <v>0.63997685185185182</v>
      </c>
      <c r="G2433" s="44">
        <v>6.3</v>
      </c>
      <c r="H2433" s="43" t="s">
        <v>228</v>
      </c>
      <c r="I2433" s="40" t="s">
        <v>1300</v>
      </c>
    </row>
    <row r="2434" spans="1:9" x14ac:dyDescent="0.2">
      <c r="A2434" s="40" t="s">
        <v>201</v>
      </c>
      <c r="B2434" s="28">
        <v>3041</v>
      </c>
      <c r="C2434" s="28" t="s">
        <v>787</v>
      </c>
      <c r="D2434" s="28"/>
      <c r="E2434" s="41">
        <v>46172</v>
      </c>
      <c r="F2434" s="47">
        <v>0.6516319444444445</v>
      </c>
      <c r="G2434" s="44">
        <v>6.3</v>
      </c>
      <c r="H2434" s="43" t="s">
        <v>229</v>
      </c>
      <c r="I2434" s="40" t="s">
        <v>1300</v>
      </c>
    </row>
    <row r="2435" spans="1:9" x14ac:dyDescent="0.2">
      <c r="A2435" s="40" t="s">
        <v>201</v>
      </c>
      <c r="B2435" s="28">
        <v>3041</v>
      </c>
      <c r="C2435" s="28" t="s">
        <v>788</v>
      </c>
      <c r="D2435" s="28"/>
      <c r="E2435" s="41">
        <v>46172</v>
      </c>
      <c r="F2435" s="47">
        <v>0.70096064814814818</v>
      </c>
      <c r="G2435" s="44">
        <v>6.3</v>
      </c>
      <c r="H2435" s="43" t="s">
        <v>230</v>
      </c>
      <c r="I2435" s="40" t="s">
        <v>1300</v>
      </c>
    </row>
    <row r="2436" spans="1:9" x14ac:dyDescent="0.2">
      <c r="A2436" s="40" t="s">
        <v>201</v>
      </c>
      <c r="B2436" s="28">
        <v>3041</v>
      </c>
      <c r="C2436" s="28" t="s">
        <v>788</v>
      </c>
      <c r="D2436" s="28"/>
      <c r="E2436" s="41">
        <v>46172</v>
      </c>
      <c r="F2436" s="47">
        <v>0.71953703703703709</v>
      </c>
      <c r="G2436" s="44">
        <v>6.3</v>
      </c>
      <c r="H2436" s="43" t="s">
        <v>227</v>
      </c>
      <c r="I2436" s="40" t="s">
        <v>1300</v>
      </c>
    </row>
    <row r="2437" spans="1:9" x14ac:dyDescent="0.2">
      <c r="A2437" s="40" t="s">
        <v>93</v>
      </c>
      <c r="B2437" s="28">
        <v>3047</v>
      </c>
      <c r="C2437" s="28" t="s">
        <v>789</v>
      </c>
      <c r="D2437" s="28"/>
      <c r="E2437" s="45">
        <v>46170</v>
      </c>
      <c r="F2437" s="48">
        <v>0.24695601851851851</v>
      </c>
      <c r="G2437" s="44">
        <v>6.3</v>
      </c>
      <c r="H2437" s="43" t="s">
        <v>228</v>
      </c>
      <c r="I2437" s="40" t="s">
        <v>1300</v>
      </c>
    </row>
    <row r="2438" spans="1:9" x14ac:dyDescent="0.2">
      <c r="A2438" s="40" t="s">
        <v>93</v>
      </c>
      <c r="B2438" s="28">
        <v>3047</v>
      </c>
      <c r="C2438" s="28" t="s">
        <v>789</v>
      </c>
      <c r="D2438" s="28"/>
      <c r="E2438" s="41">
        <v>46170</v>
      </c>
      <c r="F2438" s="47">
        <v>0.25596064814814817</v>
      </c>
      <c r="G2438" s="42">
        <v>6.3</v>
      </c>
      <c r="H2438" s="40" t="s">
        <v>232</v>
      </c>
      <c r="I2438" s="40" t="s">
        <v>1300</v>
      </c>
    </row>
    <row r="2439" spans="1:9" x14ac:dyDescent="0.2">
      <c r="A2439" s="40" t="s">
        <v>93</v>
      </c>
      <c r="B2439" s="28">
        <v>3047</v>
      </c>
      <c r="C2439" s="28">
        <v>10758977</v>
      </c>
      <c r="D2439" s="28"/>
      <c r="E2439" s="41">
        <v>46170</v>
      </c>
      <c r="F2439" s="47">
        <v>0.32710648148148147</v>
      </c>
      <c r="G2439" s="42">
        <v>6.3</v>
      </c>
      <c r="H2439" s="40" t="s">
        <v>230</v>
      </c>
      <c r="I2439" s="40" t="s">
        <v>1300</v>
      </c>
    </row>
    <row r="2440" spans="1:9" x14ac:dyDescent="0.2">
      <c r="A2440" s="40" t="s">
        <v>93</v>
      </c>
      <c r="B2440" s="28">
        <v>3047</v>
      </c>
      <c r="C2440" s="28">
        <v>10758977</v>
      </c>
      <c r="D2440" s="28"/>
      <c r="E2440" s="41">
        <v>46170</v>
      </c>
      <c r="F2440" s="47">
        <v>0.33728009259259262</v>
      </c>
      <c r="G2440" s="42">
        <v>6.3</v>
      </c>
      <c r="H2440" s="40" t="s">
        <v>227</v>
      </c>
      <c r="I2440" s="40" t="s">
        <v>1300</v>
      </c>
    </row>
    <row r="2441" spans="1:9" x14ac:dyDescent="0.2">
      <c r="A2441" s="40" t="s">
        <v>93</v>
      </c>
      <c r="B2441" s="28">
        <v>3047</v>
      </c>
      <c r="C2441" s="28">
        <v>10758577</v>
      </c>
      <c r="D2441" s="28"/>
      <c r="E2441" s="41">
        <v>46170</v>
      </c>
      <c r="F2441" s="47">
        <v>0.38180555555555556</v>
      </c>
      <c r="G2441" s="42">
        <v>6.3</v>
      </c>
      <c r="H2441" s="40" t="s">
        <v>228</v>
      </c>
      <c r="I2441" s="40" t="s">
        <v>1300</v>
      </c>
    </row>
    <row r="2442" spans="1:9" x14ac:dyDescent="0.2">
      <c r="A2442" s="40" t="s">
        <v>93</v>
      </c>
      <c r="B2442" s="28">
        <v>3047</v>
      </c>
      <c r="C2442" s="28">
        <v>10758577</v>
      </c>
      <c r="D2442" s="28"/>
      <c r="E2442" s="45">
        <v>46170</v>
      </c>
      <c r="F2442" s="48">
        <v>0.39880787037037035</v>
      </c>
      <c r="G2442" s="42">
        <v>6.3</v>
      </c>
      <c r="H2442" s="40" t="s">
        <v>229</v>
      </c>
      <c r="I2442" s="40" t="s">
        <v>1300</v>
      </c>
    </row>
    <row r="2443" spans="1:9" x14ac:dyDescent="0.2">
      <c r="A2443" s="40" t="s">
        <v>93</v>
      </c>
      <c r="B2443" s="28">
        <v>3047</v>
      </c>
      <c r="C2443" s="28">
        <v>10772605</v>
      </c>
      <c r="D2443" s="28"/>
      <c r="E2443" s="41">
        <v>46172</v>
      </c>
      <c r="F2443" s="47">
        <v>0.3263888888888889</v>
      </c>
      <c r="G2443" s="42">
        <v>6.3</v>
      </c>
      <c r="H2443" s="40" t="s">
        <v>230</v>
      </c>
      <c r="I2443" s="40" t="s">
        <v>1300</v>
      </c>
    </row>
    <row r="2444" spans="1:9" x14ac:dyDescent="0.2">
      <c r="A2444" s="40" t="s">
        <v>425</v>
      </c>
      <c r="B2444" s="28">
        <v>3049</v>
      </c>
      <c r="C2444" s="28" t="s">
        <v>35</v>
      </c>
      <c r="D2444" s="28" t="s">
        <v>38</v>
      </c>
      <c r="E2444" s="41">
        <v>46169</v>
      </c>
      <c r="F2444" s="47">
        <v>0.51149305555555558</v>
      </c>
      <c r="G2444" s="42">
        <v>6.3</v>
      </c>
      <c r="H2444" s="40" t="s">
        <v>226</v>
      </c>
      <c r="I2444" s="40" t="s">
        <v>1300</v>
      </c>
    </row>
    <row r="2445" spans="1:9" x14ac:dyDescent="0.2">
      <c r="A2445" s="40" t="s">
        <v>425</v>
      </c>
      <c r="B2445" s="28">
        <v>3049</v>
      </c>
      <c r="C2445" s="28">
        <v>5689628</v>
      </c>
      <c r="D2445" s="28"/>
      <c r="E2445" s="45">
        <v>46169</v>
      </c>
      <c r="F2445" s="48">
        <v>0.60893518518518519</v>
      </c>
      <c r="G2445" s="44">
        <v>6.3</v>
      </c>
      <c r="H2445" s="43" t="s">
        <v>232</v>
      </c>
      <c r="I2445" s="40" t="s">
        <v>1300</v>
      </c>
    </row>
    <row r="2446" spans="1:9" x14ac:dyDescent="0.2">
      <c r="A2446" s="40" t="s">
        <v>425</v>
      </c>
      <c r="B2446" s="28">
        <v>3049</v>
      </c>
      <c r="C2446" s="28" t="s">
        <v>35</v>
      </c>
      <c r="D2446" s="28" t="s">
        <v>38</v>
      </c>
      <c r="E2446" s="41">
        <v>46171</v>
      </c>
      <c r="F2446" s="47">
        <v>0.76223379629629628</v>
      </c>
      <c r="G2446" s="44">
        <v>6.3</v>
      </c>
      <c r="H2446" s="43" t="s">
        <v>232</v>
      </c>
      <c r="I2446" s="40" t="s">
        <v>1300</v>
      </c>
    </row>
    <row r="2447" spans="1:9" x14ac:dyDescent="0.2">
      <c r="A2447" s="40" t="s">
        <v>270</v>
      </c>
      <c r="B2447" s="28">
        <v>3061</v>
      </c>
      <c r="C2447" s="28">
        <v>10756277</v>
      </c>
      <c r="D2447" s="28" t="s">
        <v>36</v>
      </c>
      <c r="E2447" s="41">
        <v>46169</v>
      </c>
      <c r="F2447" s="47">
        <v>0.50869212962962962</v>
      </c>
      <c r="G2447" s="44">
        <v>6.3</v>
      </c>
      <c r="H2447" s="43" t="s">
        <v>230</v>
      </c>
      <c r="I2447" s="40" t="s">
        <v>1300</v>
      </c>
    </row>
    <row r="2448" spans="1:9" x14ac:dyDescent="0.2">
      <c r="A2448" s="40" t="s">
        <v>270</v>
      </c>
      <c r="B2448" s="28">
        <v>3061</v>
      </c>
      <c r="C2448" s="28">
        <v>10753275</v>
      </c>
      <c r="D2448" s="28" t="s">
        <v>36</v>
      </c>
      <c r="E2448" s="41">
        <v>46169</v>
      </c>
      <c r="F2448" s="47">
        <v>0.51450231481481479</v>
      </c>
      <c r="G2448" s="44">
        <v>6.3</v>
      </c>
      <c r="H2448" s="43" t="s">
        <v>227</v>
      </c>
      <c r="I2448" s="40" t="s">
        <v>1300</v>
      </c>
    </row>
    <row r="2449" spans="1:9" x14ac:dyDescent="0.2">
      <c r="A2449" s="40" t="s">
        <v>270</v>
      </c>
      <c r="B2449" s="28">
        <v>3061</v>
      </c>
      <c r="C2449" s="28">
        <v>10758566</v>
      </c>
      <c r="D2449" s="28" t="s">
        <v>36</v>
      </c>
      <c r="E2449" s="41">
        <v>46170</v>
      </c>
      <c r="F2449" s="47">
        <v>0.36594907407407407</v>
      </c>
      <c r="G2449" s="44">
        <v>6.3</v>
      </c>
      <c r="H2449" s="43" t="s">
        <v>228</v>
      </c>
      <c r="I2449" s="40" t="s">
        <v>1300</v>
      </c>
    </row>
    <row r="2450" spans="1:9" x14ac:dyDescent="0.2">
      <c r="A2450" s="40" t="s">
        <v>270</v>
      </c>
      <c r="B2450" s="28">
        <v>3061</v>
      </c>
      <c r="C2450" s="28">
        <v>10758566</v>
      </c>
      <c r="D2450" s="28" t="s">
        <v>36</v>
      </c>
      <c r="E2450" s="41">
        <v>46170</v>
      </c>
      <c r="F2450" s="47">
        <v>0.38361111111111112</v>
      </c>
      <c r="G2450" s="44">
        <v>6.3</v>
      </c>
      <c r="H2450" s="43" t="s">
        <v>229</v>
      </c>
      <c r="I2450" s="40" t="s">
        <v>1300</v>
      </c>
    </row>
    <row r="2451" spans="1:9" x14ac:dyDescent="0.2">
      <c r="A2451" s="40" t="s">
        <v>270</v>
      </c>
      <c r="B2451" s="28">
        <v>3061</v>
      </c>
      <c r="C2451" s="28">
        <v>10759071</v>
      </c>
      <c r="D2451" s="28"/>
      <c r="E2451" s="41">
        <v>46170</v>
      </c>
      <c r="F2451" s="47">
        <v>0.50107638888888884</v>
      </c>
      <c r="G2451" s="44">
        <v>6.3</v>
      </c>
      <c r="H2451" s="43" t="s">
        <v>230</v>
      </c>
      <c r="I2451" s="40" t="s">
        <v>1300</v>
      </c>
    </row>
    <row r="2452" spans="1:9" x14ac:dyDescent="0.2">
      <c r="A2452" s="40" t="s">
        <v>270</v>
      </c>
      <c r="B2452" s="28">
        <v>3061</v>
      </c>
      <c r="C2452" s="28">
        <v>10759071</v>
      </c>
      <c r="D2452" s="28"/>
      <c r="E2452" s="41">
        <v>46170</v>
      </c>
      <c r="F2452" s="47">
        <v>0.50746527777777772</v>
      </c>
      <c r="G2452" s="44">
        <v>6.3</v>
      </c>
      <c r="H2452" s="43" t="s">
        <v>227</v>
      </c>
      <c r="I2452" s="40" t="s">
        <v>1300</v>
      </c>
    </row>
    <row r="2453" spans="1:9" x14ac:dyDescent="0.2">
      <c r="A2453" s="40" t="s">
        <v>270</v>
      </c>
      <c r="B2453" s="28">
        <v>3061</v>
      </c>
      <c r="C2453" s="28">
        <v>10765539</v>
      </c>
      <c r="D2453" s="28" t="s">
        <v>36</v>
      </c>
      <c r="E2453" s="45">
        <v>46171</v>
      </c>
      <c r="F2453" s="48">
        <v>0.34716435185185185</v>
      </c>
      <c r="G2453" s="44">
        <v>6.3</v>
      </c>
      <c r="H2453" s="43" t="s">
        <v>228</v>
      </c>
      <c r="I2453" s="40" t="s">
        <v>1300</v>
      </c>
    </row>
    <row r="2454" spans="1:9" x14ac:dyDescent="0.2">
      <c r="A2454" s="40" t="s">
        <v>270</v>
      </c>
      <c r="B2454" s="28">
        <v>3061</v>
      </c>
      <c r="C2454" s="28">
        <v>10765539</v>
      </c>
      <c r="D2454" s="28" t="s">
        <v>36</v>
      </c>
      <c r="E2454" s="41">
        <v>46171</v>
      </c>
      <c r="F2454" s="47">
        <v>0.36045138888888889</v>
      </c>
      <c r="G2454" s="44">
        <v>6.3</v>
      </c>
      <c r="H2454" s="43" t="s">
        <v>229</v>
      </c>
      <c r="I2454" s="40" t="s">
        <v>1300</v>
      </c>
    </row>
    <row r="2455" spans="1:9" x14ac:dyDescent="0.2">
      <c r="A2455" s="40" t="s">
        <v>321</v>
      </c>
      <c r="B2455" s="28">
        <v>3070</v>
      </c>
      <c r="C2455" s="28">
        <v>10736334</v>
      </c>
      <c r="D2455" s="28"/>
      <c r="E2455" s="45">
        <v>46167</v>
      </c>
      <c r="F2455" s="48">
        <v>0.51146990740740739</v>
      </c>
      <c r="G2455" s="44">
        <v>6.3</v>
      </c>
      <c r="H2455" s="43" t="s">
        <v>230</v>
      </c>
      <c r="I2455" s="40" t="s">
        <v>1300</v>
      </c>
    </row>
    <row r="2456" spans="1:9" x14ac:dyDescent="0.2">
      <c r="A2456" s="40" t="s">
        <v>321</v>
      </c>
      <c r="B2456" s="28">
        <v>3070</v>
      </c>
      <c r="C2456" s="28">
        <v>10736334</v>
      </c>
      <c r="D2456" s="28"/>
      <c r="E2456" s="41">
        <v>46167</v>
      </c>
      <c r="F2456" s="47">
        <v>0.51791666666666669</v>
      </c>
      <c r="G2456" s="44">
        <v>6.3</v>
      </c>
      <c r="H2456" s="43" t="s">
        <v>227</v>
      </c>
      <c r="I2456" s="40" t="s">
        <v>1300</v>
      </c>
    </row>
    <row r="2457" spans="1:9" x14ac:dyDescent="0.2">
      <c r="A2457" s="40" t="s">
        <v>321</v>
      </c>
      <c r="B2457" s="28">
        <v>3070</v>
      </c>
      <c r="C2457" s="28" t="s">
        <v>790</v>
      </c>
      <c r="D2457" s="28"/>
      <c r="E2457" s="41">
        <v>46168</v>
      </c>
      <c r="F2457" s="47">
        <v>0.24559027777777778</v>
      </c>
      <c r="G2457" s="44">
        <v>6.3</v>
      </c>
      <c r="H2457" s="43" t="s">
        <v>228</v>
      </c>
      <c r="I2457" s="40" t="s">
        <v>1300</v>
      </c>
    </row>
    <row r="2458" spans="1:9" x14ac:dyDescent="0.2">
      <c r="A2458" s="40" t="s">
        <v>321</v>
      </c>
      <c r="B2458" s="28">
        <v>3070</v>
      </c>
      <c r="C2458" s="28" t="s">
        <v>790</v>
      </c>
      <c r="D2458" s="28"/>
      <c r="E2458" s="41">
        <v>46168</v>
      </c>
      <c r="F2458" s="47">
        <v>0.26165509259259262</v>
      </c>
      <c r="G2458" s="44">
        <v>6.3</v>
      </c>
      <c r="H2458" s="43" t="s">
        <v>229</v>
      </c>
      <c r="I2458" s="40" t="s">
        <v>1300</v>
      </c>
    </row>
    <row r="2459" spans="1:9" x14ac:dyDescent="0.2">
      <c r="A2459" s="40" t="s">
        <v>321</v>
      </c>
      <c r="B2459" s="28">
        <v>3070</v>
      </c>
      <c r="C2459" s="28">
        <v>10744269</v>
      </c>
      <c r="D2459" s="28"/>
      <c r="E2459" s="41">
        <v>46168</v>
      </c>
      <c r="F2459" s="47">
        <v>0.32512731481481483</v>
      </c>
      <c r="G2459" s="44">
        <v>6.3</v>
      </c>
      <c r="H2459" s="43" t="s">
        <v>230</v>
      </c>
      <c r="I2459" s="40" t="s">
        <v>1300</v>
      </c>
    </row>
    <row r="2460" spans="1:9" x14ac:dyDescent="0.2">
      <c r="A2460" s="40" t="s">
        <v>321</v>
      </c>
      <c r="B2460" s="28">
        <v>3070</v>
      </c>
      <c r="C2460" s="28">
        <v>10744269</v>
      </c>
      <c r="D2460" s="28"/>
      <c r="E2460" s="41">
        <v>46168</v>
      </c>
      <c r="F2460" s="47">
        <v>0.33359953703703704</v>
      </c>
      <c r="G2460" s="44">
        <v>6.3</v>
      </c>
      <c r="H2460" s="43" t="s">
        <v>227</v>
      </c>
      <c r="I2460" s="40" t="s">
        <v>1300</v>
      </c>
    </row>
    <row r="2461" spans="1:9" x14ac:dyDescent="0.2">
      <c r="A2461" s="40" t="s">
        <v>321</v>
      </c>
      <c r="B2461" s="28">
        <v>3070</v>
      </c>
      <c r="C2461" s="28">
        <v>10758830</v>
      </c>
      <c r="D2461" s="28"/>
      <c r="E2461" s="41">
        <v>46170</v>
      </c>
      <c r="F2461" s="47">
        <v>0.18490740740740741</v>
      </c>
      <c r="G2461" s="44">
        <v>6.3</v>
      </c>
      <c r="H2461" s="43" t="s">
        <v>230</v>
      </c>
      <c r="I2461" s="40" t="s">
        <v>1300</v>
      </c>
    </row>
    <row r="2462" spans="1:9" x14ac:dyDescent="0.2">
      <c r="A2462" s="40" t="s">
        <v>321</v>
      </c>
      <c r="B2462" s="28">
        <v>3070</v>
      </c>
      <c r="C2462" s="28">
        <v>10758830</v>
      </c>
      <c r="D2462" s="28"/>
      <c r="E2462" s="41">
        <v>46170</v>
      </c>
      <c r="F2462" s="47">
        <v>0.1907638888888889</v>
      </c>
      <c r="G2462" s="44">
        <v>6.3</v>
      </c>
      <c r="H2462" s="43" t="s">
        <v>227</v>
      </c>
      <c r="I2462" s="40" t="s">
        <v>1300</v>
      </c>
    </row>
    <row r="2463" spans="1:9" x14ac:dyDescent="0.2">
      <c r="A2463" s="40" t="s">
        <v>321</v>
      </c>
      <c r="B2463" s="28">
        <v>3070</v>
      </c>
      <c r="C2463" s="28">
        <v>10766069</v>
      </c>
      <c r="D2463" s="28"/>
      <c r="E2463" s="41">
        <v>46171</v>
      </c>
      <c r="F2463" s="47">
        <v>0.26936342592592594</v>
      </c>
      <c r="G2463" s="44">
        <v>6.3</v>
      </c>
      <c r="H2463" s="43" t="s">
        <v>227</v>
      </c>
      <c r="I2463" s="40" t="s">
        <v>1300</v>
      </c>
    </row>
    <row r="2464" spans="1:9" x14ac:dyDescent="0.2">
      <c r="A2464" s="40" t="s">
        <v>200</v>
      </c>
      <c r="B2464" s="28">
        <v>3079</v>
      </c>
      <c r="C2464" s="28" t="s">
        <v>35</v>
      </c>
      <c r="D2464" s="28" t="s">
        <v>38</v>
      </c>
      <c r="E2464" s="45">
        <v>46168</v>
      </c>
      <c r="F2464" s="48">
        <v>0.34574074074074074</v>
      </c>
      <c r="G2464" s="44">
        <v>6.3</v>
      </c>
      <c r="H2464" s="43" t="s">
        <v>228</v>
      </c>
      <c r="I2464" s="40" t="s">
        <v>1300</v>
      </c>
    </row>
    <row r="2465" spans="1:9" x14ac:dyDescent="0.2">
      <c r="A2465" s="40" t="s">
        <v>200</v>
      </c>
      <c r="B2465" s="28">
        <v>3079</v>
      </c>
      <c r="C2465" s="28" t="s">
        <v>791</v>
      </c>
      <c r="D2465" s="28"/>
      <c r="E2465" s="41">
        <v>46169</v>
      </c>
      <c r="F2465" s="47">
        <v>0.71831018518518519</v>
      </c>
      <c r="G2465" s="44">
        <v>6.3</v>
      </c>
      <c r="H2465" s="43" t="s">
        <v>228</v>
      </c>
      <c r="I2465" s="40" t="s">
        <v>1300</v>
      </c>
    </row>
    <row r="2466" spans="1:9" x14ac:dyDescent="0.2">
      <c r="A2466" s="40" t="s">
        <v>200</v>
      </c>
      <c r="B2466" s="28">
        <v>3079</v>
      </c>
      <c r="C2466" s="28" t="s">
        <v>791</v>
      </c>
      <c r="D2466" s="28"/>
      <c r="E2466" s="41">
        <v>46169</v>
      </c>
      <c r="F2466" s="47">
        <v>0.73270833333333329</v>
      </c>
      <c r="G2466" s="44">
        <v>6.3</v>
      </c>
      <c r="H2466" s="43" t="s">
        <v>229</v>
      </c>
      <c r="I2466" s="40" t="s">
        <v>1300</v>
      </c>
    </row>
    <row r="2467" spans="1:9" x14ac:dyDescent="0.2">
      <c r="A2467" s="40" t="s">
        <v>200</v>
      </c>
      <c r="B2467" s="28">
        <v>3079</v>
      </c>
      <c r="C2467" s="28">
        <v>5688220</v>
      </c>
      <c r="D2467" s="28" t="s">
        <v>36</v>
      </c>
      <c r="E2467" s="45">
        <v>46169</v>
      </c>
      <c r="F2467" s="48">
        <v>0.83082175925925927</v>
      </c>
      <c r="G2467" s="44">
        <v>6.3</v>
      </c>
      <c r="H2467" s="43" t="s">
        <v>227</v>
      </c>
      <c r="I2467" s="40" t="s">
        <v>1300</v>
      </c>
    </row>
    <row r="2468" spans="1:9" x14ac:dyDescent="0.2">
      <c r="A2468" s="40" t="s">
        <v>200</v>
      </c>
      <c r="B2468" s="28">
        <v>3079</v>
      </c>
      <c r="C2468" s="28">
        <v>5690653</v>
      </c>
      <c r="D2468" s="28"/>
      <c r="E2468" s="41">
        <v>46169</v>
      </c>
      <c r="F2468" s="47">
        <v>0.93456018518518513</v>
      </c>
      <c r="G2468" s="44">
        <v>6.3</v>
      </c>
      <c r="H2468" s="43" t="s">
        <v>228</v>
      </c>
      <c r="I2468" s="40" t="s">
        <v>1300</v>
      </c>
    </row>
    <row r="2469" spans="1:9" x14ac:dyDescent="0.2">
      <c r="A2469" s="40" t="s">
        <v>200</v>
      </c>
      <c r="B2469" s="28">
        <v>3079</v>
      </c>
      <c r="C2469" s="28">
        <v>5690653</v>
      </c>
      <c r="D2469" s="28"/>
      <c r="E2469" s="45">
        <v>46169</v>
      </c>
      <c r="F2469" s="48">
        <v>0.9409143518518519</v>
      </c>
      <c r="G2469" s="44">
        <v>6.3</v>
      </c>
      <c r="H2469" s="43" t="s">
        <v>232</v>
      </c>
      <c r="I2469" s="40" t="s">
        <v>1300</v>
      </c>
    </row>
    <row r="2470" spans="1:9" x14ac:dyDescent="0.2">
      <c r="A2470" s="40" t="s">
        <v>200</v>
      </c>
      <c r="B2470" s="28">
        <v>3079</v>
      </c>
      <c r="C2470" s="28">
        <v>5687573</v>
      </c>
      <c r="D2470" s="28"/>
      <c r="E2470" s="41">
        <v>46170</v>
      </c>
      <c r="F2470" s="47">
        <v>0.91</v>
      </c>
      <c r="G2470" s="44">
        <v>6.3</v>
      </c>
      <c r="H2470" s="43" t="s">
        <v>228</v>
      </c>
      <c r="I2470" s="40" t="s">
        <v>1300</v>
      </c>
    </row>
    <row r="2471" spans="1:9" x14ac:dyDescent="0.2">
      <c r="A2471" s="40" t="s">
        <v>200</v>
      </c>
      <c r="B2471" s="28">
        <v>3079</v>
      </c>
      <c r="C2471" s="28">
        <v>5687573</v>
      </c>
      <c r="D2471" s="28"/>
      <c r="E2471" s="41">
        <v>46170</v>
      </c>
      <c r="F2471" s="47">
        <v>0.91734953703703703</v>
      </c>
      <c r="G2471" s="44">
        <v>6.3</v>
      </c>
      <c r="H2471" s="43" t="s">
        <v>229</v>
      </c>
      <c r="I2471" s="40" t="s">
        <v>1300</v>
      </c>
    </row>
    <row r="2472" spans="1:9" x14ac:dyDescent="0.2">
      <c r="A2472" s="40" t="s">
        <v>200</v>
      </c>
      <c r="B2472" s="28">
        <v>3079</v>
      </c>
      <c r="C2472" s="28" t="s">
        <v>35</v>
      </c>
      <c r="D2472" s="28" t="s">
        <v>38</v>
      </c>
      <c r="E2472" s="41">
        <v>46170</v>
      </c>
      <c r="F2472" s="47">
        <v>0.9286226851851852</v>
      </c>
      <c r="G2472" s="44">
        <v>6.3</v>
      </c>
      <c r="H2472" s="43" t="s">
        <v>230</v>
      </c>
      <c r="I2472" s="40" t="s">
        <v>1300</v>
      </c>
    </row>
    <row r="2473" spans="1:9" x14ac:dyDescent="0.2">
      <c r="A2473" s="40" t="s">
        <v>200</v>
      </c>
      <c r="B2473" s="28">
        <v>3079</v>
      </c>
      <c r="C2473" s="28" t="s">
        <v>35</v>
      </c>
      <c r="D2473" s="28" t="s">
        <v>38</v>
      </c>
      <c r="E2473" s="45">
        <v>46170</v>
      </c>
      <c r="F2473" s="48">
        <v>0.93429398148148146</v>
      </c>
      <c r="G2473" s="44">
        <v>6.3</v>
      </c>
      <c r="H2473" s="43" t="s">
        <v>227</v>
      </c>
      <c r="I2473" s="40" t="s">
        <v>1300</v>
      </c>
    </row>
    <row r="2474" spans="1:9" x14ac:dyDescent="0.2">
      <c r="A2474" s="40" t="s">
        <v>200</v>
      </c>
      <c r="B2474" s="28">
        <v>3079</v>
      </c>
      <c r="C2474" s="28">
        <v>5692968</v>
      </c>
      <c r="D2474" s="28"/>
      <c r="E2474" s="41">
        <v>46171</v>
      </c>
      <c r="F2474" s="47">
        <v>0.49384259259259261</v>
      </c>
      <c r="G2474" s="44">
        <v>6.3</v>
      </c>
      <c r="H2474" s="43" t="s">
        <v>228</v>
      </c>
      <c r="I2474" s="40" t="s">
        <v>1300</v>
      </c>
    </row>
    <row r="2475" spans="1:9" x14ac:dyDescent="0.2">
      <c r="A2475" s="40" t="s">
        <v>200</v>
      </c>
      <c r="B2475" s="28">
        <v>3079</v>
      </c>
      <c r="C2475" s="28">
        <v>5692968</v>
      </c>
      <c r="D2475" s="28"/>
      <c r="E2475" s="41">
        <v>46171</v>
      </c>
      <c r="F2475" s="47">
        <v>0.51449074074074075</v>
      </c>
      <c r="G2475" s="44">
        <v>6.3</v>
      </c>
      <c r="H2475" s="43" t="s">
        <v>229</v>
      </c>
      <c r="I2475" s="40" t="s">
        <v>1300</v>
      </c>
    </row>
    <row r="2476" spans="1:9" x14ac:dyDescent="0.2">
      <c r="A2476" s="40" t="s">
        <v>200</v>
      </c>
      <c r="B2476" s="28">
        <v>3079</v>
      </c>
      <c r="C2476" s="28" t="s">
        <v>792</v>
      </c>
      <c r="D2476" s="28"/>
      <c r="E2476" s="41">
        <v>46171</v>
      </c>
      <c r="F2476" s="47">
        <v>0.96214120370370371</v>
      </c>
      <c r="G2476" s="44">
        <v>6.3</v>
      </c>
      <c r="H2476" s="43" t="s">
        <v>228</v>
      </c>
      <c r="I2476" s="40" t="s">
        <v>1300</v>
      </c>
    </row>
    <row r="2477" spans="1:9" x14ac:dyDescent="0.2">
      <c r="A2477" s="40" t="s">
        <v>200</v>
      </c>
      <c r="B2477" s="28">
        <v>3079</v>
      </c>
      <c r="C2477" s="28" t="s">
        <v>792</v>
      </c>
      <c r="D2477" s="28"/>
      <c r="E2477" s="41">
        <v>46171</v>
      </c>
      <c r="F2477" s="47">
        <v>0.96892361111111114</v>
      </c>
      <c r="G2477" s="44">
        <v>6.3</v>
      </c>
      <c r="H2477" s="43" t="s">
        <v>229</v>
      </c>
      <c r="I2477" s="40" t="s">
        <v>1300</v>
      </c>
    </row>
    <row r="2478" spans="1:9" x14ac:dyDescent="0.2">
      <c r="A2478" s="40" t="s">
        <v>200</v>
      </c>
      <c r="B2478" s="28">
        <v>3079</v>
      </c>
      <c r="C2478" s="28" t="s">
        <v>35</v>
      </c>
      <c r="D2478" s="28" t="s">
        <v>38</v>
      </c>
      <c r="E2478" s="41">
        <v>46171</v>
      </c>
      <c r="F2478" s="47">
        <v>0.98406249999999995</v>
      </c>
      <c r="G2478" s="44">
        <v>6.3</v>
      </c>
      <c r="H2478" s="43" t="s">
        <v>230</v>
      </c>
      <c r="I2478" s="40" t="s">
        <v>1300</v>
      </c>
    </row>
    <row r="2479" spans="1:9" x14ac:dyDescent="0.2">
      <c r="A2479" s="40" t="s">
        <v>200</v>
      </c>
      <c r="B2479" s="28">
        <v>3079</v>
      </c>
      <c r="C2479" s="28">
        <v>5695184</v>
      </c>
      <c r="D2479" s="28"/>
      <c r="E2479" s="41">
        <v>46172</v>
      </c>
      <c r="F2479" s="47">
        <v>0.89832175925925928</v>
      </c>
      <c r="G2479" s="44">
        <v>6.3</v>
      </c>
      <c r="H2479" s="43" t="s">
        <v>228</v>
      </c>
      <c r="I2479" s="40" t="s">
        <v>1300</v>
      </c>
    </row>
    <row r="2480" spans="1:9" x14ac:dyDescent="0.2">
      <c r="A2480" s="40" t="s">
        <v>200</v>
      </c>
      <c r="B2480" s="28">
        <v>3079</v>
      </c>
      <c r="C2480" s="28">
        <v>5695184</v>
      </c>
      <c r="D2480" s="28"/>
      <c r="E2480" s="41">
        <v>46172</v>
      </c>
      <c r="F2480" s="47">
        <v>0.90534722222222219</v>
      </c>
      <c r="G2480" s="44">
        <v>6.3</v>
      </c>
      <c r="H2480" s="43" t="s">
        <v>229</v>
      </c>
      <c r="I2480" s="40" t="s">
        <v>1300</v>
      </c>
    </row>
    <row r="2481" spans="1:9" x14ac:dyDescent="0.2">
      <c r="A2481" s="40" t="s">
        <v>200</v>
      </c>
      <c r="B2481" s="28">
        <v>3079</v>
      </c>
      <c r="C2481" s="28" t="s">
        <v>35</v>
      </c>
      <c r="D2481" s="28" t="s">
        <v>38</v>
      </c>
      <c r="E2481" s="45">
        <v>46172</v>
      </c>
      <c r="F2481" s="48">
        <v>0.92825231481481485</v>
      </c>
      <c r="G2481" s="44">
        <v>6.3</v>
      </c>
      <c r="H2481" s="43" t="s">
        <v>230</v>
      </c>
      <c r="I2481" s="40" t="s">
        <v>1300</v>
      </c>
    </row>
    <row r="2482" spans="1:9" x14ac:dyDescent="0.2">
      <c r="A2482" s="40" t="s">
        <v>200</v>
      </c>
      <c r="B2482" s="28">
        <v>3079</v>
      </c>
      <c r="C2482" s="28">
        <v>5695535</v>
      </c>
      <c r="D2482" s="28"/>
      <c r="E2482" s="45">
        <v>46173</v>
      </c>
      <c r="F2482" s="48">
        <v>0.38643518518518516</v>
      </c>
      <c r="G2482" s="44">
        <v>6.3</v>
      </c>
      <c r="H2482" s="43" t="s">
        <v>228</v>
      </c>
      <c r="I2482" s="40" t="s">
        <v>1300</v>
      </c>
    </row>
    <row r="2483" spans="1:9" x14ac:dyDescent="0.2">
      <c r="A2483" s="40" t="s">
        <v>200</v>
      </c>
      <c r="B2483" s="28">
        <v>3079</v>
      </c>
      <c r="C2483" s="28">
        <v>5695535</v>
      </c>
      <c r="D2483" s="28"/>
      <c r="E2483" s="41">
        <v>46173</v>
      </c>
      <c r="F2483" s="47">
        <v>0.3934375</v>
      </c>
      <c r="G2483" s="42">
        <v>6.3</v>
      </c>
      <c r="H2483" s="40" t="s">
        <v>229</v>
      </c>
      <c r="I2483" s="40" t="s">
        <v>1300</v>
      </c>
    </row>
    <row r="2484" spans="1:9" x14ac:dyDescent="0.2">
      <c r="A2484" s="40" t="s">
        <v>426</v>
      </c>
      <c r="B2484" s="28">
        <v>3095</v>
      </c>
      <c r="C2484" s="28">
        <v>5690682</v>
      </c>
      <c r="D2484" s="28"/>
      <c r="E2484" s="41">
        <v>46170</v>
      </c>
      <c r="F2484" s="47">
        <v>0.14135416666666667</v>
      </c>
      <c r="G2484" s="42">
        <v>6.3</v>
      </c>
      <c r="H2484" s="40" t="s">
        <v>230</v>
      </c>
      <c r="I2484" s="40" t="s">
        <v>1300</v>
      </c>
    </row>
    <row r="2485" spans="1:9" x14ac:dyDescent="0.2">
      <c r="A2485" s="40" t="s">
        <v>426</v>
      </c>
      <c r="B2485" s="28">
        <v>3095</v>
      </c>
      <c r="C2485" s="28">
        <v>5690682</v>
      </c>
      <c r="D2485" s="28"/>
      <c r="E2485" s="41">
        <v>46170</v>
      </c>
      <c r="F2485" s="47">
        <v>0.14626157407407409</v>
      </c>
      <c r="G2485" s="42">
        <v>6.3</v>
      </c>
      <c r="H2485" s="40" t="s">
        <v>227</v>
      </c>
      <c r="I2485" s="40" t="s">
        <v>1300</v>
      </c>
    </row>
    <row r="2486" spans="1:9" x14ac:dyDescent="0.2">
      <c r="A2486" s="40" t="s">
        <v>426</v>
      </c>
      <c r="B2486" s="28">
        <v>3095</v>
      </c>
      <c r="C2486" s="28">
        <v>5693232</v>
      </c>
      <c r="D2486" s="28"/>
      <c r="E2486" s="41">
        <v>46171</v>
      </c>
      <c r="F2486" s="47">
        <v>0.6556481481481482</v>
      </c>
      <c r="G2486" s="42">
        <v>6.3</v>
      </c>
      <c r="H2486" s="40" t="s">
        <v>228</v>
      </c>
      <c r="I2486" s="40" t="s">
        <v>1300</v>
      </c>
    </row>
    <row r="2487" spans="1:9" x14ac:dyDescent="0.2">
      <c r="A2487" s="40" t="s">
        <v>426</v>
      </c>
      <c r="B2487" s="28">
        <v>3095</v>
      </c>
      <c r="C2487" s="28" t="s">
        <v>35</v>
      </c>
      <c r="D2487" s="28" t="s">
        <v>38</v>
      </c>
      <c r="E2487" s="41">
        <v>46173</v>
      </c>
      <c r="F2487" s="47">
        <v>0.1408912037037037</v>
      </c>
      <c r="G2487" s="42">
        <v>6.3</v>
      </c>
      <c r="H2487" s="40" t="s">
        <v>229</v>
      </c>
      <c r="I2487" s="40" t="s">
        <v>1300</v>
      </c>
    </row>
    <row r="2488" spans="1:9" x14ac:dyDescent="0.2">
      <c r="A2488" s="40" t="s">
        <v>94</v>
      </c>
      <c r="B2488" s="28">
        <v>3102</v>
      </c>
      <c r="C2488" s="28">
        <v>10756257</v>
      </c>
      <c r="D2488" s="28" t="s">
        <v>36</v>
      </c>
      <c r="E2488" s="41">
        <v>46169</v>
      </c>
      <c r="F2488" s="47">
        <v>0.5115277777777778</v>
      </c>
      <c r="G2488" s="42">
        <v>6.3</v>
      </c>
      <c r="H2488" s="40" t="s">
        <v>230</v>
      </c>
      <c r="I2488" s="40" t="s">
        <v>1300</v>
      </c>
    </row>
    <row r="2489" spans="1:9" x14ac:dyDescent="0.2">
      <c r="A2489" s="40" t="s">
        <v>94</v>
      </c>
      <c r="B2489" s="28">
        <v>3102</v>
      </c>
      <c r="C2489" s="28">
        <v>10756257</v>
      </c>
      <c r="D2489" s="28" t="s">
        <v>36</v>
      </c>
      <c r="E2489" s="41">
        <v>46169</v>
      </c>
      <c r="F2489" s="47">
        <v>0.51739583333333339</v>
      </c>
      <c r="G2489" s="42">
        <v>6.3</v>
      </c>
      <c r="H2489" s="40" t="s">
        <v>227</v>
      </c>
      <c r="I2489" s="40" t="s">
        <v>1300</v>
      </c>
    </row>
    <row r="2490" spans="1:9" x14ac:dyDescent="0.2">
      <c r="A2490" s="40" t="s">
        <v>94</v>
      </c>
      <c r="B2490" s="28">
        <v>3102</v>
      </c>
      <c r="C2490" s="28" t="s">
        <v>35</v>
      </c>
      <c r="D2490" s="28" t="s">
        <v>38</v>
      </c>
      <c r="E2490" s="45">
        <v>46170</v>
      </c>
      <c r="F2490" s="48">
        <v>0.46180555555555558</v>
      </c>
      <c r="G2490" s="42">
        <v>6.3</v>
      </c>
      <c r="H2490" s="40" t="s">
        <v>228</v>
      </c>
      <c r="I2490" s="40" t="s">
        <v>1300</v>
      </c>
    </row>
    <row r="2491" spans="1:9" x14ac:dyDescent="0.2">
      <c r="A2491" s="40" t="s">
        <v>94</v>
      </c>
      <c r="B2491" s="28">
        <v>3102</v>
      </c>
      <c r="C2491" s="28" t="s">
        <v>793</v>
      </c>
      <c r="D2491" s="28"/>
      <c r="E2491" s="41">
        <v>46172</v>
      </c>
      <c r="F2491" s="47">
        <v>0.40059027777777778</v>
      </c>
      <c r="G2491" s="44">
        <v>6.3</v>
      </c>
      <c r="H2491" s="43" t="s">
        <v>230</v>
      </c>
      <c r="I2491" s="40" t="s">
        <v>1300</v>
      </c>
    </row>
    <row r="2492" spans="1:9" x14ac:dyDescent="0.2">
      <c r="A2492" s="40" t="s">
        <v>94</v>
      </c>
      <c r="B2492" s="28">
        <v>3102</v>
      </c>
      <c r="C2492" s="28" t="s">
        <v>793</v>
      </c>
      <c r="D2492" s="28"/>
      <c r="E2492" s="41">
        <v>46172</v>
      </c>
      <c r="F2492" s="47">
        <v>0.40634259259259259</v>
      </c>
      <c r="G2492" s="44">
        <v>6.3</v>
      </c>
      <c r="H2492" s="43" t="s">
        <v>227</v>
      </c>
      <c r="I2492" s="40" t="s">
        <v>1300</v>
      </c>
    </row>
    <row r="2493" spans="1:9" x14ac:dyDescent="0.2">
      <c r="A2493" s="40" t="s">
        <v>95</v>
      </c>
      <c r="B2493" s="28">
        <v>3113</v>
      </c>
      <c r="C2493" s="28" t="s">
        <v>794</v>
      </c>
      <c r="D2493" s="28"/>
      <c r="E2493" s="41">
        <v>46168</v>
      </c>
      <c r="F2493" s="47">
        <v>0.24629629629629629</v>
      </c>
      <c r="G2493" s="44">
        <v>6.3</v>
      </c>
      <c r="H2493" s="43" t="s">
        <v>228</v>
      </c>
      <c r="I2493" s="40" t="s">
        <v>1300</v>
      </c>
    </row>
    <row r="2494" spans="1:9" x14ac:dyDescent="0.2">
      <c r="A2494" s="40" t="s">
        <v>95</v>
      </c>
      <c r="B2494" s="28">
        <v>3113</v>
      </c>
      <c r="C2494" s="28" t="s">
        <v>794</v>
      </c>
      <c r="D2494" s="28"/>
      <c r="E2494" s="41">
        <v>46168</v>
      </c>
      <c r="F2494" s="47">
        <v>0.2557638888888889</v>
      </c>
      <c r="G2494" s="44">
        <v>6.3</v>
      </c>
      <c r="H2494" s="43" t="s">
        <v>232</v>
      </c>
      <c r="I2494" s="40" t="s">
        <v>1300</v>
      </c>
    </row>
    <row r="2495" spans="1:9" x14ac:dyDescent="0.2">
      <c r="A2495" s="40" t="s">
        <v>95</v>
      </c>
      <c r="B2495" s="28">
        <v>3113</v>
      </c>
      <c r="C2495" s="28" t="s">
        <v>795</v>
      </c>
      <c r="D2495" s="28"/>
      <c r="E2495" s="41">
        <v>46168</v>
      </c>
      <c r="F2495" s="47">
        <v>0.35222222222222221</v>
      </c>
      <c r="G2495" s="44">
        <v>6.3</v>
      </c>
      <c r="H2495" s="43" t="s">
        <v>226</v>
      </c>
      <c r="I2495" s="40" t="s">
        <v>1300</v>
      </c>
    </row>
    <row r="2496" spans="1:9" x14ac:dyDescent="0.2">
      <c r="A2496" s="40" t="s">
        <v>95</v>
      </c>
      <c r="B2496" s="28">
        <v>3113</v>
      </c>
      <c r="C2496" s="28" t="s">
        <v>795</v>
      </c>
      <c r="D2496" s="28"/>
      <c r="E2496" s="41">
        <v>46168</v>
      </c>
      <c r="F2496" s="47">
        <v>0.35857638888888888</v>
      </c>
      <c r="G2496" s="44">
        <v>6.3</v>
      </c>
      <c r="H2496" s="43" t="s">
        <v>227</v>
      </c>
      <c r="I2496" s="40" t="s">
        <v>1300</v>
      </c>
    </row>
    <row r="2497" spans="1:9" x14ac:dyDescent="0.2">
      <c r="A2497" s="40" t="s">
        <v>95</v>
      </c>
      <c r="B2497" s="28">
        <v>3113</v>
      </c>
      <c r="C2497" s="28" t="s">
        <v>796</v>
      </c>
      <c r="D2497" s="28"/>
      <c r="E2497" s="41">
        <v>46170</v>
      </c>
      <c r="F2497" s="47">
        <v>0.66332175925925929</v>
      </c>
      <c r="G2497" s="44">
        <v>6.3</v>
      </c>
      <c r="H2497" s="43" t="s">
        <v>228</v>
      </c>
      <c r="I2497" s="40" t="s">
        <v>1300</v>
      </c>
    </row>
    <row r="2498" spans="1:9" x14ac:dyDescent="0.2">
      <c r="A2498" s="40" t="s">
        <v>95</v>
      </c>
      <c r="B2498" s="28">
        <v>3113</v>
      </c>
      <c r="C2498" s="28" t="s">
        <v>796</v>
      </c>
      <c r="D2498" s="28"/>
      <c r="E2498" s="41">
        <v>46170</v>
      </c>
      <c r="F2498" s="47">
        <v>0.67709490740740741</v>
      </c>
      <c r="G2498" s="44">
        <v>6.3</v>
      </c>
      <c r="H2498" s="43" t="s">
        <v>229</v>
      </c>
      <c r="I2498" s="40" t="s">
        <v>1300</v>
      </c>
    </row>
    <row r="2499" spans="1:9" x14ac:dyDescent="0.2">
      <c r="A2499" s="40" t="s">
        <v>95</v>
      </c>
      <c r="B2499" s="28">
        <v>3113</v>
      </c>
      <c r="C2499" s="28" t="s">
        <v>797</v>
      </c>
      <c r="D2499" s="28"/>
      <c r="E2499" s="45">
        <v>46171</v>
      </c>
      <c r="F2499" s="48">
        <v>0.18012731481481481</v>
      </c>
      <c r="G2499" s="44">
        <v>6.3</v>
      </c>
      <c r="H2499" s="43" t="s">
        <v>230</v>
      </c>
      <c r="I2499" s="40" t="s">
        <v>1300</v>
      </c>
    </row>
    <row r="2500" spans="1:9" x14ac:dyDescent="0.2">
      <c r="A2500" s="40" t="s">
        <v>95</v>
      </c>
      <c r="B2500" s="28">
        <v>3113</v>
      </c>
      <c r="C2500" s="28" t="s">
        <v>797</v>
      </c>
      <c r="D2500" s="28"/>
      <c r="E2500" s="41">
        <v>46171</v>
      </c>
      <c r="F2500" s="47">
        <v>0.1857638888888889</v>
      </c>
      <c r="G2500" s="44">
        <v>6.3</v>
      </c>
      <c r="H2500" s="43" t="s">
        <v>227</v>
      </c>
      <c r="I2500" s="40" t="s">
        <v>1300</v>
      </c>
    </row>
    <row r="2501" spans="1:9" x14ac:dyDescent="0.2">
      <c r="A2501" s="40" t="s">
        <v>95</v>
      </c>
      <c r="B2501" s="28">
        <v>3113</v>
      </c>
      <c r="C2501" s="28" t="s">
        <v>798</v>
      </c>
      <c r="D2501" s="28"/>
      <c r="E2501" s="45">
        <v>46171</v>
      </c>
      <c r="F2501" s="48">
        <v>0.41229166666666667</v>
      </c>
      <c r="G2501" s="44">
        <v>6.3</v>
      </c>
      <c r="H2501" s="43" t="s">
        <v>230</v>
      </c>
      <c r="I2501" s="40" t="s">
        <v>1300</v>
      </c>
    </row>
    <row r="2502" spans="1:9" x14ac:dyDescent="0.2">
      <c r="A2502" s="40" t="s">
        <v>95</v>
      </c>
      <c r="B2502" s="28">
        <v>3113</v>
      </c>
      <c r="C2502" s="28" t="s">
        <v>798</v>
      </c>
      <c r="D2502" s="28"/>
      <c r="E2502" s="41">
        <v>46171</v>
      </c>
      <c r="F2502" s="47">
        <v>0.4246064814814815</v>
      </c>
      <c r="G2502" s="44">
        <v>6.3</v>
      </c>
      <c r="H2502" s="43" t="s">
        <v>227</v>
      </c>
      <c r="I2502" s="40" t="s">
        <v>1300</v>
      </c>
    </row>
    <row r="2503" spans="1:9" x14ac:dyDescent="0.2">
      <c r="A2503" s="40" t="s">
        <v>95</v>
      </c>
      <c r="B2503" s="28">
        <v>3113</v>
      </c>
      <c r="C2503" s="28" t="s">
        <v>799</v>
      </c>
      <c r="D2503" s="28"/>
      <c r="E2503" s="45">
        <v>46171</v>
      </c>
      <c r="F2503" s="48">
        <v>0.47023148148148147</v>
      </c>
      <c r="G2503" s="44">
        <v>6.3</v>
      </c>
      <c r="H2503" s="43" t="s">
        <v>228</v>
      </c>
      <c r="I2503" s="40" t="s">
        <v>1300</v>
      </c>
    </row>
    <row r="2504" spans="1:9" x14ac:dyDescent="0.2">
      <c r="A2504" s="40" t="s">
        <v>95</v>
      </c>
      <c r="B2504" s="28">
        <v>3113</v>
      </c>
      <c r="C2504" s="28" t="s">
        <v>799</v>
      </c>
      <c r="D2504" s="28"/>
      <c r="E2504" s="41">
        <v>46171</v>
      </c>
      <c r="F2504" s="47">
        <v>0.48343750000000002</v>
      </c>
      <c r="G2504" s="44">
        <v>6.3</v>
      </c>
      <c r="H2504" s="43" t="s">
        <v>229</v>
      </c>
      <c r="I2504" s="40" t="s">
        <v>1300</v>
      </c>
    </row>
    <row r="2505" spans="1:9" x14ac:dyDescent="0.2">
      <c r="A2505" s="40" t="s">
        <v>95</v>
      </c>
      <c r="B2505" s="28">
        <v>3113</v>
      </c>
      <c r="C2505" s="28" t="s">
        <v>800</v>
      </c>
      <c r="D2505" s="28"/>
      <c r="E2505" s="45">
        <v>46172</v>
      </c>
      <c r="F2505" s="48">
        <v>0.27187499999999998</v>
      </c>
      <c r="G2505" s="44">
        <v>6.3</v>
      </c>
      <c r="H2505" s="43" t="s">
        <v>230</v>
      </c>
      <c r="I2505" s="40" t="s">
        <v>1300</v>
      </c>
    </row>
    <row r="2506" spans="1:9" x14ac:dyDescent="0.2">
      <c r="A2506" s="40" t="s">
        <v>95</v>
      </c>
      <c r="B2506" s="28">
        <v>3113</v>
      </c>
      <c r="C2506" s="28" t="s">
        <v>800</v>
      </c>
      <c r="D2506" s="28"/>
      <c r="E2506" s="41">
        <v>46172</v>
      </c>
      <c r="F2506" s="47">
        <v>0.27770833333333333</v>
      </c>
      <c r="G2506" s="42">
        <v>6.3</v>
      </c>
      <c r="H2506" s="40" t="s">
        <v>227</v>
      </c>
      <c r="I2506" s="40" t="s">
        <v>1300</v>
      </c>
    </row>
    <row r="2507" spans="1:9" x14ac:dyDescent="0.2">
      <c r="A2507" s="40" t="s">
        <v>96</v>
      </c>
      <c r="B2507" s="28">
        <v>3118</v>
      </c>
      <c r="C2507" s="28" t="s">
        <v>801</v>
      </c>
      <c r="D2507" s="28"/>
      <c r="E2507" s="41">
        <v>46167</v>
      </c>
      <c r="F2507" s="47">
        <v>0.24407407407407408</v>
      </c>
      <c r="G2507" s="42">
        <v>6.3</v>
      </c>
      <c r="H2507" s="40" t="s">
        <v>230</v>
      </c>
      <c r="I2507" s="40" t="s">
        <v>1300</v>
      </c>
    </row>
    <row r="2508" spans="1:9" x14ac:dyDescent="0.2">
      <c r="A2508" s="40" t="s">
        <v>96</v>
      </c>
      <c r="B2508" s="28">
        <v>3118</v>
      </c>
      <c r="C2508" s="28" t="s">
        <v>801</v>
      </c>
      <c r="D2508" s="28"/>
      <c r="E2508" s="41">
        <v>46167</v>
      </c>
      <c r="F2508" s="47">
        <v>0.25298611111111113</v>
      </c>
      <c r="G2508" s="42">
        <v>6.3</v>
      </c>
      <c r="H2508" s="40" t="s">
        <v>227</v>
      </c>
      <c r="I2508" s="40" t="s">
        <v>1300</v>
      </c>
    </row>
    <row r="2509" spans="1:9" x14ac:dyDescent="0.2">
      <c r="A2509" s="40" t="s">
        <v>96</v>
      </c>
      <c r="B2509" s="28">
        <v>3118</v>
      </c>
      <c r="C2509" s="28" t="s">
        <v>802</v>
      </c>
      <c r="D2509" s="28"/>
      <c r="E2509" s="41">
        <v>46167</v>
      </c>
      <c r="F2509" s="47">
        <v>0.35707175925925927</v>
      </c>
      <c r="G2509" s="42">
        <v>6.3</v>
      </c>
      <c r="H2509" s="40" t="s">
        <v>228</v>
      </c>
      <c r="I2509" s="40" t="s">
        <v>1300</v>
      </c>
    </row>
    <row r="2510" spans="1:9" x14ac:dyDescent="0.2">
      <c r="A2510" s="40" t="s">
        <v>96</v>
      </c>
      <c r="B2510" s="28">
        <v>3118</v>
      </c>
      <c r="C2510" s="28" t="s">
        <v>802</v>
      </c>
      <c r="D2510" s="28"/>
      <c r="E2510" s="41">
        <v>46167</v>
      </c>
      <c r="F2510" s="47">
        <v>0.3760648148148148</v>
      </c>
      <c r="G2510" s="44">
        <v>6.3</v>
      </c>
      <c r="H2510" s="43" t="s">
        <v>229</v>
      </c>
      <c r="I2510" s="40" t="s">
        <v>1300</v>
      </c>
    </row>
    <row r="2511" spans="1:9" x14ac:dyDescent="0.2">
      <c r="A2511" s="40" t="s">
        <v>96</v>
      </c>
      <c r="B2511" s="28">
        <v>3118</v>
      </c>
      <c r="C2511" s="28" t="s">
        <v>803</v>
      </c>
      <c r="D2511" s="28"/>
      <c r="E2511" s="41">
        <v>46167</v>
      </c>
      <c r="F2511" s="47">
        <v>0.43116898148148147</v>
      </c>
      <c r="G2511" s="44">
        <v>6.3</v>
      </c>
      <c r="H2511" s="43" t="s">
        <v>230</v>
      </c>
      <c r="I2511" s="40" t="s">
        <v>1300</v>
      </c>
    </row>
    <row r="2512" spans="1:9" x14ac:dyDescent="0.2">
      <c r="A2512" s="40" t="s">
        <v>96</v>
      </c>
      <c r="B2512" s="28">
        <v>3118</v>
      </c>
      <c r="C2512" s="28" t="s">
        <v>803</v>
      </c>
      <c r="D2512" s="28"/>
      <c r="E2512" s="41">
        <v>46167</v>
      </c>
      <c r="F2512" s="47">
        <v>0.43724537037037037</v>
      </c>
      <c r="G2512" s="44">
        <v>6.3</v>
      </c>
      <c r="H2512" s="43" t="s">
        <v>227</v>
      </c>
      <c r="I2512" s="40" t="s">
        <v>1300</v>
      </c>
    </row>
    <row r="2513" spans="1:9" x14ac:dyDescent="0.2">
      <c r="A2513" s="40" t="s">
        <v>96</v>
      </c>
      <c r="B2513" s="28">
        <v>3118</v>
      </c>
      <c r="C2513" s="28" t="s">
        <v>804</v>
      </c>
      <c r="D2513" s="28"/>
      <c r="E2513" s="41">
        <v>46169</v>
      </c>
      <c r="F2513" s="47">
        <v>0.46621527777777777</v>
      </c>
      <c r="G2513" s="44">
        <v>6.3</v>
      </c>
      <c r="H2513" s="43" t="s">
        <v>228</v>
      </c>
      <c r="I2513" s="40" t="s">
        <v>1300</v>
      </c>
    </row>
    <row r="2514" spans="1:9" x14ac:dyDescent="0.2">
      <c r="A2514" s="40" t="s">
        <v>96</v>
      </c>
      <c r="B2514" s="28">
        <v>3118</v>
      </c>
      <c r="C2514" s="28" t="s">
        <v>804</v>
      </c>
      <c r="D2514" s="28"/>
      <c r="E2514" s="41">
        <v>46169</v>
      </c>
      <c r="F2514" s="47">
        <v>0.4780787037037037</v>
      </c>
      <c r="G2514" s="44">
        <v>6.3</v>
      </c>
      <c r="H2514" s="43" t="s">
        <v>229</v>
      </c>
      <c r="I2514" s="40" t="s">
        <v>1300</v>
      </c>
    </row>
    <row r="2515" spans="1:9" x14ac:dyDescent="0.2">
      <c r="A2515" s="40" t="s">
        <v>96</v>
      </c>
      <c r="B2515" s="28">
        <v>3118</v>
      </c>
      <c r="C2515" s="28" t="s">
        <v>805</v>
      </c>
      <c r="D2515" s="28"/>
      <c r="E2515" s="41">
        <v>46169</v>
      </c>
      <c r="F2515" s="47">
        <v>0.5990509259259259</v>
      </c>
      <c r="G2515" s="44">
        <v>6.3</v>
      </c>
      <c r="H2515" s="43" t="s">
        <v>230</v>
      </c>
      <c r="I2515" s="40" t="s">
        <v>1300</v>
      </c>
    </row>
    <row r="2516" spans="1:9" x14ac:dyDescent="0.2">
      <c r="A2516" s="40" t="s">
        <v>96</v>
      </c>
      <c r="B2516" s="28">
        <v>3118</v>
      </c>
      <c r="C2516" s="28" t="s">
        <v>805</v>
      </c>
      <c r="D2516" s="28"/>
      <c r="E2516" s="41">
        <v>46169</v>
      </c>
      <c r="F2516" s="47">
        <v>0.6056597222222222</v>
      </c>
      <c r="G2516" s="44">
        <v>6.3</v>
      </c>
      <c r="H2516" s="43" t="s">
        <v>227</v>
      </c>
      <c r="I2516" s="40" t="s">
        <v>1300</v>
      </c>
    </row>
    <row r="2517" spans="1:9" x14ac:dyDescent="0.2">
      <c r="A2517" s="40" t="s">
        <v>96</v>
      </c>
      <c r="B2517" s="28">
        <v>3118</v>
      </c>
      <c r="C2517" s="28" t="s">
        <v>806</v>
      </c>
      <c r="D2517" s="28"/>
      <c r="E2517" s="45">
        <v>46170</v>
      </c>
      <c r="F2517" s="48">
        <v>0.23872685185185186</v>
      </c>
      <c r="G2517" s="44">
        <v>6.3</v>
      </c>
      <c r="H2517" s="43" t="s">
        <v>230</v>
      </c>
      <c r="I2517" s="40" t="s">
        <v>1300</v>
      </c>
    </row>
    <row r="2518" spans="1:9" x14ac:dyDescent="0.2">
      <c r="A2518" s="40" t="s">
        <v>96</v>
      </c>
      <c r="B2518" s="28">
        <v>3118</v>
      </c>
      <c r="C2518" s="28" t="s">
        <v>806</v>
      </c>
      <c r="D2518" s="28"/>
      <c r="E2518" s="45">
        <v>46170</v>
      </c>
      <c r="F2518" s="48">
        <v>0.24380787037037038</v>
      </c>
      <c r="G2518" s="44">
        <v>6.3</v>
      </c>
      <c r="H2518" s="43" t="s">
        <v>227</v>
      </c>
      <c r="I2518" s="40" t="s">
        <v>1300</v>
      </c>
    </row>
    <row r="2519" spans="1:9" x14ac:dyDescent="0.2">
      <c r="A2519" s="40" t="s">
        <v>96</v>
      </c>
      <c r="B2519" s="28">
        <v>3118</v>
      </c>
      <c r="C2519" s="28" t="s">
        <v>807</v>
      </c>
      <c r="D2519" s="28"/>
      <c r="E2519" s="45">
        <v>46170</v>
      </c>
      <c r="F2519" s="48">
        <v>0.3384490740740741</v>
      </c>
      <c r="G2519" s="44">
        <v>6.3</v>
      </c>
      <c r="H2519" s="43" t="s">
        <v>228</v>
      </c>
      <c r="I2519" s="40" t="s">
        <v>1300</v>
      </c>
    </row>
    <row r="2520" spans="1:9" x14ac:dyDescent="0.2">
      <c r="A2520" s="40" t="s">
        <v>96</v>
      </c>
      <c r="B2520" s="28">
        <v>3118</v>
      </c>
      <c r="C2520" s="28" t="s">
        <v>807</v>
      </c>
      <c r="D2520" s="28"/>
      <c r="E2520" s="41">
        <v>46170</v>
      </c>
      <c r="F2520" s="47">
        <v>0.35293981481481479</v>
      </c>
      <c r="G2520" s="44">
        <v>6.3</v>
      </c>
      <c r="H2520" s="43" t="s">
        <v>229</v>
      </c>
      <c r="I2520" s="40" t="s">
        <v>1300</v>
      </c>
    </row>
    <row r="2521" spans="1:9" x14ac:dyDescent="0.2">
      <c r="A2521" s="40" t="s">
        <v>96</v>
      </c>
      <c r="B2521" s="28">
        <v>3118</v>
      </c>
      <c r="C2521" s="28" t="s">
        <v>808</v>
      </c>
      <c r="D2521" s="28"/>
      <c r="E2521" s="41">
        <v>46170</v>
      </c>
      <c r="F2521" s="47">
        <v>0.4387962962962963</v>
      </c>
      <c r="G2521" s="44">
        <v>6.3</v>
      </c>
      <c r="H2521" s="43" t="s">
        <v>230</v>
      </c>
      <c r="I2521" s="40" t="s">
        <v>1300</v>
      </c>
    </row>
    <row r="2522" spans="1:9" x14ac:dyDescent="0.2">
      <c r="A2522" s="40" t="s">
        <v>96</v>
      </c>
      <c r="B2522" s="28">
        <v>3118</v>
      </c>
      <c r="C2522" s="28" t="s">
        <v>808</v>
      </c>
      <c r="D2522" s="28"/>
      <c r="E2522" s="41">
        <v>46170</v>
      </c>
      <c r="F2522" s="47">
        <v>0.44451388888888888</v>
      </c>
      <c r="G2522" s="44">
        <v>6.3</v>
      </c>
      <c r="H2522" s="43" t="s">
        <v>227</v>
      </c>
      <c r="I2522" s="40" t="s">
        <v>1300</v>
      </c>
    </row>
    <row r="2523" spans="1:9" x14ac:dyDescent="0.2">
      <c r="A2523" s="40" t="s">
        <v>96</v>
      </c>
      <c r="B2523" s="28">
        <v>3118</v>
      </c>
      <c r="C2523" s="28" t="s">
        <v>809</v>
      </c>
      <c r="D2523" s="28"/>
      <c r="E2523" s="41">
        <v>46170</v>
      </c>
      <c r="F2523" s="47">
        <v>0.48774305555555558</v>
      </c>
      <c r="G2523" s="44">
        <v>6.3</v>
      </c>
      <c r="H2523" s="43" t="s">
        <v>228</v>
      </c>
      <c r="I2523" s="40" t="s">
        <v>1300</v>
      </c>
    </row>
    <row r="2524" spans="1:9" x14ac:dyDescent="0.2">
      <c r="A2524" s="40" t="s">
        <v>96</v>
      </c>
      <c r="B2524" s="28">
        <v>3118</v>
      </c>
      <c r="C2524" s="28" t="s">
        <v>809</v>
      </c>
      <c r="D2524" s="28"/>
      <c r="E2524" s="41">
        <v>46170</v>
      </c>
      <c r="F2524" s="47">
        <v>0.49594907407407407</v>
      </c>
      <c r="G2524" s="44">
        <v>6.3</v>
      </c>
      <c r="H2524" s="43" t="s">
        <v>229</v>
      </c>
      <c r="I2524" s="40" t="s">
        <v>1300</v>
      </c>
    </row>
    <row r="2525" spans="1:9" x14ac:dyDescent="0.2">
      <c r="A2525" s="40" t="s">
        <v>96</v>
      </c>
      <c r="B2525" s="28">
        <v>3118</v>
      </c>
      <c r="C2525" s="28" t="s">
        <v>810</v>
      </c>
      <c r="D2525" s="28"/>
      <c r="E2525" s="41">
        <v>46171</v>
      </c>
      <c r="F2525" s="47">
        <v>0.24466435185185184</v>
      </c>
      <c r="G2525" s="44">
        <v>6.3</v>
      </c>
      <c r="H2525" s="43" t="s">
        <v>230</v>
      </c>
      <c r="I2525" s="40" t="s">
        <v>1300</v>
      </c>
    </row>
    <row r="2526" spans="1:9" x14ac:dyDescent="0.2">
      <c r="A2526" s="40" t="s">
        <v>96</v>
      </c>
      <c r="B2526" s="28">
        <v>3118</v>
      </c>
      <c r="C2526" s="28" t="s">
        <v>810</v>
      </c>
      <c r="D2526" s="28"/>
      <c r="E2526" s="45">
        <v>46171</v>
      </c>
      <c r="F2526" s="48">
        <v>0.25024305555555554</v>
      </c>
      <c r="G2526" s="44">
        <v>6.3</v>
      </c>
      <c r="H2526" s="43" t="s">
        <v>227</v>
      </c>
      <c r="I2526" s="40" t="s">
        <v>1300</v>
      </c>
    </row>
    <row r="2527" spans="1:9" x14ac:dyDescent="0.2">
      <c r="A2527" s="40" t="s">
        <v>96</v>
      </c>
      <c r="B2527" s="28">
        <v>3118</v>
      </c>
      <c r="C2527" s="28" t="s">
        <v>811</v>
      </c>
      <c r="D2527" s="28"/>
      <c r="E2527" s="41">
        <v>46171</v>
      </c>
      <c r="F2527" s="47">
        <v>0.34835648148148146</v>
      </c>
      <c r="G2527" s="44">
        <v>6.3</v>
      </c>
      <c r="H2527" s="43" t="s">
        <v>228</v>
      </c>
      <c r="I2527" s="40" t="s">
        <v>1300</v>
      </c>
    </row>
    <row r="2528" spans="1:9" x14ac:dyDescent="0.2">
      <c r="A2528" s="40" t="s">
        <v>96</v>
      </c>
      <c r="B2528" s="28">
        <v>3118</v>
      </c>
      <c r="C2528" s="28" t="s">
        <v>811</v>
      </c>
      <c r="D2528" s="28"/>
      <c r="E2528" s="41">
        <v>46171</v>
      </c>
      <c r="F2528" s="47">
        <v>0.36096064814814816</v>
      </c>
      <c r="G2528" s="44">
        <v>6.3</v>
      </c>
      <c r="H2528" s="43" t="s">
        <v>229</v>
      </c>
      <c r="I2528" s="40" t="s">
        <v>1300</v>
      </c>
    </row>
    <row r="2529" spans="1:9" x14ac:dyDescent="0.2">
      <c r="A2529" s="40" t="s">
        <v>96</v>
      </c>
      <c r="B2529" s="28">
        <v>3118</v>
      </c>
      <c r="C2529" s="28" t="s">
        <v>812</v>
      </c>
      <c r="D2529" s="28"/>
      <c r="E2529" s="41">
        <v>46172</v>
      </c>
      <c r="F2529" s="47">
        <v>0.25060185185185185</v>
      </c>
      <c r="G2529" s="42">
        <v>6.3</v>
      </c>
      <c r="H2529" s="40" t="s">
        <v>228</v>
      </c>
      <c r="I2529" s="40" t="s">
        <v>1300</v>
      </c>
    </row>
    <row r="2530" spans="1:9" x14ac:dyDescent="0.2">
      <c r="A2530" s="40" t="s">
        <v>96</v>
      </c>
      <c r="B2530" s="28">
        <v>3118</v>
      </c>
      <c r="C2530" s="28" t="s">
        <v>812</v>
      </c>
      <c r="D2530" s="28"/>
      <c r="E2530" s="41">
        <v>46172</v>
      </c>
      <c r="F2530" s="47">
        <v>0.26041666666666669</v>
      </c>
      <c r="G2530" s="42">
        <v>6.3</v>
      </c>
      <c r="H2530" s="40" t="s">
        <v>229</v>
      </c>
      <c r="I2530" s="40" t="s">
        <v>1300</v>
      </c>
    </row>
    <row r="2531" spans="1:9" x14ac:dyDescent="0.2">
      <c r="A2531" s="40" t="s">
        <v>96</v>
      </c>
      <c r="B2531" s="28">
        <v>3118</v>
      </c>
      <c r="C2531" s="28" t="s">
        <v>813</v>
      </c>
      <c r="D2531" s="28"/>
      <c r="E2531" s="41">
        <v>46172</v>
      </c>
      <c r="F2531" s="47">
        <v>0.35267361111111112</v>
      </c>
      <c r="G2531" s="44">
        <v>6.3</v>
      </c>
      <c r="H2531" s="43" t="s">
        <v>230</v>
      </c>
      <c r="I2531" s="40" t="s">
        <v>1300</v>
      </c>
    </row>
    <row r="2532" spans="1:9" x14ac:dyDescent="0.2">
      <c r="A2532" s="40" t="s">
        <v>96</v>
      </c>
      <c r="B2532" s="28">
        <v>3118</v>
      </c>
      <c r="C2532" s="28" t="s">
        <v>813</v>
      </c>
      <c r="D2532" s="28"/>
      <c r="E2532" s="41">
        <v>46172</v>
      </c>
      <c r="F2532" s="47">
        <v>0.35798611111111112</v>
      </c>
      <c r="G2532" s="44">
        <v>6.3</v>
      </c>
      <c r="H2532" s="43" t="s">
        <v>227</v>
      </c>
      <c r="I2532" s="40" t="s">
        <v>1300</v>
      </c>
    </row>
    <row r="2533" spans="1:9" x14ac:dyDescent="0.2">
      <c r="A2533" s="40" t="s">
        <v>96</v>
      </c>
      <c r="B2533" s="28">
        <v>3118</v>
      </c>
      <c r="C2533" s="28" t="s">
        <v>814</v>
      </c>
      <c r="D2533" s="28"/>
      <c r="E2533" s="41">
        <v>46172</v>
      </c>
      <c r="F2533" s="47">
        <v>0.47123842592592591</v>
      </c>
      <c r="G2533" s="44">
        <v>6.3</v>
      </c>
      <c r="H2533" s="43" t="s">
        <v>228</v>
      </c>
      <c r="I2533" s="40" t="s">
        <v>1300</v>
      </c>
    </row>
    <row r="2534" spans="1:9" x14ac:dyDescent="0.2">
      <c r="A2534" s="40" t="s">
        <v>96</v>
      </c>
      <c r="B2534" s="28">
        <v>3118</v>
      </c>
      <c r="C2534" s="28" t="s">
        <v>814</v>
      </c>
      <c r="D2534" s="28"/>
      <c r="E2534" s="41">
        <v>46172</v>
      </c>
      <c r="F2534" s="47">
        <v>0.4801273148148148</v>
      </c>
      <c r="G2534" s="42">
        <v>6.3</v>
      </c>
      <c r="H2534" s="40" t="s">
        <v>229</v>
      </c>
      <c r="I2534" s="40" t="s">
        <v>1300</v>
      </c>
    </row>
    <row r="2535" spans="1:9" x14ac:dyDescent="0.2">
      <c r="A2535" s="40" t="s">
        <v>96</v>
      </c>
      <c r="B2535" s="28">
        <v>3118</v>
      </c>
      <c r="C2535" s="28" t="s">
        <v>815</v>
      </c>
      <c r="D2535" s="28"/>
      <c r="E2535" s="41">
        <v>46173</v>
      </c>
      <c r="F2535" s="47">
        <v>0.55196759259259254</v>
      </c>
      <c r="G2535" s="42">
        <v>6.3</v>
      </c>
      <c r="H2535" s="40" t="s">
        <v>230</v>
      </c>
      <c r="I2535" s="40" t="s">
        <v>1300</v>
      </c>
    </row>
    <row r="2536" spans="1:9" x14ac:dyDescent="0.2">
      <c r="A2536" s="40" t="s">
        <v>96</v>
      </c>
      <c r="B2536" s="28">
        <v>3118</v>
      </c>
      <c r="C2536" s="28" t="s">
        <v>815</v>
      </c>
      <c r="D2536" s="28"/>
      <c r="E2536" s="41">
        <v>46173</v>
      </c>
      <c r="F2536" s="47">
        <v>0.55708333333333337</v>
      </c>
      <c r="G2536" s="44">
        <v>6.3</v>
      </c>
      <c r="H2536" s="43" t="s">
        <v>227</v>
      </c>
      <c r="I2536" s="40" t="s">
        <v>1300</v>
      </c>
    </row>
    <row r="2537" spans="1:9" x14ac:dyDescent="0.2">
      <c r="A2537" s="40" t="s">
        <v>96</v>
      </c>
      <c r="B2537" s="28">
        <v>3118</v>
      </c>
      <c r="C2537" s="28" t="s">
        <v>815</v>
      </c>
      <c r="D2537" s="28"/>
      <c r="E2537" s="41">
        <v>46173</v>
      </c>
      <c r="F2537" s="47">
        <v>0.58605324074074072</v>
      </c>
      <c r="G2537" s="44">
        <v>6.3</v>
      </c>
      <c r="H2537" s="43" t="s">
        <v>228</v>
      </c>
      <c r="I2537" s="40" t="s">
        <v>1300</v>
      </c>
    </row>
    <row r="2538" spans="1:9" x14ac:dyDescent="0.2">
      <c r="A2538" s="40" t="s">
        <v>96</v>
      </c>
      <c r="B2538" s="28">
        <v>3118</v>
      </c>
      <c r="C2538" s="28" t="s">
        <v>816</v>
      </c>
      <c r="D2538" s="28"/>
      <c r="E2538" s="41">
        <v>46173</v>
      </c>
      <c r="F2538" s="47">
        <v>0.65972222222222221</v>
      </c>
      <c r="G2538" s="42">
        <v>6.3</v>
      </c>
      <c r="H2538" s="40" t="s">
        <v>230</v>
      </c>
      <c r="I2538" s="40" t="s">
        <v>1300</v>
      </c>
    </row>
    <row r="2539" spans="1:9" x14ac:dyDescent="0.2">
      <c r="A2539" s="40" t="s">
        <v>96</v>
      </c>
      <c r="B2539" s="28">
        <v>3118</v>
      </c>
      <c r="C2539" s="28" t="s">
        <v>816</v>
      </c>
      <c r="D2539" s="28"/>
      <c r="E2539" s="41">
        <v>46173</v>
      </c>
      <c r="F2539" s="47">
        <v>0.66615740740740736</v>
      </c>
      <c r="G2539" s="42">
        <v>6.3</v>
      </c>
      <c r="H2539" s="40" t="s">
        <v>227</v>
      </c>
      <c r="I2539" s="40" t="s">
        <v>1300</v>
      </c>
    </row>
    <row r="2540" spans="1:9" x14ac:dyDescent="0.2">
      <c r="A2540" s="40" t="s">
        <v>817</v>
      </c>
      <c r="B2540" s="28">
        <v>3123</v>
      </c>
      <c r="C2540" s="28" t="s">
        <v>818</v>
      </c>
      <c r="D2540" s="28"/>
      <c r="E2540" s="41">
        <v>46173</v>
      </c>
      <c r="F2540" s="47">
        <v>0.74418981481481483</v>
      </c>
      <c r="G2540" s="42">
        <v>6.3</v>
      </c>
      <c r="H2540" s="40" t="s">
        <v>227</v>
      </c>
      <c r="I2540" s="40" t="s">
        <v>1300</v>
      </c>
    </row>
    <row r="2541" spans="1:9" x14ac:dyDescent="0.2">
      <c r="A2541" s="40" t="s">
        <v>427</v>
      </c>
      <c r="B2541" s="28">
        <v>3127</v>
      </c>
      <c r="C2541" s="28">
        <v>10736344</v>
      </c>
      <c r="D2541" s="28"/>
      <c r="E2541" s="41">
        <v>46167</v>
      </c>
      <c r="F2541" s="47">
        <v>0.32645833333333335</v>
      </c>
      <c r="G2541" s="42">
        <v>6.3</v>
      </c>
      <c r="H2541" s="40" t="s">
        <v>230</v>
      </c>
      <c r="I2541" s="40" t="s">
        <v>1300</v>
      </c>
    </row>
    <row r="2542" spans="1:9" x14ac:dyDescent="0.2">
      <c r="A2542" s="40" t="s">
        <v>427</v>
      </c>
      <c r="B2542" s="28">
        <v>3127</v>
      </c>
      <c r="C2542" s="28">
        <v>10736344</v>
      </c>
      <c r="D2542" s="28"/>
      <c r="E2542" s="45">
        <v>46167</v>
      </c>
      <c r="F2542" s="48">
        <v>0.33269675925925923</v>
      </c>
      <c r="G2542" s="44">
        <v>6.3</v>
      </c>
      <c r="H2542" s="43" t="s">
        <v>227</v>
      </c>
      <c r="I2542" s="40" t="s">
        <v>1300</v>
      </c>
    </row>
    <row r="2543" spans="1:9" x14ac:dyDescent="0.2">
      <c r="A2543" s="40" t="s">
        <v>427</v>
      </c>
      <c r="B2543" s="28">
        <v>3127</v>
      </c>
      <c r="C2543" s="28" t="s">
        <v>35</v>
      </c>
      <c r="D2543" s="28" t="s">
        <v>38</v>
      </c>
      <c r="E2543" s="41">
        <v>46167</v>
      </c>
      <c r="F2543" s="47">
        <v>0.37854166666666667</v>
      </c>
      <c r="G2543" s="44">
        <v>6.3</v>
      </c>
      <c r="H2543" s="43" t="s">
        <v>228</v>
      </c>
      <c r="I2543" s="40" t="s">
        <v>1300</v>
      </c>
    </row>
    <row r="2544" spans="1:9" x14ac:dyDescent="0.2">
      <c r="A2544" s="40" t="s">
        <v>427</v>
      </c>
      <c r="B2544" s="28">
        <v>3127</v>
      </c>
      <c r="C2544" s="28" t="s">
        <v>35</v>
      </c>
      <c r="D2544" s="28" t="s">
        <v>38</v>
      </c>
      <c r="E2544" s="41">
        <v>46167</v>
      </c>
      <c r="F2544" s="47">
        <v>0.39013888888888887</v>
      </c>
      <c r="G2544" s="44">
        <v>6.3</v>
      </c>
      <c r="H2544" s="43" t="s">
        <v>232</v>
      </c>
      <c r="I2544" s="40" t="s">
        <v>1300</v>
      </c>
    </row>
    <row r="2545" spans="1:9" x14ac:dyDescent="0.2">
      <c r="A2545" s="40" t="s">
        <v>427</v>
      </c>
      <c r="B2545" s="28">
        <v>3127</v>
      </c>
      <c r="C2545" s="28" t="s">
        <v>819</v>
      </c>
      <c r="D2545" s="28"/>
      <c r="E2545" s="45">
        <v>46167</v>
      </c>
      <c r="F2545" s="48">
        <v>0.43362268518518521</v>
      </c>
      <c r="G2545" s="44">
        <v>6.3</v>
      </c>
      <c r="H2545" s="43" t="s">
        <v>226</v>
      </c>
      <c r="I2545" s="40" t="s">
        <v>1300</v>
      </c>
    </row>
    <row r="2546" spans="1:9" x14ac:dyDescent="0.2">
      <c r="A2546" s="40" t="s">
        <v>427</v>
      </c>
      <c r="B2546" s="28">
        <v>3127</v>
      </c>
      <c r="C2546" s="28" t="s">
        <v>819</v>
      </c>
      <c r="D2546" s="28"/>
      <c r="E2546" s="41">
        <v>46167</v>
      </c>
      <c r="F2546" s="47">
        <v>0.43972222222222224</v>
      </c>
      <c r="G2546" s="44">
        <v>6.3</v>
      </c>
      <c r="H2546" s="43" t="s">
        <v>227</v>
      </c>
      <c r="I2546" s="40" t="s">
        <v>1300</v>
      </c>
    </row>
    <row r="2547" spans="1:9" x14ac:dyDescent="0.2">
      <c r="A2547" s="40" t="s">
        <v>427</v>
      </c>
      <c r="B2547" s="28">
        <v>3127</v>
      </c>
      <c r="C2547" s="28" t="s">
        <v>820</v>
      </c>
      <c r="D2547" s="28"/>
      <c r="E2547" s="41">
        <v>46167</v>
      </c>
      <c r="F2547" s="47">
        <v>0.5435416666666667</v>
      </c>
      <c r="G2547" s="44">
        <v>6.3</v>
      </c>
      <c r="H2547" s="43" t="s">
        <v>228</v>
      </c>
      <c r="I2547" s="40" t="s">
        <v>1300</v>
      </c>
    </row>
    <row r="2548" spans="1:9" x14ac:dyDescent="0.2">
      <c r="A2548" s="40" t="s">
        <v>427</v>
      </c>
      <c r="B2548" s="28">
        <v>3127</v>
      </c>
      <c r="C2548" s="28" t="s">
        <v>820</v>
      </c>
      <c r="D2548" s="28"/>
      <c r="E2548" s="41">
        <v>46167</v>
      </c>
      <c r="F2548" s="47">
        <v>0.55203703703703699</v>
      </c>
      <c r="G2548" s="44">
        <v>6.3</v>
      </c>
      <c r="H2548" s="43" t="s">
        <v>229</v>
      </c>
      <c r="I2548" s="40" t="s">
        <v>1300</v>
      </c>
    </row>
    <row r="2549" spans="1:9" x14ac:dyDescent="0.2">
      <c r="A2549" s="40" t="s">
        <v>427</v>
      </c>
      <c r="B2549" s="28">
        <v>3127</v>
      </c>
      <c r="C2549" s="28">
        <v>5689225</v>
      </c>
      <c r="D2549" s="28"/>
      <c r="E2549" s="41">
        <v>46169</v>
      </c>
      <c r="F2549" s="47">
        <v>0.59659722222222222</v>
      </c>
      <c r="G2549" s="44">
        <v>6.3</v>
      </c>
      <c r="H2549" s="43" t="s">
        <v>228</v>
      </c>
      <c r="I2549" s="40" t="s">
        <v>1300</v>
      </c>
    </row>
    <row r="2550" spans="1:9" x14ac:dyDescent="0.2">
      <c r="A2550" s="40" t="s">
        <v>427</v>
      </c>
      <c r="B2550" s="28">
        <v>3127</v>
      </c>
      <c r="C2550" s="28">
        <v>5689225</v>
      </c>
      <c r="D2550" s="28"/>
      <c r="E2550" s="41">
        <v>46169</v>
      </c>
      <c r="F2550" s="47">
        <v>0.6080092592592593</v>
      </c>
      <c r="G2550" s="44">
        <v>6.3</v>
      </c>
      <c r="H2550" s="43" t="s">
        <v>232</v>
      </c>
      <c r="I2550" s="40" t="s">
        <v>1300</v>
      </c>
    </row>
    <row r="2551" spans="1:9" x14ac:dyDescent="0.2">
      <c r="A2551" s="40" t="s">
        <v>427</v>
      </c>
      <c r="B2551" s="28">
        <v>3127</v>
      </c>
      <c r="C2551" s="28">
        <v>10756285</v>
      </c>
      <c r="D2551" s="28"/>
      <c r="E2551" s="45">
        <v>46169</v>
      </c>
      <c r="F2551" s="48">
        <v>0.69081018518518522</v>
      </c>
      <c r="G2551" s="44">
        <v>6.3</v>
      </c>
      <c r="H2551" s="43" t="s">
        <v>231</v>
      </c>
      <c r="I2551" s="40" t="s">
        <v>1300</v>
      </c>
    </row>
    <row r="2552" spans="1:9" x14ac:dyDescent="0.2">
      <c r="A2552" s="40" t="s">
        <v>427</v>
      </c>
      <c r="B2552" s="28">
        <v>3127</v>
      </c>
      <c r="C2552" s="28" t="s">
        <v>821</v>
      </c>
      <c r="D2552" s="28"/>
      <c r="E2552" s="41">
        <v>46169</v>
      </c>
      <c r="F2552" s="47">
        <v>0.84741898148148154</v>
      </c>
      <c r="G2552" s="44">
        <v>6.3</v>
      </c>
      <c r="H2552" s="43" t="s">
        <v>228</v>
      </c>
      <c r="I2552" s="40" t="s">
        <v>1300</v>
      </c>
    </row>
    <row r="2553" spans="1:9" x14ac:dyDescent="0.2">
      <c r="A2553" s="40" t="s">
        <v>427</v>
      </c>
      <c r="B2553" s="28">
        <v>3127</v>
      </c>
      <c r="C2553" s="28" t="s">
        <v>821</v>
      </c>
      <c r="D2553" s="28"/>
      <c r="E2553" s="41">
        <v>46169</v>
      </c>
      <c r="F2553" s="47">
        <v>0.85538194444444449</v>
      </c>
      <c r="G2553" s="44">
        <v>6.3</v>
      </c>
      <c r="H2553" s="43" t="s">
        <v>232</v>
      </c>
      <c r="I2553" s="40" t="s">
        <v>1300</v>
      </c>
    </row>
    <row r="2554" spans="1:9" x14ac:dyDescent="0.2">
      <c r="A2554" s="40" t="s">
        <v>427</v>
      </c>
      <c r="B2554" s="28">
        <v>3127</v>
      </c>
      <c r="C2554" s="28" t="s">
        <v>35</v>
      </c>
      <c r="D2554" s="28" t="s">
        <v>38</v>
      </c>
      <c r="E2554" s="41">
        <v>46169</v>
      </c>
      <c r="F2554" s="47">
        <v>0.88868055555555558</v>
      </c>
      <c r="G2554" s="44">
        <v>6.3</v>
      </c>
      <c r="H2554" s="43" t="s">
        <v>231</v>
      </c>
      <c r="I2554" s="40" t="s">
        <v>1300</v>
      </c>
    </row>
    <row r="2555" spans="1:9" x14ac:dyDescent="0.2">
      <c r="A2555" s="40" t="s">
        <v>427</v>
      </c>
      <c r="B2555" s="28">
        <v>3127</v>
      </c>
      <c r="C2555" s="28">
        <v>10759046</v>
      </c>
      <c r="D2555" s="28" t="s">
        <v>36</v>
      </c>
      <c r="E2555" s="41">
        <v>46170</v>
      </c>
      <c r="F2555" s="47">
        <v>0.52030092592592592</v>
      </c>
      <c r="G2555" s="44">
        <v>6.3</v>
      </c>
      <c r="H2555" s="43" t="s">
        <v>230</v>
      </c>
      <c r="I2555" s="40" t="s">
        <v>1300</v>
      </c>
    </row>
    <row r="2556" spans="1:9" x14ac:dyDescent="0.2">
      <c r="A2556" s="40" t="s">
        <v>427</v>
      </c>
      <c r="B2556" s="28">
        <v>3127</v>
      </c>
      <c r="C2556" s="28">
        <v>10759046</v>
      </c>
      <c r="D2556" s="28" t="s">
        <v>36</v>
      </c>
      <c r="E2556" s="41">
        <v>46170</v>
      </c>
      <c r="F2556" s="47">
        <v>0.5268518518518519</v>
      </c>
      <c r="G2556" s="44">
        <v>6.3</v>
      </c>
      <c r="H2556" s="43" t="s">
        <v>227</v>
      </c>
      <c r="I2556" s="40" t="s">
        <v>1300</v>
      </c>
    </row>
    <row r="2557" spans="1:9" x14ac:dyDescent="0.2">
      <c r="A2557" s="40" t="s">
        <v>427</v>
      </c>
      <c r="B2557" s="28">
        <v>3127</v>
      </c>
      <c r="C2557" s="28" t="s">
        <v>822</v>
      </c>
      <c r="D2557" s="28"/>
      <c r="E2557" s="41">
        <v>46171</v>
      </c>
      <c r="F2557" s="47">
        <v>0.45271990740740742</v>
      </c>
      <c r="G2557" s="44">
        <v>6.3</v>
      </c>
      <c r="H2557" s="43" t="s">
        <v>230</v>
      </c>
      <c r="I2557" s="40" t="s">
        <v>1300</v>
      </c>
    </row>
    <row r="2558" spans="1:9" x14ac:dyDescent="0.2">
      <c r="A2558" s="40" t="s">
        <v>427</v>
      </c>
      <c r="B2558" s="28">
        <v>3127</v>
      </c>
      <c r="C2558" s="28" t="s">
        <v>822</v>
      </c>
      <c r="D2558" s="28"/>
      <c r="E2558" s="45">
        <v>46171</v>
      </c>
      <c r="F2558" s="48">
        <v>0.4596527777777778</v>
      </c>
      <c r="G2558" s="44">
        <v>6.3</v>
      </c>
      <c r="H2558" s="43" t="s">
        <v>227</v>
      </c>
      <c r="I2558" s="40" t="s">
        <v>1300</v>
      </c>
    </row>
    <row r="2559" spans="1:9" x14ac:dyDescent="0.2">
      <c r="A2559" s="40" t="s">
        <v>427</v>
      </c>
      <c r="B2559" s="28">
        <v>3127</v>
      </c>
      <c r="C2559" s="28" t="s">
        <v>823</v>
      </c>
      <c r="D2559" s="28"/>
      <c r="E2559" s="41">
        <v>46172</v>
      </c>
      <c r="F2559" s="47">
        <v>0.72140046296296301</v>
      </c>
      <c r="G2559" s="44">
        <v>6.3</v>
      </c>
      <c r="H2559" s="43" t="s">
        <v>227</v>
      </c>
      <c r="I2559" s="40" t="s">
        <v>1300</v>
      </c>
    </row>
    <row r="2560" spans="1:9" x14ac:dyDescent="0.2">
      <c r="A2560" s="40" t="s">
        <v>427</v>
      </c>
      <c r="B2560" s="28">
        <v>3127</v>
      </c>
      <c r="C2560" s="28">
        <v>5694688</v>
      </c>
      <c r="D2560" s="28"/>
      <c r="E2560" s="41">
        <v>46173</v>
      </c>
      <c r="F2560" s="47">
        <v>0.47380787037037037</v>
      </c>
      <c r="G2560" s="44">
        <v>6.3</v>
      </c>
      <c r="H2560" s="43" t="s">
        <v>230</v>
      </c>
      <c r="I2560" s="40" t="s">
        <v>1300</v>
      </c>
    </row>
    <row r="2561" spans="1:9" x14ac:dyDescent="0.2">
      <c r="A2561" s="40" t="s">
        <v>427</v>
      </c>
      <c r="B2561" s="28">
        <v>3127</v>
      </c>
      <c r="C2561" s="28">
        <v>5694688</v>
      </c>
      <c r="D2561" s="28"/>
      <c r="E2561" s="41">
        <v>46173</v>
      </c>
      <c r="F2561" s="47">
        <v>0.47964120370370372</v>
      </c>
      <c r="G2561" s="44">
        <v>6.3</v>
      </c>
      <c r="H2561" s="43" t="s">
        <v>227</v>
      </c>
      <c r="I2561" s="40" t="s">
        <v>1300</v>
      </c>
    </row>
    <row r="2562" spans="1:9" x14ac:dyDescent="0.2">
      <c r="A2562" s="40" t="s">
        <v>427</v>
      </c>
      <c r="B2562" s="28">
        <v>3127</v>
      </c>
      <c r="C2562" s="28" t="s">
        <v>824</v>
      </c>
      <c r="D2562" s="28"/>
      <c r="E2562" s="41">
        <v>46173</v>
      </c>
      <c r="F2562" s="47">
        <v>0.71439814814814817</v>
      </c>
      <c r="G2562" s="44">
        <v>6.3</v>
      </c>
      <c r="H2562" s="43" t="s">
        <v>230</v>
      </c>
      <c r="I2562" s="40" t="s">
        <v>1300</v>
      </c>
    </row>
    <row r="2563" spans="1:9" x14ac:dyDescent="0.2">
      <c r="A2563" s="40" t="s">
        <v>427</v>
      </c>
      <c r="B2563" s="28">
        <v>3127</v>
      </c>
      <c r="C2563" s="28" t="s">
        <v>824</v>
      </c>
      <c r="D2563" s="28"/>
      <c r="E2563" s="41">
        <v>46173</v>
      </c>
      <c r="F2563" s="47">
        <v>0.72008101851851847</v>
      </c>
      <c r="G2563" s="44">
        <v>6.3</v>
      </c>
      <c r="H2563" s="43" t="s">
        <v>227</v>
      </c>
      <c r="I2563" s="40" t="s">
        <v>1300</v>
      </c>
    </row>
    <row r="2564" spans="1:9" x14ac:dyDescent="0.2">
      <c r="A2564" s="40" t="s">
        <v>97</v>
      </c>
      <c r="B2564" s="28">
        <v>3138</v>
      </c>
      <c r="C2564" s="28" t="s">
        <v>825</v>
      </c>
      <c r="D2564" s="28"/>
      <c r="E2564" s="45">
        <v>46168</v>
      </c>
      <c r="F2564" s="48">
        <v>0.2704050925925926</v>
      </c>
      <c r="G2564" s="44">
        <v>6.3</v>
      </c>
      <c r="H2564" s="43" t="s">
        <v>230</v>
      </c>
      <c r="I2564" s="40" t="s">
        <v>1300</v>
      </c>
    </row>
    <row r="2565" spans="1:9" x14ac:dyDescent="0.2">
      <c r="A2565" s="40" t="s">
        <v>97</v>
      </c>
      <c r="B2565" s="28">
        <v>3138</v>
      </c>
      <c r="C2565" s="28" t="s">
        <v>825</v>
      </c>
      <c r="D2565" s="28"/>
      <c r="E2565" s="41">
        <v>46168</v>
      </c>
      <c r="F2565" s="47">
        <v>0.27739583333333334</v>
      </c>
      <c r="G2565" s="44">
        <v>6.3</v>
      </c>
      <c r="H2565" s="43" t="s">
        <v>227</v>
      </c>
      <c r="I2565" s="40" t="s">
        <v>1300</v>
      </c>
    </row>
    <row r="2566" spans="1:9" x14ac:dyDescent="0.2">
      <c r="A2566" s="40" t="s">
        <v>97</v>
      </c>
      <c r="B2566" s="28">
        <v>3138</v>
      </c>
      <c r="C2566" s="28" t="s">
        <v>826</v>
      </c>
      <c r="D2566" s="28"/>
      <c r="E2566" s="41">
        <v>46170</v>
      </c>
      <c r="F2566" s="47">
        <v>0.26309027777777777</v>
      </c>
      <c r="G2566" s="44">
        <v>6.3</v>
      </c>
      <c r="H2566" s="43" t="s">
        <v>226</v>
      </c>
      <c r="I2566" s="40" t="s">
        <v>1300</v>
      </c>
    </row>
    <row r="2567" spans="1:9" x14ac:dyDescent="0.2">
      <c r="A2567" s="40" t="s">
        <v>97</v>
      </c>
      <c r="B2567" s="28">
        <v>3138</v>
      </c>
      <c r="C2567" s="28" t="s">
        <v>826</v>
      </c>
      <c r="D2567" s="28"/>
      <c r="E2567" s="41">
        <v>46170</v>
      </c>
      <c r="F2567" s="47">
        <v>0.26962962962962961</v>
      </c>
      <c r="G2567" s="44">
        <v>6.3</v>
      </c>
      <c r="H2567" s="43" t="s">
        <v>227</v>
      </c>
      <c r="I2567" s="40" t="s">
        <v>1300</v>
      </c>
    </row>
    <row r="2568" spans="1:9" x14ac:dyDescent="0.2">
      <c r="A2568" s="40" t="s">
        <v>97</v>
      </c>
      <c r="B2568" s="28">
        <v>3138</v>
      </c>
      <c r="C2568" s="28" t="s">
        <v>827</v>
      </c>
      <c r="D2568" s="28"/>
      <c r="E2568" s="41">
        <v>46170</v>
      </c>
      <c r="F2568" s="47">
        <v>0.47590277777777779</v>
      </c>
      <c r="G2568" s="44">
        <v>6.3</v>
      </c>
      <c r="H2568" s="43" t="s">
        <v>228</v>
      </c>
      <c r="I2568" s="40" t="s">
        <v>1300</v>
      </c>
    </row>
    <row r="2569" spans="1:9" x14ac:dyDescent="0.2">
      <c r="A2569" s="40" t="s">
        <v>97</v>
      </c>
      <c r="B2569" s="28">
        <v>3138</v>
      </c>
      <c r="C2569" s="28" t="s">
        <v>827</v>
      </c>
      <c r="D2569" s="28"/>
      <c r="E2569" s="41">
        <v>46170</v>
      </c>
      <c r="F2569" s="47">
        <v>0.48465277777777777</v>
      </c>
      <c r="G2569" s="44">
        <v>6.3</v>
      </c>
      <c r="H2569" s="43" t="s">
        <v>229</v>
      </c>
      <c r="I2569" s="40" t="s">
        <v>1300</v>
      </c>
    </row>
    <row r="2570" spans="1:9" x14ac:dyDescent="0.2">
      <c r="A2570" s="40" t="s">
        <v>97</v>
      </c>
      <c r="B2570" s="28">
        <v>3138</v>
      </c>
      <c r="C2570" s="28" t="s">
        <v>828</v>
      </c>
      <c r="D2570" s="28"/>
      <c r="E2570" s="41">
        <v>46170</v>
      </c>
      <c r="F2570" s="47">
        <v>0.52733796296296298</v>
      </c>
      <c r="G2570" s="44">
        <v>6.3</v>
      </c>
      <c r="H2570" s="43" t="s">
        <v>226</v>
      </c>
      <c r="I2570" s="40" t="s">
        <v>1300</v>
      </c>
    </row>
    <row r="2571" spans="1:9" x14ac:dyDescent="0.2">
      <c r="A2571" s="40" t="s">
        <v>97</v>
      </c>
      <c r="B2571" s="28">
        <v>3138</v>
      </c>
      <c r="C2571" s="28" t="s">
        <v>828</v>
      </c>
      <c r="D2571" s="28"/>
      <c r="E2571" s="41">
        <v>46170</v>
      </c>
      <c r="F2571" s="47">
        <v>0.53281250000000002</v>
      </c>
      <c r="G2571" s="44">
        <v>6.3</v>
      </c>
      <c r="H2571" s="43" t="s">
        <v>227</v>
      </c>
      <c r="I2571" s="40" t="s">
        <v>1300</v>
      </c>
    </row>
    <row r="2572" spans="1:9" x14ac:dyDescent="0.2">
      <c r="A2572" s="40" t="s">
        <v>97</v>
      </c>
      <c r="B2572" s="28">
        <v>3138</v>
      </c>
      <c r="C2572" s="28" t="s">
        <v>829</v>
      </c>
      <c r="D2572" s="28"/>
      <c r="E2572" s="41">
        <v>46170</v>
      </c>
      <c r="F2572" s="47">
        <v>0.58778935185185188</v>
      </c>
      <c r="G2572" s="44">
        <v>6.3</v>
      </c>
      <c r="H2572" s="43" t="s">
        <v>228</v>
      </c>
      <c r="I2572" s="40" t="s">
        <v>1300</v>
      </c>
    </row>
    <row r="2573" spans="1:9" x14ac:dyDescent="0.2">
      <c r="A2573" s="40" t="s">
        <v>97</v>
      </c>
      <c r="B2573" s="28">
        <v>3138</v>
      </c>
      <c r="C2573" s="28" t="s">
        <v>829</v>
      </c>
      <c r="D2573" s="28"/>
      <c r="E2573" s="41">
        <v>46170</v>
      </c>
      <c r="F2573" s="47">
        <v>0.60021990740740738</v>
      </c>
      <c r="G2573" s="44">
        <v>6.3</v>
      </c>
      <c r="H2573" s="43" t="s">
        <v>229</v>
      </c>
      <c r="I2573" s="40" t="s">
        <v>1300</v>
      </c>
    </row>
    <row r="2574" spans="1:9" x14ac:dyDescent="0.2">
      <c r="A2574" s="40" t="s">
        <v>97</v>
      </c>
      <c r="B2574" s="28">
        <v>3138</v>
      </c>
      <c r="C2574" s="28" t="s">
        <v>830</v>
      </c>
      <c r="D2574" s="28"/>
      <c r="E2574" s="41">
        <v>46171</v>
      </c>
      <c r="F2574" s="47">
        <v>0.27165509259259257</v>
      </c>
      <c r="G2574" s="44">
        <v>6.3</v>
      </c>
      <c r="H2574" s="43" t="s">
        <v>231</v>
      </c>
      <c r="I2574" s="40" t="s">
        <v>1300</v>
      </c>
    </row>
    <row r="2575" spans="1:9" x14ac:dyDescent="0.2">
      <c r="A2575" s="40" t="s">
        <v>97</v>
      </c>
      <c r="B2575" s="28">
        <v>3138</v>
      </c>
      <c r="C2575" s="28" t="s">
        <v>830</v>
      </c>
      <c r="D2575" s="28"/>
      <c r="E2575" s="41">
        <v>46171</v>
      </c>
      <c r="F2575" s="47">
        <v>0.27824074074074073</v>
      </c>
      <c r="G2575" s="44">
        <v>6.3</v>
      </c>
      <c r="H2575" s="43" t="s">
        <v>227</v>
      </c>
      <c r="I2575" s="40" t="s">
        <v>1300</v>
      </c>
    </row>
    <row r="2576" spans="1:9" x14ac:dyDescent="0.2">
      <c r="A2576" s="40" t="s">
        <v>97</v>
      </c>
      <c r="B2576" s="28">
        <v>3138</v>
      </c>
      <c r="C2576" s="28" t="s">
        <v>831</v>
      </c>
      <c r="D2576" s="28"/>
      <c r="E2576" s="41">
        <v>46171</v>
      </c>
      <c r="F2576" s="47">
        <v>0.49105324074074075</v>
      </c>
      <c r="G2576" s="44">
        <v>6.3</v>
      </c>
      <c r="H2576" s="43" t="s">
        <v>228</v>
      </c>
      <c r="I2576" s="40" t="s">
        <v>1300</v>
      </c>
    </row>
    <row r="2577" spans="1:9" x14ac:dyDescent="0.2">
      <c r="A2577" s="40" t="s">
        <v>97</v>
      </c>
      <c r="B2577" s="28">
        <v>3138</v>
      </c>
      <c r="C2577" s="28" t="s">
        <v>831</v>
      </c>
      <c r="D2577" s="28"/>
      <c r="E2577" s="45">
        <v>46171</v>
      </c>
      <c r="F2577" s="48">
        <v>0.51111111111111107</v>
      </c>
      <c r="G2577" s="44">
        <v>6.3</v>
      </c>
      <c r="H2577" s="43" t="s">
        <v>229</v>
      </c>
      <c r="I2577" s="40" t="s">
        <v>1300</v>
      </c>
    </row>
    <row r="2578" spans="1:9" x14ac:dyDescent="0.2">
      <c r="A2578" s="40" t="s">
        <v>97</v>
      </c>
      <c r="B2578" s="28">
        <v>3138</v>
      </c>
      <c r="C2578" s="28">
        <v>5692129</v>
      </c>
      <c r="D2578" s="28"/>
      <c r="E2578" s="41">
        <v>46171</v>
      </c>
      <c r="F2578" s="47">
        <v>0.57042824074074072</v>
      </c>
      <c r="G2578" s="44">
        <v>6.3</v>
      </c>
      <c r="H2578" s="43" t="s">
        <v>231</v>
      </c>
      <c r="I2578" s="40" t="s">
        <v>1300</v>
      </c>
    </row>
    <row r="2579" spans="1:9" x14ac:dyDescent="0.2">
      <c r="A2579" s="40" t="s">
        <v>97</v>
      </c>
      <c r="B2579" s="28">
        <v>3138</v>
      </c>
      <c r="C2579" s="28">
        <v>5692129</v>
      </c>
      <c r="D2579" s="28"/>
      <c r="E2579" s="45">
        <v>46171</v>
      </c>
      <c r="F2579" s="48">
        <v>0.58181712962962961</v>
      </c>
      <c r="G2579" s="44">
        <v>6.3</v>
      </c>
      <c r="H2579" s="43" t="s">
        <v>227</v>
      </c>
      <c r="I2579" s="40" t="s">
        <v>1300</v>
      </c>
    </row>
    <row r="2580" spans="1:9" x14ac:dyDescent="0.2">
      <c r="A2580" s="40" t="s">
        <v>97</v>
      </c>
      <c r="B2580" s="28">
        <v>3138</v>
      </c>
      <c r="C2580" s="28" t="s">
        <v>832</v>
      </c>
      <c r="D2580" s="28"/>
      <c r="E2580" s="45">
        <v>46171</v>
      </c>
      <c r="F2580" s="48">
        <v>0.63487268518518514</v>
      </c>
      <c r="G2580" s="44">
        <v>6.3</v>
      </c>
      <c r="H2580" s="43" t="s">
        <v>228</v>
      </c>
      <c r="I2580" s="40" t="s">
        <v>1300</v>
      </c>
    </row>
    <row r="2581" spans="1:9" x14ac:dyDescent="0.2">
      <c r="A2581" s="40" t="s">
        <v>97</v>
      </c>
      <c r="B2581" s="28">
        <v>3138</v>
      </c>
      <c r="C2581" s="28" t="s">
        <v>832</v>
      </c>
      <c r="D2581" s="28"/>
      <c r="E2581" s="41">
        <v>46171</v>
      </c>
      <c r="F2581" s="47">
        <v>0.64408564814814817</v>
      </c>
      <c r="G2581" s="44">
        <v>6.3</v>
      </c>
      <c r="H2581" s="43" t="s">
        <v>229</v>
      </c>
      <c r="I2581" s="40" t="s">
        <v>1300</v>
      </c>
    </row>
    <row r="2582" spans="1:9" x14ac:dyDescent="0.2">
      <c r="A2582" s="40" t="s">
        <v>97</v>
      </c>
      <c r="B2582" s="28">
        <v>3138</v>
      </c>
      <c r="C2582" s="28" t="s">
        <v>833</v>
      </c>
      <c r="D2582" s="28"/>
      <c r="E2582" s="45">
        <v>46173</v>
      </c>
      <c r="F2582" s="48">
        <v>0.28464120370370372</v>
      </c>
      <c r="G2582" s="44">
        <v>6.3</v>
      </c>
      <c r="H2582" s="43" t="s">
        <v>230</v>
      </c>
      <c r="I2582" s="40" t="s">
        <v>1300</v>
      </c>
    </row>
    <row r="2583" spans="1:9" x14ac:dyDescent="0.2">
      <c r="A2583" s="40" t="s">
        <v>97</v>
      </c>
      <c r="B2583" s="28">
        <v>3138</v>
      </c>
      <c r="C2583" s="28" t="s">
        <v>833</v>
      </c>
      <c r="D2583" s="28"/>
      <c r="E2583" s="41">
        <v>46173</v>
      </c>
      <c r="F2583" s="47">
        <v>0.29009259259259257</v>
      </c>
      <c r="G2583" s="44">
        <v>6.3</v>
      </c>
      <c r="H2583" s="43" t="s">
        <v>227</v>
      </c>
      <c r="I2583" s="40" t="s">
        <v>1300</v>
      </c>
    </row>
    <row r="2584" spans="1:9" x14ac:dyDescent="0.2">
      <c r="A2584" s="40" t="s">
        <v>97</v>
      </c>
      <c r="B2584" s="28">
        <v>3138</v>
      </c>
      <c r="C2584" s="28" t="s">
        <v>35</v>
      </c>
      <c r="D2584" s="28" t="s">
        <v>38</v>
      </c>
      <c r="E2584" s="41">
        <v>46173</v>
      </c>
      <c r="F2584" s="47">
        <v>0.37914351851851852</v>
      </c>
      <c r="G2584" s="44">
        <v>6.3</v>
      </c>
      <c r="H2584" s="43" t="s">
        <v>228</v>
      </c>
      <c r="I2584" s="40" t="s">
        <v>1300</v>
      </c>
    </row>
    <row r="2585" spans="1:9" x14ac:dyDescent="0.2">
      <c r="A2585" s="40" t="s">
        <v>97</v>
      </c>
      <c r="B2585" s="28">
        <v>3138</v>
      </c>
      <c r="C2585" s="28" t="s">
        <v>35</v>
      </c>
      <c r="D2585" s="28" t="s">
        <v>38</v>
      </c>
      <c r="E2585" s="45">
        <v>46173</v>
      </c>
      <c r="F2585" s="48">
        <v>0.38613425925925926</v>
      </c>
      <c r="G2585" s="44">
        <v>6.3</v>
      </c>
      <c r="H2585" s="43" t="s">
        <v>229</v>
      </c>
      <c r="I2585" s="40" t="s">
        <v>1300</v>
      </c>
    </row>
    <row r="2586" spans="1:9" x14ac:dyDescent="0.2">
      <c r="A2586" s="40" t="s">
        <v>97</v>
      </c>
      <c r="B2586" s="28">
        <v>3138</v>
      </c>
      <c r="C2586" s="28" t="s">
        <v>834</v>
      </c>
      <c r="D2586" s="28"/>
      <c r="E2586" s="41">
        <v>46173</v>
      </c>
      <c r="F2586" s="47">
        <v>0.53347222222222224</v>
      </c>
      <c r="G2586" s="44">
        <v>6.3</v>
      </c>
      <c r="H2586" s="43" t="s">
        <v>228</v>
      </c>
      <c r="I2586" s="40" t="s">
        <v>1300</v>
      </c>
    </row>
    <row r="2587" spans="1:9" x14ac:dyDescent="0.2">
      <c r="A2587" s="40" t="s">
        <v>97</v>
      </c>
      <c r="B2587" s="28">
        <v>3138</v>
      </c>
      <c r="C2587" s="28">
        <v>5695571</v>
      </c>
      <c r="D2587" s="28"/>
      <c r="E2587" s="45">
        <v>46173</v>
      </c>
      <c r="F2587" s="48">
        <v>0.59965277777777781</v>
      </c>
      <c r="G2587" s="42">
        <v>6.3</v>
      </c>
      <c r="H2587" s="40" t="s">
        <v>231</v>
      </c>
      <c r="I2587" s="40" t="s">
        <v>1300</v>
      </c>
    </row>
    <row r="2588" spans="1:9" x14ac:dyDescent="0.2">
      <c r="A2588" s="40" t="s">
        <v>97</v>
      </c>
      <c r="B2588" s="28">
        <v>3138</v>
      </c>
      <c r="C2588" s="28">
        <v>5695571</v>
      </c>
      <c r="D2588" s="28"/>
      <c r="E2588" s="41">
        <v>46173</v>
      </c>
      <c r="F2588" s="47">
        <v>0.60438657407407403</v>
      </c>
      <c r="G2588" s="42">
        <v>6.3</v>
      </c>
      <c r="H2588" s="40" t="s">
        <v>227</v>
      </c>
      <c r="I2588" s="40" t="s">
        <v>1300</v>
      </c>
    </row>
    <row r="2589" spans="1:9" x14ac:dyDescent="0.2">
      <c r="A2589" s="40" t="s">
        <v>97</v>
      </c>
      <c r="B2589" s="28">
        <v>3138</v>
      </c>
      <c r="C2589" s="28" t="s">
        <v>835</v>
      </c>
      <c r="D2589" s="28"/>
      <c r="E2589" s="41">
        <v>46173</v>
      </c>
      <c r="F2589" s="47">
        <v>0.64851851851851849</v>
      </c>
      <c r="G2589" s="44">
        <v>6.3</v>
      </c>
      <c r="H2589" s="43" t="s">
        <v>228</v>
      </c>
      <c r="I2589" s="40" t="s">
        <v>1300</v>
      </c>
    </row>
    <row r="2590" spans="1:9" x14ac:dyDescent="0.2">
      <c r="A2590" s="40" t="s">
        <v>98</v>
      </c>
      <c r="B2590" s="28">
        <v>3153</v>
      </c>
      <c r="C2590" s="28">
        <v>10756280</v>
      </c>
      <c r="D2590" s="28" t="s">
        <v>36</v>
      </c>
      <c r="E2590" s="41">
        <v>46169</v>
      </c>
      <c r="F2590" s="47">
        <v>0.50165509259259256</v>
      </c>
      <c r="G2590" s="44">
        <v>6.3</v>
      </c>
      <c r="H2590" s="43" t="s">
        <v>230</v>
      </c>
      <c r="I2590" s="40" t="s">
        <v>1300</v>
      </c>
    </row>
    <row r="2591" spans="1:9" x14ac:dyDescent="0.2">
      <c r="A2591" s="40" t="s">
        <v>98</v>
      </c>
      <c r="B2591" s="28">
        <v>3153</v>
      </c>
      <c r="C2591" s="28">
        <v>10756280</v>
      </c>
      <c r="D2591" s="28" t="s">
        <v>36</v>
      </c>
      <c r="E2591" s="41">
        <v>46169</v>
      </c>
      <c r="F2591" s="47">
        <v>0.50749999999999995</v>
      </c>
      <c r="G2591" s="44">
        <v>6.3</v>
      </c>
      <c r="H2591" s="43" t="s">
        <v>227</v>
      </c>
      <c r="I2591" s="40" t="s">
        <v>1300</v>
      </c>
    </row>
    <row r="2592" spans="1:9" x14ac:dyDescent="0.2">
      <c r="A2592" s="40" t="s">
        <v>98</v>
      </c>
      <c r="B2592" s="28">
        <v>3153</v>
      </c>
      <c r="C2592" s="28">
        <v>10759062</v>
      </c>
      <c r="D2592" s="28"/>
      <c r="E2592" s="41">
        <v>46170</v>
      </c>
      <c r="F2592" s="47">
        <v>0.4833101851851852</v>
      </c>
      <c r="G2592" s="44">
        <v>6.3</v>
      </c>
      <c r="H2592" s="43" t="s">
        <v>230</v>
      </c>
      <c r="I2592" s="40" t="s">
        <v>1300</v>
      </c>
    </row>
    <row r="2593" spans="1:9" x14ac:dyDescent="0.2">
      <c r="A2593" s="40" t="s">
        <v>98</v>
      </c>
      <c r="B2593" s="28">
        <v>3153</v>
      </c>
      <c r="C2593" s="28">
        <v>10759062</v>
      </c>
      <c r="D2593" s="28"/>
      <c r="E2593" s="41">
        <v>46170</v>
      </c>
      <c r="F2593" s="47">
        <v>0.48886574074074074</v>
      </c>
      <c r="G2593" s="42">
        <v>6.3</v>
      </c>
      <c r="H2593" s="40" t="s">
        <v>227</v>
      </c>
      <c r="I2593" s="40" t="s">
        <v>1300</v>
      </c>
    </row>
    <row r="2594" spans="1:9" x14ac:dyDescent="0.2">
      <c r="A2594" s="40" t="s">
        <v>99</v>
      </c>
      <c r="B2594" s="28">
        <v>3159</v>
      </c>
      <c r="C2594" s="28" t="s">
        <v>836</v>
      </c>
      <c r="D2594" s="28"/>
      <c r="E2594" s="41">
        <v>46167</v>
      </c>
      <c r="F2594" s="47">
        <v>0.33475694444444443</v>
      </c>
      <c r="G2594" s="44">
        <v>6.3</v>
      </c>
      <c r="H2594" s="43" t="s">
        <v>228</v>
      </c>
      <c r="I2594" s="40" t="s">
        <v>1300</v>
      </c>
    </row>
    <row r="2595" spans="1:9" x14ac:dyDescent="0.2">
      <c r="A2595" s="40" t="s">
        <v>99</v>
      </c>
      <c r="B2595" s="28">
        <v>3159</v>
      </c>
      <c r="C2595" s="28" t="s">
        <v>836</v>
      </c>
      <c r="D2595" s="28"/>
      <c r="E2595" s="41">
        <v>46167</v>
      </c>
      <c r="F2595" s="47">
        <v>0.34408564814814813</v>
      </c>
      <c r="G2595" s="44">
        <v>6.3</v>
      </c>
      <c r="H2595" s="43" t="s">
        <v>229</v>
      </c>
      <c r="I2595" s="40" t="s">
        <v>1300</v>
      </c>
    </row>
    <row r="2596" spans="1:9" x14ac:dyDescent="0.2">
      <c r="A2596" s="40" t="s">
        <v>99</v>
      </c>
      <c r="B2596" s="28">
        <v>3159</v>
      </c>
      <c r="C2596" s="28" t="s">
        <v>837</v>
      </c>
      <c r="D2596" s="28"/>
      <c r="E2596" s="41">
        <v>46168</v>
      </c>
      <c r="F2596" s="47">
        <v>0.22501157407407407</v>
      </c>
      <c r="G2596" s="44">
        <v>6.3</v>
      </c>
      <c r="H2596" s="43" t="s">
        <v>228</v>
      </c>
      <c r="I2596" s="40" t="s">
        <v>1300</v>
      </c>
    </row>
    <row r="2597" spans="1:9" x14ac:dyDescent="0.2">
      <c r="A2597" s="40" t="s">
        <v>99</v>
      </c>
      <c r="B2597" s="28">
        <v>3159</v>
      </c>
      <c r="C2597" s="28" t="s">
        <v>837</v>
      </c>
      <c r="D2597" s="28"/>
      <c r="E2597" s="41">
        <v>46168</v>
      </c>
      <c r="F2597" s="47">
        <v>0.23337962962962963</v>
      </c>
      <c r="G2597" s="44">
        <v>6.3</v>
      </c>
      <c r="H2597" s="43" t="s">
        <v>232</v>
      </c>
      <c r="I2597" s="40" t="s">
        <v>1300</v>
      </c>
    </row>
    <row r="2598" spans="1:9" x14ac:dyDescent="0.2">
      <c r="A2598" s="40" t="s">
        <v>99</v>
      </c>
      <c r="B2598" s="28">
        <v>3159</v>
      </c>
      <c r="C2598" s="28" t="s">
        <v>838</v>
      </c>
      <c r="D2598" s="28"/>
      <c r="E2598" s="41">
        <v>46168</v>
      </c>
      <c r="F2598" s="47">
        <v>0.30028935185185185</v>
      </c>
      <c r="G2598" s="44">
        <v>6.3</v>
      </c>
      <c r="H2598" s="43" t="s">
        <v>230</v>
      </c>
      <c r="I2598" s="40" t="s">
        <v>1300</v>
      </c>
    </row>
    <row r="2599" spans="1:9" x14ac:dyDescent="0.2">
      <c r="A2599" s="40" t="s">
        <v>99</v>
      </c>
      <c r="B2599" s="28">
        <v>3159</v>
      </c>
      <c r="C2599" s="28" t="s">
        <v>838</v>
      </c>
      <c r="D2599" s="28"/>
      <c r="E2599" s="41">
        <v>46168</v>
      </c>
      <c r="F2599" s="47">
        <v>0.30819444444444444</v>
      </c>
      <c r="G2599" s="44">
        <v>6.3</v>
      </c>
      <c r="H2599" s="43" t="s">
        <v>227</v>
      </c>
      <c r="I2599" s="40" t="s">
        <v>1300</v>
      </c>
    </row>
    <row r="2600" spans="1:9" x14ac:dyDescent="0.2">
      <c r="A2600" s="40" t="s">
        <v>99</v>
      </c>
      <c r="B2600" s="28">
        <v>3159</v>
      </c>
      <c r="C2600" s="28" t="s">
        <v>839</v>
      </c>
      <c r="D2600" s="28"/>
      <c r="E2600" s="41">
        <v>46168</v>
      </c>
      <c r="F2600" s="47">
        <v>0.3709722222222222</v>
      </c>
      <c r="G2600" s="44">
        <v>6.3</v>
      </c>
      <c r="H2600" s="43" t="s">
        <v>228</v>
      </c>
      <c r="I2600" s="40" t="s">
        <v>1300</v>
      </c>
    </row>
    <row r="2601" spans="1:9" x14ac:dyDescent="0.2">
      <c r="A2601" s="40" t="s">
        <v>99</v>
      </c>
      <c r="B2601" s="28">
        <v>3159</v>
      </c>
      <c r="C2601" s="28" t="s">
        <v>839</v>
      </c>
      <c r="D2601" s="28"/>
      <c r="E2601" s="41">
        <v>46168</v>
      </c>
      <c r="F2601" s="47">
        <v>0.38822916666666668</v>
      </c>
      <c r="G2601" s="44">
        <v>6.3</v>
      </c>
      <c r="H2601" s="43" t="s">
        <v>229</v>
      </c>
      <c r="I2601" s="40" t="s">
        <v>1300</v>
      </c>
    </row>
    <row r="2602" spans="1:9" x14ac:dyDescent="0.2">
      <c r="A2602" s="40" t="s">
        <v>99</v>
      </c>
      <c r="B2602" s="28">
        <v>3159</v>
      </c>
      <c r="C2602" s="28" t="s">
        <v>840</v>
      </c>
      <c r="D2602" s="28"/>
      <c r="E2602" s="41">
        <v>46168</v>
      </c>
      <c r="F2602" s="47">
        <v>0.49285879629629631</v>
      </c>
      <c r="G2602" s="44">
        <v>6.3</v>
      </c>
      <c r="H2602" s="43" t="s">
        <v>230</v>
      </c>
      <c r="I2602" s="40" t="s">
        <v>1300</v>
      </c>
    </row>
    <row r="2603" spans="1:9" x14ac:dyDescent="0.2">
      <c r="A2603" s="40" t="s">
        <v>99</v>
      </c>
      <c r="B2603" s="28">
        <v>3159</v>
      </c>
      <c r="C2603" s="28" t="s">
        <v>840</v>
      </c>
      <c r="D2603" s="28"/>
      <c r="E2603" s="41">
        <v>46168</v>
      </c>
      <c r="F2603" s="47">
        <v>0.49861111111111112</v>
      </c>
      <c r="G2603" s="44">
        <v>6.3</v>
      </c>
      <c r="H2603" s="43" t="s">
        <v>227</v>
      </c>
      <c r="I2603" s="40" t="s">
        <v>1300</v>
      </c>
    </row>
    <row r="2604" spans="1:9" x14ac:dyDescent="0.2">
      <c r="A2604" s="40" t="s">
        <v>99</v>
      </c>
      <c r="B2604" s="28">
        <v>3159</v>
      </c>
      <c r="C2604" s="28" t="s">
        <v>841</v>
      </c>
      <c r="D2604" s="28"/>
      <c r="E2604" s="41">
        <v>46169</v>
      </c>
      <c r="F2604" s="47">
        <v>0.43818287037037035</v>
      </c>
      <c r="G2604" s="44">
        <v>6.3</v>
      </c>
      <c r="H2604" s="43" t="s">
        <v>230</v>
      </c>
      <c r="I2604" s="40" t="s">
        <v>1300</v>
      </c>
    </row>
    <row r="2605" spans="1:9" x14ac:dyDescent="0.2">
      <c r="A2605" s="40" t="s">
        <v>99</v>
      </c>
      <c r="B2605" s="28">
        <v>3159</v>
      </c>
      <c r="C2605" s="28" t="s">
        <v>841</v>
      </c>
      <c r="D2605" s="28"/>
      <c r="E2605" s="41">
        <v>46169</v>
      </c>
      <c r="F2605" s="47">
        <v>0.44440972222222225</v>
      </c>
      <c r="G2605" s="42">
        <v>6.3</v>
      </c>
      <c r="H2605" s="40" t="s">
        <v>227</v>
      </c>
      <c r="I2605" s="40" t="s">
        <v>1300</v>
      </c>
    </row>
    <row r="2606" spans="1:9" x14ac:dyDescent="0.2">
      <c r="A2606" s="40" t="s">
        <v>99</v>
      </c>
      <c r="B2606" s="28">
        <v>3159</v>
      </c>
      <c r="C2606" s="28" t="s">
        <v>842</v>
      </c>
      <c r="D2606" s="28"/>
      <c r="E2606" s="41">
        <v>46170</v>
      </c>
      <c r="F2606" s="47">
        <v>0.39374999999999999</v>
      </c>
      <c r="G2606" s="42">
        <v>6.3</v>
      </c>
      <c r="H2606" s="40" t="s">
        <v>230</v>
      </c>
      <c r="I2606" s="40" t="s">
        <v>1300</v>
      </c>
    </row>
    <row r="2607" spans="1:9" x14ac:dyDescent="0.2">
      <c r="A2607" s="40" t="s">
        <v>99</v>
      </c>
      <c r="B2607" s="28">
        <v>3159</v>
      </c>
      <c r="C2607" s="28" t="s">
        <v>842</v>
      </c>
      <c r="D2607" s="28"/>
      <c r="E2607" s="41">
        <v>46170</v>
      </c>
      <c r="F2607" s="47">
        <v>0.40052083333333333</v>
      </c>
      <c r="G2607" s="42">
        <v>6.3</v>
      </c>
      <c r="H2607" s="40" t="s">
        <v>227</v>
      </c>
      <c r="I2607" s="40" t="s">
        <v>1300</v>
      </c>
    </row>
    <row r="2608" spans="1:9" x14ac:dyDescent="0.2">
      <c r="A2608" s="40" t="s">
        <v>99</v>
      </c>
      <c r="B2608" s="28">
        <v>3159</v>
      </c>
      <c r="C2608" s="28" t="s">
        <v>843</v>
      </c>
      <c r="D2608" s="28"/>
      <c r="E2608" s="41">
        <v>46171</v>
      </c>
      <c r="F2608" s="47">
        <v>0.32568287037037036</v>
      </c>
      <c r="G2608" s="44">
        <v>6.3</v>
      </c>
      <c r="H2608" s="43" t="s">
        <v>228</v>
      </c>
      <c r="I2608" s="40" t="s">
        <v>1300</v>
      </c>
    </row>
    <row r="2609" spans="1:9" x14ac:dyDescent="0.2">
      <c r="A2609" s="40" t="s">
        <v>99</v>
      </c>
      <c r="B2609" s="28">
        <v>3159</v>
      </c>
      <c r="C2609" s="28" t="s">
        <v>843</v>
      </c>
      <c r="D2609" s="28"/>
      <c r="E2609" s="41">
        <v>46171</v>
      </c>
      <c r="F2609" s="47">
        <v>0.33810185185185188</v>
      </c>
      <c r="G2609" s="44">
        <v>6.3</v>
      </c>
      <c r="H2609" s="43" t="s">
        <v>229</v>
      </c>
      <c r="I2609" s="40" t="s">
        <v>1300</v>
      </c>
    </row>
    <row r="2610" spans="1:9" x14ac:dyDescent="0.2">
      <c r="A2610" s="40" t="s">
        <v>99</v>
      </c>
      <c r="B2610" s="28">
        <v>3159</v>
      </c>
      <c r="C2610" s="28" t="s">
        <v>844</v>
      </c>
      <c r="D2610" s="28"/>
      <c r="E2610" s="41">
        <v>46171</v>
      </c>
      <c r="F2610" s="47">
        <v>0.40081018518518519</v>
      </c>
      <c r="G2610" s="44">
        <v>6.3</v>
      </c>
      <c r="H2610" s="43" t="s">
        <v>230</v>
      </c>
      <c r="I2610" s="40" t="s">
        <v>1300</v>
      </c>
    </row>
    <row r="2611" spans="1:9" x14ac:dyDescent="0.2">
      <c r="A2611" s="40" t="s">
        <v>99</v>
      </c>
      <c r="B2611" s="28">
        <v>3159</v>
      </c>
      <c r="C2611" s="28" t="s">
        <v>844</v>
      </c>
      <c r="D2611" s="28"/>
      <c r="E2611" s="41">
        <v>46171</v>
      </c>
      <c r="F2611" s="47">
        <v>0.41013888888888889</v>
      </c>
      <c r="G2611" s="44">
        <v>6.3</v>
      </c>
      <c r="H2611" s="43" t="s">
        <v>227</v>
      </c>
      <c r="I2611" s="40" t="s">
        <v>1300</v>
      </c>
    </row>
    <row r="2612" spans="1:9" x14ac:dyDescent="0.2">
      <c r="A2612" s="40" t="s">
        <v>265</v>
      </c>
      <c r="B2612" s="28">
        <v>3160</v>
      </c>
      <c r="C2612" s="28" t="s">
        <v>845</v>
      </c>
      <c r="D2612" s="28"/>
      <c r="E2612" s="41">
        <v>46167</v>
      </c>
      <c r="F2612" s="47">
        <v>0.15729166666666666</v>
      </c>
      <c r="G2612" s="44">
        <v>6.3</v>
      </c>
      <c r="H2612" s="43" t="s">
        <v>230</v>
      </c>
      <c r="I2612" s="40" t="s">
        <v>1300</v>
      </c>
    </row>
    <row r="2613" spans="1:9" x14ac:dyDescent="0.2">
      <c r="A2613" s="40" t="s">
        <v>265</v>
      </c>
      <c r="B2613" s="28">
        <v>3160</v>
      </c>
      <c r="C2613" s="28" t="s">
        <v>845</v>
      </c>
      <c r="D2613" s="28"/>
      <c r="E2613" s="41">
        <v>46167</v>
      </c>
      <c r="F2613" s="47">
        <v>0.16310185185185186</v>
      </c>
      <c r="G2613" s="44">
        <v>6.3</v>
      </c>
      <c r="H2613" s="43" t="s">
        <v>227</v>
      </c>
      <c r="I2613" s="40" t="s">
        <v>1300</v>
      </c>
    </row>
    <row r="2614" spans="1:9" x14ac:dyDescent="0.2">
      <c r="A2614" s="40" t="s">
        <v>265</v>
      </c>
      <c r="B2614" s="28">
        <v>3160</v>
      </c>
      <c r="C2614" s="28" t="s">
        <v>846</v>
      </c>
      <c r="D2614" s="28"/>
      <c r="E2614" s="41">
        <v>46168</v>
      </c>
      <c r="F2614" s="47">
        <v>0.24467592592592594</v>
      </c>
      <c r="G2614" s="42">
        <v>6.3</v>
      </c>
      <c r="H2614" s="40" t="s">
        <v>230</v>
      </c>
      <c r="I2614" s="40" t="s">
        <v>1300</v>
      </c>
    </row>
    <row r="2615" spans="1:9" x14ac:dyDescent="0.2">
      <c r="A2615" s="40" t="s">
        <v>265</v>
      </c>
      <c r="B2615" s="28">
        <v>3160</v>
      </c>
      <c r="C2615" s="28" t="s">
        <v>846</v>
      </c>
      <c r="D2615" s="28"/>
      <c r="E2615" s="41">
        <v>46168</v>
      </c>
      <c r="F2615" s="47">
        <v>0.25054398148148149</v>
      </c>
      <c r="G2615" s="44">
        <v>6.3</v>
      </c>
      <c r="H2615" s="43" t="s">
        <v>227</v>
      </c>
      <c r="I2615" s="40" t="s">
        <v>1300</v>
      </c>
    </row>
    <row r="2616" spans="1:9" x14ac:dyDescent="0.2">
      <c r="A2616" s="40" t="s">
        <v>265</v>
      </c>
      <c r="B2616" s="28">
        <v>3160</v>
      </c>
      <c r="C2616" s="28" t="s">
        <v>847</v>
      </c>
      <c r="D2616" s="28"/>
      <c r="E2616" s="41">
        <v>46168</v>
      </c>
      <c r="F2616" s="47">
        <v>0.31237268518518518</v>
      </c>
      <c r="G2616" s="44">
        <v>6.3</v>
      </c>
      <c r="H2616" s="43" t="s">
        <v>228</v>
      </c>
      <c r="I2616" s="40" t="s">
        <v>1300</v>
      </c>
    </row>
    <row r="2617" spans="1:9" x14ac:dyDescent="0.2">
      <c r="A2617" s="40" t="s">
        <v>265</v>
      </c>
      <c r="B2617" s="28">
        <v>3160</v>
      </c>
      <c r="C2617" s="28" t="s">
        <v>847</v>
      </c>
      <c r="D2617" s="28"/>
      <c r="E2617" s="45">
        <v>46168</v>
      </c>
      <c r="F2617" s="48">
        <v>0.32543981481481482</v>
      </c>
      <c r="G2617" s="44">
        <v>6.3</v>
      </c>
      <c r="H2617" s="43" t="s">
        <v>229</v>
      </c>
      <c r="I2617" s="40" t="s">
        <v>1300</v>
      </c>
    </row>
    <row r="2618" spans="1:9" x14ac:dyDescent="0.2">
      <c r="A2618" s="40" t="s">
        <v>265</v>
      </c>
      <c r="B2618" s="28">
        <v>3160</v>
      </c>
      <c r="C2618" s="28" t="s">
        <v>848</v>
      </c>
      <c r="D2618" s="28"/>
      <c r="E2618" s="41">
        <v>46168</v>
      </c>
      <c r="F2618" s="47">
        <v>0.42171296296296296</v>
      </c>
      <c r="G2618" s="44">
        <v>6.3</v>
      </c>
      <c r="H2618" s="43" t="s">
        <v>231</v>
      </c>
      <c r="I2618" s="40" t="s">
        <v>1300</v>
      </c>
    </row>
    <row r="2619" spans="1:9" x14ac:dyDescent="0.2">
      <c r="A2619" s="40" t="s">
        <v>265</v>
      </c>
      <c r="B2619" s="28">
        <v>3160</v>
      </c>
      <c r="C2619" s="28" t="s">
        <v>848</v>
      </c>
      <c r="D2619" s="28"/>
      <c r="E2619" s="41">
        <v>46168</v>
      </c>
      <c r="F2619" s="47">
        <v>0.42784722222222221</v>
      </c>
      <c r="G2619" s="44">
        <v>6.3</v>
      </c>
      <c r="H2619" s="43" t="s">
        <v>227</v>
      </c>
      <c r="I2619" s="40" t="s">
        <v>1300</v>
      </c>
    </row>
    <row r="2620" spans="1:9" x14ac:dyDescent="0.2">
      <c r="A2620" s="40" t="s">
        <v>265</v>
      </c>
      <c r="B2620" s="28">
        <v>3160</v>
      </c>
      <c r="C2620" s="28" t="s">
        <v>849</v>
      </c>
      <c r="D2620" s="28"/>
      <c r="E2620" s="41">
        <v>46169</v>
      </c>
      <c r="F2620" s="47">
        <v>0.35733796296296294</v>
      </c>
      <c r="G2620" s="44">
        <v>6.3</v>
      </c>
      <c r="H2620" s="43" t="s">
        <v>228</v>
      </c>
      <c r="I2620" s="40" t="s">
        <v>1300</v>
      </c>
    </row>
    <row r="2621" spans="1:9" x14ac:dyDescent="0.2">
      <c r="A2621" s="40" t="s">
        <v>265</v>
      </c>
      <c r="B2621" s="28">
        <v>3160</v>
      </c>
      <c r="C2621" s="28" t="s">
        <v>849</v>
      </c>
      <c r="D2621" s="28"/>
      <c r="E2621" s="41">
        <v>46169</v>
      </c>
      <c r="F2621" s="47">
        <v>0.3712037037037037</v>
      </c>
      <c r="G2621" s="44">
        <v>6.3</v>
      </c>
      <c r="H2621" s="43" t="s">
        <v>229</v>
      </c>
      <c r="I2621" s="40" t="s">
        <v>1300</v>
      </c>
    </row>
    <row r="2622" spans="1:9" x14ac:dyDescent="0.2">
      <c r="A2622" s="40" t="s">
        <v>265</v>
      </c>
      <c r="B2622" s="28">
        <v>3160</v>
      </c>
      <c r="C2622" s="28" t="s">
        <v>850</v>
      </c>
      <c r="D2622" s="28"/>
      <c r="E2622" s="45">
        <v>46169</v>
      </c>
      <c r="F2622" s="48">
        <v>0.51593750000000005</v>
      </c>
      <c r="G2622" s="44">
        <v>6.3</v>
      </c>
      <c r="H2622" s="43" t="s">
        <v>230</v>
      </c>
      <c r="I2622" s="40" t="s">
        <v>1300</v>
      </c>
    </row>
    <row r="2623" spans="1:9" x14ac:dyDescent="0.2">
      <c r="A2623" s="40" t="s">
        <v>265</v>
      </c>
      <c r="B2623" s="28">
        <v>3160</v>
      </c>
      <c r="C2623" s="28" t="s">
        <v>850</v>
      </c>
      <c r="D2623" s="28"/>
      <c r="E2623" s="41">
        <v>46169</v>
      </c>
      <c r="F2623" s="47">
        <v>0.52233796296296298</v>
      </c>
      <c r="G2623" s="44">
        <v>6.3</v>
      </c>
      <c r="H2623" s="43" t="s">
        <v>227</v>
      </c>
      <c r="I2623" s="40" t="s">
        <v>1300</v>
      </c>
    </row>
    <row r="2624" spans="1:9" x14ac:dyDescent="0.2">
      <c r="A2624" s="40" t="s">
        <v>265</v>
      </c>
      <c r="B2624" s="28">
        <v>3160</v>
      </c>
      <c r="C2624" s="28" t="s">
        <v>851</v>
      </c>
      <c r="D2624" s="28"/>
      <c r="E2624" s="41">
        <v>46169</v>
      </c>
      <c r="F2624" s="47">
        <v>0.62861111111111112</v>
      </c>
      <c r="G2624" s="44">
        <v>6.3</v>
      </c>
      <c r="H2624" s="43" t="s">
        <v>228</v>
      </c>
      <c r="I2624" s="40" t="s">
        <v>1300</v>
      </c>
    </row>
    <row r="2625" spans="1:9" x14ac:dyDescent="0.2">
      <c r="A2625" s="40" t="s">
        <v>265</v>
      </c>
      <c r="B2625" s="28">
        <v>3160</v>
      </c>
      <c r="C2625" s="28" t="s">
        <v>851</v>
      </c>
      <c r="D2625" s="28"/>
      <c r="E2625" s="41">
        <v>46169</v>
      </c>
      <c r="F2625" s="47">
        <v>0.64186342592592593</v>
      </c>
      <c r="G2625" s="44">
        <v>6.3</v>
      </c>
      <c r="H2625" s="43" t="s">
        <v>229</v>
      </c>
      <c r="I2625" s="40" t="s">
        <v>1300</v>
      </c>
    </row>
    <row r="2626" spans="1:9" x14ac:dyDescent="0.2">
      <c r="A2626" s="40" t="s">
        <v>265</v>
      </c>
      <c r="B2626" s="28">
        <v>3160</v>
      </c>
      <c r="C2626" s="28" t="s">
        <v>852</v>
      </c>
      <c r="D2626" s="28"/>
      <c r="E2626" s="41">
        <v>46170</v>
      </c>
      <c r="F2626" s="47">
        <v>0.24081018518518518</v>
      </c>
      <c r="G2626" s="44">
        <v>6.3</v>
      </c>
      <c r="H2626" s="43" t="s">
        <v>230</v>
      </c>
      <c r="I2626" s="40" t="s">
        <v>1300</v>
      </c>
    </row>
    <row r="2627" spans="1:9" x14ac:dyDescent="0.2">
      <c r="A2627" s="40" t="s">
        <v>265</v>
      </c>
      <c r="B2627" s="28">
        <v>3160</v>
      </c>
      <c r="C2627" s="28" t="s">
        <v>852</v>
      </c>
      <c r="D2627" s="28"/>
      <c r="E2627" s="41">
        <v>46170</v>
      </c>
      <c r="F2627" s="47">
        <v>0.2467013888888889</v>
      </c>
      <c r="G2627" s="44">
        <v>6.3</v>
      </c>
      <c r="H2627" s="43" t="s">
        <v>227</v>
      </c>
      <c r="I2627" s="40" t="s">
        <v>1300</v>
      </c>
    </row>
    <row r="2628" spans="1:9" x14ac:dyDescent="0.2">
      <c r="A2628" s="40" t="s">
        <v>265</v>
      </c>
      <c r="B2628" s="28">
        <v>3160</v>
      </c>
      <c r="C2628" s="28" t="s">
        <v>853</v>
      </c>
      <c r="D2628" s="28"/>
      <c r="E2628" s="41">
        <v>46170</v>
      </c>
      <c r="F2628" s="47">
        <v>0.29481481481481481</v>
      </c>
      <c r="G2628" s="44">
        <v>6.3</v>
      </c>
      <c r="H2628" s="43" t="s">
        <v>228</v>
      </c>
      <c r="I2628" s="40" t="s">
        <v>1300</v>
      </c>
    </row>
    <row r="2629" spans="1:9" x14ac:dyDescent="0.2">
      <c r="A2629" s="40" t="s">
        <v>265</v>
      </c>
      <c r="B2629" s="28">
        <v>3160</v>
      </c>
      <c r="C2629" s="28" t="s">
        <v>853</v>
      </c>
      <c r="D2629" s="28"/>
      <c r="E2629" s="41">
        <v>46170</v>
      </c>
      <c r="F2629" s="47">
        <v>0.30670138888888887</v>
      </c>
      <c r="G2629" s="44">
        <v>6.3</v>
      </c>
      <c r="H2629" s="43" t="s">
        <v>229</v>
      </c>
      <c r="I2629" s="40" t="s">
        <v>1300</v>
      </c>
    </row>
    <row r="2630" spans="1:9" x14ac:dyDescent="0.2">
      <c r="A2630" s="40" t="s">
        <v>265</v>
      </c>
      <c r="B2630" s="28">
        <v>3160</v>
      </c>
      <c r="C2630" s="28">
        <v>10759075</v>
      </c>
      <c r="D2630" s="28"/>
      <c r="E2630" s="41">
        <v>46170</v>
      </c>
      <c r="F2630" s="47">
        <v>0.42160879629629627</v>
      </c>
      <c r="G2630" s="44">
        <v>6.3</v>
      </c>
      <c r="H2630" s="43" t="s">
        <v>230</v>
      </c>
      <c r="I2630" s="40" t="s">
        <v>1300</v>
      </c>
    </row>
    <row r="2631" spans="1:9" x14ac:dyDescent="0.2">
      <c r="A2631" s="40" t="s">
        <v>265</v>
      </c>
      <c r="B2631" s="28">
        <v>3160</v>
      </c>
      <c r="C2631" s="28">
        <v>10759075</v>
      </c>
      <c r="D2631" s="28"/>
      <c r="E2631" s="41">
        <v>46170</v>
      </c>
      <c r="F2631" s="47">
        <v>0.42863425925925924</v>
      </c>
      <c r="G2631" s="44">
        <v>6.3</v>
      </c>
      <c r="H2631" s="43" t="s">
        <v>227</v>
      </c>
      <c r="I2631" s="40" t="s">
        <v>1300</v>
      </c>
    </row>
    <row r="2632" spans="1:9" x14ac:dyDescent="0.2">
      <c r="A2632" s="40" t="s">
        <v>265</v>
      </c>
      <c r="B2632" s="28">
        <v>3160</v>
      </c>
      <c r="C2632" s="28" t="s">
        <v>854</v>
      </c>
      <c r="D2632" s="28"/>
      <c r="E2632" s="45">
        <v>46170</v>
      </c>
      <c r="F2632" s="48">
        <v>0.64224537037037033</v>
      </c>
      <c r="G2632" s="44">
        <v>6.3</v>
      </c>
      <c r="H2632" s="43" t="s">
        <v>228</v>
      </c>
      <c r="I2632" s="40" t="s">
        <v>1300</v>
      </c>
    </row>
    <row r="2633" spans="1:9" x14ac:dyDescent="0.2">
      <c r="A2633" s="40" t="s">
        <v>265</v>
      </c>
      <c r="B2633" s="28">
        <v>3160</v>
      </c>
      <c r="C2633" s="28" t="s">
        <v>854</v>
      </c>
      <c r="D2633" s="28"/>
      <c r="E2633" s="41">
        <v>46170</v>
      </c>
      <c r="F2633" s="47">
        <v>0.65776620370370376</v>
      </c>
      <c r="G2633" s="44">
        <v>6.3</v>
      </c>
      <c r="H2633" s="43" t="s">
        <v>229</v>
      </c>
      <c r="I2633" s="40" t="s">
        <v>1300</v>
      </c>
    </row>
    <row r="2634" spans="1:9" x14ac:dyDescent="0.2">
      <c r="A2634" s="40" t="s">
        <v>359</v>
      </c>
      <c r="B2634" s="28">
        <v>3198</v>
      </c>
      <c r="C2634" s="28">
        <v>5683473</v>
      </c>
      <c r="D2634" s="28"/>
      <c r="E2634" s="45">
        <v>46167</v>
      </c>
      <c r="F2634" s="48">
        <v>3.516203703703704E-2</v>
      </c>
      <c r="G2634" s="44">
        <v>6.3</v>
      </c>
      <c r="H2634" s="43" t="s">
        <v>228</v>
      </c>
      <c r="I2634" s="40" t="s">
        <v>1300</v>
      </c>
    </row>
    <row r="2635" spans="1:9" x14ac:dyDescent="0.2">
      <c r="A2635" s="40" t="s">
        <v>359</v>
      </c>
      <c r="B2635" s="28">
        <v>3198</v>
      </c>
      <c r="C2635" s="28">
        <v>5683790</v>
      </c>
      <c r="D2635" s="28"/>
      <c r="E2635" s="41">
        <v>46167</v>
      </c>
      <c r="F2635" s="47">
        <v>0.3200925925925926</v>
      </c>
      <c r="G2635" s="44">
        <v>6.3</v>
      </c>
      <c r="H2635" s="43" t="s">
        <v>227</v>
      </c>
      <c r="I2635" s="40" t="s">
        <v>1300</v>
      </c>
    </row>
    <row r="2636" spans="1:9" x14ac:dyDescent="0.2">
      <c r="A2636" s="40" t="s">
        <v>359</v>
      </c>
      <c r="B2636" s="28">
        <v>3198</v>
      </c>
      <c r="C2636" s="28">
        <v>5686638</v>
      </c>
      <c r="D2636" s="28"/>
      <c r="E2636" s="45">
        <v>46167</v>
      </c>
      <c r="F2636" s="48">
        <v>0.79768518518518516</v>
      </c>
      <c r="G2636" s="44">
        <v>6.3</v>
      </c>
      <c r="H2636" s="43" t="s">
        <v>228</v>
      </c>
      <c r="I2636" s="40" t="s">
        <v>1300</v>
      </c>
    </row>
    <row r="2637" spans="1:9" x14ac:dyDescent="0.2">
      <c r="A2637" s="40" t="s">
        <v>359</v>
      </c>
      <c r="B2637" s="28">
        <v>3198</v>
      </c>
      <c r="C2637" s="28">
        <v>5686628</v>
      </c>
      <c r="D2637" s="28"/>
      <c r="E2637" s="41">
        <v>46168</v>
      </c>
      <c r="F2637" s="47">
        <v>0.15684027777777779</v>
      </c>
      <c r="G2637" s="44">
        <v>6.3</v>
      </c>
      <c r="H2637" s="43" t="s">
        <v>227</v>
      </c>
      <c r="I2637" s="40" t="s">
        <v>1300</v>
      </c>
    </row>
    <row r="2638" spans="1:9" x14ac:dyDescent="0.2">
      <c r="A2638" s="40" t="s">
        <v>359</v>
      </c>
      <c r="B2638" s="28">
        <v>3198</v>
      </c>
      <c r="C2638" s="28">
        <v>5685978</v>
      </c>
      <c r="D2638" s="28"/>
      <c r="E2638" s="41">
        <v>46168</v>
      </c>
      <c r="F2638" s="47">
        <v>0.5456481481481481</v>
      </c>
      <c r="G2638" s="44">
        <v>6.3</v>
      </c>
      <c r="H2638" s="43" t="s">
        <v>228</v>
      </c>
      <c r="I2638" s="40" t="s">
        <v>1300</v>
      </c>
    </row>
    <row r="2639" spans="1:9" x14ac:dyDescent="0.2">
      <c r="A2639" s="40" t="s">
        <v>359</v>
      </c>
      <c r="B2639" s="28">
        <v>3198</v>
      </c>
      <c r="C2639" s="28">
        <v>5685978</v>
      </c>
      <c r="D2639" s="28"/>
      <c r="E2639" s="45">
        <v>46168</v>
      </c>
      <c r="F2639" s="48">
        <v>0.55484953703703699</v>
      </c>
      <c r="G2639" s="44">
        <v>6.3</v>
      </c>
      <c r="H2639" s="43" t="s">
        <v>229</v>
      </c>
      <c r="I2639" s="40" t="s">
        <v>1300</v>
      </c>
    </row>
    <row r="2640" spans="1:9" x14ac:dyDescent="0.2">
      <c r="A2640" s="40" t="s">
        <v>428</v>
      </c>
      <c r="B2640" s="28">
        <v>3206</v>
      </c>
      <c r="C2640" s="28" t="s">
        <v>855</v>
      </c>
      <c r="D2640" s="28"/>
      <c r="E2640" s="41">
        <v>46167</v>
      </c>
      <c r="F2640" s="47">
        <v>0.30611111111111111</v>
      </c>
      <c r="G2640" s="44">
        <v>6.3</v>
      </c>
      <c r="H2640" s="43" t="s">
        <v>231</v>
      </c>
      <c r="I2640" s="40" t="s">
        <v>1300</v>
      </c>
    </row>
    <row r="2641" spans="1:9" x14ac:dyDescent="0.2">
      <c r="A2641" s="40" t="s">
        <v>428</v>
      </c>
      <c r="B2641" s="28">
        <v>3206</v>
      </c>
      <c r="C2641" s="28" t="s">
        <v>855</v>
      </c>
      <c r="D2641" s="28"/>
      <c r="E2641" s="41">
        <v>46167</v>
      </c>
      <c r="F2641" s="47">
        <v>0.31138888888888888</v>
      </c>
      <c r="G2641" s="44">
        <v>6.3</v>
      </c>
      <c r="H2641" s="43" t="s">
        <v>227</v>
      </c>
      <c r="I2641" s="40" t="s">
        <v>1300</v>
      </c>
    </row>
    <row r="2642" spans="1:9" x14ac:dyDescent="0.2">
      <c r="A2642" s="40" t="s">
        <v>428</v>
      </c>
      <c r="B2642" s="28">
        <v>3206</v>
      </c>
      <c r="C2642" s="28" t="s">
        <v>856</v>
      </c>
      <c r="D2642" s="28"/>
      <c r="E2642" s="41">
        <v>46167</v>
      </c>
      <c r="F2642" s="47">
        <v>0.62238425925925922</v>
      </c>
      <c r="G2642" s="44">
        <v>6.3</v>
      </c>
      <c r="H2642" s="43" t="s">
        <v>228</v>
      </c>
      <c r="I2642" s="40" t="s">
        <v>1300</v>
      </c>
    </row>
    <row r="2643" spans="1:9" x14ac:dyDescent="0.2">
      <c r="A2643" s="40" t="s">
        <v>428</v>
      </c>
      <c r="B2643" s="28">
        <v>3206</v>
      </c>
      <c r="C2643" s="28" t="s">
        <v>856</v>
      </c>
      <c r="D2643" s="28"/>
      <c r="E2643" s="41">
        <v>46167</v>
      </c>
      <c r="F2643" s="47">
        <v>0.63247685185185187</v>
      </c>
      <c r="G2643" s="44">
        <v>6.3</v>
      </c>
      <c r="H2643" s="43" t="s">
        <v>229</v>
      </c>
      <c r="I2643" s="40" t="s">
        <v>1300</v>
      </c>
    </row>
    <row r="2644" spans="1:9" x14ac:dyDescent="0.2">
      <c r="A2644" s="40" t="s">
        <v>428</v>
      </c>
      <c r="B2644" s="28">
        <v>3206</v>
      </c>
      <c r="C2644" s="28" t="s">
        <v>857</v>
      </c>
      <c r="D2644" s="28"/>
      <c r="E2644" s="45">
        <v>46167</v>
      </c>
      <c r="F2644" s="48">
        <v>0.66002314814814811</v>
      </c>
      <c r="G2644" s="44">
        <v>6.3</v>
      </c>
      <c r="H2644" s="43" t="s">
        <v>231</v>
      </c>
      <c r="I2644" s="40" t="s">
        <v>1300</v>
      </c>
    </row>
    <row r="2645" spans="1:9" x14ac:dyDescent="0.2">
      <c r="A2645" s="40" t="s">
        <v>428</v>
      </c>
      <c r="B2645" s="28">
        <v>3206</v>
      </c>
      <c r="C2645" s="28" t="s">
        <v>857</v>
      </c>
      <c r="D2645" s="28"/>
      <c r="E2645" s="41">
        <v>46167</v>
      </c>
      <c r="F2645" s="47">
        <v>0.66487268518518516</v>
      </c>
      <c r="G2645" s="44">
        <v>6.3</v>
      </c>
      <c r="H2645" s="43" t="s">
        <v>227</v>
      </c>
      <c r="I2645" s="40" t="s">
        <v>1300</v>
      </c>
    </row>
    <row r="2646" spans="1:9" x14ac:dyDescent="0.2">
      <c r="A2646" s="40" t="s">
        <v>428</v>
      </c>
      <c r="B2646" s="28">
        <v>3206</v>
      </c>
      <c r="C2646" s="28" t="s">
        <v>857</v>
      </c>
      <c r="D2646" s="28"/>
      <c r="E2646" s="41">
        <v>46167</v>
      </c>
      <c r="F2646" s="47">
        <v>0.72803240740740738</v>
      </c>
      <c r="G2646" s="44">
        <v>6.3</v>
      </c>
      <c r="H2646" s="43" t="s">
        <v>228</v>
      </c>
      <c r="I2646" s="40" t="s">
        <v>1300</v>
      </c>
    </row>
    <row r="2647" spans="1:9" x14ac:dyDescent="0.2">
      <c r="A2647" s="40" t="s">
        <v>428</v>
      </c>
      <c r="B2647" s="28">
        <v>3206</v>
      </c>
      <c r="C2647" s="28" t="s">
        <v>857</v>
      </c>
      <c r="D2647" s="28"/>
      <c r="E2647" s="41">
        <v>46167</v>
      </c>
      <c r="F2647" s="47">
        <v>0.73752314814814812</v>
      </c>
      <c r="G2647" s="44">
        <v>6.3</v>
      </c>
      <c r="H2647" s="43" t="s">
        <v>232</v>
      </c>
      <c r="I2647" s="40" t="s">
        <v>1300</v>
      </c>
    </row>
    <row r="2648" spans="1:9" x14ac:dyDescent="0.2">
      <c r="A2648" s="40" t="s">
        <v>428</v>
      </c>
      <c r="B2648" s="28">
        <v>3206</v>
      </c>
      <c r="C2648" s="28">
        <v>5686692</v>
      </c>
      <c r="D2648" s="28"/>
      <c r="E2648" s="45">
        <v>46168</v>
      </c>
      <c r="F2648" s="48">
        <v>0.30458333333333332</v>
      </c>
      <c r="G2648" s="44">
        <v>6.3</v>
      </c>
      <c r="H2648" s="43" t="s">
        <v>226</v>
      </c>
      <c r="I2648" s="40" t="s">
        <v>1300</v>
      </c>
    </row>
    <row r="2649" spans="1:9" x14ac:dyDescent="0.2">
      <c r="A2649" s="40" t="s">
        <v>428</v>
      </c>
      <c r="B2649" s="28">
        <v>3206</v>
      </c>
      <c r="C2649" s="28">
        <v>5686692</v>
      </c>
      <c r="D2649" s="28"/>
      <c r="E2649" s="41">
        <v>46168</v>
      </c>
      <c r="F2649" s="47">
        <v>0.31138888888888888</v>
      </c>
      <c r="G2649" s="44">
        <v>6.3</v>
      </c>
      <c r="H2649" s="43" t="s">
        <v>227</v>
      </c>
      <c r="I2649" s="40" t="s">
        <v>1300</v>
      </c>
    </row>
    <row r="2650" spans="1:9" x14ac:dyDescent="0.2">
      <c r="A2650" s="40" t="s">
        <v>428</v>
      </c>
      <c r="B2650" s="28">
        <v>3206</v>
      </c>
      <c r="C2650" s="28" t="s">
        <v>858</v>
      </c>
      <c r="D2650" s="28"/>
      <c r="E2650" s="41">
        <v>46168</v>
      </c>
      <c r="F2650" s="47">
        <v>0.37359953703703702</v>
      </c>
      <c r="G2650" s="44">
        <v>6.3</v>
      </c>
      <c r="H2650" s="43" t="s">
        <v>228</v>
      </c>
      <c r="I2650" s="40" t="s">
        <v>1300</v>
      </c>
    </row>
    <row r="2651" spans="1:9" x14ac:dyDescent="0.2">
      <c r="A2651" s="40" t="s">
        <v>428</v>
      </c>
      <c r="B2651" s="28">
        <v>3206</v>
      </c>
      <c r="C2651" s="28" t="s">
        <v>858</v>
      </c>
      <c r="D2651" s="28"/>
      <c r="E2651" s="41">
        <v>46168</v>
      </c>
      <c r="F2651" s="47">
        <v>0.37988425925925928</v>
      </c>
      <c r="G2651" s="44">
        <v>6.3</v>
      </c>
      <c r="H2651" s="43" t="s">
        <v>233</v>
      </c>
      <c r="I2651" s="40" t="s">
        <v>1300</v>
      </c>
    </row>
    <row r="2652" spans="1:9" x14ac:dyDescent="0.2">
      <c r="A2652" s="40" t="s">
        <v>428</v>
      </c>
      <c r="B2652" s="28">
        <v>3206</v>
      </c>
      <c r="C2652" s="28" t="s">
        <v>859</v>
      </c>
      <c r="D2652" s="28"/>
      <c r="E2652" s="41">
        <v>46168</v>
      </c>
      <c r="F2652" s="47">
        <v>0.60878472222222224</v>
      </c>
      <c r="G2652" s="44">
        <v>6.3</v>
      </c>
      <c r="H2652" s="43" t="s">
        <v>231</v>
      </c>
      <c r="I2652" s="40" t="s">
        <v>1300</v>
      </c>
    </row>
    <row r="2653" spans="1:9" x14ac:dyDescent="0.2">
      <c r="A2653" s="40" t="s">
        <v>428</v>
      </c>
      <c r="B2653" s="28">
        <v>3206</v>
      </c>
      <c r="C2653" s="28" t="s">
        <v>859</v>
      </c>
      <c r="D2653" s="28"/>
      <c r="E2653" s="41">
        <v>46168</v>
      </c>
      <c r="F2653" s="47">
        <v>0.61390046296296297</v>
      </c>
      <c r="G2653" s="42">
        <v>6.3</v>
      </c>
      <c r="H2653" s="40" t="s">
        <v>227</v>
      </c>
      <c r="I2653" s="40" t="s">
        <v>1300</v>
      </c>
    </row>
    <row r="2654" spans="1:9" x14ac:dyDescent="0.2">
      <c r="A2654" s="40" t="s">
        <v>428</v>
      </c>
      <c r="B2654" s="28">
        <v>3206</v>
      </c>
      <c r="C2654" s="28" t="s">
        <v>860</v>
      </c>
      <c r="D2654" s="28"/>
      <c r="E2654" s="41">
        <v>46168</v>
      </c>
      <c r="F2654" s="47">
        <v>0.72835648148148147</v>
      </c>
      <c r="G2654" s="44">
        <v>6.3</v>
      </c>
      <c r="H2654" s="43" t="s">
        <v>228</v>
      </c>
      <c r="I2654" s="40" t="s">
        <v>1300</v>
      </c>
    </row>
    <row r="2655" spans="1:9" x14ac:dyDescent="0.2">
      <c r="A2655" s="40" t="s">
        <v>428</v>
      </c>
      <c r="B2655" s="28">
        <v>3206</v>
      </c>
      <c r="C2655" s="28" t="s">
        <v>860</v>
      </c>
      <c r="D2655" s="28"/>
      <c r="E2655" s="41">
        <v>46168</v>
      </c>
      <c r="F2655" s="47">
        <v>0.7415856481481482</v>
      </c>
      <c r="G2655" s="44">
        <v>6.3</v>
      </c>
      <c r="H2655" s="43" t="s">
        <v>229</v>
      </c>
      <c r="I2655" s="40" t="s">
        <v>1300</v>
      </c>
    </row>
    <row r="2656" spans="1:9" x14ac:dyDescent="0.2">
      <c r="A2656" s="40" t="s">
        <v>428</v>
      </c>
      <c r="B2656" s="28">
        <v>3206</v>
      </c>
      <c r="C2656" s="28" t="s">
        <v>861</v>
      </c>
      <c r="D2656" s="28"/>
      <c r="E2656" s="45">
        <v>46169</v>
      </c>
      <c r="F2656" s="48">
        <v>0.2391550925925926</v>
      </c>
      <c r="G2656" s="44">
        <v>6.3</v>
      </c>
      <c r="H2656" s="43" t="s">
        <v>226</v>
      </c>
      <c r="I2656" s="40" t="s">
        <v>1300</v>
      </c>
    </row>
    <row r="2657" spans="1:9" x14ac:dyDescent="0.2">
      <c r="A2657" s="40" t="s">
        <v>428</v>
      </c>
      <c r="B2657" s="28">
        <v>3206</v>
      </c>
      <c r="C2657" s="28" t="s">
        <v>861</v>
      </c>
      <c r="D2657" s="28"/>
      <c r="E2657" s="41">
        <v>46169</v>
      </c>
      <c r="F2657" s="47">
        <v>0.24453703703703702</v>
      </c>
      <c r="G2657" s="44">
        <v>6.3</v>
      </c>
      <c r="H2657" s="43" t="s">
        <v>227</v>
      </c>
      <c r="I2657" s="40" t="s">
        <v>1300</v>
      </c>
    </row>
    <row r="2658" spans="1:9" x14ac:dyDescent="0.2">
      <c r="A2658" s="40" t="s">
        <v>428</v>
      </c>
      <c r="B2658" s="28">
        <v>3206</v>
      </c>
      <c r="C2658" s="28" t="s">
        <v>862</v>
      </c>
      <c r="D2658" s="28"/>
      <c r="E2658" s="41">
        <v>46169</v>
      </c>
      <c r="F2658" s="47">
        <v>0.35454861111111113</v>
      </c>
      <c r="G2658" s="44">
        <v>6.3</v>
      </c>
      <c r="H2658" s="43" t="s">
        <v>228</v>
      </c>
      <c r="I2658" s="40" t="s">
        <v>1300</v>
      </c>
    </row>
    <row r="2659" spans="1:9" x14ac:dyDescent="0.2">
      <c r="A2659" s="40" t="s">
        <v>428</v>
      </c>
      <c r="B2659" s="28">
        <v>3206</v>
      </c>
      <c r="C2659" s="28" t="s">
        <v>862</v>
      </c>
      <c r="D2659" s="28"/>
      <c r="E2659" s="41">
        <v>46169</v>
      </c>
      <c r="F2659" s="47">
        <v>0.3679398148148148</v>
      </c>
      <c r="G2659" s="44">
        <v>6.3</v>
      </c>
      <c r="H2659" s="43" t="s">
        <v>232</v>
      </c>
      <c r="I2659" s="40" t="s">
        <v>1300</v>
      </c>
    </row>
    <row r="2660" spans="1:9" x14ac:dyDescent="0.2">
      <c r="A2660" s="40" t="s">
        <v>428</v>
      </c>
      <c r="B2660" s="28">
        <v>3206</v>
      </c>
      <c r="C2660" s="28" t="s">
        <v>863</v>
      </c>
      <c r="D2660" s="28"/>
      <c r="E2660" s="41">
        <v>46169</v>
      </c>
      <c r="F2660" s="47">
        <v>0.43961805555555555</v>
      </c>
      <c r="G2660" s="44">
        <v>6.3</v>
      </c>
      <c r="H2660" s="43" t="s">
        <v>231</v>
      </c>
      <c r="I2660" s="40" t="s">
        <v>1300</v>
      </c>
    </row>
    <row r="2661" spans="1:9" x14ac:dyDescent="0.2">
      <c r="A2661" s="40" t="s">
        <v>428</v>
      </c>
      <c r="B2661" s="28">
        <v>3206</v>
      </c>
      <c r="C2661" s="28" t="s">
        <v>863</v>
      </c>
      <c r="D2661" s="28"/>
      <c r="E2661" s="45">
        <v>46169</v>
      </c>
      <c r="F2661" s="48">
        <v>0.44428240740740743</v>
      </c>
      <c r="G2661" s="44">
        <v>6.3</v>
      </c>
      <c r="H2661" s="43" t="s">
        <v>227</v>
      </c>
      <c r="I2661" s="40" t="s">
        <v>1300</v>
      </c>
    </row>
    <row r="2662" spans="1:9" x14ac:dyDescent="0.2">
      <c r="A2662" s="40" t="s">
        <v>428</v>
      </c>
      <c r="B2662" s="28">
        <v>3206</v>
      </c>
      <c r="C2662" s="28" t="s">
        <v>864</v>
      </c>
      <c r="D2662" s="28"/>
      <c r="E2662" s="41">
        <v>46169</v>
      </c>
      <c r="F2662" s="47">
        <v>0.5010648148148148</v>
      </c>
      <c r="G2662" s="44">
        <v>6.3</v>
      </c>
      <c r="H2662" s="43" t="s">
        <v>228</v>
      </c>
      <c r="I2662" s="40" t="s">
        <v>1300</v>
      </c>
    </row>
    <row r="2663" spans="1:9" x14ac:dyDescent="0.2">
      <c r="A2663" s="40" t="s">
        <v>428</v>
      </c>
      <c r="B2663" s="28">
        <v>3206</v>
      </c>
      <c r="C2663" s="28" t="s">
        <v>864</v>
      </c>
      <c r="D2663" s="28"/>
      <c r="E2663" s="45">
        <v>46169</v>
      </c>
      <c r="F2663" s="48">
        <v>0.51087962962962963</v>
      </c>
      <c r="G2663" s="44">
        <v>6.3</v>
      </c>
      <c r="H2663" s="43" t="s">
        <v>229</v>
      </c>
      <c r="I2663" s="40" t="s">
        <v>1300</v>
      </c>
    </row>
    <row r="2664" spans="1:9" x14ac:dyDescent="0.2">
      <c r="A2664" s="40" t="s">
        <v>428</v>
      </c>
      <c r="B2664" s="28">
        <v>3206</v>
      </c>
      <c r="C2664" s="28" t="s">
        <v>865</v>
      </c>
      <c r="D2664" s="28"/>
      <c r="E2664" s="41">
        <v>46169</v>
      </c>
      <c r="F2664" s="47">
        <v>0.66738425925925926</v>
      </c>
      <c r="G2664" s="44">
        <v>6.3</v>
      </c>
      <c r="H2664" s="43" t="s">
        <v>231</v>
      </c>
      <c r="I2664" s="40" t="s">
        <v>1300</v>
      </c>
    </row>
    <row r="2665" spans="1:9" x14ac:dyDescent="0.2">
      <c r="A2665" s="40" t="s">
        <v>428</v>
      </c>
      <c r="B2665" s="28">
        <v>3206</v>
      </c>
      <c r="C2665" s="28" t="s">
        <v>865</v>
      </c>
      <c r="D2665" s="28"/>
      <c r="E2665" s="45">
        <v>46169</v>
      </c>
      <c r="F2665" s="48">
        <v>0.67280092592592589</v>
      </c>
      <c r="G2665" s="44">
        <v>6.3</v>
      </c>
      <c r="H2665" s="43" t="s">
        <v>227</v>
      </c>
      <c r="I2665" s="40" t="s">
        <v>1300</v>
      </c>
    </row>
    <row r="2666" spans="1:9" x14ac:dyDescent="0.2">
      <c r="A2666" s="40" t="s">
        <v>428</v>
      </c>
      <c r="B2666" s="28">
        <v>3206</v>
      </c>
      <c r="C2666" s="28" t="s">
        <v>866</v>
      </c>
      <c r="D2666" s="28"/>
      <c r="E2666" s="41">
        <v>46169</v>
      </c>
      <c r="F2666" s="47">
        <v>0.73140046296296302</v>
      </c>
      <c r="G2666" s="42">
        <v>6.3</v>
      </c>
      <c r="H2666" s="40" t="s">
        <v>228</v>
      </c>
      <c r="I2666" s="40" t="s">
        <v>1300</v>
      </c>
    </row>
    <row r="2667" spans="1:9" x14ac:dyDescent="0.2">
      <c r="A2667" s="40" t="s">
        <v>428</v>
      </c>
      <c r="B2667" s="28">
        <v>3206</v>
      </c>
      <c r="C2667" s="28" t="s">
        <v>866</v>
      </c>
      <c r="D2667" s="28"/>
      <c r="E2667" s="41">
        <v>46169</v>
      </c>
      <c r="F2667" s="47">
        <v>0.74623842592592593</v>
      </c>
      <c r="G2667" s="42">
        <v>6.3</v>
      </c>
      <c r="H2667" s="40" t="s">
        <v>232</v>
      </c>
      <c r="I2667" s="40" t="s">
        <v>1300</v>
      </c>
    </row>
    <row r="2668" spans="1:9" x14ac:dyDescent="0.2">
      <c r="A2668" s="40" t="s">
        <v>428</v>
      </c>
      <c r="B2668" s="28">
        <v>3206</v>
      </c>
      <c r="C2668" s="28" t="s">
        <v>867</v>
      </c>
      <c r="D2668" s="28"/>
      <c r="E2668" s="41">
        <v>46170</v>
      </c>
      <c r="F2668" s="47">
        <v>0.25974537037037038</v>
      </c>
      <c r="G2668" s="42">
        <v>6.3</v>
      </c>
      <c r="H2668" s="40" t="s">
        <v>231</v>
      </c>
      <c r="I2668" s="40" t="s">
        <v>1300</v>
      </c>
    </row>
    <row r="2669" spans="1:9" x14ac:dyDescent="0.2">
      <c r="A2669" s="40" t="s">
        <v>428</v>
      </c>
      <c r="B2669" s="28">
        <v>3206</v>
      </c>
      <c r="C2669" s="28" t="s">
        <v>867</v>
      </c>
      <c r="D2669" s="28"/>
      <c r="E2669" s="41">
        <v>46170</v>
      </c>
      <c r="F2669" s="47">
        <v>0.26521990740740742</v>
      </c>
      <c r="G2669" s="44">
        <v>6.3</v>
      </c>
      <c r="H2669" s="43" t="s">
        <v>227</v>
      </c>
      <c r="I2669" s="40" t="s">
        <v>1300</v>
      </c>
    </row>
    <row r="2670" spans="1:9" x14ac:dyDescent="0.2">
      <c r="A2670" s="40" t="s">
        <v>428</v>
      </c>
      <c r="B2670" s="28">
        <v>3206</v>
      </c>
      <c r="C2670" s="28" t="s">
        <v>868</v>
      </c>
      <c r="D2670" s="28"/>
      <c r="E2670" s="41">
        <v>46170</v>
      </c>
      <c r="F2670" s="47">
        <v>0.46509259259259261</v>
      </c>
      <c r="G2670" s="44">
        <v>6.3</v>
      </c>
      <c r="H2670" s="43" t="s">
        <v>228</v>
      </c>
      <c r="I2670" s="40" t="s">
        <v>1300</v>
      </c>
    </row>
    <row r="2671" spans="1:9" x14ac:dyDescent="0.2">
      <c r="A2671" s="40" t="s">
        <v>428</v>
      </c>
      <c r="B2671" s="28">
        <v>3206</v>
      </c>
      <c r="C2671" s="28" t="s">
        <v>868</v>
      </c>
      <c r="D2671" s="28"/>
      <c r="E2671" s="41">
        <v>46170</v>
      </c>
      <c r="F2671" s="47">
        <v>0.47418981481481481</v>
      </c>
      <c r="G2671" s="44">
        <v>6.3</v>
      </c>
      <c r="H2671" s="43" t="s">
        <v>229</v>
      </c>
      <c r="I2671" s="40" t="s">
        <v>1300</v>
      </c>
    </row>
    <row r="2672" spans="1:9" x14ac:dyDescent="0.2">
      <c r="A2672" s="40" t="s">
        <v>428</v>
      </c>
      <c r="B2672" s="28">
        <v>3206</v>
      </c>
      <c r="C2672" s="28" t="s">
        <v>869</v>
      </c>
      <c r="D2672" s="28"/>
      <c r="E2672" s="41">
        <v>46170</v>
      </c>
      <c r="F2672" s="47">
        <v>0.67005787037037035</v>
      </c>
      <c r="G2672" s="44">
        <v>6.3</v>
      </c>
      <c r="H2672" s="43" t="s">
        <v>231</v>
      </c>
      <c r="I2672" s="40" t="s">
        <v>1300</v>
      </c>
    </row>
    <row r="2673" spans="1:9" x14ac:dyDescent="0.2">
      <c r="A2673" s="40" t="s">
        <v>428</v>
      </c>
      <c r="B2673" s="28">
        <v>3206</v>
      </c>
      <c r="C2673" s="28" t="s">
        <v>869</v>
      </c>
      <c r="D2673" s="28"/>
      <c r="E2673" s="41">
        <v>46170</v>
      </c>
      <c r="F2673" s="47">
        <v>0.67809027777777775</v>
      </c>
      <c r="G2673" s="44">
        <v>6.3</v>
      </c>
      <c r="H2673" s="43" t="s">
        <v>227</v>
      </c>
      <c r="I2673" s="40" t="s">
        <v>1300</v>
      </c>
    </row>
    <row r="2674" spans="1:9" x14ac:dyDescent="0.2">
      <c r="A2674" s="40" t="s">
        <v>428</v>
      </c>
      <c r="B2674" s="28">
        <v>3206</v>
      </c>
      <c r="C2674" s="28" t="s">
        <v>870</v>
      </c>
      <c r="D2674" s="28"/>
      <c r="E2674" s="41">
        <v>46170</v>
      </c>
      <c r="F2674" s="47">
        <v>0.75061342592592595</v>
      </c>
      <c r="G2674" s="44">
        <v>6.3</v>
      </c>
      <c r="H2674" s="43" t="s">
        <v>228</v>
      </c>
      <c r="I2674" s="40" t="s">
        <v>1300</v>
      </c>
    </row>
    <row r="2675" spans="1:9" x14ac:dyDescent="0.2">
      <c r="A2675" s="40" t="s">
        <v>428</v>
      </c>
      <c r="B2675" s="28">
        <v>3206</v>
      </c>
      <c r="C2675" s="28" t="s">
        <v>870</v>
      </c>
      <c r="D2675" s="28"/>
      <c r="E2675" s="41">
        <v>46170</v>
      </c>
      <c r="F2675" s="47">
        <v>0.76265046296296302</v>
      </c>
      <c r="G2675" s="44">
        <v>6.3</v>
      </c>
      <c r="H2675" s="43" t="s">
        <v>229</v>
      </c>
      <c r="I2675" s="40" t="s">
        <v>1300</v>
      </c>
    </row>
    <row r="2676" spans="1:9" x14ac:dyDescent="0.2">
      <c r="A2676" s="40" t="s">
        <v>428</v>
      </c>
      <c r="B2676" s="28">
        <v>3206</v>
      </c>
      <c r="C2676" s="28" t="s">
        <v>871</v>
      </c>
      <c r="D2676" s="28"/>
      <c r="E2676" s="41">
        <v>46171</v>
      </c>
      <c r="F2676" s="47">
        <v>0.39724537037037039</v>
      </c>
      <c r="G2676" s="44">
        <v>6.3</v>
      </c>
      <c r="H2676" s="43" t="s">
        <v>230</v>
      </c>
      <c r="I2676" s="40" t="s">
        <v>1300</v>
      </c>
    </row>
    <row r="2677" spans="1:9" x14ac:dyDescent="0.2">
      <c r="A2677" s="40" t="s">
        <v>428</v>
      </c>
      <c r="B2677" s="28">
        <v>3206</v>
      </c>
      <c r="C2677" s="28" t="s">
        <v>871</v>
      </c>
      <c r="D2677" s="28"/>
      <c r="E2677" s="41">
        <v>46171</v>
      </c>
      <c r="F2677" s="47">
        <v>0.40662037037037035</v>
      </c>
      <c r="G2677" s="44">
        <v>6.3</v>
      </c>
      <c r="H2677" s="43" t="s">
        <v>227</v>
      </c>
      <c r="I2677" s="40" t="s">
        <v>1300</v>
      </c>
    </row>
    <row r="2678" spans="1:9" x14ac:dyDescent="0.2">
      <c r="A2678" s="40" t="s">
        <v>428</v>
      </c>
      <c r="B2678" s="28">
        <v>3206</v>
      </c>
      <c r="C2678" s="28" t="s">
        <v>872</v>
      </c>
      <c r="D2678" s="28"/>
      <c r="E2678" s="41">
        <v>46171</v>
      </c>
      <c r="F2678" s="47">
        <v>0.44388888888888889</v>
      </c>
      <c r="G2678" s="44">
        <v>6.3</v>
      </c>
      <c r="H2678" s="43" t="s">
        <v>228</v>
      </c>
      <c r="I2678" s="40" t="s">
        <v>1300</v>
      </c>
    </row>
    <row r="2679" spans="1:9" x14ac:dyDescent="0.2">
      <c r="A2679" s="40" t="s">
        <v>428</v>
      </c>
      <c r="B2679" s="28">
        <v>3206</v>
      </c>
      <c r="C2679" s="28" t="s">
        <v>872</v>
      </c>
      <c r="D2679" s="28"/>
      <c r="E2679" s="41">
        <v>46171</v>
      </c>
      <c r="F2679" s="47">
        <v>0.45859953703703704</v>
      </c>
      <c r="G2679" s="44">
        <v>6.3</v>
      </c>
      <c r="H2679" s="43" t="s">
        <v>229</v>
      </c>
      <c r="I2679" s="40" t="s">
        <v>1300</v>
      </c>
    </row>
    <row r="2680" spans="1:9" x14ac:dyDescent="0.2">
      <c r="A2680" s="40" t="s">
        <v>428</v>
      </c>
      <c r="B2680" s="28">
        <v>3206</v>
      </c>
      <c r="C2680" s="28" t="s">
        <v>872</v>
      </c>
      <c r="D2680" s="28"/>
      <c r="E2680" s="45">
        <v>46171</v>
      </c>
      <c r="F2680" s="48">
        <v>0.5019675925925926</v>
      </c>
      <c r="G2680" s="44">
        <v>6.3</v>
      </c>
      <c r="H2680" s="43" t="s">
        <v>226</v>
      </c>
      <c r="I2680" s="40" t="s">
        <v>1300</v>
      </c>
    </row>
    <row r="2681" spans="1:9" x14ac:dyDescent="0.2">
      <c r="A2681" s="40" t="s">
        <v>428</v>
      </c>
      <c r="B2681" s="28">
        <v>3206</v>
      </c>
      <c r="C2681" s="28" t="s">
        <v>872</v>
      </c>
      <c r="D2681" s="28"/>
      <c r="E2681" s="41">
        <v>46171</v>
      </c>
      <c r="F2681" s="47">
        <v>0.51523148148148146</v>
      </c>
      <c r="G2681" s="44">
        <v>6.3</v>
      </c>
      <c r="H2681" s="43" t="s">
        <v>227</v>
      </c>
      <c r="I2681" s="40" t="s">
        <v>1300</v>
      </c>
    </row>
    <row r="2682" spans="1:9" x14ac:dyDescent="0.2">
      <c r="A2682" s="40" t="s">
        <v>428</v>
      </c>
      <c r="B2682" s="28">
        <v>3206</v>
      </c>
      <c r="C2682" s="28" t="s">
        <v>873</v>
      </c>
      <c r="D2682" s="28"/>
      <c r="E2682" s="41">
        <v>46171</v>
      </c>
      <c r="F2682" s="47">
        <v>0.65418981481481486</v>
      </c>
      <c r="G2682" s="44">
        <v>6.3</v>
      </c>
      <c r="H2682" s="43" t="s">
        <v>228</v>
      </c>
      <c r="I2682" s="40" t="s">
        <v>1300</v>
      </c>
    </row>
    <row r="2683" spans="1:9" x14ac:dyDescent="0.2">
      <c r="A2683" s="40" t="s">
        <v>428</v>
      </c>
      <c r="B2683" s="28">
        <v>3206</v>
      </c>
      <c r="C2683" s="28" t="s">
        <v>873</v>
      </c>
      <c r="D2683" s="28"/>
      <c r="E2683" s="41">
        <v>46171</v>
      </c>
      <c r="F2683" s="47">
        <v>0.66537037037037039</v>
      </c>
      <c r="G2683" s="44">
        <v>6.3</v>
      </c>
      <c r="H2683" s="43" t="s">
        <v>229</v>
      </c>
      <c r="I2683" s="40" t="s">
        <v>1300</v>
      </c>
    </row>
    <row r="2684" spans="1:9" x14ac:dyDescent="0.2">
      <c r="A2684" s="40" t="s">
        <v>428</v>
      </c>
      <c r="B2684" s="28">
        <v>3206</v>
      </c>
      <c r="C2684" s="28" t="s">
        <v>874</v>
      </c>
      <c r="D2684" s="28"/>
      <c r="E2684" s="41">
        <v>46171</v>
      </c>
      <c r="F2684" s="47">
        <v>0.84479166666666672</v>
      </c>
      <c r="G2684" s="44">
        <v>6.3</v>
      </c>
      <c r="H2684" s="43" t="s">
        <v>226</v>
      </c>
      <c r="I2684" s="40" t="s">
        <v>1300</v>
      </c>
    </row>
    <row r="2685" spans="1:9" x14ac:dyDescent="0.2">
      <c r="A2685" s="40" t="s">
        <v>428</v>
      </c>
      <c r="B2685" s="28">
        <v>3206</v>
      </c>
      <c r="C2685" s="28" t="s">
        <v>874</v>
      </c>
      <c r="D2685" s="28"/>
      <c r="E2685" s="41">
        <v>46171</v>
      </c>
      <c r="F2685" s="47">
        <v>0.88063657407407403</v>
      </c>
      <c r="G2685" s="44">
        <v>6.3</v>
      </c>
      <c r="H2685" s="43" t="s">
        <v>227</v>
      </c>
      <c r="I2685" s="40" t="s">
        <v>1300</v>
      </c>
    </row>
    <row r="2686" spans="1:9" x14ac:dyDescent="0.2">
      <c r="A2686" s="40" t="s">
        <v>428</v>
      </c>
      <c r="B2686" s="28">
        <v>3206</v>
      </c>
      <c r="C2686" s="28" t="s">
        <v>875</v>
      </c>
      <c r="D2686" s="28"/>
      <c r="E2686" s="41">
        <v>46171</v>
      </c>
      <c r="F2686" s="47">
        <v>0.9331018518518519</v>
      </c>
      <c r="G2686" s="42">
        <v>6.3</v>
      </c>
      <c r="H2686" s="40" t="s">
        <v>228</v>
      </c>
      <c r="I2686" s="40" t="s">
        <v>1300</v>
      </c>
    </row>
    <row r="2687" spans="1:9" x14ac:dyDescent="0.2">
      <c r="A2687" s="40" t="s">
        <v>428</v>
      </c>
      <c r="B2687" s="28">
        <v>3206</v>
      </c>
      <c r="C2687" s="28" t="s">
        <v>875</v>
      </c>
      <c r="D2687" s="28"/>
      <c r="E2687" s="41">
        <v>46171</v>
      </c>
      <c r="F2687" s="47">
        <v>0.93962962962962959</v>
      </c>
      <c r="G2687" s="42">
        <v>6.3</v>
      </c>
      <c r="H2687" s="40" t="s">
        <v>232</v>
      </c>
      <c r="I2687" s="40" t="s">
        <v>1300</v>
      </c>
    </row>
    <row r="2688" spans="1:9" x14ac:dyDescent="0.2">
      <c r="A2688" s="40" t="s">
        <v>428</v>
      </c>
      <c r="B2688" s="28">
        <v>3206</v>
      </c>
      <c r="C2688" s="28" t="s">
        <v>876</v>
      </c>
      <c r="D2688" s="28"/>
      <c r="E2688" s="41">
        <v>46172</v>
      </c>
      <c r="F2688" s="47">
        <v>0.35636574074074073</v>
      </c>
      <c r="G2688" s="42">
        <v>6.3</v>
      </c>
      <c r="H2688" s="40" t="s">
        <v>226</v>
      </c>
      <c r="I2688" s="40" t="s">
        <v>1300</v>
      </c>
    </row>
    <row r="2689" spans="1:9" x14ac:dyDescent="0.2">
      <c r="A2689" s="40" t="s">
        <v>428</v>
      </c>
      <c r="B2689" s="28">
        <v>3206</v>
      </c>
      <c r="C2689" s="28" t="s">
        <v>876</v>
      </c>
      <c r="D2689" s="28"/>
      <c r="E2689" s="41">
        <v>46172</v>
      </c>
      <c r="F2689" s="47">
        <v>0.36255787037037035</v>
      </c>
      <c r="G2689" s="42">
        <v>6.3</v>
      </c>
      <c r="H2689" s="40" t="s">
        <v>227</v>
      </c>
      <c r="I2689" s="40" t="s">
        <v>1300</v>
      </c>
    </row>
    <row r="2690" spans="1:9" x14ac:dyDescent="0.2">
      <c r="A2690" s="40" t="s">
        <v>428</v>
      </c>
      <c r="B2690" s="28">
        <v>3206</v>
      </c>
      <c r="C2690" s="28" t="s">
        <v>877</v>
      </c>
      <c r="D2690" s="28"/>
      <c r="E2690" s="41">
        <v>46172</v>
      </c>
      <c r="F2690" s="47">
        <v>0.41637731481481483</v>
      </c>
      <c r="G2690" s="42">
        <v>6.3</v>
      </c>
      <c r="H2690" s="40" t="s">
        <v>228</v>
      </c>
      <c r="I2690" s="40" t="s">
        <v>1300</v>
      </c>
    </row>
    <row r="2691" spans="1:9" x14ac:dyDescent="0.2">
      <c r="A2691" s="40" t="s">
        <v>428</v>
      </c>
      <c r="B2691" s="28">
        <v>3206</v>
      </c>
      <c r="C2691" s="28" t="s">
        <v>877</v>
      </c>
      <c r="D2691" s="28"/>
      <c r="E2691" s="41">
        <v>46172</v>
      </c>
      <c r="F2691" s="47">
        <v>0.42811342592592594</v>
      </c>
      <c r="G2691" s="42">
        <v>6.3</v>
      </c>
      <c r="H2691" s="40" t="s">
        <v>232</v>
      </c>
      <c r="I2691" s="40" t="s">
        <v>1300</v>
      </c>
    </row>
    <row r="2692" spans="1:9" x14ac:dyDescent="0.2">
      <c r="A2692" s="40" t="s">
        <v>428</v>
      </c>
      <c r="B2692" s="28">
        <v>3206</v>
      </c>
      <c r="C2692" s="28" t="s">
        <v>878</v>
      </c>
      <c r="D2692" s="28"/>
      <c r="E2692" s="45">
        <v>46172</v>
      </c>
      <c r="F2692" s="48">
        <v>0.49429398148148146</v>
      </c>
      <c r="G2692" s="42">
        <v>6.3</v>
      </c>
      <c r="H2692" s="40" t="s">
        <v>226</v>
      </c>
      <c r="I2692" s="40" t="s">
        <v>1300</v>
      </c>
    </row>
    <row r="2693" spans="1:9" x14ac:dyDescent="0.2">
      <c r="A2693" s="40" t="s">
        <v>428</v>
      </c>
      <c r="B2693" s="28">
        <v>3206</v>
      </c>
      <c r="C2693" s="28" t="s">
        <v>878</v>
      </c>
      <c r="D2693" s="28"/>
      <c r="E2693" s="41">
        <v>46172</v>
      </c>
      <c r="F2693" s="47">
        <v>0.50171296296296297</v>
      </c>
      <c r="G2693" s="44">
        <v>6.3</v>
      </c>
      <c r="H2693" s="43" t="s">
        <v>227</v>
      </c>
      <c r="I2693" s="40" t="s">
        <v>1300</v>
      </c>
    </row>
    <row r="2694" spans="1:9" x14ac:dyDescent="0.2">
      <c r="A2694" s="40" t="s">
        <v>428</v>
      </c>
      <c r="B2694" s="28">
        <v>3206</v>
      </c>
      <c r="C2694" s="28" t="s">
        <v>879</v>
      </c>
      <c r="D2694" s="28"/>
      <c r="E2694" s="41">
        <v>46172</v>
      </c>
      <c r="F2694" s="47">
        <v>0.61668981481481477</v>
      </c>
      <c r="G2694" s="44">
        <v>6.3</v>
      </c>
      <c r="H2694" s="43" t="s">
        <v>228</v>
      </c>
      <c r="I2694" s="40" t="s">
        <v>1300</v>
      </c>
    </row>
    <row r="2695" spans="1:9" x14ac:dyDescent="0.2">
      <c r="A2695" s="40" t="s">
        <v>428</v>
      </c>
      <c r="B2695" s="28">
        <v>3206</v>
      </c>
      <c r="C2695" s="28" t="s">
        <v>879</v>
      </c>
      <c r="D2695" s="28"/>
      <c r="E2695" s="41">
        <v>46172</v>
      </c>
      <c r="F2695" s="47">
        <v>0.62809027777777782</v>
      </c>
      <c r="G2695" s="44">
        <v>6.3</v>
      </c>
      <c r="H2695" s="43" t="s">
        <v>229</v>
      </c>
      <c r="I2695" s="40" t="s">
        <v>1300</v>
      </c>
    </row>
    <row r="2696" spans="1:9" x14ac:dyDescent="0.2">
      <c r="A2696" s="40" t="s">
        <v>85</v>
      </c>
      <c r="B2696" s="28">
        <v>3236</v>
      </c>
      <c r="C2696" s="28">
        <v>5685069</v>
      </c>
      <c r="D2696" s="28"/>
      <c r="E2696" s="41">
        <v>46167</v>
      </c>
      <c r="F2696" s="47">
        <v>0.1935300925925926</v>
      </c>
      <c r="G2696" s="44">
        <v>6.3</v>
      </c>
      <c r="H2696" s="43" t="s">
        <v>234</v>
      </c>
      <c r="I2696" s="40" t="s">
        <v>1300</v>
      </c>
    </row>
    <row r="2697" spans="1:9" x14ac:dyDescent="0.2">
      <c r="A2697" s="40" t="s">
        <v>85</v>
      </c>
      <c r="B2697" s="28">
        <v>3236</v>
      </c>
      <c r="C2697" s="28">
        <v>5685069</v>
      </c>
      <c r="D2697" s="28"/>
      <c r="E2697" s="41">
        <v>46167</v>
      </c>
      <c r="F2697" s="47">
        <v>0.19631944444444444</v>
      </c>
      <c r="G2697" s="44">
        <v>6.3</v>
      </c>
      <c r="H2697" s="43" t="s">
        <v>227</v>
      </c>
      <c r="I2697" s="40" t="s">
        <v>1300</v>
      </c>
    </row>
    <row r="2698" spans="1:9" x14ac:dyDescent="0.2">
      <c r="A2698" s="40" t="s">
        <v>85</v>
      </c>
      <c r="B2698" s="28">
        <v>3236</v>
      </c>
      <c r="C2698" s="28" t="s">
        <v>880</v>
      </c>
      <c r="D2698" s="28"/>
      <c r="E2698" s="45">
        <v>46167</v>
      </c>
      <c r="F2698" s="48">
        <v>0.32980324074074074</v>
      </c>
      <c r="G2698" s="42">
        <v>6.3</v>
      </c>
      <c r="H2698" s="40" t="s">
        <v>228</v>
      </c>
      <c r="I2698" s="40" t="s">
        <v>1300</v>
      </c>
    </row>
    <row r="2699" spans="1:9" x14ac:dyDescent="0.2">
      <c r="A2699" s="40" t="s">
        <v>85</v>
      </c>
      <c r="B2699" s="28">
        <v>3236</v>
      </c>
      <c r="C2699" s="28" t="s">
        <v>880</v>
      </c>
      <c r="D2699" s="28"/>
      <c r="E2699" s="45">
        <v>46167</v>
      </c>
      <c r="F2699" s="48">
        <v>0.33773148148148147</v>
      </c>
      <c r="G2699" s="42">
        <v>6.3</v>
      </c>
      <c r="H2699" s="40" t="s">
        <v>229</v>
      </c>
      <c r="I2699" s="40" t="s">
        <v>1300</v>
      </c>
    </row>
    <row r="2700" spans="1:9" x14ac:dyDescent="0.2">
      <c r="A2700" s="40" t="s">
        <v>85</v>
      </c>
      <c r="B2700" s="28">
        <v>3236</v>
      </c>
      <c r="C2700" s="28">
        <v>5685569</v>
      </c>
      <c r="D2700" s="28"/>
      <c r="E2700" s="41">
        <v>46167</v>
      </c>
      <c r="F2700" s="47">
        <v>0.39178240740740738</v>
      </c>
      <c r="G2700" s="44">
        <v>6.3</v>
      </c>
      <c r="H2700" s="43" t="s">
        <v>230</v>
      </c>
      <c r="I2700" s="40" t="s">
        <v>1300</v>
      </c>
    </row>
    <row r="2701" spans="1:9" x14ac:dyDescent="0.2">
      <c r="A2701" s="40" t="s">
        <v>85</v>
      </c>
      <c r="B2701" s="28">
        <v>3236</v>
      </c>
      <c r="C2701" s="28">
        <v>5685569</v>
      </c>
      <c r="D2701" s="28"/>
      <c r="E2701" s="41">
        <v>46167</v>
      </c>
      <c r="F2701" s="47">
        <v>0.39849537037037036</v>
      </c>
      <c r="G2701" s="44">
        <v>6.3</v>
      </c>
      <c r="H2701" s="43" t="s">
        <v>227</v>
      </c>
      <c r="I2701" s="40" t="s">
        <v>1300</v>
      </c>
    </row>
    <row r="2702" spans="1:9" x14ac:dyDescent="0.2">
      <c r="A2702" s="40" t="s">
        <v>85</v>
      </c>
      <c r="B2702" s="28">
        <v>3236</v>
      </c>
      <c r="C2702" s="28">
        <v>5685174</v>
      </c>
      <c r="D2702" s="28"/>
      <c r="E2702" s="41">
        <v>46167</v>
      </c>
      <c r="F2702" s="47">
        <v>0.54841435185185183</v>
      </c>
      <c r="G2702" s="44">
        <v>6.3</v>
      </c>
      <c r="H2702" s="43" t="s">
        <v>226</v>
      </c>
      <c r="I2702" s="40" t="s">
        <v>1300</v>
      </c>
    </row>
    <row r="2703" spans="1:9" x14ac:dyDescent="0.2">
      <c r="A2703" s="40" t="s">
        <v>85</v>
      </c>
      <c r="B2703" s="28">
        <v>3236</v>
      </c>
      <c r="C2703" s="28">
        <v>5685174</v>
      </c>
      <c r="D2703" s="28"/>
      <c r="E2703" s="41">
        <v>46167</v>
      </c>
      <c r="F2703" s="47">
        <v>0.555150462962963</v>
      </c>
      <c r="G2703" s="44">
        <v>6.3</v>
      </c>
      <c r="H2703" s="43" t="s">
        <v>227</v>
      </c>
      <c r="I2703" s="40" t="s">
        <v>1300</v>
      </c>
    </row>
    <row r="2704" spans="1:9" x14ac:dyDescent="0.2">
      <c r="A2704" s="40" t="s">
        <v>85</v>
      </c>
      <c r="B2704" s="28">
        <v>3236</v>
      </c>
      <c r="C2704" s="28" t="s">
        <v>881</v>
      </c>
      <c r="D2704" s="28"/>
      <c r="E2704" s="41">
        <v>46167</v>
      </c>
      <c r="F2704" s="47">
        <v>0.64287037037037043</v>
      </c>
      <c r="G2704" s="44">
        <v>6.3</v>
      </c>
      <c r="H2704" s="43" t="s">
        <v>228</v>
      </c>
      <c r="I2704" s="40" t="s">
        <v>1300</v>
      </c>
    </row>
    <row r="2705" spans="1:9" x14ac:dyDescent="0.2">
      <c r="A2705" s="40" t="s">
        <v>85</v>
      </c>
      <c r="B2705" s="28">
        <v>3236</v>
      </c>
      <c r="C2705" s="28" t="s">
        <v>881</v>
      </c>
      <c r="D2705" s="28"/>
      <c r="E2705" s="41">
        <v>46167</v>
      </c>
      <c r="F2705" s="47">
        <v>0.65277777777777779</v>
      </c>
      <c r="G2705" s="44">
        <v>6.3</v>
      </c>
      <c r="H2705" s="43" t="s">
        <v>229</v>
      </c>
      <c r="I2705" s="40" t="s">
        <v>1300</v>
      </c>
    </row>
    <row r="2706" spans="1:9" x14ac:dyDescent="0.2">
      <c r="A2706" s="40" t="s">
        <v>85</v>
      </c>
      <c r="B2706" s="28">
        <v>3236</v>
      </c>
      <c r="C2706" s="28" t="s">
        <v>35</v>
      </c>
      <c r="D2706" s="28" t="s">
        <v>38</v>
      </c>
      <c r="E2706" s="41">
        <v>46167</v>
      </c>
      <c r="F2706" s="47">
        <v>0.67552083333333335</v>
      </c>
      <c r="G2706" s="44">
        <v>6.3</v>
      </c>
      <c r="H2706" s="43" t="s">
        <v>230</v>
      </c>
      <c r="I2706" s="40" t="s">
        <v>1300</v>
      </c>
    </row>
    <row r="2707" spans="1:9" x14ac:dyDescent="0.2">
      <c r="A2707" s="40" t="s">
        <v>85</v>
      </c>
      <c r="B2707" s="28">
        <v>3236</v>
      </c>
      <c r="C2707" s="28">
        <v>5686713</v>
      </c>
      <c r="D2707" s="28"/>
      <c r="E2707" s="41">
        <v>46168</v>
      </c>
      <c r="F2707" s="47">
        <v>0.1723611111111111</v>
      </c>
      <c r="G2707" s="44">
        <v>6.3</v>
      </c>
      <c r="H2707" s="43" t="s">
        <v>227</v>
      </c>
      <c r="I2707" s="40" t="s">
        <v>1300</v>
      </c>
    </row>
    <row r="2708" spans="1:9" x14ac:dyDescent="0.2">
      <c r="A2708" s="40" t="s">
        <v>85</v>
      </c>
      <c r="B2708" s="28">
        <v>3236</v>
      </c>
      <c r="C2708" s="28" t="s">
        <v>35</v>
      </c>
      <c r="D2708" s="28" t="s">
        <v>38</v>
      </c>
      <c r="E2708" s="45">
        <v>46168</v>
      </c>
      <c r="F2708" s="48">
        <v>0.44268518518518518</v>
      </c>
      <c r="G2708" s="44">
        <v>6.3</v>
      </c>
      <c r="H2708" s="43" t="s">
        <v>230</v>
      </c>
      <c r="I2708" s="40" t="s">
        <v>1300</v>
      </c>
    </row>
    <row r="2709" spans="1:9" x14ac:dyDescent="0.2">
      <c r="A2709" s="40" t="s">
        <v>85</v>
      </c>
      <c r="B2709" s="28">
        <v>3236</v>
      </c>
      <c r="C2709" s="28" t="s">
        <v>882</v>
      </c>
      <c r="D2709" s="28"/>
      <c r="E2709" s="41">
        <v>46169</v>
      </c>
      <c r="F2709" s="47">
        <v>0.64648148148148143</v>
      </c>
      <c r="G2709" s="44">
        <v>6.3</v>
      </c>
      <c r="H2709" s="43" t="s">
        <v>228</v>
      </c>
      <c r="I2709" s="40" t="s">
        <v>1300</v>
      </c>
    </row>
    <row r="2710" spans="1:9" x14ac:dyDescent="0.2">
      <c r="A2710" s="40" t="s">
        <v>85</v>
      </c>
      <c r="B2710" s="28">
        <v>3236</v>
      </c>
      <c r="C2710" s="28" t="s">
        <v>882</v>
      </c>
      <c r="D2710" s="28"/>
      <c r="E2710" s="41">
        <v>46169</v>
      </c>
      <c r="F2710" s="47">
        <v>0.65857638888888892</v>
      </c>
      <c r="G2710" s="44">
        <v>6.3</v>
      </c>
      <c r="H2710" s="43" t="s">
        <v>229</v>
      </c>
      <c r="I2710" s="40" t="s">
        <v>1300</v>
      </c>
    </row>
    <row r="2711" spans="1:9" x14ac:dyDescent="0.2">
      <c r="A2711" s="40" t="s">
        <v>85</v>
      </c>
      <c r="B2711" s="28">
        <v>3236</v>
      </c>
      <c r="C2711" s="28" t="s">
        <v>35</v>
      </c>
      <c r="D2711" s="28" t="s">
        <v>38</v>
      </c>
      <c r="E2711" s="41">
        <v>46169</v>
      </c>
      <c r="F2711" s="47">
        <v>0.67575231481481479</v>
      </c>
      <c r="G2711" s="42">
        <v>6.3</v>
      </c>
      <c r="H2711" s="40" t="s">
        <v>230</v>
      </c>
      <c r="I2711" s="40" t="s">
        <v>1300</v>
      </c>
    </row>
    <row r="2712" spans="1:9" x14ac:dyDescent="0.2">
      <c r="A2712" s="40" t="s">
        <v>85</v>
      </c>
      <c r="B2712" s="28">
        <v>3236</v>
      </c>
      <c r="C2712" s="28" t="s">
        <v>883</v>
      </c>
      <c r="D2712" s="28"/>
      <c r="E2712" s="41">
        <v>46169</v>
      </c>
      <c r="F2712" s="47">
        <v>0.88770833333333332</v>
      </c>
      <c r="G2712" s="44">
        <v>6.3</v>
      </c>
      <c r="H2712" s="43" t="s">
        <v>228</v>
      </c>
      <c r="I2712" s="40" t="s">
        <v>1300</v>
      </c>
    </row>
    <row r="2713" spans="1:9" x14ac:dyDescent="0.2">
      <c r="A2713" s="40" t="s">
        <v>85</v>
      </c>
      <c r="B2713" s="28">
        <v>3236</v>
      </c>
      <c r="C2713" s="28" t="s">
        <v>883</v>
      </c>
      <c r="D2713" s="28"/>
      <c r="E2713" s="41">
        <v>46169</v>
      </c>
      <c r="F2713" s="47">
        <v>0.89541666666666664</v>
      </c>
      <c r="G2713" s="44">
        <v>6.3</v>
      </c>
      <c r="H2713" s="43" t="s">
        <v>229</v>
      </c>
      <c r="I2713" s="40" t="s">
        <v>1300</v>
      </c>
    </row>
    <row r="2714" spans="1:9" x14ac:dyDescent="0.2">
      <c r="A2714" s="40" t="s">
        <v>85</v>
      </c>
      <c r="B2714" s="28">
        <v>3236</v>
      </c>
      <c r="C2714" s="28" t="s">
        <v>884</v>
      </c>
      <c r="D2714" s="28"/>
      <c r="E2714" s="41">
        <v>46171</v>
      </c>
      <c r="F2714" s="47">
        <v>0.43391203703703701</v>
      </c>
      <c r="G2714" s="42">
        <v>6.3</v>
      </c>
      <c r="H2714" s="40" t="s">
        <v>228</v>
      </c>
      <c r="I2714" s="40" t="s">
        <v>1300</v>
      </c>
    </row>
    <row r="2715" spans="1:9" x14ac:dyDescent="0.2">
      <c r="A2715" s="40" t="s">
        <v>85</v>
      </c>
      <c r="B2715" s="28">
        <v>3236</v>
      </c>
      <c r="C2715" s="28" t="s">
        <v>35</v>
      </c>
      <c r="D2715" s="28" t="s">
        <v>38</v>
      </c>
      <c r="E2715" s="41">
        <v>46171</v>
      </c>
      <c r="F2715" s="47">
        <v>0.49229166666666668</v>
      </c>
      <c r="G2715" s="44">
        <v>6.3</v>
      </c>
      <c r="H2715" s="43" t="s">
        <v>227</v>
      </c>
      <c r="I2715" s="40" t="s">
        <v>1300</v>
      </c>
    </row>
    <row r="2716" spans="1:9" x14ac:dyDescent="0.2">
      <c r="A2716" s="40" t="s">
        <v>85</v>
      </c>
      <c r="B2716" s="28">
        <v>3236</v>
      </c>
      <c r="C2716" s="28" t="s">
        <v>885</v>
      </c>
      <c r="D2716" s="28"/>
      <c r="E2716" s="45">
        <v>46171</v>
      </c>
      <c r="F2716" s="48">
        <v>0.58447916666666666</v>
      </c>
      <c r="G2716" s="44">
        <v>6.3</v>
      </c>
      <c r="H2716" s="43" t="s">
        <v>228</v>
      </c>
      <c r="I2716" s="40" t="s">
        <v>1300</v>
      </c>
    </row>
    <row r="2717" spans="1:9" x14ac:dyDescent="0.2">
      <c r="A2717" s="40" t="s">
        <v>85</v>
      </c>
      <c r="B2717" s="28">
        <v>3236</v>
      </c>
      <c r="C2717" s="28" t="s">
        <v>885</v>
      </c>
      <c r="D2717" s="28"/>
      <c r="E2717" s="41">
        <v>46171</v>
      </c>
      <c r="F2717" s="47">
        <v>0.59409722222222228</v>
      </c>
      <c r="G2717" s="44">
        <v>6.3</v>
      </c>
      <c r="H2717" s="43" t="s">
        <v>229</v>
      </c>
      <c r="I2717" s="40" t="s">
        <v>1300</v>
      </c>
    </row>
    <row r="2718" spans="1:9" x14ac:dyDescent="0.2">
      <c r="A2718" s="40" t="s">
        <v>85</v>
      </c>
      <c r="B2718" s="28">
        <v>3236</v>
      </c>
      <c r="C2718" s="28">
        <v>5692854</v>
      </c>
      <c r="D2718" s="28"/>
      <c r="E2718" s="41">
        <v>46171</v>
      </c>
      <c r="F2718" s="47">
        <v>0.70054398148148145</v>
      </c>
      <c r="G2718" s="44">
        <v>6.3</v>
      </c>
      <c r="H2718" s="43" t="s">
        <v>234</v>
      </c>
      <c r="I2718" s="40" t="s">
        <v>1300</v>
      </c>
    </row>
    <row r="2719" spans="1:9" x14ac:dyDescent="0.2">
      <c r="A2719" s="40" t="s">
        <v>85</v>
      </c>
      <c r="B2719" s="28">
        <v>3236</v>
      </c>
      <c r="C2719" s="28">
        <v>5692854</v>
      </c>
      <c r="D2719" s="28"/>
      <c r="E2719" s="41">
        <v>46171</v>
      </c>
      <c r="F2719" s="47">
        <v>0.71754629629629629</v>
      </c>
      <c r="G2719" s="44">
        <v>6.3</v>
      </c>
      <c r="H2719" s="43" t="s">
        <v>227</v>
      </c>
      <c r="I2719" s="40" t="s">
        <v>1300</v>
      </c>
    </row>
    <row r="2720" spans="1:9" x14ac:dyDescent="0.2">
      <c r="A2720" s="40" t="s">
        <v>85</v>
      </c>
      <c r="B2720" s="28">
        <v>3236</v>
      </c>
      <c r="C2720" s="28">
        <v>5693049</v>
      </c>
      <c r="D2720" s="28"/>
      <c r="E2720" s="45">
        <v>46172</v>
      </c>
      <c r="F2720" s="48">
        <v>0.1857638888888889</v>
      </c>
      <c r="G2720" s="42">
        <v>6.3</v>
      </c>
      <c r="H2720" s="40" t="s">
        <v>227</v>
      </c>
      <c r="I2720" s="40" t="s">
        <v>1300</v>
      </c>
    </row>
    <row r="2721" spans="1:9" x14ac:dyDescent="0.2">
      <c r="A2721" s="40" t="s">
        <v>85</v>
      </c>
      <c r="B2721" s="28">
        <v>3236</v>
      </c>
      <c r="C2721" s="28" t="s">
        <v>886</v>
      </c>
      <c r="D2721" s="28"/>
      <c r="E2721" s="45">
        <v>46172</v>
      </c>
      <c r="F2721" s="48">
        <v>0.55839120370370365</v>
      </c>
      <c r="G2721" s="44">
        <v>6.3</v>
      </c>
      <c r="H2721" s="43" t="s">
        <v>228</v>
      </c>
      <c r="I2721" s="40" t="s">
        <v>1300</v>
      </c>
    </row>
    <row r="2722" spans="1:9" x14ac:dyDescent="0.2">
      <c r="A2722" s="40" t="s">
        <v>85</v>
      </c>
      <c r="B2722" s="28">
        <v>3236</v>
      </c>
      <c r="C2722" s="28" t="s">
        <v>886</v>
      </c>
      <c r="D2722" s="28"/>
      <c r="E2722" s="41">
        <v>46172</v>
      </c>
      <c r="F2722" s="47">
        <v>0.5685648148148148</v>
      </c>
      <c r="G2722" s="44">
        <v>6.3</v>
      </c>
      <c r="H2722" s="43" t="s">
        <v>229</v>
      </c>
      <c r="I2722" s="40" t="s">
        <v>1300</v>
      </c>
    </row>
    <row r="2723" spans="1:9" x14ac:dyDescent="0.2">
      <c r="A2723" s="40" t="s">
        <v>85</v>
      </c>
      <c r="B2723" s="28">
        <v>3236</v>
      </c>
      <c r="C2723" s="28" t="s">
        <v>35</v>
      </c>
      <c r="D2723" s="28" t="s">
        <v>38</v>
      </c>
      <c r="E2723" s="41">
        <v>46172</v>
      </c>
      <c r="F2723" s="47">
        <v>0.64749999999999996</v>
      </c>
      <c r="G2723" s="44">
        <v>6.3</v>
      </c>
      <c r="H2723" s="43" t="s">
        <v>227</v>
      </c>
      <c r="I2723" s="40" t="s">
        <v>1300</v>
      </c>
    </row>
    <row r="2724" spans="1:9" x14ac:dyDescent="0.2">
      <c r="A2724" s="40" t="s">
        <v>368</v>
      </c>
      <c r="B2724" s="28">
        <v>3242</v>
      </c>
      <c r="C2724" s="28" t="s">
        <v>35</v>
      </c>
      <c r="D2724" s="28" t="s">
        <v>38</v>
      </c>
      <c r="E2724" s="41">
        <v>46167</v>
      </c>
      <c r="F2724" s="47">
        <v>0.51149305555555558</v>
      </c>
      <c r="G2724" s="44">
        <v>6.3</v>
      </c>
      <c r="H2724" s="43" t="s">
        <v>228</v>
      </c>
      <c r="I2724" s="40" t="s">
        <v>1300</v>
      </c>
    </row>
    <row r="2725" spans="1:9" x14ac:dyDescent="0.2">
      <c r="A2725" s="40" t="s">
        <v>368</v>
      </c>
      <c r="B2725" s="28">
        <v>3242</v>
      </c>
      <c r="C2725" s="28" t="s">
        <v>35</v>
      </c>
      <c r="D2725" s="28" t="s">
        <v>38</v>
      </c>
      <c r="E2725" s="41">
        <v>46170</v>
      </c>
      <c r="F2725" s="47">
        <v>0.80312499999999998</v>
      </c>
      <c r="G2725" s="44">
        <v>6.3</v>
      </c>
      <c r="H2725" s="43" t="s">
        <v>229</v>
      </c>
      <c r="I2725" s="40" t="s">
        <v>1300</v>
      </c>
    </row>
    <row r="2726" spans="1:9" x14ac:dyDescent="0.2">
      <c r="A2726" s="40" t="s">
        <v>368</v>
      </c>
      <c r="B2726" s="28">
        <v>3242</v>
      </c>
      <c r="C2726" s="28" t="s">
        <v>35</v>
      </c>
      <c r="D2726" s="28" t="s">
        <v>38</v>
      </c>
      <c r="E2726" s="41">
        <v>46171</v>
      </c>
      <c r="F2726" s="47">
        <v>0.58300925925925928</v>
      </c>
      <c r="G2726" s="44">
        <v>6.3</v>
      </c>
      <c r="H2726" s="43" t="s">
        <v>228</v>
      </c>
      <c r="I2726" s="40" t="s">
        <v>1300</v>
      </c>
    </row>
    <row r="2727" spans="1:9" x14ac:dyDescent="0.2">
      <c r="A2727" s="40" t="s">
        <v>368</v>
      </c>
      <c r="B2727" s="28">
        <v>3242</v>
      </c>
      <c r="C2727" s="28" t="s">
        <v>35</v>
      </c>
      <c r="D2727" s="28" t="s">
        <v>38</v>
      </c>
      <c r="E2727" s="41">
        <v>46171</v>
      </c>
      <c r="F2727" s="47">
        <v>0.75780092592592596</v>
      </c>
      <c r="G2727" s="44">
        <v>6.3</v>
      </c>
      <c r="H2727" s="43" t="s">
        <v>232</v>
      </c>
      <c r="I2727" s="40" t="s">
        <v>1300</v>
      </c>
    </row>
    <row r="2728" spans="1:9" x14ac:dyDescent="0.2">
      <c r="A2728" s="40" t="s">
        <v>368</v>
      </c>
      <c r="B2728" s="28">
        <v>3242</v>
      </c>
      <c r="C2728" s="28" t="s">
        <v>35</v>
      </c>
      <c r="D2728" s="28" t="s">
        <v>38</v>
      </c>
      <c r="E2728" s="41">
        <v>46172</v>
      </c>
      <c r="F2728" s="47">
        <v>0.71557870370370369</v>
      </c>
      <c r="G2728" s="44">
        <v>6.3</v>
      </c>
      <c r="H2728" s="43" t="s">
        <v>231</v>
      </c>
      <c r="I2728" s="40" t="s">
        <v>1300</v>
      </c>
    </row>
    <row r="2729" spans="1:9" x14ac:dyDescent="0.2">
      <c r="A2729" s="40" t="s">
        <v>129</v>
      </c>
      <c r="B2729" s="28">
        <v>3243</v>
      </c>
      <c r="C2729" s="28" t="s">
        <v>35</v>
      </c>
      <c r="D2729" s="28" t="s">
        <v>38</v>
      </c>
      <c r="E2729" s="41">
        <v>46167</v>
      </c>
      <c r="F2729" s="47">
        <v>0.80903935185185183</v>
      </c>
      <c r="G2729" s="44">
        <v>6.3</v>
      </c>
      <c r="H2729" s="43" t="s">
        <v>229</v>
      </c>
      <c r="I2729" s="40" t="s">
        <v>1300</v>
      </c>
    </row>
    <row r="2730" spans="1:9" x14ac:dyDescent="0.2">
      <c r="A2730" s="40" t="s">
        <v>129</v>
      </c>
      <c r="B2730" s="28">
        <v>3243</v>
      </c>
      <c r="C2730" s="28" t="s">
        <v>887</v>
      </c>
      <c r="D2730" s="28"/>
      <c r="E2730" s="41">
        <v>46167</v>
      </c>
      <c r="F2730" s="47">
        <v>0.89696759259259262</v>
      </c>
      <c r="G2730" s="44">
        <v>6.3</v>
      </c>
      <c r="H2730" s="43" t="s">
        <v>226</v>
      </c>
      <c r="I2730" s="40" t="s">
        <v>1300</v>
      </c>
    </row>
    <row r="2731" spans="1:9" x14ac:dyDescent="0.2">
      <c r="A2731" s="40" t="s">
        <v>129</v>
      </c>
      <c r="B2731" s="28">
        <v>3243</v>
      </c>
      <c r="C2731" s="28" t="s">
        <v>887</v>
      </c>
      <c r="D2731" s="28"/>
      <c r="E2731" s="41">
        <v>46167</v>
      </c>
      <c r="F2731" s="47">
        <v>0.90204861111111112</v>
      </c>
      <c r="G2731" s="44">
        <v>6.3</v>
      </c>
      <c r="H2731" s="43" t="s">
        <v>227</v>
      </c>
      <c r="I2731" s="40" t="s">
        <v>1300</v>
      </c>
    </row>
    <row r="2732" spans="1:9" x14ac:dyDescent="0.2">
      <c r="A2732" s="40" t="s">
        <v>129</v>
      </c>
      <c r="B2732" s="28">
        <v>3243</v>
      </c>
      <c r="C2732" s="28">
        <v>5689819</v>
      </c>
      <c r="D2732" s="28"/>
      <c r="E2732" s="45">
        <v>46170</v>
      </c>
      <c r="F2732" s="48">
        <v>0.8279050925925926</v>
      </c>
      <c r="G2732" s="44">
        <v>6.3</v>
      </c>
      <c r="H2732" s="43" t="s">
        <v>228</v>
      </c>
      <c r="I2732" s="40" t="s">
        <v>1300</v>
      </c>
    </row>
    <row r="2733" spans="1:9" x14ac:dyDescent="0.2">
      <c r="A2733" s="40" t="s">
        <v>129</v>
      </c>
      <c r="B2733" s="28">
        <v>3243</v>
      </c>
      <c r="C2733" s="28">
        <v>5689819</v>
      </c>
      <c r="D2733" s="28"/>
      <c r="E2733" s="45">
        <v>46170</v>
      </c>
      <c r="F2733" s="48">
        <v>0.83747685185185183</v>
      </c>
      <c r="G2733" s="44">
        <v>6.3</v>
      </c>
      <c r="H2733" s="43" t="s">
        <v>229</v>
      </c>
      <c r="I2733" s="40" t="s">
        <v>1300</v>
      </c>
    </row>
    <row r="2734" spans="1:9" x14ac:dyDescent="0.2">
      <c r="A2734" s="40" t="s">
        <v>129</v>
      </c>
      <c r="B2734" s="28">
        <v>3243</v>
      </c>
      <c r="C2734" s="28">
        <v>5689867</v>
      </c>
      <c r="D2734" s="28"/>
      <c r="E2734" s="41">
        <v>46170</v>
      </c>
      <c r="F2734" s="47">
        <v>0.9007060185185185</v>
      </c>
      <c r="G2734" s="44">
        <v>6.3</v>
      </c>
      <c r="H2734" s="43" t="s">
        <v>230</v>
      </c>
      <c r="I2734" s="40" t="s">
        <v>1300</v>
      </c>
    </row>
    <row r="2735" spans="1:9" x14ac:dyDescent="0.2">
      <c r="A2735" s="40" t="s">
        <v>129</v>
      </c>
      <c r="B2735" s="28">
        <v>3243</v>
      </c>
      <c r="C2735" s="28">
        <v>5689867</v>
      </c>
      <c r="D2735" s="28"/>
      <c r="E2735" s="41">
        <v>46170</v>
      </c>
      <c r="F2735" s="47">
        <v>0.90584490740740742</v>
      </c>
      <c r="G2735" s="44">
        <v>6.3</v>
      </c>
      <c r="H2735" s="43" t="s">
        <v>227</v>
      </c>
      <c r="I2735" s="40" t="s">
        <v>1300</v>
      </c>
    </row>
    <row r="2736" spans="1:9" x14ac:dyDescent="0.2">
      <c r="A2736" s="40" t="s">
        <v>100</v>
      </c>
      <c r="B2736" s="28">
        <v>3289</v>
      </c>
      <c r="C2736" s="28" t="s">
        <v>888</v>
      </c>
      <c r="D2736" s="28"/>
      <c r="E2736" s="41">
        <v>46167</v>
      </c>
      <c r="F2736" s="47">
        <v>0.64370370370370367</v>
      </c>
      <c r="G2736" s="44">
        <v>6.3</v>
      </c>
      <c r="H2736" s="43" t="s">
        <v>230</v>
      </c>
      <c r="I2736" s="40" t="s">
        <v>1300</v>
      </c>
    </row>
    <row r="2737" spans="1:9" x14ac:dyDescent="0.2">
      <c r="A2737" s="40" t="s">
        <v>100</v>
      </c>
      <c r="B2737" s="28">
        <v>3289</v>
      </c>
      <c r="C2737" s="28" t="s">
        <v>888</v>
      </c>
      <c r="D2737" s="28"/>
      <c r="E2737" s="45">
        <v>46167</v>
      </c>
      <c r="F2737" s="48">
        <v>0.64981481481481485</v>
      </c>
      <c r="G2737" s="44">
        <v>6.3</v>
      </c>
      <c r="H2737" s="43" t="s">
        <v>227</v>
      </c>
      <c r="I2737" s="40" t="s">
        <v>1300</v>
      </c>
    </row>
    <row r="2738" spans="1:9" x14ac:dyDescent="0.2">
      <c r="A2738" s="40" t="s">
        <v>100</v>
      </c>
      <c r="B2738" s="28">
        <v>3289</v>
      </c>
      <c r="C2738" s="28" t="s">
        <v>889</v>
      </c>
      <c r="D2738" s="28"/>
      <c r="E2738" s="41">
        <v>46167</v>
      </c>
      <c r="F2738" s="47">
        <v>0.9051851851851852</v>
      </c>
      <c r="G2738" s="44">
        <v>6.3</v>
      </c>
      <c r="H2738" s="43" t="s">
        <v>228</v>
      </c>
      <c r="I2738" s="40" t="s">
        <v>1300</v>
      </c>
    </row>
    <row r="2739" spans="1:9" x14ac:dyDescent="0.2">
      <c r="A2739" s="40" t="s">
        <v>100</v>
      </c>
      <c r="B2739" s="28">
        <v>3289</v>
      </c>
      <c r="C2739" s="28" t="s">
        <v>889</v>
      </c>
      <c r="D2739" s="28"/>
      <c r="E2739" s="41">
        <v>46167</v>
      </c>
      <c r="F2739" s="47">
        <v>0.91233796296296299</v>
      </c>
      <c r="G2739" s="44">
        <v>6.3</v>
      </c>
      <c r="H2739" s="43" t="s">
        <v>229</v>
      </c>
      <c r="I2739" s="40" t="s">
        <v>1300</v>
      </c>
    </row>
    <row r="2740" spans="1:9" x14ac:dyDescent="0.2">
      <c r="A2740" s="40" t="s">
        <v>100</v>
      </c>
      <c r="B2740" s="28">
        <v>3289</v>
      </c>
      <c r="C2740" s="28" t="s">
        <v>890</v>
      </c>
      <c r="D2740" s="28"/>
      <c r="E2740" s="41">
        <v>46168</v>
      </c>
      <c r="F2740" s="47">
        <v>0.85275462962962967</v>
      </c>
      <c r="G2740" s="44">
        <v>6.3</v>
      </c>
      <c r="H2740" s="43" t="s">
        <v>228</v>
      </c>
      <c r="I2740" s="40" t="s">
        <v>1300</v>
      </c>
    </row>
    <row r="2741" spans="1:9" x14ac:dyDescent="0.2">
      <c r="A2741" s="40" t="s">
        <v>100</v>
      </c>
      <c r="B2741" s="28">
        <v>3289</v>
      </c>
      <c r="C2741" s="28" t="s">
        <v>890</v>
      </c>
      <c r="D2741" s="28"/>
      <c r="E2741" s="45">
        <v>46168</v>
      </c>
      <c r="F2741" s="48">
        <v>0.86098379629629629</v>
      </c>
      <c r="G2741" s="44">
        <v>6.3</v>
      </c>
      <c r="H2741" s="43" t="s">
        <v>229</v>
      </c>
      <c r="I2741" s="40" t="s">
        <v>1300</v>
      </c>
    </row>
    <row r="2742" spans="1:9" x14ac:dyDescent="0.2">
      <c r="A2742" s="40" t="s">
        <v>100</v>
      </c>
      <c r="B2742" s="28">
        <v>3289</v>
      </c>
      <c r="C2742" s="28" t="s">
        <v>891</v>
      </c>
      <c r="D2742" s="28"/>
      <c r="E2742" s="41">
        <v>46169</v>
      </c>
      <c r="F2742" s="47">
        <v>0.71334490740740741</v>
      </c>
      <c r="G2742" s="44">
        <v>6.3</v>
      </c>
      <c r="H2742" s="43" t="s">
        <v>230</v>
      </c>
      <c r="I2742" s="40" t="s">
        <v>1300</v>
      </c>
    </row>
    <row r="2743" spans="1:9" x14ac:dyDescent="0.2">
      <c r="A2743" s="40" t="s">
        <v>100</v>
      </c>
      <c r="B2743" s="28">
        <v>3289</v>
      </c>
      <c r="C2743" s="28" t="s">
        <v>891</v>
      </c>
      <c r="D2743" s="28"/>
      <c r="E2743" s="41">
        <v>46169</v>
      </c>
      <c r="F2743" s="47">
        <v>0.7255787037037037</v>
      </c>
      <c r="G2743" s="44">
        <v>6.3</v>
      </c>
      <c r="H2743" s="43" t="s">
        <v>227</v>
      </c>
      <c r="I2743" s="40" t="s">
        <v>1300</v>
      </c>
    </row>
    <row r="2744" spans="1:9" x14ac:dyDescent="0.2">
      <c r="A2744" s="40" t="s">
        <v>100</v>
      </c>
      <c r="B2744" s="28">
        <v>3289</v>
      </c>
      <c r="C2744" s="28" t="s">
        <v>892</v>
      </c>
      <c r="D2744" s="28"/>
      <c r="E2744" s="41">
        <v>46169</v>
      </c>
      <c r="F2744" s="47">
        <v>0.80858796296296298</v>
      </c>
      <c r="G2744" s="44">
        <v>6.3</v>
      </c>
      <c r="H2744" s="43" t="s">
        <v>228</v>
      </c>
      <c r="I2744" s="40" t="s">
        <v>1300</v>
      </c>
    </row>
    <row r="2745" spans="1:9" x14ac:dyDescent="0.2">
      <c r="A2745" s="40" t="s">
        <v>100</v>
      </c>
      <c r="B2745" s="28">
        <v>3289</v>
      </c>
      <c r="C2745" s="28" t="s">
        <v>893</v>
      </c>
      <c r="D2745" s="28"/>
      <c r="E2745" s="45">
        <v>46169</v>
      </c>
      <c r="F2745" s="48">
        <v>0.99258101851851854</v>
      </c>
      <c r="G2745" s="44">
        <v>6.3</v>
      </c>
      <c r="H2745" s="43" t="s">
        <v>228</v>
      </c>
      <c r="I2745" s="40" t="s">
        <v>1300</v>
      </c>
    </row>
    <row r="2746" spans="1:9" x14ac:dyDescent="0.2">
      <c r="A2746" s="40" t="s">
        <v>100</v>
      </c>
      <c r="B2746" s="28">
        <v>3289</v>
      </c>
      <c r="C2746" s="28" t="s">
        <v>893</v>
      </c>
      <c r="D2746" s="28"/>
      <c r="E2746" s="41">
        <v>46169</v>
      </c>
      <c r="F2746" s="47">
        <v>0.99872685185185184</v>
      </c>
      <c r="G2746" s="44">
        <v>6.3</v>
      </c>
      <c r="H2746" s="43" t="s">
        <v>232</v>
      </c>
      <c r="I2746" s="40" t="s">
        <v>1300</v>
      </c>
    </row>
    <row r="2747" spans="1:9" x14ac:dyDescent="0.2">
      <c r="A2747" s="40" t="s">
        <v>100</v>
      </c>
      <c r="B2747" s="28">
        <v>3289</v>
      </c>
      <c r="C2747" s="28" t="s">
        <v>894</v>
      </c>
      <c r="D2747" s="28"/>
      <c r="E2747" s="41">
        <v>46170</v>
      </c>
      <c r="F2747" s="47">
        <v>0.94298611111111108</v>
      </c>
      <c r="G2747" s="44">
        <v>6.3</v>
      </c>
      <c r="H2747" s="43" t="s">
        <v>228</v>
      </c>
      <c r="I2747" s="40" t="s">
        <v>1300</v>
      </c>
    </row>
    <row r="2748" spans="1:9" x14ac:dyDescent="0.2">
      <c r="A2748" s="40" t="s">
        <v>100</v>
      </c>
      <c r="B2748" s="28">
        <v>3289</v>
      </c>
      <c r="C2748" s="28" t="s">
        <v>894</v>
      </c>
      <c r="D2748" s="28"/>
      <c r="E2748" s="41">
        <v>46170</v>
      </c>
      <c r="F2748" s="47">
        <v>0.95011574074074079</v>
      </c>
      <c r="G2748" s="42">
        <v>6.3</v>
      </c>
      <c r="H2748" s="40" t="s">
        <v>229</v>
      </c>
      <c r="I2748" s="40" t="s">
        <v>1300</v>
      </c>
    </row>
    <row r="2749" spans="1:9" x14ac:dyDescent="0.2">
      <c r="A2749" s="40" t="s">
        <v>100</v>
      </c>
      <c r="B2749" s="28">
        <v>3289</v>
      </c>
      <c r="C2749" s="28" t="s">
        <v>895</v>
      </c>
      <c r="D2749" s="28"/>
      <c r="E2749" s="45">
        <v>46171</v>
      </c>
      <c r="F2749" s="48">
        <v>0.70959490740740738</v>
      </c>
      <c r="G2749" s="44">
        <v>6.3</v>
      </c>
      <c r="H2749" s="43" t="s">
        <v>230</v>
      </c>
      <c r="I2749" s="40" t="s">
        <v>1300</v>
      </c>
    </row>
    <row r="2750" spans="1:9" x14ac:dyDescent="0.2">
      <c r="A2750" s="40" t="s">
        <v>100</v>
      </c>
      <c r="B2750" s="28">
        <v>3289</v>
      </c>
      <c r="C2750" s="28" t="s">
        <v>896</v>
      </c>
      <c r="D2750" s="28"/>
      <c r="E2750" s="41">
        <v>46171</v>
      </c>
      <c r="F2750" s="47">
        <v>0.89868055555555559</v>
      </c>
      <c r="G2750" s="44">
        <v>6.3</v>
      </c>
      <c r="H2750" s="43" t="s">
        <v>228</v>
      </c>
      <c r="I2750" s="40" t="s">
        <v>1300</v>
      </c>
    </row>
    <row r="2751" spans="1:9" x14ac:dyDescent="0.2">
      <c r="A2751" s="40" t="s">
        <v>100</v>
      </c>
      <c r="B2751" s="28">
        <v>3289</v>
      </c>
      <c r="C2751" s="28" t="s">
        <v>897</v>
      </c>
      <c r="D2751" s="28"/>
      <c r="E2751" s="45">
        <v>46172</v>
      </c>
      <c r="F2751" s="48">
        <v>0.77348379629629627</v>
      </c>
      <c r="G2751" s="44">
        <v>6.3</v>
      </c>
      <c r="H2751" s="43" t="s">
        <v>228</v>
      </c>
      <c r="I2751" s="40" t="s">
        <v>1300</v>
      </c>
    </row>
    <row r="2752" spans="1:9" x14ac:dyDescent="0.2">
      <c r="A2752" s="40" t="s">
        <v>100</v>
      </c>
      <c r="B2752" s="28">
        <v>3289</v>
      </c>
      <c r="C2752" s="28" t="s">
        <v>897</v>
      </c>
      <c r="D2752" s="28"/>
      <c r="E2752" s="41">
        <v>46172</v>
      </c>
      <c r="F2752" s="47">
        <v>0.78226851851851853</v>
      </c>
      <c r="G2752" s="44">
        <v>6.3</v>
      </c>
      <c r="H2752" s="43" t="s">
        <v>229</v>
      </c>
      <c r="I2752" s="40" t="s">
        <v>1300</v>
      </c>
    </row>
    <row r="2753" spans="1:9" x14ac:dyDescent="0.2">
      <c r="A2753" s="40" t="s">
        <v>100</v>
      </c>
      <c r="B2753" s="28">
        <v>3289</v>
      </c>
      <c r="C2753" s="28" t="s">
        <v>898</v>
      </c>
      <c r="D2753" s="28"/>
      <c r="E2753" s="45">
        <v>46172</v>
      </c>
      <c r="F2753" s="48">
        <v>0.9045023148148148</v>
      </c>
      <c r="G2753" s="44">
        <v>6.3</v>
      </c>
      <c r="H2753" s="43" t="s">
        <v>230</v>
      </c>
      <c r="I2753" s="40" t="s">
        <v>1300</v>
      </c>
    </row>
    <row r="2754" spans="1:9" x14ac:dyDescent="0.2">
      <c r="A2754" s="40" t="s">
        <v>100</v>
      </c>
      <c r="B2754" s="28">
        <v>3289</v>
      </c>
      <c r="C2754" s="28" t="s">
        <v>898</v>
      </c>
      <c r="D2754" s="28"/>
      <c r="E2754" s="41">
        <v>46172</v>
      </c>
      <c r="F2754" s="47">
        <v>0.90993055555555558</v>
      </c>
      <c r="G2754" s="44">
        <v>6.3</v>
      </c>
      <c r="H2754" s="43" t="s">
        <v>227</v>
      </c>
      <c r="I2754" s="40" t="s">
        <v>1300</v>
      </c>
    </row>
    <row r="2755" spans="1:9" x14ac:dyDescent="0.2">
      <c r="A2755" s="40" t="s">
        <v>100</v>
      </c>
      <c r="B2755" s="28">
        <v>3289</v>
      </c>
      <c r="C2755" s="28" t="s">
        <v>899</v>
      </c>
      <c r="D2755" s="28"/>
      <c r="E2755" s="41">
        <v>46172</v>
      </c>
      <c r="F2755" s="47">
        <v>0.97129629629629632</v>
      </c>
      <c r="G2755" s="44">
        <v>6.3</v>
      </c>
      <c r="H2755" s="43" t="s">
        <v>228</v>
      </c>
      <c r="I2755" s="40" t="s">
        <v>1300</v>
      </c>
    </row>
    <row r="2756" spans="1:9" x14ac:dyDescent="0.2">
      <c r="A2756" s="40" t="s">
        <v>100</v>
      </c>
      <c r="B2756" s="28">
        <v>3289</v>
      </c>
      <c r="C2756" s="28" t="s">
        <v>899</v>
      </c>
      <c r="D2756" s="28"/>
      <c r="E2756" s="41">
        <v>46172</v>
      </c>
      <c r="F2756" s="47">
        <v>0.97832175925925924</v>
      </c>
      <c r="G2756" s="42">
        <v>6.3</v>
      </c>
      <c r="H2756" s="40" t="s">
        <v>229</v>
      </c>
      <c r="I2756" s="40" t="s">
        <v>1300</v>
      </c>
    </row>
    <row r="2757" spans="1:9" x14ac:dyDescent="0.2">
      <c r="A2757" s="40" t="s">
        <v>100</v>
      </c>
      <c r="B2757" s="28">
        <v>3289</v>
      </c>
      <c r="C2757" s="28" t="s">
        <v>900</v>
      </c>
      <c r="D2757" s="28"/>
      <c r="E2757" s="41">
        <v>46173</v>
      </c>
      <c r="F2757" s="47">
        <v>0.60815972222222225</v>
      </c>
      <c r="G2757" s="42">
        <v>6.3</v>
      </c>
      <c r="H2757" s="40" t="s">
        <v>230</v>
      </c>
      <c r="I2757" s="40" t="s">
        <v>1300</v>
      </c>
    </row>
    <row r="2758" spans="1:9" x14ac:dyDescent="0.2">
      <c r="A2758" s="40" t="s">
        <v>100</v>
      </c>
      <c r="B2758" s="28">
        <v>3289</v>
      </c>
      <c r="C2758" s="28" t="s">
        <v>900</v>
      </c>
      <c r="D2758" s="28"/>
      <c r="E2758" s="41">
        <v>46173</v>
      </c>
      <c r="F2758" s="47">
        <v>0.61327546296296298</v>
      </c>
      <c r="G2758" s="44">
        <v>6.3</v>
      </c>
      <c r="H2758" s="43" t="s">
        <v>227</v>
      </c>
      <c r="I2758" s="40" t="s">
        <v>1300</v>
      </c>
    </row>
    <row r="2759" spans="1:9" x14ac:dyDescent="0.2">
      <c r="A2759" s="40" t="s">
        <v>100</v>
      </c>
      <c r="B2759" s="28">
        <v>3289</v>
      </c>
      <c r="C2759" s="28" t="s">
        <v>901</v>
      </c>
      <c r="D2759" s="28"/>
      <c r="E2759" s="41">
        <v>46173</v>
      </c>
      <c r="F2759" s="47">
        <v>0.87737268518518519</v>
      </c>
      <c r="G2759" s="44">
        <v>6.3</v>
      </c>
      <c r="H2759" s="43" t="s">
        <v>228</v>
      </c>
      <c r="I2759" s="40" t="s">
        <v>1300</v>
      </c>
    </row>
    <row r="2760" spans="1:9" x14ac:dyDescent="0.2">
      <c r="A2760" s="40" t="s">
        <v>101</v>
      </c>
      <c r="B2760" s="28">
        <v>3309</v>
      </c>
      <c r="C2760" s="28">
        <v>10736211</v>
      </c>
      <c r="D2760" s="28"/>
      <c r="E2760" s="41">
        <v>46167</v>
      </c>
      <c r="F2760" s="47">
        <v>0.58870370370370373</v>
      </c>
      <c r="G2760" s="44">
        <v>6.3</v>
      </c>
      <c r="H2760" s="43" t="s">
        <v>228</v>
      </c>
      <c r="I2760" s="40" t="s">
        <v>1300</v>
      </c>
    </row>
    <row r="2761" spans="1:9" x14ac:dyDescent="0.2">
      <c r="A2761" s="40" t="s">
        <v>101</v>
      </c>
      <c r="B2761" s="28">
        <v>3309</v>
      </c>
      <c r="C2761" s="28">
        <v>10736211</v>
      </c>
      <c r="D2761" s="28"/>
      <c r="E2761" s="45">
        <v>46167</v>
      </c>
      <c r="F2761" s="48">
        <v>0.59946759259259264</v>
      </c>
      <c r="G2761" s="44">
        <v>6.3</v>
      </c>
      <c r="H2761" s="43" t="s">
        <v>229</v>
      </c>
      <c r="I2761" s="40" t="s">
        <v>1300</v>
      </c>
    </row>
    <row r="2762" spans="1:9" x14ac:dyDescent="0.2">
      <c r="A2762" s="40" t="s">
        <v>101</v>
      </c>
      <c r="B2762" s="28">
        <v>3309</v>
      </c>
      <c r="C2762" s="28" t="s">
        <v>902</v>
      </c>
      <c r="D2762" s="28"/>
      <c r="E2762" s="41">
        <v>46167</v>
      </c>
      <c r="F2762" s="47">
        <v>0.81269675925925922</v>
      </c>
      <c r="G2762" s="44">
        <v>6.3</v>
      </c>
      <c r="H2762" s="43" t="s">
        <v>226</v>
      </c>
      <c r="I2762" s="40" t="s">
        <v>1300</v>
      </c>
    </row>
    <row r="2763" spans="1:9" x14ac:dyDescent="0.2">
      <c r="A2763" s="40" t="s">
        <v>101</v>
      </c>
      <c r="B2763" s="28">
        <v>3309</v>
      </c>
      <c r="C2763" s="28" t="s">
        <v>902</v>
      </c>
      <c r="D2763" s="28"/>
      <c r="E2763" s="41">
        <v>46167</v>
      </c>
      <c r="F2763" s="47">
        <v>0.82960648148148153</v>
      </c>
      <c r="G2763" s="44">
        <v>6.3</v>
      </c>
      <c r="H2763" s="43" t="s">
        <v>227</v>
      </c>
      <c r="I2763" s="40" t="s">
        <v>1300</v>
      </c>
    </row>
    <row r="2764" spans="1:9" x14ac:dyDescent="0.2">
      <c r="A2764" s="40" t="s">
        <v>101</v>
      </c>
      <c r="B2764" s="28">
        <v>3309</v>
      </c>
      <c r="C2764" s="28">
        <v>10757459</v>
      </c>
      <c r="D2764" s="28"/>
      <c r="E2764" s="41">
        <v>46169</v>
      </c>
      <c r="F2764" s="47">
        <v>0.61626157407407411</v>
      </c>
      <c r="G2764" s="42">
        <v>6.3</v>
      </c>
      <c r="H2764" s="40" t="s">
        <v>228</v>
      </c>
      <c r="I2764" s="40" t="s">
        <v>1300</v>
      </c>
    </row>
    <row r="2765" spans="1:9" x14ac:dyDescent="0.2">
      <c r="A2765" s="40" t="s">
        <v>101</v>
      </c>
      <c r="B2765" s="28">
        <v>3309</v>
      </c>
      <c r="C2765" s="28">
        <v>10757459</v>
      </c>
      <c r="D2765" s="28"/>
      <c r="E2765" s="41">
        <v>46169</v>
      </c>
      <c r="F2765" s="47">
        <v>0.63244212962962965</v>
      </c>
      <c r="G2765" s="42">
        <v>6.3</v>
      </c>
      <c r="H2765" s="40" t="s">
        <v>232</v>
      </c>
      <c r="I2765" s="40" t="s">
        <v>1300</v>
      </c>
    </row>
    <row r="2766" spans="1:9" x14ac:dyDescent="0.2">
      <c r="A2766" s="40" t="s">
        <v>101</v>
      </c>
      <c r="B2766" s="28">
        <v>3309</v>
      </c>
      <c r="C2766" s="28" t="s">
        <v>903</v>
      </c>
      <c r="D2766" s="28"/>
      <c r="E2766" s="41">
        <v>46169</v>
      </c>
      <c r="F2766" s="47">
        <v>0.82174768518518515</v>
      </c>
      <c r="G2766" s="42">
        <v>6.3</v>
      </c>
      <c r="H2766" s="40" t="s">
        <v>226</v>
      </c>
      <c r="I2766" s="40" t="s">
        <v>1300</v>
      </c>
    </row>
    <row r="2767" spans="1:9" x14ac:dyDescent="0.2">
      <c r="A2767" s="40" t="s">
        <v>101</v>
      </c>
      <c r="B2767" s="28">
        <v>3309</v>
      </c>
      <c r="C2767" s="28" t="s">
        <v>903</v>
      </c>
      <c r="D2767" s="28"/>
      <c r="E2767" s="41">
        <v>46169</v>
      </c>
      <c r="F2767" s="47">
        <v>0.84241898148148153</v>
      </c>
      <c r="G2767" s="44">
        <v>6.3</v>
      </c>
      <c r="H2767" s="43" t="s">
        <v>227</v>
      </c>
      <c r="I2767" s="40" t="s">
        <v>1300</v>
      </c>
    </row>
    <row r="2768" spans="1:9" x14ac:dyDescent="0.2">
      <c r="A2768" s="40" t="s">
        <v>101</v>
      </c>
      <c r="B2768" s="28">
        <v>3309</v>
      </c>
      <c r="C2768" s="28" t="s">
        <v>904</v>
      </c>
      <c r="D2768" s="28"/>
      <c r="E2768" s="45">
        <v>46172</v>
      </c>
      <c r="F2768" s="48">
        <v>0.81696759259259255</v>
      </c>
      <c r="G2768" s="44">
        <v>6.3</v>
      </c>
      <c r="H2768" s="43" t="s">
        <v>226</v>
      </c>
      <c r="I2768" s="40" t="s">
        <v>1300</v>
      </c>
    </row>
    <row r="2769" spans="1:9" x14ac:dyDescent="0.2">
      <c r="A2769" s="40" t="s">
        <v>101</v>
      </c>
      <c r="B2769" s="28">
        <v>3309</v>
      </c>
      <c r="C2769" s="28" t="s">
        <v>904</v>
      </c>
      <c r="D2769" s="28"/>
      <c r="E2769" s="41">
        <v>46172</v>
      </c>
      <c r="F2769" s="47">
        <v>0.82425925925925925</v>
      </c>
      <c r="G2769" s="44">
        <v>6.3</v>
      </c>
      <c r="H2769" s="43" t="s">
        <v>227</v>
      </c>
      <c r="I2769" s="40" t="s">
        <v>1300</v>
      </c>
    </row>
    <row r="2770" spans="1:9" x14ac:dyDescent="0.2">
      <c r="A2770" s="40" t="s">
        <v>101</v>
      </c>
      <c r="B2770" s="28">
        <v>3309</v>
      </c>
      <c r="C2770" s="28">
        <v>5694668</v>
      </c>
      <c r="D2770" s="28"/>
      <c r="E2770" s="41">
        <v>46173</v>
      </c>
      <c r="F2770" s="47">
        <v>0.63898148148148148</v>
      </c>
      <c r="G2770" s="44">
        <v>6.3</v>
      </c>
      <c r="H2770" s="43" t="s">
        <v>228</v>
      </c>
      <c r="I2770" s="40" t="s">
        <v>1300</v>
      </c>
    </row>
    <row r="2771" spans="1:9" x14ac:dyDescent="0.2">
      <c r="A2771" s="40" t="s">
        <v>101</v>
      </c>
      <c r="B2771" s="28">
        <v>3309</v>
      </c>
      <c r="C2771" s="28" t="s">
        <v>905</v>
      </c>
      <c r="D2771" s="28"/>
      <c r="E2771" s="41">
        <v>46173</v>
      </c>
      <c r="F2771" s="47">
        <v>0.82231481481481483</v>
      </c>
      <c r="G2771" s="42">
        <v>6.3</v>
      </c>
      <c r="H2771" s="40" t="s">
        <v>226</v>
      </c>
      <c r="I2771" s="40" t="s">
        <v>1300</v>
      </c>
    </row>
    <row r="2772" spans="1:9" x14ac:dyDescent="0.2">
      <c r="A2772" s="40" t="s">
        <v>101</v>
      </c>
      <c r="B2772" s="28">
        <v>3309</v>
      </c>
      <c r="C2772" s="28" t="s">
        <v>905</v>
      </c>
      <c r="D2772" s="28"/>
      <c r="E2772" s="41">
        <v>46173</v>
      </c>
      <c r="F2772" s="47">
        <v>0.82799768518518524</v>
      </c>
      <c r="G2772" s="42">
        <v>6.3</v>
      </c>
      <c r="H2772" s="40" t="s">
        <v>227</v>
      </c>
      <c r="I2772" s="40" t="s">
        <v>1300</v>
      </c>
    </row>
    <row r="2773" spans="1:9" x14ac:dyDescent="0.2">
      <c r="A2773" s="40" t="s">
        <v>429</v>
      </c>
      <c r="B2773" s="28">
        <v>3335</v>
      </c>
      <c r="C2773" s="28" t="s">
        <v>906</v>
      </c>
      <c r="D2773" s="28"/>
      <c r="E2773" s="41">
        <v>46168</v>
      </c>
      <c r="F2773" s="47">
        <v>0.36288194444444444</v>
      </c>
      <c r="G2773" s="44">
        <v>6.3</v>
      </c>
      <c r="H2773" s="43" t="s">
        <v>228</v>
      </c>
      <c r="I2773" s="40" t="s">
        <v>1300</v>
      </c>
    </row>
    <row r="2774" spans="1:9" x14ac:dyDescent="0.2">
      <c r="A2774" s="40" t="s">
        <v>429</v>
      </c>
      <c r="B2774" s="28">
        <v>3335</v>
      </c>
      <c r="C2774" s="28" t="s">
        <v>906</v>
      </c>
      <c r="D2774" s="28"/>
      <c r="E2774" s="41">
        <v>46168</v>
      </c>
      <c r="F2774" s="47">
        <v>0.37828703703703703</v>
      </c>
      <c r="G2774" s="44">
        <v>6.3</v>
      </c>
      <c r="H2774" s="43" t="s">
        <v>229</v>
      </c>
      <c r="I2774" s="40" t="s">
        <v>1300</v>
      </c>
    </row>
    <row r="2775" spans="1:9" x14ac:dyDescent="0.2">
      <c r="A2775" s="40" t="s">
        <v>429</v>
      </c>
      <c r="B2775" s="28">
        <v>3335</v>
      </c>
      <c r="C2775" s="28" t="s">
        <v>907</v>
      </c>
      <c r="D2775" s="28"/>
      <c r="E2775" s="41">
        <v>46168</v>
      </c>
      <c r="F2775" s="47">
        <v>0.44339120370370372</v>
      </c>
      <c r="G2775" s="44">
        <v>6.3</v>
      </c>
      <c r="H2775" s="43" t="s">
        <v>226</v>
      </c>
      <c r="I2775" s="40" t="s">
        <v>1300</v>
      </c>
    </row>
    <row r="2776" spans="1:9" x14ac:dyDescent="0.2">
      <c r="A2776" s="40" t="s">
        <v>429</v>
      </c>
      <c r="B2776" s="28">
        <v>3335</v>
      </c>
      <c r="C2776" s="28" t="s">
        <v>907</v>
      </c>
      <c r="D2776" s="28"/>
      <c r="E2776" s="41">
        <v>46168</v>
      </c>
      <c r="F2776" s="47">
        <v>0.45795138888888887</v>
      </c>
      <c r="G2776" s="44">
        <v>6.3</v>
      </c>
      <c r="H2776" s="43" t="s">
        <v>227</v>
      </c>
      <c r="I2776" s="40" t="s">
        <v>1300</v>
      </c>
    </row>
    <row r="2777" spans="1:9" x14ac:dyDescent="0.2">
      <c r="A2777" s="40" t="s">
        <v>429</v>
      </c>
      <c r="B2777" s="28">
        <v>3335</v>
      </c>
      <c r="C2777" s="28" t="s">
        <v>908</v>
      </c>
      <c r="D2777" s="28"/>
      <c r="E2777" s="41">
        <v>46169</v>
      </c>
      <c r="F2777" s="47">
        <v>0.42442129629629627</v>
      </c>
      <c r="G2777" s="44">
        <v>6.3</v>
      </c>
      <c r="H2777" s="43" t="s">
        <v>229</v>
      </c>
      <c r="I2777" s="40" t="s">
        <v>1300</v>
      </c>
    </row>
    <row r="2778" spans="1:9" x14ac:dyDescent="0.2">
      <c r="A2778" s="40" t="s">
        <v>429</v>
      </c>
      <c r="B2778" s="28">
        <v>3335</v>
      </c>
      <c r="C2778" s="28" t="s">
        <v>909</v>
      </c>
      <c r="D2778" s="28"/>
      <c r="E2778" s="41">
        <v>46170</v>
      </c>
      <c r="F2778" s="47">
        <v>0.3258564814814815</v>
      </c>
      <c r="G2778" s="44">
        <v>6.3</v>
      </c>
      <c r="H2778" s="43" t="s">
        <v>228</v>
      </c>
      <c r="I2778" s="40" t="s">
        <v>1300</v>
      </c>
    </row>
    <row r="2779" spans="1:9" x14ac:dyDescent="0.2">
      <c r="A2779" s="40" t="s">
        <v>429</v>
      </c>
      <c r="B2779" s="28">
        <v>3335</v>
      </c>
      <c r="C2779" s="28" t="s">
        <v>909</v>
      </c>
      <c r="D2779" s="28"/>
      <c r="E2779" s="41">
        <v>46170</v>
      </c>
      <c r="F2779" s="47">
        <v>0.33864583333333331</v>
      </c>
      <c r="G2779" s="44">
        <v>6.3</v>
      </c>
      <c r="H2779" s="43" t="s">
        <v>229</v>
      </c>
      <c r="I2779" s="40" t="s">
        <v>1300</v>
      </c>
    </row>
    <row r="2780" spans="1:9" x14ac:dyDescent="0.2">
      <c r="A2780" s="40" t="s">
        <v>429</v>
      </c>
      <c r="B2780" s="28">
        <v>3335</v>
      </c>
      <c r="C2780" s="28" t="s">
        <v>910</v>
      </c>
      <c r="D2780" s="28"/>
      <c r="E2780" s="41">
        <v>46170</v>
      </c>
      <c r="F2780" s="47">
        <v>0.3900925925925926</v>
      </c>
      <c r="G2780" s="44">
        <v>6.3</v>
      </c>
      <c r="H2780" s="43" t="s">
        <v>230</v>
      </c>
      <c r="I2780" s="40" t="s">
        <v>1300</v>
      </c>
    </row>
    <row r="2781" spans="1:9" x14ac:dyDescent="0.2">
      <c r="A2781" s="40" t="s">
        <v>429</v>
      </c>
      <c r="B2781" s="28">
        <v>3335</v>
      </c>
      <c r="C2781" s="28" t="s">
        <v>910</v>
      </c>
      <c r="D2781" s="28"/>
      <c r="E2781" s="41">
        <v>46170</v>
      </c>
      <c r="F2781" s="47">
        <v>0.3971527777777778</v>
      </c>
      <c r="G2781" s="44">
        <v>6.3</v>
      </c>
      <c r="H2781" s="43" t="s">
        <v>227</v>
      </c>
      <c r="I2781" s="40" t="s">
        <v>1300</v>
      </c>
    </row>
    <row r="2782" spans="1:9" x14ac:dyDescent="0.2">
      <c r="A2782" s="40" t="s">
        <v>429</v>
      </c>
      <c r="B2782" s="28">
        <v>3335</v>
      </c>
      <c r="C2782" s="28" t="s">
        <v>911</v>
      </c>
      <c r="D2782" s="28"/>
      <c r="E2782" s="41">
        <v>46170</v>
      </c>
      <c r="F2782" s="47">
        <v>0.49494212962962963</v>
      </c>
      <c r="G2782" s="44">
        <v>6.3</v>
      </c>
      <c r="H2782" s="43" t="s">
        <v>228</v>
      </c>
      <c r="I2782" s="40" t="s">
        <v>1300</v>
      </c>
    </row>
    <row r="2783" spans="1:9" x14ac:dyDescent="0.2">
      <c r="A2783" s="40" t="s">
        <v>429</v>
      </c>
      <c r="B2783" s="28">
        <v>3335</v>
      </c>
      <c r="C2783" s="28" t="s">
        <v>911</v>
      </c>
      <c r="D2783" s="28"/>
      <c r="E2783" s="41">
        <v>46170</v>
      </c>
      <c r="F2783" s="47">
        <v>0.50556712962962957</v>
      </c>
      <c r="G2783" s="44">
        <v>6.3</v>
      </c>
      <c r="H2783" s="43" t="s">
        <v>229</v>
      </c>
      <c r="I2783" s="40" t="s">
        <v>1300</v>
      </c>
    </row>
    <row r="2784" spans="1:9" x14ac:dyDescent="0.2">
      <c r="A2784" s="40" t="s">
        <v>429</v>
      </c>
      <c r="B2784" s="28">
        <v>3335</v>
      </c>
      <c r="C2784" s="28" t="s">
        <v>912</v>
      </c>
      <c r="D2784" s="28"/>
      <c r="E2784" s="41">
        <v>46170</v>
      </c>
      <c r="F2784" s="47">
        <v>0.61233796296296295</v>
      </c>
      <c r="G2784" s="44">
        <v>6.3</v>
      </c>
      <c r="H2784" s="43" t="s">
        <v>230</v>
      </c>
      <c r="I2784" s="40" t="s">
        <v>1300</v>
      </c>
    </row>
    <row r="2785" spans="1:9" x14ac:dyDescent="0.2">
      <c r="A2785" s="40" t="s">
        <v>429</v>
      </c>
      <c r="B2785" s="28">
        <v>3335</v>
      </c>
      <c r="C2785" s="28" t="s">
        <v>912</v>
      </c>
      <c r="D2785" s="28"/>
      <c r="E2785" s="45">
        <v>46170</v>
      </c>
      <c r="F2785" s="48">
        <v>0.61798611111111112</v>
      </c>
      <c r="G2785" s="42">
        <v>6.3</v>
      </c>
      <c r="H2785" s="40" t="s">
        <v>227</v>
      </c>
      <c r="I2785" s="40" t="s">
        <v>1300</v>
      </c>
    </row>
    <row r="2786" spans="1:9" x14ac:dyDescent="0.2">
      <c r="A2786" s="40" t="s">
        <v>429</v>
      </c>
      <c r="B2786" s="28">
        <v>3335</v>
      </c>
      <c r="C2786" s="28" t="s">
        <v>913</v>
      </c>
      <c r="D2786" s="28"/>
      <c r="E2786" s="45">
        <v>46171</v>
      </c>
      <c r="F2786" s="48">
        <v>0.32534722222222223</v>
      </c>
      <c r="G2786" s="42">
        <v>6.3</v>
      </c>
      <c r="H2786" s="40" t="s">
        <v>228</v>
      </c>
      <c r="I2786" s="40" t="s">
        <v>1300</v>
      </c>
    </row>
    <row r="2787" spans="1:9" x14ac:dyDescent="0.2">
      <c r="A2787" s="40" t="s">
        <v>429</v>
      </c>
      <c r="B2787" s="28">
        <v>3335</v>
      </c>
      <c r="C2787" s="28" t="s">
        <v>913</v>
      </c>
      <c r="D2787" s="28"/>
      <c r="E2787" s="45">
        <v>46171</v>
      </c>
      <c r="F2787" s="48">
        <v>0.33761574074074074</v>
      </c>
      <c r="G2787" s="44">
        <v>6.3</v>
      </c>
      <c r="H2787" s="43" t="s">
        <v>229</v>
      </c>
      <c r="I2787" s="40" t="s">
        <v>1300</v>
      </c>
    </row>
    <row r="2788" spans="1:9" x14ac:dyDescent="0.2">
      <c r="A2788" s="40" t="s">
        <v>429</v>
      </c>
      <c r="B2788" s="28">
        <v>3335</v>
      </c>
      <c r="C2788" s="28" t="s">
        <v>914</v>
      </c>
      <c r="D2788" s="28"/>
      <c r="E2788" s="41">
        <v>46171</v>
      </c>
      <c r="F2788" s="47">
        <v>0.3948726851851852</v>
      </c>
      <c r="G2788" s="44">
        <v>6.3</v>
      </c>
      <c r="H2788" s="43" t="s">
        <v>227</v>
      </c>
      <c r="I2788" s="40" t="s">
        <v>1300</v>
      </c>
    </row>
    <row r="2789" spans="1:9" x14ac:dyDescent="0.2">
      <c r="A2789" s="40" t="s">
        <v>429</v>
      </c>
      <c r="B2789" s="28">
        <v>3335</v>
      </c>
      <c r="C2789" s="28" t="s">
        <v>915</v>
      </c>
      <c r="D2789" s="28"/>
      <c r="E2789" s="41">
        <v>46171</v>
      </c>
      <c r="F2789" s="47">
        <v>0.44229166666666669</v>
      </c>
      <c r="G2789" s="44">
        <v>6.3</v>
      </c>
      <c r="H2789" s="43" t="s">
        <v>228</v>
      </c>
      <c r="I2789" s="40" t="s">
        <v>1300</v>
      </c>
    </row>
    <row r="2790" spans="1:9" x14ac:dyDescent="0.2">
      <c r="A2790" s="40" t="s">
        <v>429</v>
      </c>
      <c r="B2790" s="28">
        <v>3335</v>
      </c>
      <c r="C2790" s="28" t="s">
        <v>916</v>
      </c>
      <c r="D2790" s="28"/>
      <c r="E2790" s="41">
        <v>46171</v>
      </c>
      <c r="F2790" s="47">
        <v>0.52503472222222225</v>
      </c>
      <c r="G2790" s="44">
        <v>6.3</v>
      </c>
      <c r="H2790" s="43" t="s">
        <v>226</v>
      </c>
      <c r="I2790" s="40" t="s">
        <v>1300</v>
      </c>
    </row>
    <row r="2791" spans="1:9" x14ac:dyDescent="0.2">
      <c r="A2791" s="40" t="s">
        <v>429</v>
      </c>
      <c r="B2791" s="28">
        <v>3335</v>
      </c>
      <c r="C2791" s="28" t="s">
        <v>916</v>
      </c>
      <c r="D2791" s="28"/>
      <c r="E2791" s="41">
        <v>46171</v>
      </c>
      <c r="F2791" s="47">
        <v>0.53835648148148152</v>
      </c>
      <c r="G2791" s="44">
        <v>6.3</v>
      </c>
      <c r="H2791" s="43" t="s">
        <v>227</v>
      </c>
      <c r="I2791" s="40" t="s">
        <v>1300</v>
      </c>
    </row>
    <row r="2792" spans="1:9" x14ac:dyDescent="0.2">
      <c r="A2792" s="40" t="s">
        <v>334</v>
      </c>
      <c r="B2792" s="28">
        <v>3357</v>
      </c>
      <c r="C2792" s="28" t="s">
        <v>917</v>
      </c>
      <c r="D2792" s="28"/>
      <c r="E2792" s="41">
        <v>46167</v>
      </c>
      <c r="F2792" s="47">
        <v>0.28826388888888888</v>
      </c>
      <c r="G2792" s="44">
        <v>6.3</v>
      </c>
      <c r="H2792" s="43" t="s">
        <v>226</v>
      </c>
      <c r="I2792" s="40" t="s">
        <v>1300</v>
      </c>
    </row>
    <row r="2793" spans="1:9" x14ac:dyDescent="0.2">
      <c r="A2793" s="40" t="s">
        <v>334</v>
      </c>
      <c r="B2793" s="28">
        <v>3357</v>
      </c>
      <c r="C2793" s="28" t="s">
        <v>917</v>
      </c>
      <c r="D2793" s="28"/>
      <c r="E2793" s="41">
        <v>46167</v>
      </c>
      <c r="F2793" s="47">
        <v>0.29542824074074076</v>
      </c>
      <c r="G2793" s="44">
        <v>6.3</v>
      </c>
      <c r="H2793" s="43" t="s">
        <v>227</v>
      </c>
      <c r="I2793" s="40" t="s">
        <v>1300</v>
      </c>
    </row>
    <row r="2794" spans="1:9" x14ac:dyDescent="0.2">
      <c r="A2794" s="40" t="s">
        <v>334</v>
      </c>
      <c r="B2794" s="28">
        <v>3357</v>
      </c>
      <c r="C2794" s="28" t="s">
        <v>918</v>
      </c>
      <c r="D2794" s="28"/>
      <c r="E2794" s="41">
        <v>46167</v>
      </c>
      <c r="F2794" s="47">
        <v>0.64875000000000005</v>
      </c>
      <c r="G2794" s="44">
        <v>6.3</v>
      </c>
      <c r="H2794" s="43" t="s">
        <v>228</v>
      </c>
      <c r="I2794" s="40" t="s">
        <v>1300</v>
      </c>
    </row>
    <row r="2795" spans="1:9" x14ac:dyDescent="0.2">
      <c r="A2795" s="40" t="s">
        <v>334</v>
      </c>
      <c r="B2795" s="28">
        <v>3357</v>
      </c>
      <c r="C2795" s="28" t="s">
        <v>918</v>
      </c>
      <c r="D2795" s="28"/>
      <c r="E2795" s="41">
        <v>46167</v>
      </c>
      <c r="F2795" s="47">
        <v>0.65858796296296296</v>
      </c>
      <c r="G2795" s="44">
        <v>6.3</v>
      </c>
      <c r="H2795" s="43" t="s">
        <v>229</v>
      </c>
      <c r="I2795" s="40" t="s">
        <v>1300</v>
      </c>
    </row>
    <row r="2796" spans="1:9" x14ac:dyDescent="0.2">
      <c r="A2796" s="40" t="s">
        <v>334</v>
      </c>
      <c r="B2796" s="28">
        <v>3357</v>
      </c>
      <c r="C2796" s="28" t="s">
        <v>919</v>
      </c>
      <c r="D2796" s="28"/>
      <c r="E2796" s="41">
        <v>46168</v>
      </c>
      <c r="F2796" s="47">
        <v>0.29445601851851849</v>
      </c>
      <c r="G2796" s="44">
        <v>6.3</v>
      </c>
      <c r="H2796" s="43" t="s">
        <v>226</v>
      </c>
      <c r="I2796" s="40" t="s">
        <v>1300</v>
      </c>
    </row>
    <row r="2797" spans="1:9" x14ac:dyDescent="0.2">
      <c r="A2797" s="40" t="s">
        <v>334</v>
      </c>
      <c r="B2797" s="28">
        <v>3357</v>
      </c>
      <c r="C2797" s="28" t="s">
        <v>919</v>
      </c>
      <c r="D2797" s="28"/>
      <c r="E2797" s="41">
        <v>46168</v>
      </c>
      <c r="F2797" s="47">
        <v>0.30394675925925924</v>
      </c>
      <c r="G2797" s="44">
        <v>6.3</v>
      </c>
      <c r="H2797" s="43" t="s">
        <v>227</v>
      </c>
      <c r="I2797" s="40" t="s">
        <v>1300</v>
      </c>
    </row>
    <row r="2798" spans="1:9" x14ac:dyDescent="0.2">
      <c r="A2798" s="40" t="s">
        <v>334</v>
      </c>
      <c r="B2798" s="28">
        <v>3357</v>
      </c>
      <c r="C2798" s="28" t="s">
        <v>920</v>
      </c>
      <c r="D2798" s="28"/>
      <c r="E2798" s="41">
        <v>46168</v>
      </c>
      <c r="F2798" s="47">
        <v>0.48295138888888889</v>
      </c>
      <c r="G2798" s="44">
        <v>6.3</v>
      </c>
      <c r="H2798" s="43" t="s">
        <v>230</v>
      </c>
      <c r="I2798" s="40" t="s">
        <v>1300</v>
      </c>
    </row>
    <row r="2799" spans="1:9" x14ac:dyDescent="0.2">
      <c r="A2799" s="40" t="s">
        <v>334</v>
      </c>
      <c r="B2799" s="28">
        <v>3357</v>
      </c>
      <c r="C2799" s="28" t="s">
        <v>920</v>
      </c>
      <c r="D2799" s="28"/>
      <c r="E2799" s="41">
        <v>46168</v>
      </c>
      <c r="F2799" s="47">
        <v>0.48902777777777778</v>
      </c>
      <c r="G2799" s="44">
        <v>6.3</v>
      </c>
      <c r="H2799" s="43" t="s">
        <v>227</v>
      </c>
      <c r="I2799" s="40" t="s">
        <v>1300</v>
      </c>
    </row>
    <row r="2800" spans="1:9" x14ac:dyDescent="0.2">
      <c r="A2800" s="40" t="s">
        <v>334</v>
      </c>
      <c r="B2800" s="28">
        <v>3357</v>
      </c>
      <c r="C2800" s="28" t="s">
        <v>921</v>
      </c>
      <c r="D2800" s="28"/>
      <c r="E2800" s="41">
        <v>46168</v>
      </c>
      <c r="F2800" s="47">
        <v>0.57333333333333336</v>
      </c>
      <c r="G2800" s="44">
        <v>6.3</v>
      </c>
      <c r="H2800" s="43" t="s">
        <v>228</v>
      </c>
      <c r="I2800" s="40" t="s">
        <v>1300</v>
      </c>
    </row>
    <row r="2801" spans="1:9" x14ac:dyDescent="0.2">
      <c r="A2801" s="40" t="s">
        <v>334</v>
      </c>
      <c r="B2801" s="28">
        <v>3357</v>
      </c>
      <c r="C2801" s="28" t="s">
        <v>921</v>
      </c>
      <c r="D2801" s="28"/>
      <c r="E2801" s="41">
        <v>46168</v>
      </c>
      <c r="F2801" s="47">
        <v>0.57923611111111106</v>
      </c>
      <c r="G2801" s="44">
        <v>6.3</v>
      </c>
      <c r="H2801" s="43" t="s">
        <v>233</v>
      </c>
      <c r="I2801" s="40" t="s">
        <v>1300</v>
      </c>
    </row>
    <row r="2802" spans="1:9" x14ac:dyDescent="0.2">
      <c r="A2802" s="40" t="s">
        <v>334</v>
      </c>
      <c r="B2802" s="28">
        <v>3357</v>
      </c>
      <c r="C2802" s="28" t="s">
        <v>922</v>
      </c>
      <c r="D2802" s="28"/>
      <c r="E2802" s="41">
        <v>46169</v>
      </c>
      <c r="F2802" s="47">
        <v>0.30114583333333333</v>
      </c>
      <c r="G2802" s="44">
        <v>6.3</v>
      </c>
      <c r="H2802" s="43" t="s">
        <v>226</v>
      </c>
      <c r="I2802" s="40" t="s">
        <v>1300</v>
      </c>
    </row>
    <row r="2803" spans="1:9" x14ac:dyDescent="0.2">
      <c r="A2803" s="40" t="s">
        <v>334</v>
      </c>
      <c r="B2803" s="28">
        <v>3357</v>
      </c>
      <c r="C2803" s="28" t="s">
        <v>922</v>
      </c>
      <c r="D2803" s="28"/>
      <c r="E2803" s="45">
        <v>46169</v>
      </c>
      <c r="F2803" s="48">
        <v>0.30756944444444445</v>
      </c>
      <c r="G2803" s="42">
        <v>6.3</v>
      </c>
      <c r="H2803" s="40" t="s">
        <v>227</v>
      </c>
      <c r="I2803" s="40" t="s">
        <v>1300</v>
      </c>
    </row>
    <row r="2804" spans="1:9" x14ac:dyDescent="0.2">
      <c r="A2804" s="40" t="s">
        <v>334</v>
      </c>
      <c r="B2804" s="28">
        <v>3357</v>
      </c>
      <c r="C2804" s="28" t="s">
        <v>923</v>
      </c>
      <c r="D2804" s="28"/>
      <c r="E2804" s="41">
        <v>46169</v>
      </c>
      <c r="F2804" s="47">
        <v>0.36953703703703705</v>
      </c>
      <c r="G2804" s="42">
        <v>6.3</v>
      </c>
      <c r="H2804" s="40" t="s">
        <v>229</v>
      </c>
      <c r="I2804" s="40" t="s">
        <v>1300</v>
      </c>
    </row>
    <row r="2805" spans="1:9" x14ac:dyDescent="0.2">
      <c r="A2805" s="40" t="s">
        <v>334</v>
      </c>
      <c r="B2805" s="28">
        <v>3357</v>
      </c>
      <c r="C2805" s="28" t="s">
        <v>924</v>
      </c>
      <c r="D2805" s="28"/>
      <c r="E2805" s="41">
        <v>46169</v>
      </c>
      <c r="F2805" s="47">
        <v>0.44888888888888889</v>
      </c>
      <c r="G2805" s="42">
        <v>6.3</v>
      </c>
      <c r="H2805" s="40" t="s">
        <v>226</v>
      </c>
      <c r="I2805" s="40" t="s">
        <v>1300</v>
      </c>
    </row>
    <row r="2806" spans="1:9" x14ac:dyDescent="0.2">
      <c r="A2806" s="40" t="s">
        <v>334</v>
      </c>
      <c r="B2806" s="28">
        <v>3357</v>
      </c>
      <c r="C2806" s="28" t="s">
        <v>924</v>
      </c>
      <c r="D2806" s="28"/>
      <c r="E2806" s="41">
        <v>46169</v>
      </c>
      <c r="F2806" s="47">
        <v>0.45452546296296298</v>
      </c>
      <c r="G2806" s="42">
        <v>6.3</v>
      </c>
      <c r="H2806" s="40" t="s">
        <v>227</v>
      </c>
      <c r="I2806" s="40" t="s">
        <v>1300</v>
      </c>
    </row>
    <row r="2807" spans="1:9" x14ac:dyDescent="0.2">
      <c r="A2807" s="40" t="s">
        <v>334</v>
      </c>
      <c r="B2807" s="28">
        <v>3357</v>
      </c>
      <c r="C2807" s="28" t="s">
        <v>925</v>
      </c>
      <c r="D2807" s="28"/>
      <c r="E2807" s="41">
        <v>46169</v>
      </c>
      <c r="F2807" s="47">
        <v>0.50891203703703702</v>
      </c>
      <c r="G2807" s="44">
        <v>6.3</v>
      </c>
      <c r="H2807" s="43" t="s">
        <v>228</v>
      </c>
      <c r="I2807" s="40" t="s">
        <v>1300</v>
      </c>
    </row>
    <row r="2808" spans="1:9" x14ac:dyDescent="0.2">
      <c r="A2808" s="40" t="s">
        <v>334</v>
      </c>
      <c r="B2808" s="28">
        <v>3357</v>
      </c>
      <c r="C2808" s="28" t="s">
        <v>925</v>
      </c>
      <c r="D2808" s="28"/>
      <c r="E2808" s="41">
        <v>46169</v>
      </c>
      <c r="F2808" s="47">
        <v>0.51505787037037032</v>
      </c>
      <c r="G2808" s="44">
        <v>6.3</v>
      </c>
      <c r="H2808" s="43" t="s">
        <v>233</v>
      </c>
      <c r="I2808" s="40" t="s">
        <v>1300</v>
      </c>
    </row>
    <row r="2809" spans="1:9" x14ac:dyDescent="0.2">
      <c r="A2809" s="40" t="s">
        <v>334</v>
      </c>
      <c r="B2809" s="28">
        <v>3357</v>
      </c>
      <c r="C2809" s="28" t="s">
        <v>926</v>
      </c>
      <c r="D2809" s="28"/>
      <c r="E2809" s="45">
        <v>46170</v>
      </c>
      <c r="F2809" s="48">
        <v>0.35538194444444443</v>
      </c>
      <c r="G2809" s="44">
        <v>6.3</v>
      </c>
      <c r="H2809" s="43" t="s">
        <v>226</v>
      </c>
      <c r="I2809" s="40" t="s">
        <v>1300</v>
      </c>
    </row>
    <row r="2810" spans="1:9" x14ac:dyDescent="0.2">
      <c r="A2810" s="40" t="s">
        <v>334</v>
      </c>
      <c r="B2810" s="28">
        <v>3357</v>
      </c>
      <c r="C2810" s="28" t="s">
        <v>926</v>
      </c>
      <c r="D2810" s="28"/>
      <c r="E2810" s="41">
        <v>46170</v>
      </c>
      <c r="F2810" s="47">
        <v>0.36197916666666669</v>
      </c>
      <c r="G2810" s="44">
        <v>6.3</v>
      </c>
      <c r="H2810" s="43" t="s">
        <v>227</v>
      </c>
      <c r="I2810" s="40" t="s">
        <v>1300</v>
      </c>
    </row>
    <row r="2811" spans="1:9" x14ac:dyDescent="0.2">
      <c r="A2811" s="40" t="s">
        <v>334</v>
      </c>
      <c r="B2811" s="28">
        <v>3357</v>
      </c>
      <c r="C2811" s="28" t="s">
        <v>927</v>
      </c>
      <c r="D2811" s="28"/>
      <c r="E2811" s="41">
        <v>46170</v>
      </c>
      <c r="F2811" s="47">
        <v>0.58210648148148147</v>
      </c>
      <c r="G2811" s="44">
        <v>6.3</v>
      </c>
      <c r="H2811" s="43" t="s">
        <v>228</v>
      </c>
      <c r="I2811" s="40" t="s">
        <v>1300</v>
      </c>
    </row>
    <row r="2812" spans="1:9" x14ac:dyDescent="0.2">
      <c r="A2812" s="40" t="s">
        <v>334</v>
      </c>
      <c r="B2812" s="28">
        <v>3357</v>
      </c>
      <c r="C2812" s="28" t="s">
        <v>927</v>
      </c>
      <c r="D2812" s="28"/>
      <c r="E2812" s="41">
        <v>46170</v>
      </c>
      <c r="F2812" s="47">
        <v>0.59248842592592588</v>
      </c>
      <c r="G2812" s="44">
        <v>6.3</v>
      </c>
      <c r="H2812" s="43" t="s">
        <v>229</v>
      </c>
      <c r="I2812" s="40" t="s">
        <v>1300</v>
      </c>
    </row>
    <row r="2813" spans="1:9" x14ac:dyDescent="0.2">
      <c r="A2813" s="40" t="s">
        <v>334</v>
      </c>
      <c r="B2813" s="28">
        <v>3357</v>
      </c>
      <c r="C2813" s="28" t="s">
        <v>928</v>
      </c>
      <c r="D2813" s="28"/>
      <c r="E2813" s="41">
        <v>46171</v>
      </c>
      <c r="F2813" s="47">
        <v>0.25714120370370369</v>
      </c>
      <c r="G2813" s="44">
        <v>6.3</v>
      </c>
      <c r="H2813" s="43" t="s">
        <v>231</v>
      </c>
      <c r="I2813" s="40" t="s">
        <v>1300</v>
      </c>
    </row>
    <row r="2814" spans="1:9" x14ac:dyDescent="0.2">
      <c r="A2814" s="40" t="s">
        <v>334</v>
      </c>
      <c r="B2814" s="28">
        <v>3357</v>
      </c>
      <c r="C2814" s="28" t="s">
        <v>928</v>
      </c>
      <c r="D2814" s="28"/>
      <c r="E2814" s="41">
        <v>46171</v>
      </c>
      <c r="F2814" s="47">
        <v>0.26175925925925925</v>
      </c>
      <c r="G2814" s="44">
        <v>6.3</v>
      </c>
      <c r="H2814" s="43" t="s">
        <v>227</v>
      </c>
      <c r="I2814" s="40" t="s">
        <v>1300</v>
      </c>
    </row>
    <row r="2815" spans="1:9" x14ac:dyDescent="0.2">
      <c r="A2815" s="40" t="s">
        <v>334</v>
      </c>
      <c r="B2815" s="28">
        <v>3357</v>
      </c>
      <c r="C2815" s="28">
        <v>5692767</v>
      </c>
      <c r="D2815" s="28"/>
      <c r="E2815" s="41">
        <v>46171</v>
      </c>
      <c r="F2815" s="47">
        <v>0.49984953703703705</v>
      </c>
      <c r="G2815" s="44">
        <v>6.3</v>
      </c>
      <c r="H2815" s="43" t="s">
        <v>230</v>
      </c>
      <c r="I2815" s="40" t="s">
        <v>1300</v>
      </c>
    </row>
    <row r="2816" spans="1:9" x14ac:dyDescent="0.2">
      <c r="A2816" s="40" t="s">
        <v>334</v>
      </c>
      <c r="B2816" s="28">
        <v>3357</v>
      </c>
      <c r="C2816" s="28">
        <v>5692767</v>
      </c>
      <c r="D2816" s="28"/>
      <c r="E2816" s="45">
        <v>46171</v>
      </c>
      <c r="F2816" s="48">
        <v>0.51292824074074073</v>
      </c>
      <c r="G2816" s="44">
        <v>6.3</v>
      </c>
      <c r="H2816" s="43" t="s">
        <v>227</v>
      </c>
      <c r="I2816" s="40" t="s">
        <v>1300</v>
      </c>
    </row>
    <row r="2817" spans="1:9" x14ac:dyDescent="0.2">
      <c r="A2817" s="40" t="s">
        <v>334</v>
      </c>
      <c r="B2817" s="28">
        <v>3357</v>
      </c>
      <c r="C2817" s="28" t="s">
        <v>929</v>
      </c>
      <c r="D2817" s="28"/>
      <c r="E2817" s="41">
        <v>46171</v>
      </c>
      <c r="F2817" s="47">
        <v>0.58268518518518519</v>
      </c>
      <c r="G2817" s="44">
        <v>6.3</v>
      </c>
      <c r="H2817" s="43" t="s">
        <v>228</v>
      </c>
      <c r="I2817" s="40" t="s">
        <v>1300</v>
      </c>
    </row>
    <row r="2818" spans="1:9" x14ac:dyDescent="0.2">
      <c r="A2818" s="40" t="s">
        <v>334</v>
      </c>
      <c r="B2818" s="28">
        <v>3357</v>
      </c>
      <c r="C2818" s="28" t="s">
        <v>930</v>
      </c>
      <c r="D2818" s="28"/>
      <c r="E2818" s="41">
        <v>46173</v>
      </c>
      <c r="F2818" s="47">
        <v>0.27787037037037038</v>
      </c>
      <c r="G2818" s="44">
        <v>6.3</v>
      </c>
      <c r="H2818" s="43" t="s">
        <v>226</v>
      </c>
      <c r="I2818" s="40" t="s">
        <v>1300</v>
      </c>
    </row>
    <row r="2819" spans="1:9" x14ac:dyDescent="0.2">
      <c r="A2819" s="40" t="s">
        <v>334</v>
      </c>
      <c r="B2819" s="28">
        <v>3357</v>
      </c>
      <c r="C2819" s="28" t="s">
        <v>930</v>
      </c>
      <c r="D2819" s="28"/>
      <c r="E2819" s="41">
        <v>46173</v>
      </c>
      <c r="F2819" s="47">
        <v>0.28315972222222224</v>
      </c>
      <c r="G2819" s="44">
        <v>6.3</v>
      </c>
      <c r="H2819" s="43" t="s">
        <v>227</v>
      </c>
      <c r="I2819" s="40" t="s">
        <v>1300</v>
      </c>
    </row>
    <row r="2820" spans="1:9" x14ac:dyDescent="0.2">
      <c r="A2820" s="40" t="s">
        <v>334</v>
      </c>
      <c r="B2820" s="28">
        <v>3357</v>
      </c>
      <c r="C2820" s="28">
        <v>5695199</v>
      </c>
      <c r="D2820" s="28" t="s">
        <v>37</v>
      </c>
      <c r="E2820" s="41">
        <v>46173</v>
      </c>
      <c r="F2820" s="47">
        <v>0.55879629629629635</v>
      </c>
      <c r="G2820" s="44">
        <v>6.3</v>
      </c>
      <c r="H2820" s="43" t="s">
        <v>227</v>
      </c>
      <c r="I2820" s="40" t="s">
        <v>1300</v>
      </c>
    </row>
    <row r="2821" spans="1:9" x14ac:dyDescent="0.2">
      <c r="A2821" s="40" t="s">
        <v>334</v>
      </c>
      <c r="B2821" s="28">
        <v>3357</v>
      </c>
      <c r="C2821" s="28" t="s">
        <v>931</v>
      </c>
      <c r="D2821" s="28"/>
      <c r="E2821" s="41">
        <v>46173</v>
      </c>
      <c r="F2821" s="47">
        <v>0.62736111111111115</v>
      </c>
      <c r="G2821" s="44">
        <v>6.3</v>
      </c>
      <c r="H2821" s="43" t="s">
        <v>228</v>
      </c>
      <c r="I2821" s="40" t="s">
        <v>1300</v>
      </c>
    </row>
    <row r="2822" spans="1:9" x14ac:dyDescent="0.2">
      <c r="A2822" s="40" t="s">
        <v>430</v>
      </c>
      <c r="B2822" s="28">
        <v>3368</v>
      </c>
      <c r="C2822" s="28">
        <v>5688196</v>
      </c>
      <c r="D2822" s="28"/>
      <c r="E2822" s="41">
        <v>46168</v>
      </c>
      <c r="F2822" s="47">
        <v>0.77196759259259262</v>
      </c>
      <c r="G2822" s="44">
        <v>6.3</v>
      </c>
      <c r="H2822" s="43" t="s">
        <v>227</v>
      </c>
      <c r="I2822" s="40" t="s">
        <v>1300</v>
      </c>
    </row>
    <row r="2823" spans="1:9" x14ac:dyDescent="0.2">
      <c r="A2823" s="40" t="s">
        <v>430</v>
      </c>
      <c r="B2823" s="28">
        <v>3368</v>
      </c>
      <c r="C2823" s="28">
        <v>5688551</v>
      </c>
      <c r="D2823" s="28"/>
      <c r="E2823" s="41">
        <v>46168</v>
      </c>
      <c r="F2823" s="47">
        <v>0.83961805555555558</v>
      </c>
      <c r="G2823" s="44">
        <v>6.3</v>
      </c>
      <c r="H2823" s="43" t="s">
        <v>228</v>
      </c>
      <c r="I2823" s="40" t="s">
        <v>1300</v>
      </c>
    </row>
    <row r="2824" spans="1:9" x14ac:dyDescent="0.2">
      <c r="A2824" s="40" t="s">
        <v>430</v>
      </c>
      <c r="B2824" s="28">
        <v>3368</v>
      </c>
      <c r="C2824" s="28">
        <v>5688551</v>
      </c>
      <c r="D2824" s="28"/>
      <c r="E2824" s="41">
        <v>46168</v>
      </c>
      <c r="F2824" s="47">
        <v>0.84693287037037035</v>
      </c>
      <c r="G2824" s="42">
        <v>6.3</v>
      </c>
      <c r="H2824" s="40" t="s">
        <v>229</v>
      </c>
      <c r="I2824" s="40" t="s">
        <v>1300</v>
      </c>
    </row>
    <row r="2825" spans="1:9" x14ac:dyDescent="0.2">
      <c r="A2825" s="40" t="s">
        <v>430</v>
      </c>
      <c r="B2825" s="28">
        <v>3368</v>
      </c>
      <c r="C2825" s="28">
        <v>5688651</v>
      </c>
      <c r="D2825" s="28"/>
      <c r="E2825" s="45">
        <v>46168</v>
      </c>
      <c r="F2825" s="48">
        <v>0.95250000000000001</v>
      </c>
      <c r="G2825" s="42">
        <v>6.3</v>
      </c>
      <c r="H2825" s="40" t="s">
        <v>230</v>
      </c>
      <c r="I2825" s="40" t="s">
        <v>1300</v>
      </c>
    </row>
    <row r="2826" spans="1:9" x14ac:dyDescent="0.2">
      <c r="A2826" s="40" t="s">
        <v>430</v>
      </c>
      <c r="B2826" s="28">
        <v>3368</v>
      </c>
      <c r="C2826" s="28">
        <v>5693008</v>
      </c>
      <c r="D2826" s="28"/>
      <c r="E2826" s="41">
        <v>46171</v>
      </c>
      <c r="F2826" s="47">
        <v>0.66177083333333331</v>
      </c>
      <c r="G2826" s="42">
        <v>6.3</v>
      </c>
      <c r="H2826" s="40" t="s">
        <v>227</v>
      </c>
      <c r="I2826" s="40" t="s">
        <v>1300</v>
      </c>
    </row>
    <row r="2827" spans="1:9" x14ac:dyDescent="0.2">
      <c r="A2827" s="40" t="s">
        <v>102</v>
      </c>
      <c r="B2827" s="28">
        <v>3378</v>
      </c>
      <c r="C2827" s="28" t="s">
        <v>932</v>
      </c>
      <c r="D2827" s="28"/>
      <c r="E2827" s="41">
        <v>46168</v>
      </c>
      <c r="F2827" s="47">
        <v>0.98552083333333329</v>
      </c>
      <c r="G2827" s="42">
        <v>6.3</v>
      </c>
      <c r="H2827" s="40" t="s">
        <v>228</v>
      </c>
      <c r="I2827" s="40" t="s">
        <v>1300</v>
      </c>
    </row>
    <row r="2828" spans="1:9" x14ac:dyDescent="0.2">
      <c r="A2828" s="40" t="s">
        <v>102</v>
      </c>
      <c r="B2828" s="28">
        <v>3378</v>
      </c>
      <c r="C2828" s="28" t="s">
        <v>932</v>
      </c>
      <c r="D2828" s="28"/>
      <c r="E2828" s="45">
        <v>46168</v>
      </c>
      <c r="F2828" s="48">
        <v>0.99182870370370368</v>
      </c>
      <c r="G2828" s="42">
        <v>6.3</v>
      </c>
      <c r="H2828" s="40" t="s">
        <v>229</v>
      </c>
      <c r="I2828" s="40" t="s">
        <v>1300</v>
      </c>
    </row>
    <row r="2829" spans="1:9" x14ac:dyDescent="0.2">
      <c r="A2829" s="40" t="s">
        <v>102</v>
      </c>
      <c r="B2829" s="28">
        <v>3378</v>
      </c>
      <c r="C2829" s="28">
        <v>10743978</v>
      </c>
      <c r="D2829" s="28" t="s">
        <v>36</v>
      </c>
      <c r="E2829" s="41">
        <v>46168</v>
      </c>
      <c r="F2829" s="47">
        <v>0.99510416666666668</v>
      </c>
      <c r="G2829" s="42">
        <v>6.3</v>
      </c>
      <c r="H2829" s="40" t="s">
        <v>230</v>
      </c>
      <c r="I2829" s="40" t="s">
        <v>1300</v>
      </c>
    </row>
    <row r="2830" spans="1:9" x14ac:dyDescent="0.2">
      <c r="A2830" s="40" t="s">
        <v>102</v>
      </c>
      <c r="B2830" s="28">
        <v>3378</v>
      </c>
      <c r="C2830" s="28">
        <v>10743978</v>
      </c>
      <c r="D2830" s="28" t="s">
        <v>36</v>
      </c>
      <c r="E2830" s="41">
        <v>46168</v>
      </c>
      <c r="F2830" s="47">
        <v>0.99959490740740742</v>
      </c>
      <c r="G2830" s="42">
        <v>6.3</v>
      </c>
      <c r="H2830" s="40" t="s">
        <v>227</v>
      </c>
      <c r="I2830" s="40" t="s">
        <v>1300</v>
      </c>
    </row>
    <row r="2831" spans="1:9" x14ac:dyDescent="0.2">
      <c r="A2831" s="40" t="s">
        <v>102</v>
      </c>
      <c r="B2831" s="28">
        <v>3378</v>
      </c>
      <c r="C2831" s="28">
        <v>5686829</v>
      </c>
      <c r="D2831" s="28"/>
      <c r="E2831" s="41">
        <v>46169</v>
      </c>
      <c r="F2831" s="47">
        <v>0.11935185185185185</v>
      </c>
      <c r="G2831" s="42">
        <v>6.3</v>
      </c>
      <c r="H2831" s="40" t="s">
        <v>226</v>
      </c>
      <c r="I2831" s="40" t="s">
        <v>1300</v>
      </c>
    </row>
    <row r="2832" spans="1:9" x14ac:dyDescent="0.2">
      <c r="A2832" s="40" t="s">
        <v>102</v>
      </c>
      <c r="B2832" s="28">
        <v>3378</v>
      </c>
      <c r="C2832" s="28">
        <v>5686829</v>
      </c>
      <c r="D2832" s="28"/>
      <c r="E2832" s="41">
        <v>46169</v>
      </c>
      <c r="F2832" s="47">
        <v>0.12421296296296297</v>
      </c>
      <c r="G2832" s="44">
        <v>6.3</v>
      </c>
      <c r="H2832" s="43" t="s">
        <v>227</v>
      </c>
      <c r="I2832" s="40" t="s">
        <v>1300</v>
      </c>
    </row>
    <row r="2833" spans="1:9" x14ac:dyDescent="0.2">
      <c r="A2833" s="40" t="s">
        <v>933</v>
      </c>
      <c r="B2833" s="28">
        <v>3381</v>
      </c>
      <c r="C2833" s="28" t="s">
        <v>934</v>
      </c>
      <c r="D2833" s="28"/>
      <c r="E2833" s="41">
        <v>46170</v>
      </c>
      <c r="F2833" s="47">
        <v>0.658599537037037</v>
      </c>
      <c r="G2833" s="44">
        <v>6.3</v>
      </c>
      <c r="H2833" s="43" t="s">
        <v>228</v>
      </c>
      <c r="I2833" s="40" t="s">
        <v>1300</v>
      </c>
    </row>
    <row r="2834" spans="1:9" x14ac:dyDescent="0.2">
      <c r="A2834" s="40" t="s">
        <v>933</v>
      </c>
      <c r="B2834" s="28">
        <v>3381</v>
      </c>
      <c r="C2834" s="28">
        <v>5692674</v>
      </c>
      <c r="D2834" s="28"/>
      <c r="E2834" s="41">
        <v>46171</v>
      </c>
      <c r="F2834" s="47">
        <v>0.42929398148148146</v>
      </c>
      <c r="G2834" s="44">
        <v>6.3</v>
      </c>
      <c r="H2834" s="43" t="s">
        <v>228</v>
      </c>
      <c r="I2834" s="40" t="s">
        <v>1300</v>
      </c>
    </row>
    <row r="2835" spans="1:9" x14ac:dyDescent="0.2">
      <c r="A2835" s="40" t="s">
        <v>933</v>
      </c>
      <c r="B2835" s="28">
        <v>3381</v>
      </c>
      <c r="C2835" s="28">
        <v>5692674</v>
      </c>
      <c r="D2835" s="28"/>
      <c r="E2835" s="41">
        <v>46171</v>
      </c>
      <c r="F2835" s="47">
        <v>0.44422453703703701</v>
      </c>
      <c r="G2835" s="44">
        <v>6.3</v>
      </c>
      <c r="H2835" s="43" t="s">
        <v>233</v>
      </c>
      <c r="I2835" s="40" t="s">
        <v>1300</v>
      </c>
    </row>
    <row r="2836" spans="1:9" x14ac:dyDescent="0.2">
      <c r="A2836" s="40" t="s">
        <v>933</v>
      </c>
      <c r="B2836" s="28">
        <v>3381</v>
      </c>
      <c r="C2836" s="28" t="s">
        <v>35</v>
      </c>
      <c r="D2836" s="28" t="s">
        <v>38</v>
      </c>
      <c r="E2836" s="41">
        <v>46171</v>
      </c>
      <c r="F2836" s="47">
        <v>0.4790740740740741</v>
      </c>
      <c r="G2836" s="44">
        <v>6.3</v>
      </c>
      <c r="H2836" s="43" t="s">
        <v>234</v>
      </c>
      <c r="I2836" s="40" t="s">
        <v>1300</v>
      </c>
    </row>
    <row r="2837" spans="1:9" x14ac:dyDescent="0.2">
      <c r="A2837" s="40" t="s">
        <v>933</v>
      </c>
      <c r="B2837" s="28">
        <v>3381</v>
      </c>
      <c r="C2837" s="28" t="s">
        <v>35</v>
      </c>
      <c r="D2837" s="28" t="s">
        <v>38</v>
      </c>
      <c r="E2837" s="41">
        <v>46171</v>
      </c>
      <c r="F2837" s="47">
        <v>0.48653935185185188</v>
      </c>
      <c r="G2837" s="44">
        <v>6.3</v>
      </c>
      <c r="H2837" s="43" t="s">
        <v>227</v>
      </c>
      <c r="I2837" s="40" t="s">
        <v>1300</v>
      </c>
    </row>
    <row r="2838" spans="1:9" x14ac:dyDescent="0.2">
      <c r="A2838" s="40" t="s">
        <v>378</v>
      </c>
      <c r="B2838" s="28">
        <v>3386</v>
      </c>
      <c r="C2838" s="28" t="s">
        <v>35</v>
      </c>
      <c r="D2838" s="28" t="s">
        <v>38</v>
      </c>
      <c r="E2838" s="41">
        <v>46171</v>
      </c>
      <c r="F2838" s="47">
        <v>0.48546296296296299</v>
      </c>
      <c r="G2838" s="44">
        <v>6.3</v>
      </c>
      <c r="H2838" s="43" t="s">
        <v>228</v>
      </c>
      <c r="I2838" s="40" t="s">
        <v>1300</v>
      </c>
    </row>
    <row r="2839" spans="1:9" x14ac:dyDescent="0.2">
      <c r="A2839" s="40" t="s">
        <v>378</v>
      </c>
      <c r="B2839" s="28">
        <v>3386</v>
      </c>
      <c r="C2839" s="28" t="s">
        <v>35</v>
      </c>
      <c r="D2839" s="28" t="s">
        <v>38</v>
      </c>
      <c r="E2839" s="41">
        <v>46171</v>
      </c>
      <c r="F2839" s="47">
        <v>0.50785879629629627</v>
      </c>
      <c r="G2839" s="44">
        <v>6.3</v>
      </c>
      <c r="H2839" s="43" t="s">
        <v>229</v>
      </c>
      <c r="I2839" s="40" t="s">
        <v>1300</v>
      </c>
    </row>
    <row r="2840" spans="1:9" x14ac:dyDescent="0.2">
      <c r="A2840" s="40" t="s">
        <v>378</v>
      </c>
      <c r="B2840" s="28">
        <v>3386</v>
      </c>
      <c r="C2840" s="28">
        <v>5692864</v>
      </c>
      <c r="D2840" s="28"/>
      <c r="E2840" s="41">
        <v>46171</v>
      </c>
      <c r="F2840" s="47">
        <v>0.63930555555555557</v>
      </c>
      <c r="G2840" s="44">
        <v>6.3</v>
      </c>
      <c r="H2840" s="43" t="s">
        <v>228</v>
      </c>
      <c r="I2840" s="40" t="s">
        <v>1300</v>
      </c>
    </row>
    <row r="2841" spans="1:9" x14ac:dyDescent="0.2">
      <c r="A2841" s="40" t="s">
        <v>378</v>
      </c>
      <c r="B2841" s="28">
        <v>3386</v>
      </c>
      <c r="C2841" s="28">
        <v>5692864</v>
      </c>
      <c r="D2841" s="28"/>
      <c r="E2841" s="41">
        <v>46171</v>
      </c>
      <c r="F2841" s="47">
        <v>0.64937500000000004</v>
      </c>
      <c r="G2841" s="44">
        <v>6.3</v>
      </c>
      <c r="H2841" s="43" t="s">
        <v>229</v>
      </c>
      <c r="I2841" s="40" t="s">
        <v>1300</v>
      </c>
    </row>
    <row r="2842" spans="1:9" x14ac:dyDescent="0.2">
      <c r="A2842" s="40" t="s">
        <v>168</v>
      </c>
      <c r="B2842" s="28">
        <v>3398</v>
      </c>
      <c r="C2842" s="28">
        <v>5686352</v>
      </c>
      <c r="D2842" s="28"/>
      <c r="E2842" s="41">
        <v>46168</v>
      </c>
      <c r="F2842" s="47">
        <v>0.72081018518518514</v>
      </c>
      <c r="G2842" s="44">
        <v>6.3</v>
      </c>
      <c r="H2842" s="43" t="s">
        <v>228</v>
      </c>
      <c r="I2842" s="40" t="s">
        <v>1300</v>
      </c>
    </row>
    <row r="2843" spans="1:9" x14ac:dyDescent="0.2">
      <c r="A2843" s="40" t="s">
        <v>168</v>
      </c>
      <c r="B2843" s="28">
        <v>3398</v>
      </c>
      <c r="C2843" s="28">
        <v>5693510</v>
      </c>
      <c r="D2843" s="28"/>
      <c r="E2843" s="41">
        <v>46171</v>
      </c>
      <c r="F2843" s="47">
        <v>0.6844675925925926</v>
      </c>
      <c r="G2843" s="44">
        <v>6.3</v>
      </c>
      <c r="H2843" s="43" t="s">
        <v>231</v>
      </c>
      <c r="I2843" s="40" t="s">
        <v>1300</v>
      </c>
    </row>
    <row r="2844" spans="1:9" x14ac:dyDescent="0.2">
      <c r="A2844" s="40" t="s">
        <v>168</v>
      </c>
      <c r="B2844" s="28">
        <v>3398</v>
      </c>
      <c r="C2844" s="28">
        <v>5693510</v>
      </c>
      <c r="D2844" s="28"/>
      <c r="E2844" s="41">
        <v>46171</v>
      </c>
      <c r="F2844" s="47">
        <v>0.71476851851851853</v>
      </c>
      <c r="G2844" s="44">
        <v>6.3</v>
      </c>
      <c r="H2844" s="43" t="s">
        <v>227</v>
      </c>
      <c r="I2844" s="40" t="s">
        <v>1300</v>
      </c>
    </row>
    <row r="2845" spans="1:9" x14ac:dyDescent="0.2">
      <c r="A2845" s="40" t="s">
        <v>168</v>
      </c>
      <c r="B2845" s="28">
        <v>3398</v>
      </c>
      <c r="C2845" s="28">
        <v>5694179</v>
      </c>
      <c r="D2845" s="28"/>
      <c r="E2845" s="41">
        <v>46172</v>
      </c>
      <c r="F2845" s="47">
        <v>2.0243055555555556E-2</v>
      </c>
      <c r="G2845" s="44">
        <v>6.3</v>
      </c>
      <c r="H2845" s="43" t="s">
        <v>228</v>
      </c>
      <c r="I2845" s="40" t="s">
        <v>1300</v>
      </c>
    </row>
    <row r="2846" spans="1:9" x14ac:dyDescent="0.2">
      <c r="A2846" s="40" t="s">
        <v>168</v>
      </c>
      <c r="B2846" s="28">
        <v>3398</v>
      </c>
      <c r="C2846" s="28">
        <v>5694179</v>
      </c>
      <c r="D2846" s="28"/>
      <c r="E2846" s="41">
        <v>46172</v>
      </c>
      <c r="F2846" s="47">
        <v>2.732638888888889E-2</v>
      </c>
      <c r="G2846" s="44">
        <v>6.3</v>
      </c>
      <c r="H2846" s="43" t="s">
        <v>232</v>
      </c>
      <c r="I2846" s="40" t="s">
        <v>1300</v>
      </c>
    </row>
    <row r="2847" spans="1:9" x14ac:dyDescent="0.2">
      <c r="A2847" s="40" t="s">
        <v>168</v>
      </c>
      <c r="B2847" s="28">
        <v>3398</v>
      </c>
      <c r="C2847" s="28">
        <v>10778688</v>
      </c>
      <c r="D2847" s="28"/>
      <c r="E2847" s="41">
        <v>46173</v>
      </c>
      <c r="F2847" s="47">
        <v>0.47194444444444444</v>
      </c>
      <c r="G2847" s="44">
        <v>6.3</v>
      </c>
      <c r="H2847" s="43" t="s">
        <v>226</v>
      </c>
      <c r="I2847" s="40" t="s">
        <v>1300</v>
      </c>
    </row>
    <row r="2848" spans="1:9" x14ac:dyDescent="0.2">
      <c r="A2848" s="40" t="s">
        <v>168</v>
      </c>
      <c r="B2848" s="28">
        <v>3398</v>
      </c>
      <c r="C2848" s="28">
        <v>10778688</v>
      </c>
      <c r="D2848" s="28"/>
      <c r="E2848" s="45">
        <v>46173</v>
      </c>
      <c r="F2848" s="48">
        <v>0.4776273148148148</v>
      </c>
      <c r="G2848" s="44">
        <v>6.3</v>
      </c>
      <c r="H2848" s="43" t="s">
        <v>227</v>
      </c>
      <c r="I2848" s="40" t="s">
        <v>1300</v>
      </c>
    </row>
    <row r="2849" spans="1:9" x14ac:dyDescent="0.2">
      <c r="A2849" s="40" t="s">
        <v>431</v>
      </c>
      <c r="B2849" s="28">
        <v>3399</v>
      </c>
      <c r="C2849" s="28">
        <v>5683220</v>
      </c>
      <c r="D2849" s="28"/>
      <c r="E2849" s="41">
        <v>46167</v>
      </c>
      <c r="F2849" s="47">
        <v>0.26162037037037039</v>
      </c>
      <c r="G2849" s="44">
        <v>6.3</v>
      </c>
      <c r="H2849" s="43" t="s">
        <v>229</v>
      </c>
      <c r="I2849" s="40" t="s">
        <v>1300</v>
      </c>
    </row>
    <row r="2850" spans="1:9" x14ac:dyDescent="0.2">
      <c r="A2850" s="40" t="s">
        <v>431</v>
      </c>
      <c r="B2850" s="28">
        <v>3399</v>
      </c>
      <c r="C2850" s="28">
        <v>5686126</v>
      </c>
      <c r="D2850" s="28" t="s">
        <v>36</v>
      </c>
      <c r="E2850" s="41">
        <v>46168</v>
      </c>
      <c r="F2850" s="47">
        <v>0.2648611111111111</v>
      </c>
      <c r="G2850" s="44">
        <v>6.3</v>
      </c>
      <c r="H2850" s="43" t="s">
        <v>226</v>
      </c>
      <c r="I2850" s="40" t="s">
        <v>1300</v>
      </c>
    </row>
    <row r="2851" spans="1:9" x14ac:dyDescent="0.2">
      <c r="A2851" s="40" t="s">
        <v>431</v>
      </c>
      <c r="B2851" s="28">
        <v>3399</v>
      </c>
      <c r="C2851" s="28" t="s">
        <v>35</v>
      </c>
      <c r="D2851" s="28" t="s">
        <v>38</v>
      </c>
      <c r="E2851" s="45">
        <v>46168</v>
      </c>
      <c r="F2851" s="48">
        <v>0.80969907407407404</v>
      </c>
      <c r="G2851" s="44">
        <v>6.3</v>
      </c>
      <c r="H2851" s="43" t="s">
        <v>229</v>
      </c>
      <c r="I2851" s="40" t="s">
        <v>1300</v>
      </c>
    </row>
    <row r="2852" spans="1:9" x14ac:dyDescent="0.2">
      <c r="A2852" s="40" t="s">
        <v>431</v>
      </c>
      <c r="B2852" s="28">
        <v>3399</v>
      </c>
      <c r="C2852" s="28">
        <v>5688876</v>
      </c>
      <c r="D2852" s="28"/>
      <c r="E2852" s="41">
        <v>46169</v>
      </c>
      <c r="F2852" s="47">
        <v>0.24853009259259259</v>
      </c>
      <c r="G2852" s="44">
        <v>6.3</v>
      </c>
      <c r="H2852" s="43" t="s">
        <v>234</v>
      </c>
      <c r="I2852" s="40" t="s">
        <v>1300</v>
      </c>
    </row>
    <row r="2853" spans="1:9" x14ac:dyDescent="0.2">
      <c r="A2853" s="40" t="s">
        <v>431</v>
      </c>
      <c r="B2853" s="28">
        <v>3399</v>
      </c>
      <c r="C2853" s="28">
        <v>5688876</v>
      </c>
      <c r="D2853" s="28"/>
      <c r="E2853" s="41">
        <v>46169</v>
      </c>
      <c r="F2853" s="47">
        <v>0.25116898148148148</v>
      </c>
      <c r="G2853" s="44">
        <v>6.3</v>
      </c>
      <c r="H2853" s="43" t="s">
        <v>227</v>
      </c>
      <c r="I2853" s="40" t="s">
        <v>1300</v>
      </c>
    </row>
    <row r="2854" spans="1:9" x14ac:dyDescent="0.2">
      <c r="A2854" s="40" t="s">
        <v>431</v>
      </c>
      <c r="B2854" s="28">
        <v>3399</v>
      </c>
      <c r="C2854" s="28">
        <v>5695245</v>
      </c>
      <c r="D2854" s="28"/>
      <c r="E2854" s="41">
        <v>46173</v>
      </c>
      <c r="F2854" s="47">
        <v>1.2812499999999999E-2</v>
      </c>
      <c r="G2854" s="44">
        <v>6.3</v>
      </c>
      <c r="H2854" s="43" t="s">
        <v>232</v>
      </c>
      <c r="I2854" s="40" t="s">
        <v>1300</v>
      </c>
    </row>
    <row r="2855" spans="1:9" x14ac:dyDescent="0.2">
      <c r="A2855" s="40" t="s">
        <v>431</v>
      </c>
      <c r="B2855" s="28">
        <v>3399</v>
      </c>
      <c r="C2855" s="28">
        <v>5695322</v>
      </c>
      <c r="D2855" s="28"/>
      <c r="E2855" s="41">
        <v>46173</v>
      </c>
      <c r="F2855" s="47">
        <v>0.26100694444444444</v>
      </c>
      <c r="G2855" s="44">
        <v>6.3</v>
      </c>
      <c r="H2855" s="43" t="s">
        <v>231</v>
      </c>
      <c r="I2855" s="40" t="s">
        <v>1300</v>
      </c>
    </row>
    <row r="2856" spans="1:9" x14ac:dyDescent="0.2">
      <c r="A2856" s="40" t="s">
        <v>431</v>
      </c>
      <c r="B2856" s="28">
        <v>3399</v>
      </c>
      <c r="C2856" s="28">
        <v>5695322</v>
      </c>
      <c r="D2856" s="28"/>
      <c r="E2856" s="41">
        <v>46173</v>
      </c>
      <c r="F2856" s="47">
        <v>0.26512731481481483</v>
      </c>
      <c r="G2856" s="44">
        <v>6.3</v>
      </c>
      <c r="H2856" s="43" t="s">
        <v>227</v>
      </c>
      <c r="I2856" s="40" t="s">
        <v>1300</v>
      </c>
    </row>
    <row r="2857" spans="1:9" x14ac:dyDescent="0.2">
      <c r="A2857" s="40" t="s">
        <v>103</v>
      </c>
      <c r="B2857" s="28">
        <v>3411</v>
      </c>
      <c r="C2857" s="28" t="s">
        <v>935</v>
      </c>
      <c r="D2857" s="28"/>
      <c r="E2857" s="45">
        <v>46169</v>
      </c>
      <c r="F2857" s="48">
        <v>0.4443287037037037</v>
      </c>
      <c r="G2857" s="44">
        <v>6.3</v>
      </c>
      <c r="H2857" s="43" t="s">
        <v>228</v>
      </c>
      <c r="I2857" s="40" t="s">
        <v>1300</v>
      </c>
    </row>
    <row r="2858" spans="1:9" x14ac:dyDescent="0.2">
      <c r="A2858" s="40" t="s">
        <v>103</v>
      </c>
      <c r="B2858" s="28">
        <v>3411</v>
      </c>
      <c r="C2858" s="28" t="s">
        <v>935</v>
      </c>
      <c r="D2858" s="28"/>
      <c r="E2858" s="41">
        <v>46169</v>
      </c>
      <c r="F2858" s="47">
        <v>0.45372685185185185</v>
      </c>
      <c r="G2858" s="44">
        <v>6.3</v>
      </c>
      <c r="H2858" s="43" t="s">
        <v>229</v>
      </c>
      <c r="I2858" s="40" t="s">
        <v>1300</v>
      </c>
    </row>
    <row r="2859" spans="1:9" x14ac:dyDescent="0.2">
      <c r="A2859" s="40" t="s">
        <v>103</v>
      </c>
      <c r="B2859" s="28">
        <v>3411</v>
      </c>
      <c r="C2859" s="28" t="s">
        <v>936</v>
      </c>
      <c r="D2859" s="28"/>
      <c r="E2859" s="41">
        <v>46169</v>
      </c>
      <c r="F2859" s="47">
        <v>0.49175925925925928</v>
      </c>
      <c r="G2859" s="44">
        <v>6.3</v>
      </c>
      <c r="H2859" s="43" t="s">
        <v>230</v>
      </c>
      <c r="I2859" s="40" t="s">
        <v>1300</v>
      </c>
    </row>
    <row r="2860" spans="1:9" x14ac:dyDescent="0.2">
      <c r="A2860" s="40" t="s">
        <v>103</v>
      </c>
      <c r="B2860" s="28">
        <v>3411</v>
      </c>
      <c r="C2860" s="28" t="s">
        <v>936</v>
      </c>
      <c r="D2860" s="28"/>
      <c r="E2860" s="41">
        <v>46169</v>
      </c>
      <c r="F2860" s="47">
        <v>0.49778935185185186</v>
      </c>
      <c r="G2860" s="44">
        <v>6.3</v>
      </c>
      <c r="H2860" s="43" t="s">
        <v>227</v>
      </c>
      <c r="I2860" s="40" t="s">
        <v>1300</v>
      </c>
    </row>
    <row r="2861" spans="1:9" x14ac:dyDescent="0.2">
      <c r="A2861" s="40" t="s">
        <v>103</v>
      </c>
      <c r="B2861" s="28">
        <v>3411</v>
      </c>
      <c r="C2861" s="28" t="s">
        <v>937</v>
      </c>
      <c r="D2861" s="28"/>
      <c r="E2861" s="41">
        <v>46169</v>
      </c>
      <c r="F2861" s="47">
        <v>0.85381944444444446</v>
      </c>
      <c r="G2861" s="44">
        <v>6.3</v>
      </c>
      <c r="H2861" s="43" t="s">
        <v>230</v>
      </c>
      <c r="I2861" s="40" t="s">
        <v>1300</v>
      </c>
    </row>
    <row r="2862" spans="1:9" x14ac:dyDescent="0.2">
      <c r="A2862" s="40" t="s">
        <v>103</v>
      </c>
      <c r="B2862" s="28">
        <v>3411</v>
      </c>
      <c r="C2862" s="28" t="s">
        <v>937</v>
      </c>
      <c r="D2862" s="28"/>
      <c r="E2862" s="41">
        <v>46169</v>
      </c>
      <c r="F2862" s="47">
        <v>0.86159722222222224</v>
      </c>
      <c r="G2862" s="44">
        <v>6.3</v>
      </c>
      <c r="H2862" s="43" t="s">
        <v>227</v>
      </c>
      <c r="I2862" s="40" t="s">
        <v>1300</v>
      </c>
    </row>
    <row r="2863" spans="1:9" x14ac:dyDescent="0.2">
      <c r="A2863" s="40" t="s">
        <v>103</v>
      </c>
      <c r="B2863" s="28">
        <v>3411</v>
      </c>
      <c r="C2863" s="28" t="s">
        <v>938</v>
      </c>
      <c r="D2863" s="28"/>
      <c r="E2863" s="41">
        <v>46171</v>
      </c>
      <c r="F2863" s="47">
        <v>0.74076388888888889</v>
      </c>
      <c r="G2863" s="44">
        <v>6.3</v>
      </c>
      <c r="H2863" s="43" t="s">
        <v>228</v>
      </c>
      <c r="I2863" s="40" t="s">
        <v>1300</v>
      </c>
    </row>
    <row r="2864" spans="1:9" x14ac:dyDescent="0.2">
      <c r="A2864" s="40" t="s">
        <v>103</v>
      </c>
      <c r="B2864" s="28">
        <v>3411</v>
      </c>
      <c r="C2864" s="28" t="s">
        <v>938</v>
      </c>
      <c r="D2864" s="28"/>
      <c r="E2864" s="41">
        <v>46171</v>
      </c>
      <c r="F2864" s="47">
        <v>0.75901620370370371</v>
      </c>
      <c r="G2864" s="44">
        <v>6.3</v>
      </c>
      <c r="H2864" s="43" t="s">
        <v>229</v>
      </c>
      <c r="I2864" s="40" t="s">
        <v>1300</v>
      </c>
    </row>
    <row r="2865" spans="1:9" x14ac:dyDescent="0.2">
      <c r="A2865" s="40" t="s">
        <v>103</v>
      </c>
      <c r="B2865" s="28">
        <v>3411</v>
      </c>
      <c r="C2865" s="28" t="s">
        <v>939</v>
      </c>
      <c r="D2865" s="28"/>
      <c r="E2865" s="41">
        <v>46172</v>
      </c>
      <c r="F2865" s="47">
        <v>0.51193287037037039</v>
      </c>
      <c r="G2865" s="44">
        <v>6.3</v>
      </c>
      <c r="H2865" s="43" t="s">
        <v>228</v>
      </c>
      <c r="I2865" s="40" t="s">
        <v>1300</v>
      </c>
    </row>
    <row r="2866" spans="1:9" x14ac:dyDescent="0.2">
      <c r="A2866" s="40" t="s">
        <v>103</v>
      </c>
      <c r="B2866" s="28">
        <v>3411</v>
      </c>
      <c r="C2866" s="28" t="s">
        <v>939</v>
      </c>
      <c r="D2866" s="28"/>
      <c r="E2866" s="41">
        <v>46172</v>
      </c>
      <c r="F2866" s="47">
        <v>0.52270833333333333</v>
      </c>
      <c r="G2866" s="44">
        <v>6.3</v>
      </c>
      <c r="H2866" s="43" t="s">
        <v>229</v>
      </c>
      <c r="I2866" s="40" t="s">
        <v>1300</v>
      </c>
    </row>
    <row r="2867" spans="1:9" x14ac:dyDescent="0.2">
      <c r="A2867" s="40" t="s">
        <v>103</v>
      </c>
      <c r="B2867" s="28">
        <v>3411</v>
      </c>
      <c r="C2867" s="28" t="s">
        <v>940</v>
      </c>
      <c r="D2867" s="28"/>
      <c r="E2867" s="41">
        <v>46172</v>
      </c>
      <c r="F2867" s="47">
        <v>0.61636574074074069</v>
      </c>
      <c r="G2867" s="44">
        <v>6.3</v>
      </c>
      <c r="H2867" s="43" t="s">
        <v>230</v>
      </c>
      <c r="I2867" s="40" t="s">
        <v>1300</v>
      </c>
    </row>
    <row r="2868" spans="1:9" x14ac:dyDescent="0.2">
      <c r="A2868" s="40" t="s">
        <v>103</v>
      </c>
      <c r="B2868" s="28">
        <v>3411</v>
      </c>
      <c r="C2868" s="28" t="s">
        <v>940</v>
      </c>
      <c r="D2868" s="28"/>
      <c r="E2868" s="41">
        <v>46172</v>
      </c>
      <c r="F2868" s="47">
        <v>0.64438657407407407</v>
      </c>
      <c r="G2868" s="42">
        <v>6.3</v>
      </c>
      <c r="H2868" s="40" t="s">
        <v>227</v>
      </c>
      <c r="I2868" s="40" t="s">
        <v>1300</v>
      </c>
    </row>
    <row r="2869" spans="1:9" x14ac:dyDescent="0.2">
      <c r="A2869" s="40" t="s">
        <v>103</v>
      </c>
      <c r="B2869" s="28">
        <v>3411</v>
      </c>
      <c r="C2869" s="28" t="s">
        <v>941</v>
      </c>
      <c r="D2869" s="28"/>
      <c r="E2869" s="41">
        <v>46173</v>
      </c>
      <c r="F2869" s="47">
        <v>0.5014467592592593</v>
      </c>
      <c r="G2869" s="42">
        <v>6.3</v>
      </c>
      <c r="H2869" s="40" t="s">
        <v>228</v>
      </c>
      <c r="I2869" s="40" t="s">
        <v>1300</v>
      </c>
    </row>
    <row r="2870" spans="1:9" x14ac:dyDescent="0.2">
      <c r="A2870" s="40" t="s">
        <v>162</v>
      </c>
      <c r="B2870" s="28">
        <v>3424</v>
      </c>
      <c r="C2870" s="28" t="s">
        <v>942</v>
      </c>
      <c r="D2870" s="28"/>
      <c r="E2870" s="41">
        <v>46173</v>
      </c>
      <c r="F2870" s="47">
        <v>0.23537037037037037</v>
      </c>
      <c r="G2870" s="42">
        <v>6.3</v>
      </c>
      <c r="H2870" s="40" t="s">
        <v>228</v>
      </c>
      <c r="I2870" s="40" t="s">
        <v>1300</v>
      </c>
    </row>
    <row r="2871" spans="1:9" x14ac:dyDescent="0.2">
      <c r="A2871" s="40" t="s">
        <v>162</v>
      </c>
      <c r="B2871" s="28">
        <v>3424</v>
      </c>
      <c r="C2871" s="28" t="s">
        <v>942</v>
      </c>
      <c r="D2871" s="28"/>
      <c r="E2871" s="41">
        <v>46173</v>
      </c>
      <c r="F2871" s="47">
        <v>0.24305555555555555</v>
      </c>
      <c r="G2871" s="42">
        <v>6.3</v>
      </c>
      <c r="H2871" s="40" t="s">
        <v>229</v>
      </c>
      <c r="I2871" s="40" t="s">
        <v>1300</v>
      </c>
    </row>
    <row r="2872" spans="1:9" x14ac:dyDescent="0.2">
      <c r="A2872" s="40" t="s">
        <v>347</v>
      </c>
      <c r="B2872" s="28">
        <v>3449</v>
      </c>
      <c r="C2872" s="28" t="s">
        <v>35</v>
      </c>
      <c r="D2872" s="28" t="s">
        <v>38</v>
      </c>
      <c r="E2872" s="41">
        <v>46167</v>
      </c>
      <c r="F2872" s="47">
        <v>0.31798611111111114</v>
      </c>
      <c r="G2872" s="42">
        <v>6.3</v>
      </c>
      <c r="H2872" s="40" t="s">
        <v>230</v>
      </c>
      <c r="I2872" s="40" t="s">
        <v>1300</v>
      </c>
    </row>
    <row r="2873" spans="1:9" x14ac:dyDescent="0.2">
      <c r="A2873" s="40" t="s">
        <v>347</v>
      </c>
      <c r="B2873" s="28">
        <v>3449</v>
      </c>
      <c r="C2873" s="28" t="s">
        <v>35</v>
      </c>
      <c r="D2873" s="28" t="s">
        <v>38</v>
      </c>
      <c r="E2873" s="41">
        <v>46167</v>
      </c>
      <c r="F2873" s="47">
        <v>0.32328703703703704</v>
      </c>
      <c r="G2873" s="42">
        <v>6.3</v>
      </c>
      <c r="H2873" s="40" t="s">
        <v>227</v>
      </c>
      <c r="I2873" s="40" t="s">
        <v>1300</v>
      </c>
    </row>
    <row r="2874" spans="1:9" x14ac:dyDescent="0.2">
      <c r="A2874" s="40" t="s">
        <v>347</v>
      </c>
      <c r="B2874" s="28">
        <v>3449</v>
      </c>
      <c r="C2874" s="28">
        <v>5686160</v>
      </c>
      <c r="D2874" s="28"/>
      <c r="E2874" s="41">
        <v>46167</v>
      </c>
      <c r="F2874" s="47">
        <v>0.59413194444444439</v>
      </c>
      <c r="G2874" s="42">
        <v>6.3</v>
      </c>
      <c r="H2874" s="40" t="s">
        <v>228</v>
      </c>
      <c r="I2874" s="40" t="s">
        <v>1300</v>
      </c>
    </row>
    <row r="2875" spans="1:9" x14ac:dyDescent="0.2">
      <c r="A2875" s="40" t="s">
        <v>347</v>
      </c>
      <c r="B2875" s="28">
        <v>3449</v>
      </c>
      <c r="C2875" s="28">
        <v>5686160</v>
      </c>
      <c r="D2875" s="28"/>
      <c r="E2875" s="41">
        <v>46167</v>
      </c>
      <c r="F2875" s="47">
        <v>0.60539351851851853</v>
      </c>
      <c r="G2875" s="44">
        <v>6.3</v>
      </c>
      <c r="H2875" s="43" t="s">
        <v>229</v>
      </c>
      <c r="I2875" s="40" t="s">
        <v>1300</v>
      </c>
    </row>
    <row r="2876" spans="1:9" x14ac:dyDescent="0.2">
      <c r="A2876" s="40" t="s">
        <v>347</v>
      </c>
      <c r="B2876" s="28">
        <v>3449</v>
      </c>
      <c r="C2876" s="28" t="s">
        <v>35</v>
      </c>
      <c r="D2876" s="28" t="s">
        <v>38</v>
      </c>
      <c r="E2876" s="41">
        <v>46167</v>
      </c>
      <c r="F2876" s="47">
        <v>0.62528935185185186</v>
      </c>
      <c r="G2876" s="44">
        <v>6.3</v>
      </c>
      <c r="H2876" s="43" t="s">
        <v>230</v>
      </c>
      <c r="I2876" s="40" t="s">
        <v>1300</v>
      </c>
    </row>
    <row r="2877" spans="1:9" x14ac:dyDescent="0.2">
      <c r="A2877" s="40" t="s">
        <v>347</v>
      </c>
      <c r="B2877" s="28">
        <v>3449</v>
      </c>
      <c r="C2877" s="28" t="s">
        <v>35</v>
      </c>
      <c r="D2877" s="28" t="s">
        <v>38</v>
      </c>
      <c r="E2877" s="41">
        <v>46167</v>
      </c>
      <c r="F2877" s="47">
        <v>0.63137731481481485</v>
      </c>
      <c r="G2877" s="44">
        <v>6.3</v>
      </c>
      <c r="H2877" s="43" t="s">
        <v>227</v>
      </c>
      <c r="I2877" s="40" t="s">
        <v>1300</v>
      </c>
    </row>
    <row r="2878" spans="1:9" x14ac:dyDescent="0.2">
      <c r="A2878" s="40" t="s">
        <v>347</v>
      </c>
      <c r="B2878" s="28">
        <v>3449</v>
      </c>
      <c r="C2878" s="28">
        <v>5688349</v>
      </c>
      <c r="D2878" s="28"/>
      <c r="E2878" s="45">
        <v>46169</v>
      </c>
      <c r="F2878" s="48">
        <v>0.31224537037037037</v>
      </c>
      <c r="G2878" s="44">
        <v>6.3</v>
      </c>
      <c r="H2878" s="43" t="s">
        <v>227</v>
      </c>
      <c r="I2878" s="40" t="s">
        <v>1300</v>
      </c>
    </row>
    <row r="2879" spans="1:9" x14ac:dyDescent="0.2">
      <c r="A2879" s="40" t="s">
        <v>347</v>
      </c>
      <c r="B2879" s="28">
        <v>3449</v>
      </c>
      <c r="C2879" s="28">
        <v>5692341</v>
      </c>
      <c r="D2879" s="28"/>
      <c r="E2879" s="41">
        <v>46170</v>
      </c>
      <c r="F2879" s="47">
        <v>0.92557870370370365</v>
      </c>
      <c r="G2879" s="44">
        <v>6.3</v>
      </c>
      <c r="H2879" s="43" t="s">
        <v>228</v>
      </c>
      <c r="I2879" s="40" t="s">
        <v>1300</v>
      </c>
    </row>
    <row r="2880" spans="1:9" x14ac:dyDescent="0.2">
      <c r="A2880" s="40" t="s">
        <v>347</v>
      </c>
      <c r="B2880" s="28">
        <v>3449</v>
      </c>
      <c r="C2880" s="28">
        <v>5692341</v>
      </c>
      <c r="D2880" s="28"/>
      <c r="E2880" s="41">
        <v>46170</v>
      </c>
      <c r="F2880" s="47">
        <v>0.93307870370370372</v>
      </c>
      <c r="G2880" s="44">
        <v>6.3</v>
      </c>
      <c r="H2880" s="43" t="s">
        <v>229</v>
      </c>
      <c r="I2880" s="40" t="s">
        <v>1300</v>
      </c>
    </row>
    <row r="2881" spans="1:9" x14ac:dyDescent="0.2">
      <c r="A2881" s="40" t="s">
        <v>347</v>
      </c>
      <c r="B2881" s="28">
        <v>3449</v>
      </c>
      <c r="C2881" s="28" t="s">
        <v>35</v>
      </c>
      <c r="D2881" s="28" t="s">
        <v>38</v>
      </c>
      <c r="E2881" s="41">
        <v>46171</v>
      </c>
      <c r="F2881" s="47">
        <v>0.17979166666666666</v>
      </c>
      <c r="G2881" s="44">
        <v>6.3</v>
      </c>
      <c r="H2881" s="43" t="s">
        <v>230</v>
      </c>
      <c r="I2881" s="40" t="s">
        <v>1300</v>
      </c>
    </row>
    <row r="2882" spans="1:9" x14ac:dyDescent="0.2">
      <c r="A2882" s="40" t="s">
        <v>347</v>
      </c>
      <c r="B2882" s="28">
        <v>3449</v>
      </c>
      <c r="C2882" s="28" t="s">
        <v>35</v>
      </c>
      <c r="D2882" s="28" t="s">
        <v>38</v>
      </c>
      <c r="E2882" s="41">
        <v>46171</v>
      </c>
      <c r="F2882" s="47">
        <v>0.18505787037037036</v>
      </c>
      <c r="G2882" s="44">
        <v>6.3</v>
      </c>
      <c r="H2882" s="43" t="s">
        <v>227</v>
      </c>
      <c r="I2882" s="40" t="s">
        <v>1300</v>
      </c>
    </row>
    <row r="2883" spans="1:9" x14ac:dyDescent="0.2">
      <c r="A2883" s="40" t="s">
        <v>347</v>
      </c>
      <c r="B2883" s="28">
        <v>3449</v>
      </c>
      <c r="C2883" s="28">
        <v>5692578</v>
      </c>
      <c r="D2883" s="28"/>
      <c r="E2883" s="41">
        <v>46171</v>
      </c>
      <c r="F2883" s="47">
        <v>0.30686342592592591</v>
      </c>
      <c r="G2883" s="44">
        <v>6.3</v>
      </c>
      <c r="H2883" s="43" t="s">
        <v>228</v>
      </c>
      <c r="I2883" s="40" t="s">
        <v>1300</v>
      </c>
    </row>
    <row r="2884" spans="1:9" x14ac:dyDescent="0.2">
      <c r="A2884" s="40" t="s">
        <v>347</v>
      </c>
      <c r="B2884" s="28">
        <v>3449</v>
      </c>
      <c r="C2884" s="28">
        <v>5692578</v>
      </c>
      <c r="D2884" s="28"/>
      <c r="E2884" s="45">
        <v>46171</v>
      </c>
      <c r="F2884" s="48">
        <v>0.31435185185185183</v>
      </c>
      <c r="G2884" s="44">
        <v>6.3</v>
      </c>
      <c r="H2884" s="43" t="s">
        <v>233</v>
      </c>
      <c r="I2884" s="40" t="s">
        <v>1300</v>
      </c>
    </row>
    <row r="2885" spans="1:9" x14ac:dyDescent="0.2">
      <c r="A2885" s="40" t="s">
        <v>347</v>
      </c>
      <c r="B2885" s="28">
        <v>3449</v>
      </c>
      <c r="C2885" s="28" t="s">
        <v>35</v>
      </c>
      <c r="D2885" s="28" t="s">
        <v>38</v>
      </c>
      <c r="E2885" s="41">
        <v>46171</v>
      </c>
      <c r="F2885" s="47">
        <v>0.37997685185185187</v>
      </c>
      <c r="G2885" s="44">
        <v>6.3</v>
      </c>
      <c r="H2885" s="43" t="s">
        <v>234</v>
      </c>
      <c r="I2885" s="40" t="s">
        <v>1300</v>
      </c>
    </row>
    <row r="2886" spans="1:9" x14ac:dyDescent="0.2">
      <c r="A2886" s="40" t="s">
        <v>347</v>
      </c>
      <c r="B2886" s="28">
        <v>3449</v>
      </c>
      <c r="C2886" s="28" t="s">
        <v>35</v>
      </c>
      <c r="D2886" s="28" t="s">
        <v>38</v>
      </c>
      <c r="E2886" s="45">
        <v>46171</v>
      </c>
      <c r="F2886" s="48">
        <v>0.38349537037037035</v>
      </c>
      <c r="G2886" s="44">
        <v>6.3</v>
      </c>
      <c r="H2886" s="43" t="s">
        <v>227</v>
      </c>
      <c r="I2886" s="40" t="s">
        <v>1300</v>
      </c>
    </row>
    <row r="2887" spans="1:9" x14ac:dyDescent="0.2">
      <c r="A2887" s="40" t="s">
        <v>347</v>
      </c>
      <c r="B2887" s="28">
        <v>3449</v>
      </c>
      <c r="C2887" s="28">
        <v>5695427</v>
      </c>
      <c r="D2887" s="28"/>
      <c r="E2887" s="41">
        <v>46173</v>
      </c>
      <c r="F2887" s="47">
        <v>0.25722222222222224</v>
      </c>
      <c r="G2887" s="44">
        <v>6.3</v>
      </c>
      <c r="H2887" s="43" t="s">
        <v>228</v>
      </c>
      <c r="I2887" s="40" t="s">
        <v>1300</v>
      </c>
    </row>
    <row r="2888" spans="1:9" x14ac:dyDescent="0.2">
      <c r="A2888" s="40" t="s">
        <v>347</v>
      </c>
      <c r="B2888" s="28">
        <v>3449</v>
      </c>
      <c r="C2888" s="28" t="s">
        <v>35</v>
      </c>
      <c r="D2888" s="28" t="s">
        <v>38</v>
      </c>
      <c r="E2888" s="41">
        <v>46173</v>
      </c>
      <c r="F2888" s="47">
        <v>0.54182870370370373</v>
      </c>
      <c r="G2888" s="44">
        <v>6.3</v>
      </c>
      <c r="H2888" s="43" t="s">
        <v>228</v>
      </c>
      <c r="I2888" s="40" t="s">
        <v>1300</v>
      </c>
    </row>
    <row r="2889" spans="1:9" x14ac:dyDescent="0.2">
      <c r="A2889" s="40" t="s">
        <v>347</v>
      </c>
      <c r="B2889" s="28">
        <v>3449</v>
      </c>
      <c r="C2889" s="28" t="s">
        <v>35</v>
      </c>
      <c r="D2889" s="28" t="s">
        <v>38</v>
      </c>
      <c r="E2889" s="45">
        <v>46173</v>
      </c>
      <c r="F2889" s="48">
        <v>0.57418981481481479</v>
      </c>
      <c r="G2889" s="44">
        <v>6.3</v>
      </c>
      <c r="H2889" s="43" t="s">
        <v>227</v>
      </c>
      <c r="I2889" s="40" t="s">
        <v>1300</v>
      </c>
    </row>
    <row r="2890" spans="1:9" x14ac:dyDescent="0.2">
      <c r="A2890" s="40" t="s">
        <v>145</v>
      </c>
      <c r="B2890" s="28">
        <v>3460</v>
      </c>
      <c r="C2890" s="28" t="s">
        <v>943</v>
      </c>
      <c r="D2890" s="28"/>
      <c r="E2890" s="45">
        <v>46167</v>
      </c>
      <c r="F2890" s="48">
        <v>0.55927083333333338</v>
      </c>
      <c r="G2890" s="44">
        <v>6.3</v>
      </c>
      <c r="H2890" s="43" t="s">
        <v>228</v>
      </c>
      <c r="I2890" s="40" t="s">
        <v>1300</v>
      </c>
    </row>
    <row r="2891" spans="1:9" x14ac:dyDescent="0.2">
      <c r="A2891" s="40" t="s">
        <v>145</v>
      </c>
      <c r="B2891" s="28">
        <v>3460</v>
      </c>
      <c r="C2891" s="28" t="s">
        <v>943</v>
      </c>
      <c r="D2891" s="28"/>
      <c r="E2891" s="41">
        <v>46167</v>
      </c>
      <c r="F2891" s="47">
        <v>0.5662962962962963</v>
      </c>
      <c r="G2891" s="44">
        <v>6.3</v>
      </c>
      <c r="H2891" s="43" t="s">
        <v>232</v>
      </c>
      <c r="I2891" s="40" t="s">
        <v>1300</v>
      </c>
    </row>
    <row r="2892" spans="1:9" x14ac:dyDescent="0.2">
      <c r="A2892" s="40" t="s">
        <v>145</v>
      </c>
      <c r="B2892" s="28">
        <v>3460</v>
      </c>
      <c r="C2892" s="28">
        <v>5686070</v>
      </c>
      <c r="D2892" s="28"/>
      <c r="E2892" s="41">
        <v>46167</v>
      </c>
      <c r="F2892" s="47">
        <v>0.68622685185185184</v>
      </c>
      <c r="G2892" s="44">
        <v>6.3</v>
      </c>
      <c r="H2892" s="43" t="s">
        <v>227</v>
      </c>
      <c r="I2892" s="40" t="s">
        <v>1300</v>
      </c>
    </row>
    <row r="2893" spans="1:9" x14ac:dyDescent="0.2">
      <c r="A2893" s="40" t="s">
        <v>145</v>
      </c>
      <c r="B2893" s="28">
        <v>3460</v>
      </c>
      <c r="C2893" s="28" t="s">
        <v>944</v>
      </c>
      <c r="D2893" s="28"/>
      <c r="E2893" s="41">
        <v>46167</v>
      </c>
      <c r="F2893" s="47">
        <v>0.73530092592592589</v>
      </c>
      <c r="G2893" s="44">
        <v>6.3</v>
      </c>
      <c r="H2893" s="43" t="s">
        <v>228</v>
      </c>
      <c r="I2893" s="40" t="s">
        <v>1300</v>
      </c>
    </row>
    <row r="2894" spans="1:9" x14ac:dyDescent="0.2">
      <c r="A2894" s="40" t="s">
        <v>145</v>
      </c>
      <c r="B2894" s="28">
        <v>3460</v>
      </c>
      <c r="C2894" s="28" t="s">
        <v>944</v>
      </c>
      <c r="D2894" s="28"/>
      <c r="E2894" s="41">
        <v>46167</v>
      </c>
      <c r="F2894" s="47">
        <v>0.74649305555555556</v>
      </c>
      <c r="G2894" s="44">
        <v>6.3</v>
      </c>
      <c r="H2894" s="43" t="s">
        <v>232</v>
      </c>
      <c r="I2894" s="40" t="s">
        <v>1300</v>
      </c>
    </row>
    <row r="2895" spans="1:9" x14ac:dyDescent="0.2">
      <c r="A2895" s="40" t="s">
        <v>145</v>
      </c>
      <c r="B2895" s="28">
        <v>3460</v>
      </c>
      <c r="C2895" s="28" t="s">
        <v>945</v>
      </c>
      <c r="D2895" s="28"/>
      <c r="E2895" s="41">
        <v>46168</v>
      </c>
      <c r="F2895" s="47">
        <v>0.15186342592592592</v>
      </c>
      <c r="G2895" s="44">
        <v>6.3</v>
      </c>
      <c r="H2895" s="43" t="s">
        <v>226</v>
      </c>
      <c r="I2895" s="40" t="s">
        <v>1300</v>
      </c>
    </row>
    <row r="2896" spans="1:9" x14ac:dyDescent="0.2">
      <c r="A2896" s="40" t="s">
        <v>145</v>
      </c>
      <c r="B2896" s="28">
        <v>3460</v>
      </c>
      <c r="C2896" s="28" t="s">
        <v>945</v>
      </c>
      <c r="D2896" s="28"/>
      <c r="E2896" s="41">
        <v>46168</v>
      </c>
      <c r="F2896" s="47">
        <v>0.15695601851851851</v>
      </c>
      <c r="G2896" s="44">
        <v>6.3</v>
      </c>
      <c r="H2896" s="43" t="s">
        <v>227</v>
      </c>
      <c r="I2896" s="40" t="s">
        <v>1300</v>
      </c>
    </row>
    <row r="2897" spans="1:9" x14ac:dyDescent="0.2">
      <c r="A2897" s="40" t="s">
        <v>145</v>
      </c>
      <c r="B2897" s="28">
        <v>3460</v>
      </c>
      <c r="C2897" s="28" t="s">
        <v>946</v>
      </c>
      <c r="D2897" s="28"/>
      <c r="E2897" s="41">
        <v>46168</v>
      </c>
      <c r="F2897" s="47">
        <v>0.36400462962962965</v>
      </c>
      <c r="G2897" s="44">
        <v>6.3</v>
      </c>
      <c r="H2897" s="43" t="s">
        <v>228</v>
      </c>
      <c r="I2897" s="40" t="s">
        <v>1300</v>
      </c>
    </row>
    <row r="2898" spans="1:9" x14ac:dyDescent="0.2">
      <c r="A2898" s="40" t="s">
        <v>145</v>
      </c>
      <c r="B2898" s="28">
        <v>3460</v>
      </c>
      <c r="C2898" s="28" t="s">
        <v>946</v>
      </c>
      <c r="D2898" s="28"/>
      <c r="E2898" s="45">
        <v>46168</v>
      </c>
      <c r="F2898" s="48">
        <v>0.37912037037037039</v>
      </c>
      <c r="G2898" s="42">
        <v>6.3</v>
      </c>
      <c r="H2898" s="40" t="s">
        <v>229</v>
      </c>
      <c r="I2898" s="40" t="s">
        <v>1300</v>
      </c>
    </row>
    <row r="2899" spans="1:9" x14ac:dyDescent="0.2">
      <c r="A2899" s="40" t="s">
        <v>145</v>
      </c>
      <c r="B2899" s="28">
        <v>3460</v>
      </c>
      <c r="C2899" s="28" t="s">
        <v>947</v>
      </c>
      <c r="D2899" s="28"/>
      <c r="E2899" s="41">
        <v>46168</v>
      </c>
      <c r="F2899" s="47">
        <v>0.46256944444444442</v>
      </c>
      <c r="G2899" s="42">
        <v>6.3</v>
      </c>
      <c r="H2899" s="40" t="s">
        <v>230</v>
      </c>
      <c r="I2899" s="40" t="s">
        <v>1300</v>
      </c>
    </row>
    <row r="2900" spans="1:9" x14ac:dyDescent="0.2">
      <c r="A2900" s="40" t="s">
        <v>145</v>
      </c>
      <c r="B2900" s="28">
        <v>3460</v>
      </c>
      <c r="C2900" s="28" t="s">
        <v>947</v>
      </c>
      <c r="D2900" s="28"/>
      <c r="E2900" s="41">
        <v>46168</v>
      </c>
      <c r="F2900" s="47">
        <v>0.47363425925925928</v>
      </c>
      <c r="G2900" s="44">
        <v>6.3</v>
      </c>
      <c r="H2900" s="43" t="s">
        <v>227</v>
      </c>
      <c r="I2900" s="40" t="s">
        <v>1300</v>
      </c>
    </row>
    <row r="2901" spans="1:9" x14ac:dyDescent="0.2">
      <c r="A2901" s="40" t="s">
        <v>145</v>
      </c>
      <c r="B2901" s="28">
        <v>3460</v>
      </c>
      <c r="C2901" s="28" t="s">
        <v>35</v>
      </c>
      <c r="D2901" s="28" t="s">
        <v>38</v>
      </c>
      <c r="E2901" s="41">
        <v>46168</v>
      </c>
      <c r="F2901" s="47">
        <v>0.74165509259259255</v>
      </c>
      <c r="G2901" s="44">
        <v>6.3</v>
      </c>
      <c r="H2901" s="43" t="s">
        <v>228</v>
      </c>
      <c r="I2901" s="40" t="s">
        <v>1300</v>
      </c>
    </row>
    <row r="2902" spans="1:9" x14ac:dyDescent="0.2">
      <c r="A2902" s="40" t="s">
        <v>145</v>
      </c>
      <c r="B2902" s="28">
        <v>3460</v>
      </c>
      <c r="C2902" s="28" t="s">
        <v>948</v>
      </c>
      <c r="D2902" s="28"/>
      <c r="E2902" s="45">
        <v>46168</v>
      </c>
      <c r="F2902" s="48">
        <v>0.75993055555555555</v>
      </c>
      <c r="G2902" s="44">
        <v>6.3</v>
      </c>
      <c r="H2902" s="43" t="s">
        <v>232</v>
      </c>
      <c r="I2902" s="40" t="s">
        <v>1300</v>
      </c>
    </row>
    <row r="2903" spans="1:9" x14ac:dyDescent="0.2">
      <c r="A2903" s="40" t="s">
        <v>145</v>
      </c>
      <c r="B2903" s="28">
        <v>3460</v>
      </c>
      <c r="C2903" s="28" t="s">
        <v>949</v>
      </c>
      <c r="D2903" s="28"/>
      <c r="E2903" s="41">
        <v>46169</v>
      </c>
      <c r="F2903" s="47">
        <v>0.25247685185185187</v>
      </c>
      <c r="G2903" s="44">
        <v>6.3</v>
      </c>
      <c r="H2903" s="43" t="s">
        <v>228</v>
      </c>
      <c r="I2903" s="40" t="s">
        <v>1300</v>
      </c>
    </row>
    <row r="2904" spans="1:9" x14ac:dyDescent="0.2">
      <c r="A2904" s="40" t="s">
        <v>145</v>
      </c>
      <c r="B2904" s="28">
        <v>3460</v>
      </c>
      <c r="C2904" s="28" t="s">
        <v>949</v>
      </c>
      <c r="D2904" s="28"/>
      <c r="E2904" s="41">
        <v>46169</v>
      </c>
      <c r="F2904" s="47">
        <v>0.26344907407407409</v>
      </c>
      <c r="G2904" s="44">
        <v>6.3</v>
      </c>
      <c r="H2904" s="43" t="s">
        <v>229</v>
      </c>
      <c r="I2904" s="40" t="s">
        <v>1300</v>
      </c>
    </row>
    <row r="2905" spans="1:9" x14ac:dyDescent="0.2">
      <c r="A2905" s="40" t="s">
        <v>145</v>
      </c>
      <c r="B2905" s="28">
        <v>3460</v>
      </c>
      <c r="C2905" s="28" t="s">
        <v>950</v>
      </c>
      <c r="D2905" s="28"/>
      <c r="E2905" s="41">
        <v>46169</v>
      </c>
      <c r="F2905" s="47">
        <v>0.32436342592592593</v>
      </c>
      <c r="G2905" s="44">
        <v>6.3</v>
      </c>
      <c r="H2905" s="43" t="s">
        <v>230</v>
      </c>
      <c r="I2905" s="40" t="s">
        <v>1300</v>
      </c>
    </row>
    <row r="2906" spans="1:9" x14ac:dyDescent="0.2">
      <c r="A2906" s="40" t="s">
        <v>145</v>
      </c>
      <c r="B2906" s="28">
        <v>3460</v>
      </c>
      <c r="C2906" s="28" t="s">
        <v>950</v>
      </c>
      <c r="D2906" s="28"/>
      <c r="E2906" s="41">
        <v>46169</v>
      </c>
      <c r="F2906" s="47">
        <v>0.33224537037037039</v>
      </c>
      <c r="G2906" s="44">
        <v>6.3</v>
      </c>
      <c r="H2906" s="43" t="s">
        <v>227</v>
      </c>
      <c r="I2906" s="40" t="s">
        <v>1300</v>
      </c>
    </row>
    <row r="2907" spans="1:9" x14ac:dyDescent="0.2">
      <c r="A2907" s="40" t="s">
        <v>145</v>
      </c>
      <c r="B2907" s="28">
        <v>3460</v>
      </c>
      <c r="C2907" s="28" t="s">
        <v>951</v>
      </c>
      <c r="D2907" s="28"/>
      <c r="E2907" s="41">
        <v>46169</v>
      </c>
      <c r="F2907" s="47">
        <v>0.67991898148148144</v>
      </c>
      <c r="G2907" s="44">
        <v>6.3</v>
      </c>
      <c r="H2907" s="43" t="s">
        <v>228</v>
      </c>
      <c r="I2907" s="40" t="s">
        <v>1300</v>
      </c>
    </row>
    <row r="2908" spans="1:9" x14ac:dyDescent="0.2">
      <c r="A2908" s="40" t="s">
        <v>145</v>
      </c>
      <c r="B2908" s="28">
        <v>3460</v>
      </c>
      <c r="C2908" s="28" t="s">
        <v>951</v>
      </c>
      <c r="D2908" s="28"/>
      <c r="E2908" s="41">
        <v>46169</v>
      </c>
      <c r="F2908" s="47">
        <v>0.69144675925925925</v>
      </c>
      <c r="G2908" s="42">
        <v>6.3</v>
      </c>
      <c r="H2908" s="40" t="s">
        <v>229</v>
      </c>
      <c r="I2908" s="40" t="s">
        <v>1300</v>
      </c>
    </row>
    <row r="2909" spans="1:9" x14ac:dyDescent="0.2">
      <c r="A2909" s="40" t="s">
        <v>145</v>
      </c>
      <c r="B2909" s="28">
        <v>3460</v>
      </c>
      <c r="C2909" s="28" t="s">
        <v>952</v>
      </c>
      <c r="D2909" s="28"/>
      <c r="E2909" s="41">
        <v>46170</v>
      </c>
      <c r="F2909" s="47">
        <v>0.17849537037037036</v>
      </c>
      <c r="G2909" s="44">
        <v>6.3</v>
      </c>
      <c r="H2909" s="43" t="s">
        <v>226</v>
      </c>
      <c r="I2909" s="40" t="s">
        <v>1300</v>
      </c>
    </row>
    <row r="2910" spans="1:9" x14ac:dyDescent="0.2">
      <c r="A2910" s="40" t="s">
        <v>145</v>
      </c>
      <c r="B2910" s="28">
        <v>3460</v>
      </c>
      <c r="C2910" s="28" t="s">
        <v>952</v>
      </c>
      <c r="D2910" s="28"/>
      <c r="E2910" s="41">
        <v>46170</v>
      </c>
      <c r="F2910" s="47">
        <v>0.18350694444444443</v>
      </c>
      <c r="G2910" s="44">
        <v>6.3</v>
      </c>
      <c r="H2910" s="43" t="s">
        <v>227</v>
      </c>
      <c r="I2910" s="40" t="s">
        <v>1300</v>
      </c>
    </row>
    <row r="2911" spans="1:9" x14ac:dyDescent="0.2">
      <c r="A2911" s="40" t="s">
        <v>145</v>
      </c>
      <c r="B2911" s="28">
        <v>3460</v>
      </c>
      <c r="C2911" s="28" t="s">
        <v>953</v>
      </c>
      <c r="D2911" s="28"/>
      <c r="E2911" s="41">
        <v>46170</v>
      </c>
      <c r="F2911" s="47">
        <v>0.36167824074074073</v>
      </c>
      <c r="G2911" s="44">
        <v>6.3</v>
      </c>
      <c r="H2911" s="43" t="s">
        <v>227</v>
      </c>
      <c r="I2911" s="40" t="s">
        <v>1300</v>
      </c>
    </row>
    <row r="2912" spans="1:9" x14ac:dyDescent="0.2">
      <c r="A2912" s="40" t="s">
        <v>145</v>
      </c>
      <c r="B2912" s="28">
        <v>3460</v>
      </c>
      <c r="C2912" s="28" t="s">
        <v>954</v>
      </c>
      <c r="D2912" s="28"/>
      <c r="E2912" s="41">
        <v>46170</v>
      </c>
      <c r="F2912" s="47">
        <v>0.42709490740740741</v>
      </c>
      <c r="G2912" s="44">
        <v>6.3</v>
      </c>
      <c r="H2912" s="43" t="s">
        <v>228</v>
      </c>
      <c r="I2912" s="40" t="s">
        <v>1300</v>
      </c>
    </row>
    <row r="2913" spans="1:9" x14ac:dyDescent="0.2">
      <c r="A2913" s="40" t="s">
        <v>145</v>
      </c>
      <c r="B2913" s="28">
        <v>3460</v>
      </c>
      <c r="C2913" s="28" t="s">
        <v>954</v>
      </c>
      <c r="D2913" s="28"/>
      <c r="E2913" s="41">
        <v>46170</v>
      </c>
      <c r="F2913" s="47">
        <v>0.43399305555555556</v>
      </c>
      <c r="G2913" s="44">
        <v>6.3</v>
      </c>
      <c r="H2913" s="43" t="s">
        <v>232</v>
      </c>
      <c r="I2913" s="40" t="s">
        <v>1300</v>
      </c>
    </row>
    <row r="2914" spans="1:9" x14ac:dyDescent="0.2">
      <c r="A2914" s="40" t="s">
        <v>145</v>
      </c>
      <c r="B2914" s="28">
        <v>3460</v>
      </c>
      <c r="C2914" s="28" t="s">
        <v>955</v>
      </c>
      <c r="D2914" s="28"/>
      <c r="E2914" s="41">
        <v>46171</v>
      </c>
      <c r="F2914" s="47">
        <v>0.17173611111111112</v>
      </c>
      <c r="G2914" s="44">
        <v>6.3</v>
      </c>
      <c r="H2914" s="43" t="s">
        <v>230</v>
      </c>
      <c r="I2914" s="40" t="s">
        <v>1300</v>
      </c>
    </row>
    <row r="2915" spans="1:9" x14ac:dyDescent="0.2">
      <c r="A2915" s="40" t="s">
        <v>145</v>
      </c>
      <c r="B2915" s="28">
        <v>3460</v>
      </c>
      <c r="C2915" s="28" t="s">
        <v>955</v>
      </c>
      <c r="D2915" s="28"/>
      <c r="E2915" s="41">
        <v>46171</v>
      </c>
      <c r="F2915" s="47">
        <v>0.17715277777777777</v>
      </c>
      <c r="G2915" s="44">
        <v>6.3</v>
      </c>
      <c r="H2915" s="43" t="s">
        <v>227</v>
      </c>
      <c r="I2915" s="40" t="s">
        <v>1300</v>
      </c>
    </row>
    <row r="2916" spans="1:9" x14ac:dyDescent="0.2">
      <c r="A2916" s="40" t="s">
        <v>145</v>
      </c>
      <c r="B2916" s="28">
        <v>3460</v>
      </c>
      <c r="C2916" s="28" t="s">
        <v>956</v>
      </c>
      <c r="D2916" s="28"/>
      <c r="E2916" s="41">
        <v>46171</v>
      </c>
      <c r="F2916" s="47">
        <v>0.63907407407407413</v>
      </c>
      <c r="G2916" s="44">
        <v>6.3</v>
      </c>
      <c r="H2916" s="43" t="s">
        <v>228</v>
      </c>
      <c r="I2916" s="40" t="s">
        <v>1300</v>
      </c>
    </row>
    <row r="2917" spans="1:9" x14ac:dyDescent="0.2">
      <c r="A2917" s="40" t="s">
        <v>145</v>
      </c>
      <c r="B2917" s="28">
        <v>3460</v>
      </c>
      <c r="C2917" s="28" t="s">
        <v>956</v>
      </c>
      <c r="D2917" s="28"/>
      <c r="E2917" s="41">
        <v>46171</v>
      </c>
      <c r="F2917" s="47">
        <v>0.64940972222222226</v>
      </c>
      <c r="G2917" s="44">
        <v>6.3</v>
      </c>
      <c r="H2917" s="43" t="s">
        <v>229</v>
      </c>
      <c r="I2917" s="40" t="s">
        <v>1300</v>
      </c>
    </row>
    <row r="2918" spans="1:9" x14ac:dyDescent="0.2">
      <c r="A2918" s="40" t="s">
        <v>145</v>
      </c>
      <c r="B2918" s="28">
        <v>3460</v>
      </c>
      <c r="C2918" s="28" t="s">
        <v>957</v>
      </c>
      <c r="D2918" s="28"/>
      <c r="E2918" s="45">
        <v>46172</v>
      </c>
      <c r="F2918" s="48">
        <v>0.23186342592592593</v>
      </c>
      <c r="G2918" s="44">
        <v>6.3</v>
      </c>
      <c r="H2918" s="43" t="s">
        <v>226</v>
      </c>
      <c r="I2918" s="40" t="s">
        <v>1300</v>
      </c>
    </row>
    <row r="2919" spans="1:9" x14ac:dyDescent="0.2">
      <c r="A2919" s="40" t="s">
        <v>145</v>
      </c>
      <c r="B2919" s="28">
        <v>3460</v>
      </c>
      <c r="C2919" s="28" t="s">
        <v>957</v>
      </c>
      <c r="D2919" s="28"/>
      <c r="E2919" s="41">
        <v>46172</v>
      </c>
      <c r="F2919" s="47">
        <v>0.23716435185185186</v>
      </c>
      <c r="G2919" s="44">
        <v>6.3</v>
      </c>
      <c r="H2919" s="43" t="s">
        <v>227</v>
      </c>
      <c r="I2919" s="40" t="s">
        <v>1300</v>
      </c>
    </row>
    <row r="2920" spans="1:9" x14ac:dyDescent="0.2">
      <c r="A2920" s="40" t="s">
        <v>145</v>
      </c>
      <c r="B2920" s="28">
        <v>3460</v>
      </c>
      <c r="C2920" s="28" t="s">
        <v>958</v>
      </c>
      <c r="D2920" s="28"/>
      <c r="E2920" s="41">
        <v>46172</v>
      </c>
      <c r="F2920" s="47">
        <v>0.33005787037037038</v>
      </c>
      <c r="G2920" s="44">
        <v>6.3</v>
      </c>
      <c r="H2920" s="43" t="s">
        <v>228</v>
      </c>
      <c r="I2920" s="40" t="s">
        <v>1300</v>
      </c>
    </row>
    <row r="2921" spans="1:9" x14ac:dyDescent="0.2">
      <c r="A2921" s="40" t="s">
        <v>145</v>
      </c>
      <c r="B2921" s="28">
        <v>3460</v>
      </c>
      <c r="C2921" s="28" t="s">
        <v>958</v>
      </c>
      <c r="D2921" s="28"/>
      <c r="E2921" s="41">
        <v>46172</v>
      </c>
      <c r="F2921" s="47">
        <v>0.33791666666666664</v>
      </c>
      <c r="G2921" s="44">
        <v>6.3</v>
      </c>
      <c r="H2921" s="43" t="s">
        <v>229</v>
      </c>
      <c r="I2921" s="40" t="s">
        <v>1300</v>
      </c>
    </row>
    <row r="2922" spans="1:9" x14ac:dyDescent="0.2">
      <c r="A2922" s="40" t="s">
        <v>145</v>
      </c>
      <c r="B2922" s="28">
        <v>3460</v>
      </c>
      <c r="C2922" s="28" t="s">
        <v>35</v>
      </c>
      <c r="D2922" s="28" t="s">
        <v>38</v>
      </c>
      <c r="E2922" s="45">
        <v>46172</v>
      </c>
      <c r="F2922" s="48">
        <v>0.36341435185185184</v>
      </c>
      <c r="G2922" s="44">
        <v>6.3</v>
      </c>
      <c r="H2922" s="43" t="s">
        <v>226</v>
      </c>
      <c r="I2922" s="40" t="s">
        <v>1300</v>
      </c>
    </row>
    <row r="2923" spans="1:9" x14ac:dyDescent="0.2">
      <c r="A2923" s="40" t="s">
        <v>145</v>
      </c>
      <c r="B2923" s="28">
        <v>3460</v>
      </c>
      <c r="C2923" s="28" t="s">
        <v>959</v>
      </c>
      <c r="D2923" s="28"/>
      <c r="E2923" s="41">
        <v>46172</v>
      </c>
      <c r="F2923" s="47">
        <v>0.66431712962962963</v>
      </c>
      <c r="G2923" s="44">
        <v>6.3</v>
      </c>
      <c r="H2923" s="43" t="s">
        <v>228</v>
      </c>
      <c r="I2923" s="40" t="s">
        <v>1300</v>
      </c>
    </row>
    <row r="2924" spans="1:9" x14ac:dyDescent="0.2">
      <c r="A2924" s="40" t="s">
        <v>145</v>
      </c>
      <c r="B2924" s="28">
        <v>3460</v>
      </c>
      <c r="C2924" s="28" t="s">
        <v>959</v>
      </c>
      <c r="D2924" s="28"/>
      <c r="E2924" s="41">
        <v>46172</v>
      </c>
      <c r="F2924" s="47">
        <v>0.67575231481481479</v>
      </c>
      <c r="G2924" s="44">
        <v>6.3</v>
      </c>
      <c r="H2924" s="43" t="s">
        <v>232</v>
      </c>
      <c r="I2924" s="40" t="s">
        <v>1300</v>
      </c>
    </row>
    <row r="2925" spans="1:9" x14ac:dyDescent="0.2">
      <c r="A2925" s="40" t="s">
        <v>145</v>
      </c>
      <c r="B2925" s="28">
        <v>3460</v>
      </c>
      <c r="C2925" s="28" t="s">
        <v>960</v>
      </c>
      <c r="D2925" s="28"/>
      <c r="E2925" s="41">
        <v>46173</v>
      </c>
      <c r="F2925" s="47">
        <v>0.17504629629629628</v>
      </c>
      <c r="G2925" s="44">
        <v>6.3</v>
      </c>
      <c r="H2925" s="43" t="s">
        <v>230</v>
      </c>
      <c r="I2925" s="40" t="s">
        <v>1300</v>
      </c>
    </row>
    <row r="2926" spans="1:9" x14ac:dyDescent="0.2">
      <c r="A2926" s="40" t="s">
        <v>145</v>
      </c>
      <c r="B2926" s="28">
        <v>3460</v>
      </c>
      <c r="C2926" s="28" t="s">
        <v>960</v>
      </c>
      <c r="D2926" s="28"/>
      <c r="E2926" s="41">
        <v>46173</v>
      </c>
      <c r="F2926" s="47">
        <v>0.17964120370370371</v>
      </c>
      <c r="G2926" s="44">
        <v>6.3</v>
      </c>
      <c r="H2926" s="43" t="s">
        <v>227</v>
      </c>
      <c r="I2926" s="40" t="s">
        <v>1300</v>
      </c>
    </row>
    <row r="2927" spans="1:9" x14ac:dyDescent="0.2">
      <c r="A2927" s="40" t="s">
        <v>145</v>
      </c>
      <c r="B2927" s="28">
        <v>3460</v>
      </c>
      <c r="C2927" s="28" t="s">
        <v>961</v>
      </c>
      <c r="D2927" s="28"/>
      <c r="E2927" s="41">
        <v>46173</v>
      </c>
      <c r="F2927" s="47">
        <v>0.38290509259259259</v>
      </c>
      <c r="G2927" s="44">
        <v>6.3</v>
      </c>
      <c r="H2927" s="43" t="s">
        <v>228</v>
      </c>
      <c r="I2927" s="40" t="s">
        <v>1300</v>
      </c>
    </row>
    <row r="2928" spans="1:9" x14ac:dyDescent="0.2">
      <c r="A2928" s="40" t="s">
        <v>145</v>
      </c>
      <c r="B2928" s="28">
        <v>3460</v>
      </c>
      <c r="C2928" s="28" t="s">
        <v>962</v>
      </c>
      <c r="D2928" s="28"/>
      <c r="E2928" s="41">
        <v>46173</v>
      </c>
      <c r="F2928" s="47">
        <v>0.4526736111111111</v>
      </c>
      <c r="G2928" s="44">
        <v>6.3</v>
      </c>
      <c r="H2928" s="43" t="s">
        <v>230</v>
      </c>
      <c r="I2928" s="40" t="s">
        <v>1300</v>
      </c>
    </row>
    <row r="2929" spans="1:9" x14ac:dyDescent="0.2">
      <c r="A2929" s="40" t="s">
        <v>145</v>
      </c>
      <c r="B2929" s="28">
        <v>3460</v>
      </c>
      <c r="C2929" s="28" t="s">
        <v>962</v>
      </c>
      <c r="D2929" s="28"/>
      <c r="E2929" s="41">
        <v>46173</v>
      </c>
      <c r="F2929" s="47">
        <v>0.45763888888888887</v>
      </c>
      <c r="G2929" s="44">
        <v>6.3</v>
      </c>
      <c r="H2929" s="43" t="s">
        <v>227</v>
      </c>
      <c r="I2929" s="40" t="s">
        <v>1300</v>
      </c>
    </row>
    <row r="2930" spans="1:9" x14ac:dyDescent="0.2">
      <c r="A2930" s="40" t="s">
        <v>210</v>
      </c>
      <c r="B2930" s="28">
        <v>3461</v>
      </c>
      <c r="C2930" s="28">
        <v>5686250</v>
      </c>
      <c r="D2930" s="28"/>
      <c r="E2930" s="45">
        <v>46168</v>
      </c>
      <c r="F2930" s="48">
        <v>0.23520833333333332</v>
      </c>
      <c r="G2930" s="44">
        <v>6.3</v>
      </c>
      <c r="H2930" s="43" t="s">
        <v>230</v>
      </c>
      <c r="I2930" s="40" t="s">
        <v>1300</v>
      </c>
    </row>
    <row r="2931" spans="1:9" x14ac:dyDescent="0.2">
      <c r="A2931" s="40" t="s">
        <v>210</v>
      </c>
      <c r="B2931" s="28">
        <v>3461</v>
      </c>
      <c r="C2931" s="28">
        <v>5686250</v>
      </c>
      <c r="D2931" s="28"/>
      <c r="E2931" s="41">
        <v>46168</v>
      </c>
      <c r="F2931" s="47">
        <v>0.24077546296296296</v>
      </c>
      <c r="G2931" s="44">
        <v>6.3</v>
      </c>
      <c r="H2931" s="43" t="s">
        <v>227</v>
      </c>
      <c r="I2931" s="40" t="s">
        <v>1300</v>
      </c>
    </row>
    <row r="2932" spans="1:9" x14ac:dyDescent="0.2">
      <c r="A2932" s="40" t="s">
        <v>210</v>
      </c>
      <c r="B2932" s="28">
        <v>3461</v>
      </c>
      <c r="C2932" s="28">
        <v>5691520</v>
      </c>
      <c r="D2932" s="28"/>
      <c r="E2932" s="41">
        <v>46171</v>
      </c>
      <c r="F2932" s="47">
        <v>0.90017361111111116</v>
      </c>
      <c r="G2932" s="42">
        <v>6.3</v>
      </c>
      <c r="H2932" s="40" t="s">
        <v>228</v>
      </c>
      <c r="I2932" s="40" t="s">
        <v>1300</v>
      </c>
    </row>
    <row r="2933" spans="1:9" x14ac:dyDescent="0.2">
      <c r="A2933" s="40" t="s">
        <v>210</v>
      </c>
      <c r="B2933" s="28">
        <v>3461</v>
      </c>
      <c r="C2933" s="28">
        <v>5691520</v>
      </c>
      <c r="D2933" s="28"/>
      <c r="E2933" s="41">
        <v>46171</v>
      </c>
      <c r="F2933" s="47">
        <v>0.90781250000000002</v>
      </c>
      <c r="G2933" s="42">
        <v>6.3</v>
      </c>
      <c r="H2933" s="40" t="s">
        <v>229</v>
      </c>
      <c r="I2933" s="40" t="s">
        <v>1300</v>
      </c>
    </row>
    <row r="2934" spans="1:9" x14ac:dyDescent="0.2">
      <c r="A2934" s="40" t="s">
        <v>104</v>
      </c>
      <c r="B2934" s="28">
        <v>3504</v>
      </c>
      <c r="C2934" s="28" t="s">
        <v>35</v>
      </c>
      <c r="D2934" s="28" t="s">
        <v>38</v>
      </c>
      <c r="E2934" s="41">
        <v>46167</v>
      </c>
      <c r="F2934" s="47">
        <v>0.30398148148148146</v>
      </c>
      <c r="G2934" s="44">
        <v>6.3</v>
      </c>
      <c r="H2934" s="43" t="s">
        <v>229</v>
      </c>
      <c r="I2934" s="40" t="s">
        <v>1300</v>
      </c>
    </row>
    <row r="2935" spans="1:9" x14ac:dyDescent="0.2">
      <c r="A2935" s="40" t="s">
        <v>104</v>
      </c>
      <c r="B2935" s="28">
        <v>3504</v>
      </c>
      <c r="C2935" s="28" t="s">
        <v>963</v>
      </c>
      <c r="D2935" s="28"/>
      <c r="E2935" s="45">
        <v>46170</v>
      </c>
      <c r="F2935" s="48">
        <v>0.32956018518518521</v>
      </c>
      <c r="G2935" s="44">
        <v>6.3</v>
      </c>
      <c r="H2935" s="43" t="s">
        <v>228</v>
      </c>
      <c r="I2935" s="40" t="s">
        <v>1300</v>
      </c>
    </row>
    <row r="2936" spans="1:9" x14ac:dyDescent="0.2">
      <c r="A2936" s="40" t="s">
        <v>104</v>
      </c>
      <c r="B2936" s="28">
        <v>3504</v>
      </c>
      <c r="C2936" s="28" t="s">
        <v>963</v>
      </c>
      <c r="D2936" s="28"/>
      <c r="E2936" s="41">
        <v>46170</v>
      </c>
      <c r="F2936" s="47">
        <v>0.34410879629629632</v>
      </c>
      <c r="G2936" s="44">
        <v>6.3</v>
      </c>
      <c r="H2936" s="43" t="s">
        <v>229</v>
      </c>
      <c r="I2936" s="40" t="s">
        <v>1300</v>
      </c>
    </row>
    <row r="2937" spans="1:9" x14ac:dyDescent="0.2">
      <c r="A2937" s="40" t="s">
        <v>104</v>
      </c>
      <c r="B2937" s="28">
        <v>3504</v>
      </c>
      <c r="C2937" s="28" t="s">
        <v>964</v>
      </c>
      <c r="D2937" s="28"/>
      <c r="E2937" s="41">
        <v>46170</v>
      </c>
      <c r="F2937" s="47">
        <v>0.39186342592592593</v>
      </c>
      <c r="G2937" s="44">
        <v>6.3</v>
      </c>
      <c r="H2937" s="43" t="s">
        <v>230</v>
      </c>
      <c r="I2937" s="40" t="s">
        <v>1300</v>
      </c>
    </row>
    <row r="2938" spans="1:9" x14ac:dyDescent="0.2">
      <c r="A2938" s="40" t="s">
        <v>104</v>
      </c>
      <c r="B2938" s="28">
        <v>3504</v>
      </c>
      <c r="C2938" s="28" t="s">
        <v>964</v>
      </c>
      <c r="D2938" s="28"/>
      <c r="E2938" s="45">
        <v>46170</v>
      </c>
      <c r="F2938" s="48">
        <v>0.39870370370370373</v>
      </c>
      <c r="G2938" s="44">
        <v>6.3</v>
      </c>
      <c r="H2938" s="43" t="s">
        <v>227</v>
      </c>
      <c r="I2938" s="40" t="s">
        <v>1300</v>
      </c>
    </row>
    <row r="2939" spans="1:9" x14ac:dyDescent="0.2">
      <c r="A2939" s="40" t="s">
        <v>104</v>
      </c>
      <c r="B2939" s="28">
        <v>3504</v>
      </c>
      <c r="C2939" s="28">
        <v>5693076</v>
      </c>
      <c r="D2939" s="28"/>
      <c r="E2939" s="41">
        <v>46171</v>
      </c>
      <c r="F2939" s="47">
        <v>0.54656249999999995</v>
      </c>
      <c r="G2939" s="44">
        <v>6.3</v>
      </c>
      <c r="H2939" s="43" t="s">
        <v>230</v>
      </c>
      <c r="I2939" s="40" t="s">
        <v>1300</v>
      </c>
    </row>
    <row r="2940" spans="1:9" x14ac:dyDescent="0.2">
      <c r="A2940" s="40" t="s">
        <v>104</v>
      </c>
      <c r="B2940" s="28">
        <v>3504</v>
      </c>
      <c r="C2940" s="28">
        <v>5693076</v>
      </c>
      <c r="D2940" s="28"/>
      <c r="E2940" s="41">
        <v>46171</v>
      </c>
      <c r="F2940" s="47">
        <v>0.55784722222222227</v>
      </c>
      <c r="G2940" s="42">
        <v>6.3</v>
      </c>
      <c r="H2940" s="40" t="s">
        <v>227</v>
      </c>
      <c r="I2940" s="40" t="s">
        <v>1300</v>
      </c>
    </row>
    <row r="2941" spans="1:9" x14ac:dyDescent="0.2">
      <c r="A2941" s="40" t="s">
        <v>104</v>
      </c>
      <c r="B2941" s="28">
        <v>3504</v>
      </c>
      <c r="C2941" s="28" t="s">
        <v>965</v>
      </c>
      <c r="D2941" s="28"/>
      <c r="E2941" s="41">
        <v>46172</v>
      </c>
      <c r="F2941" s="47">
        <v>0.83098379629629626</v>
      </c>
      <c r="G2941" s="42">
        <v>6.3</v>
      </c>
      <c r="H2941" s="40" t="s">
        <v>228</v>
      </c>
      <c r="I2941" s="40" t="s">
        <v>1300</v>
      </c>
    </row>
    <row r="2942" spans="1:9" x14ac:dyDescent="0.2">
      <c r="A2942" s="40" t="s">
        <v>104</v>
      </c>
      <c r="B2942" s="28">
        <v>3504</v>
      </c>
      <c r="C2942" s="28" t="s">
        <v>966</v>
      </c>
      <c r="D2942" s="28"/>
      <c r="E2942" s="41">
        <v>46173</v>
      </c>
      <c r="F2942" s="47">
        <v>0.51225694444444447</v>
      </c>
      <c r="G2942" s="42">
        <v>6.3</v>
      </c>
      <c r="H2942" s="40" t="s">
        <v>230</v>
      </c>
      <c r="I2942" s="40" t="s">
        <v>1300</v>
      </c>
    </row>
    <row r="2943" spans="1:9" x14ac:dyDescent="0.2">
      <c r="A2943" s="40" t="s">
        <v>104</v>
      </c>
      <c r="B2943" s="28">
        <v>3504</v>
      </c>
      <c r="C2943" s="28" t="s">
        <v>966</v>
      </c>
      <c r="D2943" s="28"/>
      <c r="E2943" s="41">
        <v>46173</v>
      </c>
      <c r="F2943" s="47">
        <v>0.51747685185185188</v>
      </c>
      <c r="G2943" s="44">
        <v>6.3</v>
      </c>
      <c r="H2943" s="43" t="s">
        <v>227</v>
      </c>
      <c r="I2943" s="40" t="s">
        <v>1300</v>
      </c>
    </row>
    <row r="2944" spans="1:9" x14ac:dyDescent="0.2">
      <c r="A2944" s="40" t="s">
        <v>104</v>
      </c>
      <c r="B2944" s="28">
        <v>3504</v>
      </c>
      <c r="C2944" s="28" t="s">
        <v>967</v>
      </c>
      <c r="D2944" s="28"/>
      <c r="E2944" s="41">
        <v>46173</v>
      </c>
      <c r="F2944" s="47">
        <v>0.5910185185185185</v>
      </c>
      <c r="G2944" s="44">
        <v>6.3</v>
      </c>
      <c r="H2944" s="43" t="s">
        <v>228</v>
      </c>
      <c r="I2944" s="40" t="s">
        <v>1300</v>
      </c>
    </row>
    <row r="2945" spans="1:9" x14ac:dyDescent="0.2">
      <c r="A2945" s="40" t="s">
        <v>104</v>
      </c>
      <c r="B2945" s="28">
        <v>3504</v>
      </c>
      <c r="C2945" s="28" t="s">
        <v>968</v>
      </c>
      <c r="D2945" s="28"/>
      <c r="E2945" s="41">
        <v>46173</v>
      </c>
      <c r="F2945" s="47">
        <v>0.68862268518518521</v>
      </c>
      <c r="G2945" s="42">
        <v>6.3</v>
      </c>
      <c r="H2945" s="40" t="s">
        <v>226</v>
      </c>
      <c r="I2945" s="40" t="s">
        <v>1300</v>
      </c>
    </row>
    <row r="2946" spans="1:9" x14ac:dyDescent="0.2">
      <c r="A2946" s="40" t="s">
        <v>104</v>
      </c>
      <c r="B2946" s="28">
        <v>3504</v>
      </c>
      <c r="C2946" s="28" t="s">
        <v>968</v>
      </c>
      <c r="D2946" s="28"/>
      <c r="E2946" s="41">
        <v>46173</v>
      </c>
      <c r="F2946" s="47">
        <v>0.69383101851851847</v>
      </c>
      <c r="G2946" s="42">
        <v>6.3</v>
      </c>
      <c r="H2946" s="40" t="s">
        <v>227</v>
      </c>
      <c r="I2946" s="40" t="s">
        <v>1300</v>
      </c>
    </row>
    <row r="2947" spans="1:9" x14ac:dyDescent="0.2">
      <c r="A2947" s="40" t="s">
        <v>104</v>
      </c>
      <c r="B2947" s="28">
        <v>3504</v>
      </c>
      <c r="C2947" s="28" t="s">
        <v>35</v>
      </c>
      <c r="D2947" s="28" t="s">
        <v>38</v>
      </c>
      <c r="E2947" s="41">
        <v>46173</v>
      </c>
      <c r="F2947" s="47">
        <v>0.90293981481481478</v>
      </c>
      <c r="G2947" s="42">
        <v>6.3</v>
      </c>
      <c r="H2947" s="40" t="s">
        <v>226</v>
      </c>
      <c r="I2947" s="40" t="s">
        <v>1300</v>
      </c>
    </row>
    <row r="2948" spans="1:9" x14ac:dyDescent="0.2">
      <c r="A2948" s="40" t="s">
        <v>259</v>
      </c>
      <c r="B2948" s="28">
        <v>3509</v>
      </c>
      <c r="C2948" s="28">
        <v>5686888</v>
      </c>
      <c r="D2948" s="28"/>
      <c r="E2948" s="41">
        <v>46167</v>
      </c>
      <c r="F2948" s="47">
        <v>0.8918518518518519</v>
      </c>
      <c r="G2948" s="44">
        <v>6.3</v>
      </c>
      <c r="H2948" s="43" t="s">
        <v>228</v>
      </c>
      <c r="I2948" s="40" t="s">
        <v>1300</v>
      </c>
    </row>
    <row r="2949" spans="1:9" x14ac:dyDescent="0.2">
      <c r="A2949" s="40" t="s">
        <v>259</v>
      </c>
      <c r="B2949" s="28">
        <v>3509</v>
      </c>
      <c r="C2949" s="28">
        <v>5686888</v>
      </c>
      <c r="D2949" s="28"/>
      <c r="E2949" s="41">
        <v>46167</v>
      </c>
      <c r="F2949" s="47">
        <v>0.89945601851851853</v>
      </c>
      <c r="G2949" s="44">
        <v>6.3</v>
      </c>
      <c r="H2949" s="43" t="s">
        <v>229</v>
      </c>
      <c r="I2949" s="40" t="s">
        <v>1300</v>
      </c>
    </row>
    <row r="2950" spans="1:9" x14ac:dyDescent="0.2">
      <c r="A2950" s="40" t="s">
        <v>259</v>
      </c>
      <c r="B2950" s="28">
        <v>3509</v>
      </c>
      <c r="C2950" s="28" t="s">
        <v>35</v>
      </c>
      <c r="D2950" s="28" t="s">
        <v>38</v>
      </c>
      <c r="E2950" s="41">
        <v>46167</v>
      </c>
      <c r="F2950" s="47">
        <v>0.93076388888888884</v>
      </c>
      <c r="G2950" s="44">
        <v>6.3</v>
      </c>
      <c r="H2950" s="43" t="s">
        <v>230</v>
      </c>
      <c r="I2950" s="40" t="s">
        <v>1300</v>
      </c>
    </row>
    <row r="2951" spans="1:9" x14ac:dyDescent="0.2">
      <c r="A2951" s="40" t="s">
        <v>259</v>
      </c>
      <c r="B2951" s="28">
        <v>3509</v>
      </c>
      <c r="C2951" s="28">
        <v>5692146</v>
      </c>
      <c r="D2951" s="28"/>
      <c r="E2951" s="41">
        <v>46170</v>
      </c>
      <c r="F2951" s="47">
        <v>0.86657407407407405</v>
      </c>
      <c r="G2951" s="44">
        <v>6.3</v>
      </c>
      <c r="H2951" s="43" t="s">
        <v>228</v>
      </c>
      <c r="I2951" s="40" t="s">
        <v>1300</v>
      </c>
    </row>
    <row r="2952" spans="1:9" x14ac:dyDescent="0.2">
      <c r="A2952" s="40" t="s">
        <v>259</v>
      </c>
      <c r="B2952" s="28">
        <v>3509</v>
      </c>
      <c r="C2952" s="28">
        <v>5692146</v>
      </c>
      <c r="D2952" s="28"/>
      <c r="E2952" s="45">
        <v>46170</v>
      </c>
      <c r="F2952" s="48">
        <v>0.87443287037037032</v>
      </c>
      <c r="G2952" s="42">
        <v>6.3</v>
      </c>
      <c r="H2952" s="40" t="s">
        <v>229</v>
      </c>
      <c r="I2952" s="40" t="s">
        <v>1300</v>
      </c>
    </row>
    <row r="2953" spans="1:9" x14ac:dyDescent="0.2">
      <c r="A2953" s="40" t="s">
        <v>211</v>
      </c>
      <c r="B2953" s="28">
        <v>3517</v>
      </c>
      <c r="C2953" s="28" t="s">
        <v>969</v>
      </c>
      <c r="D2953" s="28"/>
      <c r="E2953" s="41">
        <v>46168</v>
      </c>
      <c r="F2953" s="47">
        <v>0.78901620370370373</v>
      </c>
      <c r="G2953" s="42">
        <v>6.3</v>
      </c>
      <c r="H2953" s="40" t="s">
        <v>228</v>
      </c>
      <c r="I2953" s="40" t="s">
        <v>1300</v>
      </c>
    </row>
    <row r="2954" spans="1:9" x14ac:dyDescent="0.2">
      <c r="A2954" s="40" t="s">
        <v>211</v>
      </c>
      <c r="B2954" s="28">
        <v>3517</v>
      </c>
      <c r="C2954" s="28" t="s">
        <v>969</v>
      </c>
      <c r="D2954" s="28"/>
      <c r="E2954" s="45">
        <v>46168</v>
      </c>
      <c r="F2954" s="48">
        <v>0.80663194444444442</v>
      </c>
      <c r="G2954" s="44">
        <v>6.3</v>
      </c>
      <c r="H2954" s="43" t="s">
        <v>232</v>
      </c>
      <c r="I2954" s="40" t="s">
        <v>1300</v>
      </c>
    </row>
    <row r="2955" spans="1:9" x14ac:dyDescent="0.2">
      <c r="A2955" s="40" t="s">
        <v>211</v>
      </c>
      <c r="B2955" s="28">
        <v>3517</v>
      </c>
      <c r="C2955" s="28" t="s">
        <v>970</v>
      </c>
      <c r="D2955" s="28"/>
      <c r="E2955" s="41">
        <v>46168</v>
      </c>
      <c r="F2955" s="47">
        <v>0.95210648148148147</v>
      </c>
      <c r="G2955" s="44">
        <v>6.3</v>
      </c>
      <c r="H2955" s="43" t="s">
        <v>228</v>
      </c>
      <c r="I2955" s="40" t="s">
        <v>1300</v>
      </c>
    </row>
    <row r="2956" spans="1:9" x14ac:dyDescent="0.2">
      <c r="A2956" s="40" t="s">
        <v>211</v>
      </c>
      <c r="B2956" s="28">
        <v>3517</v>
      </c>
      <c r="C2956" s="28" t="s">
        <v>970</v>
      </c>
      <c r="D2956" s="28"/>
      <c r="E2956" s="41">
        <v>46168</v>
      </c>
      <c r="F2956" s="47">
        <v>0.95937499999999998</v>
      </c>
      <c r="G2956" s="42">
        <v>6.3</v>
      </c>
      <c r="H2956" s="40" t="s">
        <v>229</v>
      </c>
      <c r="I2956" s="40" t="s">
        <v>1300</v>
      </c>
    </row>
    <row r="2957" spans="1:9" x14ac:dyDescent="0.2">
      <c r="A2957" s="40" t="s">
        <v>211</v>
      </c>
      <c r="B2957" s="28">
        <v>3517</v>
      </c>
      <c r="C2957" s="28">
        <v>10757448</v>
      </c>
      <c r="D2957" s="28"/>
      <c r="E2957" s="45">
        <v>46169</v>
      </c>
      <c r="F2957" s="48">
        <v>0.51109953703703703</v>
      </c>
      <c r="G2957" s="42">
        <v>6.3</v>
      </c>
      <c r="H2957" s="40" t="s">
        <v>228</v>
      </c>
      <c r="I2957" s="40" t="s">
        <v>1300</v>
      </c>
    </row>
    <row r="2958" spans="1:9" x14ac:dyDescent="0.2">
      <c r="A2958" s="40" t="s">
        <v>211</v>
      </c>
      <c r="B2958" s="28">
        <v>3517</v>
      </c>
      <c r="C2958" s="28">
        <v>10757448</v>
      </c>
      <c r="D2958" s="28"/>
      <c r="E2958" s="41">
        <v>46169</v>
      </c>
      <c r="F2958" s="47">
        <v>0.52150462962962962</v>
      </c>
      <c r="G2958" s="42">
        <v>6.3</v>
      </c>
      <c r="H2958" s="40" t="s">
        <v>232</v>
      </c>
      <c r="I2958" s="40" t="s">
        <v>1300</v>
      </c>
    </row>
    <row r="2959" spans="1:9" x14ac:dyDescent="0.2">
      <c r="A2959" s="40" t="s">
        <v>211</v>
      </c>
      <c r="B2959" s="28">
        <v>3517</v>
      </c>
      <c r="C2959" s="28" t="s">
        <v>971</v>
      </c>
      <c r="D2959" s="28"/>
      <c r="E2959" s="45">
        <v>46170</v>
      </c>
      <c r="F2959" s="48">
        <v>0.93858796296296299</v>
      </c>
      <c r="G2959" s="42">
        <v>6.3</v>
      </c>
      <c r="H2959" s="40" t="s">
        <v>228</v>
      </c>
      <c r="I2959" s="40" t="s">
        <v>1300</v>
      </c>
    </row>
    <row r="2960" spans="1:9" x14ac:dyDescent="0.2">
      <c r="A2960" s="40" t="s">
        <v>211</v>
      </c>
      <c r="B2960" s="28">
        <v>3517</v>
      </c>
      <c r="C2960" s="28" t="s">
        <v>971</v>
      </c>
      <c r="D2960" s="28"/>
      <c r="E2960" s="45">
        <v>46170</v>
      </c>
      <c r="F2960" s="48">
        <v>0.94658564814814816</v>
      </c>
      <c r="G2960" s="44">
        <v>6.3</v>
      </c>
      <c r="H2960" s="43" t="s">
        <v>229</v>
      </c>
      <c r="I2960" s="40" t="s">
        <v>1300</v>
      </c>
    </row>
    <row r="2961" spans="1:9" x14ac:dyDescent="0.2">
      <c r="A2961" s="40" t="s">
        <v>211</v>
      </c>
      <c r="B2961" s="28">
        <v>3517</v>
      </c>
      <c r="C2961" s="28" t="s">
        <v>972</v>
      </c>
      <c r="D2961" s="28"/>
      <c r="E2961" s="41">
        <v>46171</v>
      </c>
      <c r="F2961" s="47">
        <v>0.84994212962962967</v>
      </c>
      <c r="G2961" s="44">
        <v>6.3</v>
      </c>
      <c r="H2961" s="43" t="s">
        <v>228</v>
      </c>
      <c r="I2961" s="40" t="s">
        <v>1300</v>
      </c>
    </row>
    <row r="2962" spans="1:9" x14ac:dyDescent="0.2">
      <c r="A2962" s="40" t="s">
        <v>211</v>
      </c>
      <c r="B2962" s="28">
        <v>3517</v>
      </c>
      <c r="C2962" s="28" t="s">
        <v>972</v>
      </c>
      <c r="D2962" s="28"/>
      <c r="E2962" s="41">
        <v>46171</v>
      </c>
      <c r="F2962" s="47">
        <v>0.85942129629629627</v>
      </c>
      <c r="G2962" s="44">
        <v>6.3</v>
      </c>
      <c r="H2962" s="43" t="s">
        <v>229</v>
      </c>
      <c r="I2962" s="40" t="s">
        <v>1300</v>
      </c>
    </row>
    <row r="2963" spans="1:9" x14ac:dyDescent="0.2">
      <c r="A2963" s="40" t="s">
        <v>211</v>
      </c>
      <c r="B2963" s="28">
        <v>3517</v>
      </c>
      <c r="C2963" s="28">
        <v>10778564</v>
      </c>
      <c r="D2963" s="28" t="s">
        <v>36</v>
      </c>
      <c r="E2963" s="41">
        <v>46173</v>
      </c>
      <c r="F2963" s="47">
        <v>0.60298611111111111</v>
      </c>
      <c r="G2963" s="44">
        <v>6.3</v>
      </c>
      <c r="H2963" s="43" t="s">
        <v>228</v>
      </c>
      <c r="I2963" s="40" t="s">
        <v>1300</v>
      </c>
    </row>
    <row r="2964" spans="1:9" x14ac:dyDescent="0.2">
      <c r="A2964" s="40" t="s">
        <v>364</v>
      </c>
      <c r="B2964" s="28">
        <v>3554</v>
      </c>
      <c r="C2964" s="28">
        <v>5685830</v>
      </c>
      <c r="D2964" s="28" t="s">
        <v>36</v>
      </c>
      <c r="E2964" s="45">
        <v>46167</v>
      </c>
      <c r="F2964" s="48">
        <v>0.48406250000000001</v>
      </c>
      <c r="G2964" s="44">
        <v>6.3</v>
      </c>
      <c r="H2964" s="43" t="s">
        <v>230</v>
      </c>
      <c r="I2964" s="40" t="s">
        <v>1300</v>
      </c>
    </row>
    <row r="2965" spans="1:9" x14ac:dyDescent="0.2">
      <c r="A2965" s="40" t="s">
        <v>364</v>
      </c>
      <c r="B2965" s="28">
        <v>3554</v>
      </c>
      <c r="C2965" s="28">
        <v>5685830</v>
      </c>
      <c r="D2965" s="28" t="s">
        <v>36</v>
      </c>
      <c r="E2965" s="41">
        <v>46167</v>
      </c>
      <c r="F2965" s="47">
        <v>0.49038194444444444</v>
      </c>
      <c r="G2965" s="44">
        <v>6.3</v>
      </c>
      <c r="H2965" s="43" t="s">
        <v>227</v>
      </c>
      <c r="I2965" s="40" t="s">
        <v>1300</v>
      </c>
    </row>
    <row r="2966" spans="1:9" x14ac:dyDescent="0.2">
      <c r="A2966" s="40" t="s">
        <v>364</v>
      </c>
      <c r="B2966" s="28">
        <v>3554</v>
      </c>
      <c r="C2966" s="28">
        <v>5686469</v>
      </c>
      <c r="D2966" s="28" t="s">
        <v>36</v>
      </c>
      <c r="E2966" s="41">
        <v>46168</v>
      </c>
      <c r="F2966" s="47">
        <v>0.29976851851851855</v>
      </c>
      <c r="G2966" s="44">
        <v>6.3</v>
      </c>
      <c r="H2966" s="43" t="s">
        <v>229</v>
      </c>
      <c r="I2966" s="40" t="s">
        <v>1300</v>
      </c>
    </row>
    <row r="2967" spans="1:9" x14ac:dyDescent="0.2">
      <c r="A2967" s="40" t="s">
        <v>364</v>
      </c>
      <c r="B2967" s="28">
        <v>3554</v>
      </c>
      <c r="C2967" s="28">
        <v>5686469</v>
      </c>
      <c r="D2967" s="28" t="s">
        <v>36</v>
      </c>
      <c r="E2967" s="41">
        <v>46168</v>
      </c>
      <c r="F2967" s="47">
        <v>0.30349537037037039</v>
      </c>
      <c r="G2967" s="44">
        <v>6.3</v>
      </c>
      <c r="H2967" s="43" t="s">
        <v>229</v>
      </c>
      <c r="I2967" s="40" t="s">
        <v>1300</v>
      </c>
    </row>
    <row r="2968" spans="1:9" x14ac:dyDescent="0.2">
      <c r="A2968" s="40" t="s">
        <v>364</v>
      </c>
      <c r="B2968" s="28">
        <v>3554</v>
      </c>
      <c r="C2968" s="28">
        <v>5690371</v>
      </c>
      <c r="D2968" s="28"/>
      <c r="E2968" s="41">
        <v>46170</v>
      </c>
      <c r="F2968" s="47">
        <v>0.33861111111111108</v>
      </c>
      <c r="G2968" s="44">
        <v>6.3</v>
      </c>
      <c r="H2968" s="43" t="s">
        <v>227</v>
      </c>
      <c r="I2968" s="40" t="s">
        <v>1300</v>
      </c>
    </row>
    <row r="2969" spans="1:9" x14ac:dyDescent="0.2">
      <c r="A2969" s="40" t="s">
        <v>291</v>
      </c>
      <c r="B2969" s="28">
        <v>3565</v>
      </c>
      <c r="C2969" s="28" t="s">
        <v>35</v>
      </c>
      <c r="D2969" s="28" t="s">
        <v>38</v>
      </c>
      <c r="E2969" s="41">
        <v>46167</v>
      </c>
      <c r="F2969" s="47">
        <v>0.35633101851851851</v>
      </c>
      <c r="G2969" s="44">
        <v>6.3</v>
      </c>
      <c r="H2969" s="43" t="s">
        <v>230</v>
      </c>
      <c r="I2969" s="40" t="s">
        <v>1300</v>
      </c>
    </row>
    <row r="2970" spans="1:9" x14ac:dyDescent="0.2">
      <c r="A2970" s="40" t="s">
        <v>291</v>
      </c>
      <c r="B2970" s="28">
        <v>3565</v>
      </c>
      <c r="C2970" s="28" t="s">
        <v>35</v>
      </c>
      <c r="D2970" s="28" t="s">
        <v>38</v>
      </c>
      <c r="E2970" s="41">
        <v>46167</v>
      </c>
      <c r="F2970" s="47">
        <v>0.36378472222222225</v>
      </c>
      <c r="G2970" s="44">
        <v>6.3</v>
      </c>
      <c r="H2970" s="43" t="s">
        <v>227</v>
      </c>
      <c r="I2970" s="40" t="s">
        <v>1300</v>
      </c>
    </row>
    <row r="2971" spans="1:9" x14ac:dyDescent="0.2">
      <c r="A2971" s="40" t="s">
        <v>291</v>
      </c>
      <c r="B2971" s="28">
        <v>3565</v>
      </c>
      <c r="C2971" s="28" t="s">
        <v>35</v>
      </c>
      <c r="D2971" s="28" t="s">
        <v>38</v>
      </c>
      <c r="E2971" s="41">
        <v>46167</v>
      </c>
      <c r="F2971" s="47">
        <v>0.43616898148148148</v>
      </c>
      <c r="G2971" s="44">
        <v>6.3</v>
      </c>
      <c r="H2971" s="43" t="s">
        <v>228</v>
      </c>
      <c r="I2971" s="40" t="s">
        <v>1300</v>
      </c>
    </row>
    <row r="2972" spans="1:9" x14ac:dyDescent="0.2">
      <c r="A2972" s="40" t="s">
        <v>291</v>
      </c>
      <c r="B2972" s="28">
        <v>3565</v>
      </c>
      <c r="C2972" s="28" t="s">
        <v>35</v>
      </c>
      <c r="D2972" s="28" t="s">
        <v>38</v>
      </c>
      <c r="E2972" s="41">
        <v>46167</v>
      </c>
      <c r="F2972" s="47">
        <v>0.44903935185185184</v>
      </c>
      <c r="G2972" s="44">
        <v>6.3</v>
      </c>
      <c r="H2972" s="43" t="s">
        <v>232</v>
      </c>
      <c r="I2972" s="40" t="s">
        <v>1300</v>
      </c>
    </row>
    <row r="2973" spans="1:9" x14ac:dyDescent="0.2">
      <c r="A2973" s="40" t="s">
        <v>291</v>
      </c>
      <c r="B2973" s="28">
        <v>3565</v>
      </c>
      <c r="C2973" s="28">
        <v>5686231</v>
      </c>
      <c r="D2973" s="28" t="s">
        <v>37</v>
      </c>
      <c r="E2973" s="41">
        <v>46167</v>
      </c>
      <c r="F2973" s="47">
        <v>0.67863425925925924</v>
      </c>
      <c r="G2973" s="44">
        <v>6.3</v>
      </c>
      <c r="H2973" s="43" t="s">
        <v>226</v>
      </c>
      <c r="I2973" s="40" t="s">
        <v>1300</v>
      </c>
    </row>
    <row r="2974" spans="1:9" x14ac:dyDescent="0.2">
      <c r="A2974" s="40" t="s">
        <v>291</v>
      </c>
      <c r="B2974" s="28">
        <v>3565</v>
      </c>
      <c r="C2974" s="28">
        <v>5686231</v>
      </c>
      <c r="D2974" s="28" t="s">
        <v>37</v>
      </c>
      <c r="E2974" s="41">
        <v>46167</v>
      </c>
      <c r="F2974" s="47">
        <v>0.68464120370370374</v>
      </c>
      <c r="G2974" s="44">
        <v>6.3</v>
      </c>
      <c r="H2974" s="43" t="s">
        <v>227</v>
      </c>
      <c r="I2974" s="40" t="s">
        <v>1300</v>
      </c>
    </row>
    <row r="2975" spans="1:9" x14ac:dyDescent="0.2">
      <c r="A2975" s="40" t="s">
        <v>291</v>
      </c>
      <c r="B2975" s="28">
        <v>3565</v>
      </c>
      <c r="C2975" s="28">
        <v>5686596</v>
      </c>
      <c r="D2975" s="28"/>
      <c r="E2975" s="41">
        <v>46168</v>
      </c>
      <c r="F2975" s="47">
        <v>0.15914351851851852</v>
      </c>
      <c r="G2975" s="44">
        <v>6.3</v>
      </c>
      <c r="H2975" s="43" t="s">
        <v>226</v>
      </c>
      <c r="I2975" s="40" t="s">
        <v>1300</v>
      </c>
    </row>
    <row r="2976" spans="1:9" x14ac:dyDescent="0.2">
      <c r="A2976" s="40" t="s">
        <v>291</v>
      </c>
      <c r="B2976" s="28">
        <v>3565</v>
      </c>
      <c r="C2976" s="28">
        <v>5686596</v>
      </c>
      <c r="D2976" s="28"/>
      <c r="E2976" s="41">
        <v>46168</v>
      </c>
      <c r="F2976" s="47">
        <v>0.16412037037037036</v>
      </c>
      <c r="G2976" s="44">
        <v>6.3</v>
      </c>
      <c r="H2976" s="43" t="s">
        <v>227</v>
      </c>
      <c r="I2976" s="40" t="s">
        <v>1300</v>
      </c>
    </row>
    <row r="2977" spans="1:9" x14ac:dyDescent="0.2">
      <c r="A2977" s="40" t="s">
        <v>291</v>
      </c>
      <c r="B2977" s="28">
        <v>3565</v>
      </c>
      <c r="C2977" s="28" t="s">
        <v>973</v>
      </c>
      <c r="D2977" s="28"/>
      <c r="E2977" s="41">
        <v>46168</v>
      </c>
      <c r="F2977" s="47">
        <v>0.22003472222222223</v>
      </c>
      <c r="G2977" s="44">
        <v>6.3</v>
      </c>
      <c r="H2977" s="43" t="s">
        <v>228</v>
      </c>
      <c r="I2977" s="40" t="s">
        <v>1300</v>
      </c>
    </row>
    <row r="2978" spans="1:9" x14ac:dyDescent="0.2">
      <c r="A2978" s="40" t="s">
        <v>291</v>
      </c>
      <c r="B2978" s="28">
        <v>3565</v>
      </c>
      <c r="C2978" s="28" t="s">
        <v>973</v>
      </c>
      <c r="D2978" s="28"/>
      <c r="E2978" s="41">
        <v>46168</v>
      </c>
      <c r="F2978" s="47">
        <v>0.22774305555555555</v>
      </c>
      <c r="G2978" s="42">
        <v>6.3</v>
      </c>
      <c r="H2978" s="40" t="s">
        <v>229</v>
      </c>
      <c r="I2978" s="40" t="s">
        <v>1300</v>
      </c>
    </row>
    <row r="2979" spans="1:9" x14ac:dyDescent="0.2">
      <c r="A2979" s="40" t="s">
        <v>291</v>
      </c>
      <c r="B2979" s="28">
        <v>3565</v>
      </c>
      <c r="C2979" s="28">
        <v>5687703</v>
      </c>
      <c r="D2979" s="28"/>
      <c r="E2979" s="41">
        <v>46169</v>
      </c>
      <c r="F2979" s="47">
        <v>0.44638888888888889</v>
      </c>
      <c r="G2979" s="42">
        <v>6.3</v>
      </c>
      <c r="H2979" s="40" t="s">
        <v>227</v>
      </c>
      <c r="I2979" s="40" t="s">
        <v>1300</v>
      </c>
    </row>
    <row r="2980" spans="1:9" x14ac:dyDescent="0.2">
      <c r="A2980" s="40" t="s">
        <v>291</v>
      </c>
      <c r="B2980" s="28">
        <v>3565</v>
      </c>
      <c r="C2980" s="28" t="s">
        <v>35</v>
      </c>
      <c r="D2980" s="28" t="s">
        <v>38</v>
      </c>
      <c r="E2980" s="41">
        <v>46169</v>
      </c>
      <c r="F2980" s="47">
        <v>0.55888888888888888</v>
      </c>
      <c r="G2980" s="42">
        <v>6.3</v>
      </c>
      <c r="H2980" s="40" t="s">
        <v>228</v>
      </c>
      <c r="I2980" s="40" t="s">
        <v>1300</v>
      </c>
    </row>
    <row r="2981" spans="1:9" x14ac:dyDescent="0.2">
      <c r="A2981" s="40" t="s">
        <v>291</v>
      </c>
      <c r="B2981" s="28">
        <v>3565</v>
      </c>
      <c r="C2981" s="28" t="s">
        <v>35</v>
      </c>
      <c r="D2981" s="28" t="s">
        <v>38</v>
      </c>
      <c r="E2981" s="41">
        <v>46169</v>
      </c>
      <c r="F2981" s="47">
        <v>0.56740740740740736</v>
      </c>
      <c r="G2981" s="42">
        <v>6.3</v>
      </c>
      <c r="H2981" s="40" t="s">
        <v>229</v>
      </c>
      <c r="I2981" s="40" t="s">
        <v>1300</v>
      </c>
    </row>
    <row r="2982" spans="1:9" x14ac:dyDescent="0.2">
      <c r="A2982" s="40" t="s">
        <v>291</v>
      </c>
      <c r="B2982" s="28">
        <v>3565</v>
      </c>
      <c r="C2982" s="28">
        <v>5690972</v>
      </c>
      <c r="D2982" s="28"/>
      <c r="E2982" s="41">
        <v>46170</v>
      </c>
      <c r="F2982" s="47">
        <v>0.37164351851851851</v>
      </c>
      <c r="G2982" s="42">
        <v>6.3</v>
      </c>
      <c r="H2982" s="40" t="s">
        <v>226</v>
      </c>
      <c r="I2982" s="40" t="s">
        <v>1300</v>
      </c>
    </row>
    <row r="2983" spans="1:9" x14ac:dyDescent="0.2">
      <c r="A2983" s="40" t="s">
        <v>291</v>
      </c>
      <c r="B2983" s="28">
        <v>3565</v>
      </c>
      <c r="C2983" s="28">
        <v>5690972</v>
      </c>
      <c r="D2983" s="28"/>
      <c r="E2983" s="45">
        <v>46170</v>
      </c>
      <c r="F2983" s="48">
        <v>0.37711805555555555</v>
      </c>
      <c r="G2983" s="44">
        <v>6.3</v>
      </c>
      <c r="H2983" s="43" t="s">
        <v>227</v>
      </c>
      <c r="I2983" s="40" t="s">
        <v>1300</v>
      </c>
    </row>
    <row r="2984" spans="1:9" x14ac:dyDescent="0.2">
      <c r="A2984" s="40" t="s">
        <v>291</v>
      </c>
      <c r="B2984" s="28">
        <v>3565</v>
      </c>
      <c r="C2984" s="28" t="s">
        <v>974</v>
      </c>
      <c r="D2984" s="28"/>
      <c r="E2984" s="41">
        <v>46170</v>
      </c>
      <c r="F2984" s="47">
        <v>0.51635416666666667</v>
      </c>
      <c r="G2984" s="44">
        <v>6.3</v>
      </c>
      <c r="H2984" s="43" t="s">
        <v>228</v>
      </c>
      <c r="I2984" s="40" t="s">
        <v>1300</v>
      </c>
    </row>
    <row r="2985" spans="1:9" x14ac:dyDescent="0.2">
      <c r="A2985" s="40" t="s">
        <v>291</v>
      </c>
      <c r="B2985" s="28">
        <v>3565</v>
      </c>
      <c r="C2985" s="28" t="s">
        <v>974</v>
      </c>
      <c r="D2985" s="28"/>
      <c r="E2985" s="41">
        <v>46170</v>
      </c>
      <c r="F2985" s="47">
        <v>0.53068287037037032</v>
      </c>
      <c r="G2985" s="44">
        <v>6.3</v>
      </c>
      <c r="H2985" s="43" t="s">
        <v>229</v>
      </c>
      <c r="I2985" s="40" t="s">
        <v>1300</v>
      </c>
    </row>
    <row r="2986" spans="1:9" x14ac:dyDescent="0.2">
      <c r="A2986" s="40" t="s">
        <v>291</v>
      </c>
      <c r="B2986" s="28">
        <v>3565</v>
      </c>
      <c r="C2986" s="28">
        <v>5693765</v>
      </c>
      <c r="D2986" s="28"/>
      <c r="E2986" s="41">
        <v>46171</v>
      </c>
      <c r="F2986" s="47">
        <v>0.81269675925925922</v>
      </c>
      <c r="G2986" s="44">
        <v>6.3</v>
      </c>
      <c r="H2986" s="43" t="s">
        <v>234</v>
      </c>
      <c r="I2986" s="40" t="s">
        <v>1300</v>
      </c>
    </row>
    <row r="2987" spans="1:9" x14ac:dyDescent="0.2">
      <c r="A2987" s="40" t="s">
        <v>291</v>
      </c>
      <c r="B2987" s="28">
        <v>3565</v>
      </c>
      <c r="C2987" s="28">
        <v>5693765</v>
      </c>
      <c r="D2987" s="28"/>
      <c r="E2987" s="41">
        <v>46171</v>
      </c>
      <c r="F2987" s="47">
        <v>0.84440972222222221</v>
      </c>
      <c r="G2987" s="44">
        <v>6.3</v>
      </c>
      <c r="H2987" s="43" t="s">
        <v>227</v>
      </c>
      <c r="I2987" s="40" t="s">
        <v>1300</v>
      </c>
    </row>
    <row r="2988" spans="1:9" x14ac:dyDescent="0.2">
      <c r="A2988" s="40" t="s">
        <v>291</v>
      </c>
      <c r="B2988" s="28">
        <v>3565</v>
      </c>
      <c r="C2988" s="28">
        <v>5694167</v>
      </c>
      <c r="D2988" s="28"/>
      <c r="E2988" s="41">
        <v>46172</v>
      </c>
      <c r="F2988" s="47">
        <v>0.2225462962962963</v>
      </c>
      <c r="G2988" s="44">
        <v>6.3</v>
      </c>
      <c r="H2988" s="43" t="s">
        <v>230</v>
      </c>
      <c r="I2988" s="40" t="s">
        <v>1300</v>
      </c>
    </row>
    <row r="2989" spans="1:9" x14ac:dyDescent="0.2">
      <c r="A2989" s="40" t="s">
        <v>291</v>
      </c>
      <c r="B2989" s="28">
        <v>3565</v>
      </c>
      <c r="C2989" s="28">
        <v>5694167</v>
      </c>
      <c r="D2989" s="28"/>
      <c r="E2989" s="41">
        <v>46172</v>
      </c>
      <c r="F2989" s="47">
        <v>0.22753472222222224</v>
      </c>
      <c r="G2989" s="44">
        <v>6.3</v>
      </c>
      <c r="H2989" s="43" t="s">
        <v>227</v>
      </c>
      <c r="I2989" s="40" t="s">
        <v>1300</v>
      </c>
    </row>
    <row r="2990" spans="1:9" x14ac:dyDescent="0.2">
      <c r="A2990" s="40" t="s">
        <v>291</v>
      </c>
      <c r="B2990" s="28">
        <v>3565</v>
      </c>
      <c r="C2990" s="28">
        <v>5694506</v>
      </c>
      <c r="D2990" s="28"/>
      <c r="E2990" s="41">
        <v>46172</v>
      </c>
      <c r="F2990" s="47">
        <v>0.43987268518518519</v>
      </c>
      <c r="G2990" s="44">
        <v>6.3</v>
      </c>
      <c r="H2990" s="43" t="s">
        <v>228</v>
      </c>
      <c r="I2990" s="40" t="s">
        <v>1300</v>
      </c>
    </row>
    <row r="2991" spans="1:9" x14ac:dyDescent="0.2">
      <c r="A2991" s="40" t="s">
        <v>291</v>
      </c>
      <c r="B2991" s="28">
        <v>3565</v>
      </c>
      <c r="C2991" s="28">
        <v>5694506</v>
      </c>
      <c r="D2991" s="28"/>
      <c r="E2991" s="41">
        <v>46172</v>
      </c>
      <c r="F2991" s="47">
        <v>0.44978009259259261</v>
      </c>
      <c r="G2991" s="44">
        <v>6.3</v>
      </c>
      <c r="H2991" s="43" t="s">
        <v>229</v>
      </c>
      <c r="I2991" s="40" t="s">
        <v>1300</v>
      </c>
    </row>
    <row r="2992" spans="1:9" x14ac:dyDescent="0.2">
      <c r="A2992" s="40" t="s">
        <v>291</v>
      </c>
      <c r="B2992" s="28">
        <v>3565</v>
      </c>
      <c r="C2992" s="28" t="s">
        <v>35</v>
      </c>
      <c r="D2992" s="28" t="s">
        <v>38</v>
      </c>
      <c r="E2992" s="45">
        <v>46172</v>
      </c>
      <c r="F2992" s="48">
        <v>0.5735069444444445</v>
      </c>
      <c r="G2992" s="44">
        <v>6.3</v>
      </c>
      <c r="H2992" s="43" t="s">
        <v>226</v>
      </c>
      <c r="I2992" s="40" t="s">
        <v>1300</v>
      </c>
    </row>
    <row r="2993" spans="1:9" x14ac:dyDescent="0.2">
      <c r="A2993" s="40" t="s">
        <v>390</v>
      </c>
      <c r="B2993" s="28">
        <v>3568</v>
      </c>
      <c r="C2993" s="28" t="s">
        <v>35</v>
      </c>
      <c r="D2993" s="28" t="s">
        <v>38</v>
      </c>
      <c r="E2993" s="45">
        <v>46168</v>
      </c>
      <c r="F2993" s="48">
        <v>0.18498842592592593</v>
      </c>
      <c r="G2993" s="44">
        <v>6.3</v>
      </c>
      <c r="H2993" s="43" t="s">
        <v>229</v>
      </c>
      <c r="I2993" s="40" t="s">
        <v>1300</v>
      </c>
    </row>
    <row r="2994" spans="1:9" x14ac:dyDescent="0.2">
      <c r="A2994" s="40" t="s">
        <v>390</v>
      </c>
      <c r="B2994" s="28">
        <v>3568</v>
      </c>
      <c r="C2994" s="28">
        <v>5686201</v>
      </c>
      <c r="D2994" s="28"/>
      <c r="E2994" s="41">
        <v>46168</v>
      </c>
      <c r="F2994" s="47">
        <v>0.19921296296296295</v>
      </c>
      <c r="G2994" s="44">
        <v>6.3</v>
      </c>
      <c r="H2994" s="43" t="s">
        <v>226</v>
      </c>
      <c r="I2994" s="40" t="s">
        <v>1300</v>
      </c>
    </row>
    <row r="2995" spans="1:9" x14ac:dyDescent="0.2">
      <c r="A2995" s="40" t="s">
        <v>390</v>
      </c>
      <c r="B2995" s="28">
        <v>3568</v>
      </c>
      <c r="C2995" s="28">
        <v>5686201</v>
      </c>
      <c r="D2995" s="28"/>
      <c r="E2995" s="41">
        <v>46168</v>
      </c>
      <c r="F2995" s="47">
        <v>0.20461805555555557</v>
      </c>
      <c r="G2995" s="44">
        <v>6.3</v>
      </c>
      <c r="H2995" s="43" t="s">
        <v>227</v>
      </c>
      <c r="I2995" s="40" t="s">
        <v>1300</v>
      </c>
    </row>
    <row r="2996" spans="1:9" x14ac:dyDescent="0.2">
      <c r="A2996" s="40" t="s">
        <v>390</v>
      </c>
      <c r="B2996" s="28">
        <v>3568</v>
      </c>
      <c r="C2996" s="28">
        <v>5688479</v>
      </c>
      <c r="D2996" s="28" t="s">
        <v>37</v>
      </c>
      <c r="E2996" s="41">
        <v>46169</v>
      </c>
      <c r="F2996" s="47">
        <v>0.11648148148148148</v>
      </c>
      <c r="G2996" s="44">
        <v>6.3</v>
      </c>
      <c r="H2996" s="43" t="s">
        <v>230</v>
      </c>
      <c r="I2996" s="40" t="s">
        <v>1300</v>
      </c>
    </row>
    <row r="2997" spans="1:9" x14ac:dyDescent="0.2">
      <c r="A2997" s="40" t="s">
        <v>390</v>
      </c>
      <c r="B2997" s="28">
        <v>3568</v>
      </c>
      <c r="C2997" s="28">
        <v>5688479</v>
      </c>
      <c r="D2997" s="28" t="s">
        <v>37</v>
      </c>
      <c r="E2997" s="41">
        <v>46169</v>
      </c>
      <c r="F2997" s="47">
        <v>0.12158564814814815</v>
      </c>
      <c r="G2997" s="44">
        <v>6.3</v>
      </c>
      <c r="H2997" s="43" t="s">
        <v>227</v>
      </c>
      <c r="I2997" s="40" t="s">
        <v>1300</v>
      </c>
    </row>
    <row r="2998" spans="1:9" x14ac:dyDescent="0.2">
      <c r="A2998" s="40" t="s">
        <v>390</v>
      </c>
      <c r="B2998" s="28">
        <v>3568</v>
      </c>
      <c r="C2998" s="28" t="s">
        <v>35</v>
      </c>
      <c r="D2998" s="28" t="s">
        <v>38</v>
      </c>
      <c r="E2998" s="41">
        <v>46169</v>
      </c>
      <c r="F2998" s="47">
        <v>0.1554976851851852</v>
      </c>
      <c r="G2998" s="44">
        <v>6.3</v>
      </c>
      <c r="H2998" s="43" t="s">
        <v>229</v>
      </c>
      <c r="I2998" s="40" t="s">
        <v>1300</v>
      </c>
    </row>
    <row r="2999" spans="1:9" x14ac:dyDescent="0.2">
      <c r="A2999" s="40" t="s">
        <v>390</v>
      </c>
      <c r="B2999" s="28">
        <v>3568</v>
      </c>
      <c r="C2999" s="28">
        <v>5688468</v>
      </c>
      <c r="D2999" s="28"/>
      <c r="E2999" s="41">
        <v>46169</v>
      </c>
      <c r="F2999" s="47">
        <v>0.21532407407407408</v>
      </c>
      <c r="G2999" s="44">
        <v>6.3</v>
      </c>
      <c r="H2999" s="43" t="s">
        <v>230</v>
      </c>
      <c r="I2999" s="40" t="s">
        <v>1300</v>
      </c>
    </row>
    <row r="3000" spans="1:9" x14ac:dyDescent="0.2">
      <c r="A3000" s="40" t="s">
        <v>390</v>
      </c>
      <c r="B3000" s="28">
        <v>3568</v>
      </c>
      <c r="C3000" s="28">
        <v>5688468</v>
      </c>
      <c r="D3000" s="28"/>
      <c r="E3000" s="41">
        <v>46169</v>
      </c>
      <c r="F3000" s="47">
        <v>0.22045138888888888</v>
      </c>
      <c r="G3000" s="44">
        <v>6.3</v>
      </c>
      <c r="H3000" s="43" t="s">
        <v>227</v>
      </c>
      <c r="I3000" s="40" t="s">
        <v>1300</v>
      </c>
    </row>
    <row r="3001" spans="1:9" x14ac:dyDescent="0.2">
      <c r="A3001" s="40" t="s">
        <v>390</v>
      </c>
      <c r="B3001" s="28">
        <v>3568</v>
      </c>
      <c r="C3001" s="28">
        <v>5687951</v>
      </c>
      <c r="D3001" s="28"/>
      <c r="E3001" s="41">
        <v>46169</v>
      </c>
      <c r="F3001" s="47">
        <v>0.89025462962962965</v>
      </c>
      <c r="G3001" s="44">
        <v>6.3</v>
      </c>
      <c r="H3001" s="43" t="s">
        <v>230</v>
      </c>
      <c r="I3001" s="40" t="s">
        <v>1300</v>
      </c>
    </row>
    <row r="3002" spans="1:9" x14ac:dyDescent="0.2">
      <c r="A3002" s="40" t="s">
        <v>390</v>
      </c>
      <c r="B3002" s="28">
        <v>3568</v>
      </c>
      <c r="C3002" s="28">
        <v>5687951</v>
      </c>
      <c r="D3002" s="28"/>
      <c r="E3002" s="41">
        <v>46169</v>
      </c>
      <c r="F3002" s="47">
        <v>0.89532407407407411</v>
      </c>
      <c r="G3002" s="44">
        <v>6.3</v>
      </c>
      <c r="H3002" s="43" t="s">
        <v>227</v>
      </c>
      <c r="I3002" s="40" t="s">
        <v>1300</v>
      </c>
    </row>
    <row r="3003" spans="1:9" x14ac:dyDescent="0.2">
      <c r="A3003" s="40" t="s">
        <v>390</v>
      </c>
      <c r="B3003" s="28">
        <v>3568</v>
      </c>
      <c r="C3003" s="28" t="s">
        <v>35</v>
      </c>
      <c r="D3003" s="28" t="s">
        <v>38</v>
      </c>
      <c r="E3003" s="41">
        <v>46172</v>
      </c>
      <c r="F3003" s="47">
        <v>0.26164351851851853</v>
      </c>
      <c r="G3003" s="44">
        <v>6.3</v>
      </c>
      <c r="H3003" s="43" t="s">
        <v>229</v>
      </c>
      <c r="I3003" s="40" t="s">
        <v>1300</v>
      </c>
    </row>
    <row r="3004" spans="1:9" x14ac:dyDescent="0.2">
      <c r="A3004" s="40" t="s">
        <v>390</v>
      </c>
      <c r="B3004" s="28">
        <v>3568</v>
      </c>
      <c r="C3004" s="28">
        <v>5687977</v>
      </c>
      <c r="D3004" s="28"/>
      <c r="E3004" s="41">
        <v>46172</v>
      </c>
      <c r="F3004" s="47">
        <v>0.28466435185185185</v>
      </c>
      <c r="G3004" s="44">
        <v>6.3</v>
      </c>
      <c r="H3004" s="43" t="s">
        <v>230</v>
      </c>
      <c r="I3004" s="40" t="s">
        <v>1300</v>
      </c>
    </row>
    <row r="3005" spans="1:9" x14ac:dyDescent="0.2">
      <c r="A3005" s="40" t="s">
        <v>390</v>
      </c>
      <c r="B3005" s="28">
        <v>3568</v>
      </c>
      <c r="C3005" s="28">
        <v>5687977</v>
      </c>
      <c r="D3005" s="28"/>
      <c r="E3005" s="41">
        <v>46172</v>
      </c>
      <c r="F3005" s="47">
        <v>0.28965277777777776</v>
      </c>
      <c r="G3005" s="44">
        <v>6.3</v>
      </c>
      <c r="H3005" s="43" t="s">
        <v>227</v>
      </c>
      <c r="I3005" s="40" t="s">
        <v>1300</v>
      </c>
    </row>
    <row r="3006" spans="1:9" x14ac:dyDescent="0.2">
      <c r="A3006" s="40" t="s">
        <v>390</v>
      </c>
      <c r="B3006" s="28">
        <v>3568</v>
      </c>
      <c r="C3006" s="28">
        <v>5694715</v>
      </c>
      <c r="D3006" s="28"/>
      <c r="E3006" s="45">
        <v>46173</v>
      </c>
      <c r="F3006" s="48">
        <v>0.71886574074074072</v>
      </c>
      <c r="G3006" s="44">
        <v>6.3</v>
      </c>
      <c r="H3006" s="43" t="s">
        <v>226</v>
      </c>
      <c r="I3006" s="40" t="s">
        <v>1300</v>
      </c>
    </row>
    <row r="3007" spans="1:9" x14ac:dyDescent="0.2">
      <c r="A3007" s="40" t="s">
        <v>390</v>
      </c>
      <c r="B3007" s="28">
        <v>3568</v>
      </c>
      <c r="C3007" s="28">
        <v>5694715</v>
      </c>
      <c r="D3007" s="28"/>
      <c r="E3007" s="45">
        <v>46173</v>
      </c>
      <c r="F3007" s="48">
        <v>0.72402777777777783</v>
      </c>
      <c r="G3007" s="44">
        <v>6.3</v>
      </c>
      <c r="H3007" s="43" t="s">
        <v>227</v>
      </c>
      <c r="I3007" s="40" t="s">
        <v>1300</v>
      </c>
    </row>
    <row r="3008" spans="1:9" x14ac:dyDescent="0.2">
      <c r="A3008" s="40" t="s">
        <v>432</v>
      </c>
      <c r="B3008" s="28">
        <v>3572</v>
      </c>
      <c r="C3008" s="28">
        <v>5683461</v>
      </c>
      <c r="D3008" s="28"/>
      <c r="E3008" s="45">
        <v>46167</v>
      </c>
      <c r="F3008" s="48">
        <v>8.9120370370370373E-4</v>
      </c>
      <c r="G3008" s="44">
        <v>6.3</v>
      </c>
      <c r="H3008" s="43" t="s">
        <v>228</v>
      </c>
      <c r="I3008" s="40" t="s">
        <v>1300</v>
      </c>
    </row>
    <row r="3009" spans="1:9" x14ac:dyDescent="0.2">
      <c r="A3009" s="40" t="s">
        <v>432</v>
      </c>
      <c r="B3009" s="28">
        <v>3572</v>
      </c>
      <c r="C3009" s="28">
        <v>5683461</v>
      </c>
      <c r="D3009" s="28"/>
      <c r="E3009" s="45">
        <v>46167</v>
      </c>
      <c r="F3009" s="48">
        <v>6.6319444444444446E-3</v>
      </c>
      <c r="G3009" s="44">
        <v>6.3</v>
      </c>
      <c r="H3009" s="43" t="s">
        <v>229</v>
      </c>
      <c r="I3009" s="40" t="s">
        <v>1300</v>
      </c>
    </row>
    <row r="3010" spans="1:9" x14ac:dyDescent="0.2">
      <c r="A3010" s="40" t="s">
        <v>432</v>
      </c>
      <c r="B3010" s="28">
        <v>3572</v>
      </c>
      <c r="C3010" s="28">
        <v>5693321</v>
      </c>
      <c r="D3010" s="28"/>
      <c r="E3010" s="41">
        <v>46172</v>
      </c>
      <c r="F3010" s="47">
        <v>0.88796296296296295</v>
      </c>
      <c r="G3010" s="44">
        <v>6.3</v>
      </c>
      <c r="H3010" s="43" t="s">
        <v>228</v>
      </c>
      <c r="I3010" s="40" t="s">
        <v>1300</v>
      </c>
    </row>
    <row r="3011" spans="1:9" x14ac:dyDescent="0.2">
      <c r="A3011" s="40" t="s">
        <v>432</v>
      </c>
      <c r="B3011" s="28">
        <v>3572</v>
      </c>
      <c r="C3011" s="28">
        <v>5693321</v>
      </c>
      <c r="D3011" s="28"/>
      <c r="E3011" s="41">
        <v>46172</v>
      </c>
      <c r="F3011" s="47">
        <v>0.89497685185185183</v>
      </c>
      <c r="G3011" s="44">
        <v>6.3</v>
      </c>
      <c r="H3011" s="43" t="s">
        <v>229</v>
      </c>
      <c r="I3011" s="40" t="s">
        <v>1300</v>
      </c>
    </row>
    <row r="3012" spans="1:9" x14ac:dyDescent="0.2">
      <c r="A3012" s="40" t="s">
        <v>264</v>
      </c>
      <c r="B3012" s="28">
        <v>3575</v>
      </c>
      <c r="C3012" s="28" t="s">
        <v>35</v>
      </c>
      <c r="D3012" s="28" t="s">
        <v>38</v>
      </c>
      <c r="E3012" s="41">
        <v>46167</v>
      </c>
      <c r="F3012" s="47">
        <v>0.43020833333333336</v>
      </c>
      <c r="G3012" s="44">
        <v>6.3</v>
      </c>
      <c r="H3012" s="43" t="s">
        <v>230</v>
      </c>
      <c r="I3012" s="40" t="s">
        <v>1300</v>
      </c>
    </row>
    <row r="3013" spans="1:9" x14ac:dyDescent="0.2">
      <c r="A3013" s="40" t="s">
        <v>264</v>
      </c>
      <c r="B3013" s="28">
        <v>3575</v>
      </c>
      <c r="C3013" s="28" t="s">
        <v>35</v>
      </c>
      <c r="D3013" s="28" t="s">
        <v>38</v>
      </c>
      <c r="E3013" s="41">
        <v>46167</v>
      </c>
      <c r="F3013" s="47">
        <v>0.48043981481481479</v>
      </c>
      <c r="G3013" s="44">
        <v>6.3</v>
      </c>
      <c r="H3013" s="43" t="s">
        <v>229</v>
      </c>
      <c r="I3013" s="40" t="s">
        <v>1300</v>
      </c>
    </row>
    <row r="3014" spans="1:9" x14ac:dyDescent="0.2">
      <c r="A3014" s="40" t="s">
        <v>264</v>
      </c>
      <c r="B3014" s="28">
        <v>3575</v>
      </c>
      <c r="C3014" s="28">
        <v>5686299</v>
      </c>
      <c r="D3014" s="28" t="s">
        <v>37</v>
      </c>
      <c r="E3014" s="41">
        <v>46167</v>
      </c>
      <c r="F3014" s="47">
        <v>0.7041087962962963</v>
      </c>
      <c r="G3014" s="44">
        <v>6.3</v>
      </c>
      <c r="H3014" s="43" t="s">
        <v>230</v>
      </c>
      <c r="I3014" s="40" t="s">
        <v>1300</v>
      </c>
    </row>
    <row r="3015" spans="1:9" x14ac:dyDescent="0.2">
      <c r="A3015" s="40" t="s">
        <v>264</v>
      </c>
      <c r="B3015" s="28">
        <v>3575</v>
      </c>
      <c r="C3015" s="28">
        <v>5685681</v>
      </c>
      <c r="D3015" s="28"/>
      <c r="E3015" s="41">
        <v>46167</v>
      </c>
      <c r="F3015" s="47">
        <v>0.83840277777777783</v>
      </c>
      <c r="G3015" s="44">
        <v>6.3</v>
      </c>
      <c r="H3015" s="43" t="s">
        <v>234</v>
      </c>
      <c r="I3015" s="40" t="s">
        <v>1300</v>
      </c>
    </row>
    <row r="3016" spans="1:9" x14ac:dyDescent="0.2">
      <c r="A3016" s="40" t="s">
        <v>264</v>
      </c>
      <c r="B3016" s="28">
        <v>3575</v>
      </c>
      <c r="C3016" s="28">
        <v>5685681</v>
      </c>
      <c r="D3016" s="28"/>
      <c r="E3016" s="41">
        <v>46167</v>
      </c>
      <c r="F3016" s="47">
        <v>0.84478009259259257</v>
      </c>
      <c r="G3016" s="42">
        <v>6.3</v>
      </c>
      <c r="H3016" s="40" t="s">
        <v>227</v>
      </c>
      <c r="I3016" s="40" t="s">
        <v>1300</v>
      </c>
    </row>
    <row r="3017" spans="1:9" x14ac:dyDescent="0.2">
      <c r="A3017" s="40" t="s">
        <v>264</v>
      </c>
      <c r="B3017" s="28">
        <v>3575</v>
      </c>
      <c r="C3017" s="28">
        <v>5686579</v>
      </c>
      <c r="D3017" s="28"/>
      <c r="E3017" s="41">
        <v>46167</v>
      </c>
      <c r="F3017" s="47">
        <v>0.95001157407407411</v>
      </c>
      <c r="G3017" s="42">
        <v>6.3</v>
      </c>
      <c r="H3017" s="40" t="s">
        <v>228</v>
      </c>
      <c r="I3017" s="40" t="s">
        <v>1300</v>
      </c>
    </row>
    <row r="3018" spans="1:9" x14ac:dyDescent="0.2">
      <c r="A3018" s="40" t="s">
        <v>264</v>
      </c>
      <c r="B3018" s="28">
        <v>3575</v>
      </c>
      <c r="C3018" s="28">
        <v>5686579</v>
      </c>
      <c r="D3018" s="28"/>
      <c r="E3018" s="41">
        <v>46167</v>
      </c>
      <c r="F3018" s="47">
        <v>0.95755787037037032</v>
      </c>
      <c r="G3018" s="44">
        <v>6.3</v>
      </c>
      <c r="H3018" s="43" t="s">
        <v>229</v>
      </c>
      <c r="I3018" s="40" t="s">
        <v>1300</v>
      </c>
    </row>
    <row r="3019" spans="1:9" x14ac:dyDescent="0.2">
      <c r="A3019" s="40" t="s">
        <v>264</v>
      </c>
      <c r="B3019" s="28">
        <v>3575</v>
      </c>
      <c r="C3019" s="28" t="s">
        <v>35</v>
      </c>
      <c r="D3019" s="28" t="s">
        <v>38</v>
      </c>
      <c r="E3019" s="41">
        <v>46170</v>
      </c>
      <c r="F3019" s="47">
        <v>0.42454861111111108</v>
      </c>
      <c r="G3019" s="44">
        <v>6.3</v>
      </c>
      <c r="H3019" s="43" t="s">
        <v>228</v>
      </c>
      <c r="I3019" s="40" t="s">
        <v>1300</v>
      </c>
    </row>
    <row r="3020" spans="1:9" x14ac:dyDescent="0.2">
      <c r="A3020" s="40" t="s">
        <v>264</v>
      </c>
      <c r="B3020" s="28">
        <v>3575</v>
      </c>
      <c r="C3020" s="28" t="s">
        <v>35</v>
      </c>
      <c r="D3020" s="28" t="s">
        <v>38</v>
      </c>
      <c r="E3020" s="41">
        <v>46170</v>
      </c>
      <c r="F3020" s="47">
        <v>0.43350694444444443</v>
      </c>
      <c r="G3020" s="44">
        <v>6.3</v>
      </c>
      <c r="H3020" s="43" t="s">
        <v>229</v>
      </c>
      <c r="I3020" s="40" t="s">
        <v>1300</v>
      </c>
    </row>
    <row r="3021" spans="1:9" x14ac:dyDescent="0.2">
      <c r="A3021" s="40" t="s">
        <v>264</v>
      </c>
      <c r="B3021" s="28">
        <v>3575</v>
      </c>
      <c r="C3021" s="28" t="s">
        <v>35</v>
      </c>
      <c r="D3021" s="28" t="s">
        <v>38</v>
      </c>
      <c r="E3021" s="41">
        <v>46173</v>
      </c>
      <c r="F3021" s="47">
        <v>0.5753935185185185</v>
      </c>
      <c r="G3021" s="44">
        <v>6.3</v>
      </c>
      <c r="H3021" s="43" t="s">
        <v>230</v>
      </c>
      <c r="I3021" s="40" t="s">
        <v>1300</v>
      </c>
    </row>
    <row r="3022" spans="1:9" x14ac:dyDescent="0.2">
      <c r="A3022" s="40" t="s">
        <v>264</v>
      </c>
      <c r="B3022" s="28">
        <v>3575</v>
      </c>
      <c r="C3022" s="28" t="s">
        <v>35</v>
      </c>
      <c r="D3022" s="28" t="s">
        <v>38</v>
      </c>
      <c r="E3022" s="41">
        <v>46173</v>
      </c>
      <c r="F3022" s="47">
        <v>0.58173611111111112</v>
      </c>
      <c r="G3022" s="44">
        <v>6.3</v>
      </c>
      <c r="H3022" s="43" t="s">
        <v>227</v>
      </c>
      <c r="I3022" s="40" t="s">
        <v>1300</v>
      </c>
    </row>
    <row r="3023" spans="1:9" x14ac:dyDescent="0.2">
      <c r="A3023" s="40" t="s">
        <v>300</v>
      </c>
      <c r="B3023" s="28">
        <v>3594</v>
      </c>
      <c r="C3023" s="28" t="s">
        <v>975</v>
      </c>
      <c r="D3023" s="28"/>
      <c r="E3023" s="41">
        <v>46167</v>
      </c>
      <c r="F3023" s="47">
        <v>0.25969907407407405</v>
      </c>
      <c r="G3023" s="44">
        <v>6.3</v>
      </c>
      <c r="H3023" s="43" t="s">
        <v>226</v>
      </c>
      <c r="I3023" s="40" t="s">
        <v>1300</v>
      </c>
    </row>
    <row r="3024" spans="1:9" x14ac:dyDescent="0.2">
      <c r="A3024" s="40" t="s">
        <v>300</v>
      </c>
      <c r="B3024" s="28">
        <v>3594</v>
      </c>
      <c r="C3024" s="28" t="s">
        <v>975</v>
      </c>
      <c r="D3024" s="28"/>
      <c r="E3024" s="41">
        <v>46167</v>
      </c>
      <c r="F3024" s="47">
        <v>0.26600694444444445</v>
      </c>
      <c r="G3024" s="44">
        <v>6.3</v>
      </c>
      <c r="H3024" s="43" t="s">
        <v>227</v>
      </c>
      <c r="I3024" s="40" t="s">
        <v>1300</v>
      </c>
    </row>
    <row r="3025" spans="1:9" x14ac:dyDescent="0.2">
      <c r="A3025" s="40" t="s">
        <v>300</v>
      </c>
      <c r="B3025" s="28">
        <v>3594</v>
      </c>
      <c r="C3025" s="28" t="s">
        <v>976</v>
      </c>
      <c r="D3025" s="28"/>
      <c r="E3025" s="41">
        <v>46168</v>
      </c>
      <c r="F3025" s="47">
        <v>0.26418981481481479</v>
      </c>
      <c r="G3025" s="44">
        <v>6.3</v>
      </c>
      <c r="H3025" s="43" t="s">
        <v>230</v>
      </c>
      <c r="I3025" s="40" t="s">
        <v>1300</v>
      </c>
    </row>
    <row r="3026" spans="1:9" x14ac:dyDescent="0.2">
      <c r="A3026" s="40" t="s">
        <v>300</v>
      </c>
      <c r="B3026" s="28">
        <v>3594</v>
      </c>
      <c r="C3026" s="28" t="s">
        <v>976</v>
      </c>
      <c r="D3026" s="28"/>
      <c r="E3026" s="41">
        <v>46168</v>
      </c>
      <c r="F3026" s="47">
        <v>0.27096064814814813</v>
      </c>
      <c r="G3026" s="44">
        <v>6.3</v>
      </c>
      <c r="H3026" s="43" t="s">
        <v>227</v>
      </c>
      <c r="I3026" s="40" t="s">
        <v>1300</v>
      </c>
    </row>
    <row r="3027" spans="1:9" x14ac:dyDescent="0.2">
      <c r="A3027" s="40" t="s">
        <v>300</v>
      </c>
      <c r="B3027" s="28">
        <v>3594</v>
      </c>
      <c r="C3027" s="28" t="s">
        <v>977</v>
      </c>
      <c r="D3027" s="28"/>
      <c r="E3027" s="41">
        <v>46171</v>
      </c>
      <c r="F3027" s="47">
        <v>0.26128472222222221</v>
      </c>
      <c r="G3027" s="44">
        <v>6.3</v>
      </c>
      <c r="H3027" s="43" t="s">
        <v>231</v>
      </c>
      <c r="I3027" s="40" t="s">
        <v>1300</v>
      </c>
    </row>
    <row r="3028" spans="1:9" x14ac:dyDescent="0.2">
      <c r="A3028" s="40" t="s">
        <v>300</v>
      </c>
      <c r="B3028" s="28">
        <v>3594</v>
      </c>
      <c r="C3028" s="28" t="s">
        <v>977</v>
      </c>
      <c r="D3028" s="28"/>
      <c r="E3028" s="45">
        <v>46171</v>
      </c>
      <c r="F3028" s="48">
        <v>0.26619212962962963</v>
      </c>
      <c r="G3028" s="44">
        <v>6.3</v>
      </c>
      <c r="H3028" s="43" t="s">
        <v>227</v>
      </c>
      <c r="I3028" s="40" t="s">
        <v>1300</v>
      </c>
    </row>
    <row r="3029" spans="1:9" x14ac:dyDescent="0.2">
      <c r="A3029" s="40" t="s">
        <v>978</v>
      </c>
      <c r="B3029" s="28">
        <v>3595</v>
      </c>
      <c r="C3029" s="28">
        <v>5692733</v>
      </c>
      <c r="D3029" s="28"/>
      <c r="E3029" s="41">
        <v>46171</v>
      </c>
      <c r="F3029" s="47">
        <v>0.63296296296296295</v>
      </c>
      <c r="G3029" s="44">
        <v>6.3</v>
      </c>
      <c r="H3029" s="43" t="s">
        <v>229</v>
      </c>
      <c r="I3029" s="40" t="s">
        <v>1300</v>
      </c>
    </row>
    <row r="3030" spans="1:9" x14ac:dyDescent="0.2">
      <c r="A3030" s="40" t="s">
        <v>192</v>
      </c>
      <c r="B3030" s="28">
        <v>3607</v>
      </c>
      <c r="C3030" s="28" t="s">
        <v>979</v>
      </c>
      <c r="D3030" s="28"/>
      <c r="E3030" s="41">
        <v>46170</v>
      </c>
      <c r="F3030" s="47">
        <v>0.98295138888888889</v>
      </c>
      <c r="G3030" s="44">
        <v>6.3</v>
      </c>
      <c r="H3030" s="43" t="s">
        <v>228</v>
      </c>
      <c r="I3030" s="40" t="s">
        <v>1300</v>
      </c>
    </row>
    <row r="3031" spans="1:9" x14ac:dyDescent="0.2">
      <c r="A3031" s="40" t="s">
        <v>192</v>
      </c>
      <c r="B3031" s="28">
        <v>3607</v>
      </c>
      <c r="C3031" s="28" t="s">
        <v>979</v>
      </c>
      <c r="D3031" s="28"/>
      <c r="E3031" s="41">
        <v>46170</v>
      </c>
      <c r="F3031" s="47">
        <v>0.99027777777777781</v>
      </c>
      <c r="G3031" s="44">
        <v>6.3</v>
      </c>
      <c r="H3031" s="43" t="s">
        <v>229</v>
      </c>
      <c r="I3031" s="40" t="s">
        <v>1300</v>
      </c>
    </row>
    <row r="3032" spans="1:9" x14ac:dyDescent="0.2">
      <c r="A3032" s="40" t="s">
        <v>192</v>
      </c>
      <c r="B3032" s="28">
        <v>3607</v>
      </c>
      <c r="C3032" s="28" t="s">
        <v>980</v>
      </c>
      <c r="D3032" s="28"/>
      <c r="E3032" s="41">
        <v>46171</v>
      </c>
      <c r="F3032" s="47">
        <v>0.13094907407407408</v>
      </c>
      <c r="G3032" s="44">
        <v>6.3</v>
      </c>
      <c r="H3032" s="43" t="s">
        <v>230</v>
      </c>
      <c r="I3032" s="40" t="s">
        <v>1300</v>
      </c>
    </row>
    <row r="3033" spans="1:9" x14ac:dyDescent="0.2">
      <c r="A3033" s="40" t="s">
        <v>192</v>
      </c>
      <c r="B3033" s="28">
        <v>3607</v>
      </c>
      <c r="C3033" s="28" t="s">
        <v>980</v>
      </c>
      <c r="D3033" s="28"/>
      <c r="E3033" s="41">
        <v>46171</v>
      </c>
      <c r="F3033" s="47">
        <v>0.1363425925925926</v>
      </c>
      <c r="G3033" s="44">
        <v>6.3</v>
      </c>
      <c r="H3033" s="43" t="s">
        <v>227</v>
      </c>
      <c r="I3033" s="40" t="s">
        <v>1300</v>
      </c>
    </row>
    <row r="3034" spans="1:9" x14ac:dyDescent="0.2">
      <c r="A3034" s="40" t="s">
        <v>242</v>
      </c>
      <c r="B3034" s="28">
        <v>3613</v>
      </c>
      <c r="C3034" s="28" t="s">
        <v>35</v>
      </c>
      <c r="D3034" s="28" t="s">
        <v>38</v>
      </c>
      <c r="E3034" s="41">
        <v>46170</v>
      </c>
      <c r="F3034" s="47">
        <v>0.75170138888888893</v>
      </c>
      <c r="G3034" s="44">
        <v>6.3</v>
      </c>
      <c r="H3034" s="43" t="s">
        <v>230</v>
      </c>
      <c r="I3034" s="40" t="s">
        <v>1300</v>
      </c>
    </row>
    <row r="3035" spans="1:9" x14ac:dyDescent="0.2">
      <c r="A3035" s="40" t="s">
        <v>242</v>
      </c>
      <c r="B3035" s="28">
        <v>3613</v>
      </c>
      <c r="C3035" s="28" t="s">
        <v>35</v>
      </c>
      <c r="D3035" s="28" t="s">
        <v>38</v>
      </c>
      <c r="E3035" s="41">
        <v>46170</v>
      </c>
      <c r="F3035" s="47">
        <v>0.76078703703703698</v>
      </c>
      <c r="G3035" s="44">
        <v>6.3</v>
      </c>
      <c r="H3035" s="43" t="s">
        <v>230</v>
      </c>
      <c r="I3035" s="40" t="s">
        <v>1300</v>
      </c>
    </row>
    <row r="3036" spans="1:9" x14ac:dyDescent="0.2">
      <c r="A3036" s="40" t="s">
        <v>242</v>
      </c>
      <c r="B3036" s="28">
        <v>3613</v>
      </c>
      <c r="C3036" s="28">
        <v>5691510</v>
      </c>
      <c r="D3036" s="28"/>
      <c r="E3036" s="41">
        <v>46171</v>
      </c>
      <c r="F3036" s="47">
        <v>0.37761574074074072</v>
      </c>
      <c r="G3036" s="44">
        <v>6.3</v>
      </c>
      <c r="H3036" s="43" t="s">
        <v>227</v>
      </c>
      <c r="I3036" s="40" t="s">
        <v>1300</v>
      </c>
    </row>
    <row r="3037" spans="1:9" x14ac:dyDescent="0.2">
      <c r="A3037" s="40" t="s">
        <v>242</v>
      </c>
      <c r="B3037" s="28">
        <v>3613</v>
      </c>
      <c r="C3037" s="28" t="s">
        <v>35</v>
      </c>
      <c r="D3037" s="28" t="s">
        <v>38</v>
      </c>
      <c r="E3037" s="41">
        <v>46172</v>
      </c>
      <c r="F3037" s="47">
        <v>0.43046296296296294</v>
      </c>
      <c r="G3037" s="42">
        <v>6.3</v>
      </c>
      <c r="H3037" s="40" t="s">
        <v>229</v>
      </c>
      <c r="I3037" s="40" t="s">
        <v>1300</v>
      </c>
    </row>
    <row r="3038" spans="1:9" x14ac:dyDescent="0.2">
      <c r="A3038" s="40" t="s">
        <v>242</v>
      </c>
      <c r="B3038" s="28">
        <v>3613</v>
      </c>
      <c r="C3038" s="28" t="s">
        <v>35</v>
      </c>
      <c r="D3038" s="28" t="s">
        <v>38</v>
      </c>
      <c r="E3038" s="41">
        <v>46172</v>
      </c>
      <c r="F3038" s="47">
        <v>0.48438657407407409</v>
      </c>
      <c r="G3038" s="44">
        <v>6.3</v>
      </c>
      <c r="H3038" s="43" t="s">
        <v>230</v>
      </c>
      <c r="I3038" s="40" t="s">
        <v>1300</v>
      </c>
    </row>
    <row r="3039" spans="1:9" x14ac:dyDescent="0.2">
      <c r="A3039" s="40" t="s">
        <v>156</v>
      </c>
      <c r="B3039" s="28">
        <v>3621</v>
      </c>
      <c r="C3039" s="28" t="s">
        <v>981</v>
      </c>
      <c r="D3039" s="28"/>
      <c r="E3039" s="45">
        <v>46169</v>
      </c>
      <c r="F3039" s="48">
        <v>0.2426851851851852</v>
      </c>
      <c r="G3039" s="44">
        <v>6.3</v>
      </c>
      <c r="H3039" s="43" t="s">
        <v>228</v>
      </c>
      <c r="I3039" s="40" t="s">
        <v>1300</v>
      </c>
    </row>
    <row r="3040" spans="1:9" x14ac:dyDescent="0.2">
      <c r="A3040" s="40" t="s">
        <v>156</v>
      </c>
      <c r="B3040" s="28">
        <v>3621</v>
      </c>
      <c r="C3040" s="28" t="s">
        <v>982</v>
      </c>
      <c r="D3040" s="28"/>
      <c r="E3040" s="41">
        <v>46170</v>
      </c>
      <c r="F3040" s="47">
        <v>0.24708333333333332</v>
      </c>
      <c r="G3040" s="44">
        <v>6.3</v>
      </c>
      <c r="H3040" s="43" t="s">
        <v>228</v>
      </c>
      <c r="I3040" s="40" t="s">
        <v>1300</v>
      </c>
    </row>
    <row r="3041" spans="1:9" x14ac:dyDescent="0.2">
      <c r="A3041" s="40" t="s">
        <v>156</v>
      </c>
      <c r="B3041" s="28">
        <v>3621</v>
      </c>
      <c r="C3041" s="28" t="s">
        <v>982</v>
      </c>
      <c r="D3041" s="28"/>
      <c r="E3041" s="45">
        <v>46170</v>
      </c>
      <c r="F3041" s="48">
        <v>0.25608796296296299</v>
      </c>
      <c r="G3041" s="44">
        <v>6.3</v>
      </c>
      <c r="H3041" s="43" t="s">
        <v>232</v>
      </c>
      <c r="I3041" s="40" t="s">
        <v>1300</v>
      </c>
    </row>
    <row r="3042" spans="1:9" x14ac:dyDescent="0.2">
      <c r="A3042" s="40" t="s">
        <v>156</v>
      </c>
      <c r="B3042" s="28">
        <v>3621</v>
      </c>
      <c r="C3042" s="28">
        <v>5688852</v>
      </c>
      <c r="D3042" s="28"/>
      <c r="E3042" s="41">
        <v>46170</v>
      </c>
      <c r="F3042" s="47">
        <v>0.32333333333333331</v>
      </c>
      <c r="G3042" s="44">
        <v>6.3</v>
      </c>
      <c r="H3042" s="43" t="s">
        <v>231</v>
      </c>
      <c r="I3042" s="40" t="s">
        <v>1300</v>
      </c>
    </row>
    <row r="3043" spans="1:9" x14ac:dyDescent="0.2">
      <c r="A3043" s="40" t="s">
        <v>156</v>
      </c>
      <c r="B3043" s="28">
        <v>3621</v>
      </c>
      <c r="C3043" s="28">
        <v>5688852</v>
      </c>
      <c r="D3043" s="28"/>
      <c r="E3043" s="41">
        <v>46170</v>
      </c>
      <c r="F3043" s="47">
        <v>0.33158564814814817</v>
      </c>
      <c r="G3043" s="44">
        <v>6.3</v>
      </c>
      <c r="H3043" s="43" t="s">
        <v>227</v>
      </c>
      <c r="I3043" s="40" t="s">
        <v>1300</v>
      </c>
    </row>
    <row r="3044" spans="1:9" x14ac:dyDescent="0.2">
      <c r="A3044" s="40" t="s">
        <v>377</v>
      </c>
      <c r="B3044" s="28">
        <v>3638</v>
      </c>
      <c r="C3044" s="28">
        <v>5686353</v>
      </c>
      <c r="D3044" s="28"/>
      <c r="E3044" s="41">
        <v>46168</v>
      </c>
      <c r="F3044" s="47">
        <v>0.22991898148148149</v>
      </c>
      <c r="G3044" s="42">
        <v>6.3</v>
      </c>
      <c r="H3044" s="40" t="s">
        <v>230</v>
      </c>
      <c r="I3044" s="40" t="s">
        <v>1300</v>
      </c>
    </row>
    <row r="3045" spans="1:9" x14ac:dyDescent="0.2">
      <c r="A3045" s="40" t="s">
        <v>377</v>
      </c>
      <c r="B3045" s="28">
        <v>3638</v>
      </c>
      <c r="C3045" s="28">
        <v>5686353</v>
      </c>
      <c r="D3045" s="28"/>
      <c r="E3045" s="41">
        <v>46168</v>
      </c>
      <c r="F3045" s="47">
        <v>0.23505787037037038</v>
      </c>
      <c r="G3045" s="44">
        <v>6.3</v>
      </c>
      <c r="H3045" s="43" t="s">
        <v>227</v>
      </c>
      <c r="I3045" s="40" t="s">
        <v>1300</v>
      </c>
    </row>
    <row r="3046" spans="1:9" x14ac:dyDescent="0.2">
      <c r="A3046" s="40" t="s">
        <v>377</v>
      </c>
      <c r="B3046" s="28">
        <v>3638</v>
      </c>
      <c r="C3046" s="28">
        <v>5687881</v>
      </c>
      <c r="D3046" s="28"/>
      <c r="E3046" s="41">
        <v>46169</v>
      </c>
      <c r="F3046" s="47">
        <v>0.33347222222222223</v>
      </c>
      <c r="G3046" s="44">
        <v>6.3</v>
      </c>
      <c r="H3046" s="43" t="s">
        <v>226</v>
      </c>
      <c r="I3046" s="40" t="s">
        <v>1300</v>
      </c>
    </row>
    <row r="3047" spans="1:9" x14ac:dyDescent="0.2">
      <c r="A3047" s="40" t="s">
        <v>377</v>
      </c>
      <c r="B3047" s="28">
        <v>3638</v>
      </c>
      <c r="C3047" s="28">
        <v>5687881</v>
      </c>
      <c r="D3047" s="28"/>
      <c r="E3047" s="41">
        <v>46169</v>
      </c>
      <c r="F3047" s="47">
        <v>0.34082175925925928</v>
      </c>
      <c r="G3047" s="44">
        <v>6.3</v>
      </c>
      <c r="H3047" s="43" t="s">
        <v>227</v>
      </c>
      <c r="I3047" s="40" t="s">
        <v>1300</v>
      </c>
    </row>
    <row r="3048" spans="1:9" x14ac:dyDescent="0.2">
      <c r="A3048" s="40" t="s">
        <v>377</v>
      </c>
      <c r="B3048" s="28">
        <v>3638</v>
      </c>
      <c r="C3048" s="28">
        <v>5688685</v>
      </c>
      <c r="D3048" s="28"/>
      <c r="E3048" s="41">
        <v>46169</v>
      </c>
      <c r="F3048" s="47">
        <v>0.40129629629629632</v>
      </c>
      <c r="G3048" s="44">
        <v>6.3</v>
      </c>
      <c r="H3048" s="43" t="s">
        <v>228</v>
      </c>
      <c r="I3048" s="40" t="s">
        <v>1300</v>
      </c>
    </row>
    <row r="3049" spans="1:9" x14ac:dyDescent="0.2">
      <c r="A3049" s="40" t="s">
        <v>377</v>
      </c>
      <c r="B3049" s="28">
        <v>3638</v>
      </c>
      <c r="C3049" s="28">
        <v>5688685</v>
      </c>
      <c r="D3049" s="28"/>
      <c r="E3049" s="41">
        <v>46169</v>
      </c>
      <c r="F3049" s="47">
        <v>0.41560185185185183</v>
      </c>
      <c r="G3049" s="44">
        <v>6.3</v>
      </c>
      <c r="H3049" s="43" t="s">
        <v>229</v>
      </c>
      <c r="I3049" s="40" t="s">
        <v>1300</v>
      </c>
    </row>
    <row r="3050" spans="1:9" x14ac:dyDescent="0.2">
      <c r="A3050" s="40" t="s">
        <v>377</v>
      </c>
      <c r="B3050" s="28">
        <v>3638</v>
      </c>
      <c r="C3050" s="28">
        <v>5687903</v>
      </c>
      <c r="D3050" s="28"/>
      <c r="E3050" s="45">
        <v>46169</v>
      </c>
      <c r="F3050" s="48">
        <v>0.46537037037037038</v>
      </c>
      <c r="G3050" s="44">
        <v>6.3</v>
      </c>
      <c r="H3050" s="43" t="s">
        <v>230</v>
      </c>
      <c r="I3050" s="40" t="s">
        <v>1300</v>
      </c>
    </row>
    <row r="3051" spans="1:9" x14ac:dyDescent="0.2">
      <c r="A3051" s="40" t="s">
        <v>377</v>
      </c>
      <c r="B3051" s="28">
        <v>3638</v>
      </c>
      <c r="C3051" s="28">
        <v>5687903</v>
      </c>
      <c r="D3051" s="28"/>
      <c r="E3051" s="41">
        <v>46169</v>
      </c>
      <c r="F3051" s="47">
        <v>0.47081018518518519</v>
      </c>
      <c r="G3051" s="44">
        <v>6.3</v>
      </c>
      <c r="H3051" s="43" t="s">
        <v>227</v>
      </c>
      <c r="I3051" s="40" t="s">
        <v>1300</v>
      </c>
    </row>
    <row r="3052" spans="1:9" x14ac:dyDescent="0.2">
      <c r="A3052" s="40" t="s">
        <v>377</v>
      </c>
      <c r="B3052" s="28">
        <v>3638</v>
      </c>
      <c r="C3052" s="28">
        <v>5687872</v>
      </c>
      <c r="D3052" s="28"/>
      <c r="E3052" s="41">
        <v>46169</v>
      </c>
      <c r="F3052" s="47">
        <v>0.6392592592592593</v>
      </c>
      <c r="G3052" s="44">
        <v>6.3</v>
      </c>
      <c r="H3052" s="43" t="s">
        <v>228</v>
      </c>
      <c r="I3052" s="40" t="s">
        <v>1300</v>
      </c>
    </row>
    <row r="3053" spans="1:9" x14ac:dyDescent="0.2">
      <c r="A3053" s="40" t="s">
        <v>377</v>
      </c>
      <c r="B3053" s="28">
        <v>3638</v>
      </c>
      <c r="C3053" s="28">
        <v>5687872</v>
      </c>
      <c r="D3053" s="28"/>
      <c r="E3053" s="41">
        <v>46169</v>
      </c>
      <c r="F3053" s="47">
        <v>0.65069444444444446</v>
      </c>
      <c r="G3053" s="44">
        <v>6.3</v>
      </c>
      <c r="H3053" s="43" t="s">
        <v>229</v>
      </c>
      <c r="I3053" s="40" t="s">
        <v>1300</v>
      </c>
    </row>
    <row r="3054" spans="1:9" x14ac:dyDescent="0.2">
      <c r="A3054" s="40" t="s">
        <v>377</v>
      </c>
      <c r="B3054" s="28">
        <v>3638</v>
      </c>
      <c r="C3054" s="28">
        <v>5687922</v>
      </c>
      <c r="D3054" s="28"/>
      <c r="E3054" s="41">
        <v>46170</v>
      </c>
      <c r="F3054" s="47">
        <v>3.2083333333333332E-2</v>
      </c>
      <c r="G3054" s="44">
        <v>6.3</v>
      </c>
      <c r="H3054" s="43" t="s">
        <v>228</v>
      </c>
      <c r="I3054" s="40" t="s">
        <v>1300</v>
      </c>
    </row>
    <row r="3055" spans="1:9" x14ac:dyDescent="0.2">
      <c r="A3055" s="40" t="s">
        <v>377</v>
      </c>
      <c r="B3055" s="28">
        <v>3638</v>
      </c>
      <c r="C3055" s="28">
        <v>5687922</v>
      </c>
      <c r="D3055" s="28"/>
      <c r="E3055" s="41">
        <v>46170</v>
      </c>
      <c r="F3055" s="47">
        <v>4.283564814814815E-2</v>
      </c>
      <c r="G3055" s="42">
        <v>6.3</v>
      </c>
      <c r="H3055" s="40" t="s">
        <v>229</v>
      </c>
      <c r="I3055" s="40" t="s">
        <v>1300</v>
      </c>
    </row>
    <row r="3056" spans="1:9" x14ac:dyDescent="0.2">
      <c r="A3056" s="40" t="s">
        <v>273</v>
      </c>
      <c r="B3056" s="28">
        <v>3643</v>
      </c>
      <c r="C3056" s="28">
        <v>5679212</v>
      </c>
      <c r="D3056" s="28" t="s">
        <v>36</v>
      </c>
      <c r="E3056" s="41">
        <v>46167</v>
      </c>
      <c r="F3056" s="47">
        <v>0.23152777777777778</v>
      </c>
      <c r="G3056" s="44">
        <v>6.3</v>
      </c>
      <c r="H3056" s="43" t="s">
        <v>228</v>
      </c>
      <c r="I3056" s="40" t="s">
        <v>1300</v>
      </c>
    </row>
    <row r="3057" spans="1:9" x14ac:dyDescent="0.2">
      <c r="A3057" s="40" t="s">
        <v>273</v>
      </c>
      <c r="B3057" s="28">
        <v>3643</v>
      </c>
      <c r="C3057" s="28">
        <v>5679212</v>
      </c>
      <c r="D3057" s="28" t="s">
        <v>36</v>
      </c>
      <c r="E3057" s="41">
        <v>46167</v>
      </c>
      <c r="F3057" s="47">
        <v>0.24005787037037038</v>
      </c>
      <c r="G3057" s="44">
        <v>6.3</v>
      </c>
      <c r="H3057" s="43" t="s">
        <v>229</v>
      </c>
      <c r="I3057" s="40" t="s">
        <v>1300</v>
      </c>
    </row>
    <row r="3058" spans="1:9" x14ac:dyDescent="0.2">
      <c r="A3058" s="40" t="s">
        <v>273</v>
      </c>
      <c r="B3058" s="28">
        <v>3643</v>
      </c>
      <c r="C3058" s="28">
        <v>5687174</v>
      </c>
      <c r="D3058" s="28"/>
      <c r="E3058" s="41">
        <v>46168</v>
      </c>
      <c r="F3058" s="47">
        <v>1.8171296296296297E-2</v>
      </c>
      <c r="G3058" s="44">
        <v>6.3</v>
      </c>
      <c r="H3058" s="43" t="s">
        <v>232</v>
      </c>
      <c r="I3058" s="40" t="s">
        <v>1300</v>
      </c>
    </row>
    <row r="3059" spans="1:9" x14ac:dyDescent="0.2">
      <c r="A3059" s="40" t="s">
        <v>273</v>
      </c>
      <c r="B3059" s="28">
        <v>3643</v>
      </c>
      <c r="C3059" s="28" t="s">
        <v>983</v>
      </c>
      <c r="D3059" s="28"/>
      <c r="E3059" s="41">
        <v>46172</v>
      </c>
      <c r="F3059" s="47">
        <v>0.39782407407407405</v>
      </c>
      <c r="G3059" s="44">
        <v>6.3</v>
      </c>
      <c r="H3059" s="43" t="s">
        <v>228</v>
      </c>
      <c r="I3059" s="40" t="s">
        <v>1300</v>
      </c>
    </row>
    <row r="3060" spans="1:9" x14ac:dyDescent="0.2">
      <c r="A3060" s="40" t="s">
        <v>273</v>
      </c>
      <c r="B3060" s="28">
        <v>3643</v>
      </c>
      <c r="C3060" s="28" t="s">
        <v>983</v>
      </c>
      <c r="D3060" s="28"/>
      <c r="E3060" s="41">
        <v>46172</v>
      </c>
      <c r="F3060" s="47">
        <v>0.40924768518518517</v>
      </c>
      <c r="G3060" s="44">
        <v>6.3</v>
      </c>
      <c r="H3060" s="43" t="s">
        <v>229</v>
      </c>
      <c r="I3060" s="40" t="s">
        <v>1300</v>
      </c>
    </row>
    <row r="3061" spans="1:9" x14ac:dyDescent="0.2">
      <c r="A3061" s="40" t="s">
        <v>272</v>
      </c>
      <c r="B3061" s="28">
        <v>3661</v>
      </c>
      <c r="C3061" s="28">
        <v>5695306</v>
      </c>
      <c r="D3061" s="28"/>
      <c r="E3061" s="41">
        <v>46172</v>
      </c>
      <c r="F3061" s="47">
        <v>0.9871064814814815</v>
      </c>
      <c r="G3061" s="44">
        <v>6.3</v>
      </c>
      <c r="H3061" s="43" t="s">
        <v>228</v>
      </c>
      <c r="I3061" s="40" t="s">
        <v>1300</v>
      </c>
    </row>
    <row r="3062" spans="1:9" x14ac:dyDescent="0.2">
      <c r="A3062" s="40" t="s">
        <v>272</v>
      </c>
      <c r="B3062" s="28">
        <v>3661</v>
      </c>
      <c r="C3062" s="28">
        <v>5695306</v>
      </c>
      <c r="D3062" s="28"/>
      <c r="E3062" s="41">
        <v>46172</v>
      </c>
      <c r="F3062" s="47">
        <v>0.99315972222222226</v>
      </c>
      <c r="G3062" s="44">
        <v>6.3</v>
      </c>
      <c r="H3062" s="43" t="s">
        <v>229</v>
      </c>
      <c r="I3062" s="40" t="s">
        <v>1300</v>
      </c>
    </row>
    <row r="3063" spans="1:9" x14ac:dyDescent="0.2">
      <c r="A3063" s="40" t="s">
        <v>272</v>
      </c>
      <c r="B3063" s="28">
        <v>3661</v>
      </c>
      <c r="C3063" s="28" t="s">
        <v>35</v>
      </c>
      <c r="D3063" s="28" t="s">
        <v>38</v>
      </c>
      <c r="E3063" s="45">
        <v>46173</v>
      </c>
      <c r="F3063" s="48">
        <v>8.2175925925925923E-3</v>
      </c>
      <c r="G3063" s="44">
        <v>6.3</v>
      </c>
      <c r="H3063" s="43" t="s">
        <v>227</v>
      </c>
      <c r="I3063" s="40" t="s">
        <v>1300</v>
      </c>
    </row>
    <row r="3064" spans="1:9" x14ac:dyDescent="0.2">
      <c r="A3064" s="40" t="s">
        <v>272</v>
      </c>
      <c r="B3064" s="28">
        <v>3661</v>
      </c>
      <c r="C3064" s="28" t="s">
        <v>35</v>
      </c>
      <c r="D3064" s="28" t="s">
        <v>38</v>
      </c>
      <c r="E3064" s="41">
        <v>46173</v>
      </c>
      <c r="F3064" s="47">
        <v>0.10725694444444445</v>
      </c>
      <c r="G3064" s="44">
        <v>6.3</v>
      </c>
      <c r="H3064" s="43" t="s">
        <v>230</v>
      </c>
      <c r="I3064" s="40" t="s">
        <v>1300</v>
      </c>
    </row>
    <row r="3065" spans="1:9" x14ac:dyDescent="0.2">
      <c r="A3065" s="40" t="s">
        <v>272</v>
      </c>
      <c r="B3065" s="28">
        <v>3661</v>
      </c>
      <c r="C3065" s="28" t="s">
        <v>35</v>
      </c>
      <c r="D3065" s="28" t="s">
        <v>38</v>
      </c>
      <c r="E3065" s="41">
        <v>46173</v>
      </c>
      <c r="F3065" s="47">
        <v>0.11174768518518519</v>
      </c>
      <c r="G3065" s="44">
        <v>6.3</v>
      </c>
      <c r="H3065" s="43" t="s">
        <v>227</v>
      </c>
      <c r="I3065" s="40" t="s">
        <v>1300</v>
      </c>
    </row>
    <row r="3066" spans="1:9" x14ac:dyDescent="0.2">
      <c r="A3066" s="40" t="s">
        <v>271</v>
      </c>
      <c r="B3066" s="28">
        <v>3662</v>
      </c>
      <c r="C3066" s="28" t="s">
        <v>984</v>
      </c>
      <c r="D3066" s="28"/>
      <c r="E3066" s="41">
        <v>46170</v>
      </c>
      <c r="F3066" s="47">
        <v>0.84499999999999997</v>
      </c>
      <c r="G3066" s="44">
        <v>6.3</v>
      </c>
      <c r="H3066" s="43" t="s">
        <v>228</v>
      </c>
      <c r="I3066" s="40" t="s">
        <v>1300</v>
      </c>
    </row>
    <row r="3067" spans="1:9" x14ac:dyDescent="0.2">
      <c r="A3067" s="40" t="s">
        <v>271</v>
      </c>
      <c r="B3067" s="28">
        <v>3662</v>
      </c>
      <c r="C3067" s="28" t="s">
        <v>984</v>
      </c>
      <c r="D3067" s="28"/>
      <c r="E3067" s="41">
        <v>46170</v>
      </c>
      <c r="F3067" s="47">
        <v>0.85402777777777783</v>
      </c>
      <c r="G3067" s="42">
        <v>6.3</v>
      </c>
      <c r="H3067" s="40" t="s">
        <v>229</v>
      </c>
      <c r="I3067" s="40" t="s">
        <v>1300</v>
      </c>
    </row>
    <row r="3068" spans="1:9" x14ac:dyDescent="0.2">
      <c r="A3068" s="40" t="s">
        <v>275</v>
      </c>
      <c r="B3068" s="28">
        <v>3663</v>
      </c>
      <c r="C3068" s="28">
        <v>5686417</v>
      </c>
      <c r="D3068" s="28"/>
      <c r="E3068" s="41">
        <v>46168</v>
      </c>
      <c r="F3068" s="47">
        <v>0.93793981481481481</v>
      </c>
      <c r="G3068" s="42">
        <v>6.3</v>
      </c>
      <c r="H3068" s="40" t="s">
        <v>228</v>
      </c>
      <c r="I3068" s="40" t="s">
        <v>1300</v>
      </c>
    </row>
    <row r="3069" spans="1:9" x14ac:dyDescent="0.2">
      <c r="A3069" s="40" t="s">
        <v>275</v>
      </c>
      <c r="B3069" s="28">
        <v>3663</v>
      </c>
      <c r="C3069" s="28">
        <v>5686417</v>
      </c>
      <c r="D3069" s="28"/>
      <c r="E3069" s="45">
        <v>46168</v>
      </c>
      <c r="F3069" s="48">
        <v>0.94480324074074074</v>
      </c>
      <c r="G3069" s="42">
        <v>6.3</v>
      </c>
      <c r="H3069" s="40" t="s">
        <v>229</v>
      </c>
      <c r="I3069" s="40" t="s">
        <v>1300</v>
      </c>
    </row>
    <row r="3070" spans="1:9" x14ac:dyDescent="0.2">
      <c r="A3070" s="40" t="s">
        <v>275</v>
      </c>
      <c r="B3070" s="28">
        <v>3663</v>
      </c>
      <c r="C3070" s="28">
        <v>5688372</v>
      </c>
      <c r="D3070" s="28"/>
      <c r="E3070" s="41">
        <v>46169</v>
      </c>
      <c r="F3070" s="47">
        <v>0.74487268518518523</v>
      </c>
      <c r="G3070" s="42">
        <v>6.3</v>
      </c>
      <c r="H3070" s="40" t="s">
        <v>228</v>
      </c>
      <c r="I3070" s="40" t="s">
        <v>1300</v>
      </c>
    </row>
    <row r="3071" spans="1:9" x14ac:dyDescent="0.2">
      <c r="A3071" s="40" t="s">
        <v>275</v>
      </c>
      <c r="B3071" s="28">
        <v>3663</v>
      </c>
      <c r="C3071" s="28">
        <v>5688372</v>
      </c>
      <c r="D3071" s="28"/>
      <c r="E3071" s="41">
        <v>46169</v>
      </c>
      <c r="F3071" s="47">
        <v>0.7543981481481481</v>
      </c>
      <c r="G3071" s="42">
        <v>6.3</v>
      </c>
      <c r="H3071" s="40" t="s">
        <v>233</v>
      </c>
      <c r="I3071" s="40" t="s">
        <v>1300</v>
      </c>
    </row>
    <row r="3072" spans="1:9" x14ac:dyDescent="0.2">
      <c r="A3072" s="40" t="s">
        <v>275</v>
      </c>
      <c r="B3072" s="28">
        <v>3663</v>
      </c>
      <c r="C3072" s="28" t="s">
        <v>35</v>
      </c>
      <c r="D3072" s="28" t="s">
        <v>38</v>
      </c>
      <c r="E3072" s="45">
        <v>46169</v>
      </c>
      <c r="F3072" s="48">
        <v>0.80913194444444447</v>
      </c>
      <c r="G3072" s="44">
        <v>6.3</v>
      </c>
      <c r="H3072" s="43" t="s">
        <v>234</v>
      </c>
      <c r="I3072" s="40" t="s">
        <v>1300</v>
      </c>
    </row>
    <row r="3073" spans="1:9" x14ac:dyDescent="0.2">
      <c r="A3073" s="40" t="s">
        <v>275</v>
      </c>
      <c r="B3073" s="28">
        <v>3663</v>
      </c>
      <c r="C3073" s="28" t="s">
        <v>35</v>
      </c>
      <c r="D3073" s="28" t="s">
        <v>38</v>
      </c>
      <c r="E3073" s="41">
        <v>46169</v>
      </c>
      <c r="F3073" s="47">
        <v>0.8295717592592593</v>
      </c>
      <c r="G3073" s="44">
        <v>6.3</v>
      </c>
      <c r="H3073" s="43" t="s">
        <v>227</v>
      </c>
      <c r="I3073" s="40" t="s">
        <v>1300</v>
      </c>
    </row>
    <row r="3074" spans="1:9" x14ac:dyDescent="0.2">
      <c r="A3074" s="40" t="s">
        <v>278</v>
      </c>
      <c r="B3074" s="28">
        <v>3664</v>
      </c>
      <c r="C3074" s="28">
        <v>5690463</v>
      </c>
      <c r="D3074" s="28"/>
      <c r="E3074" s="41">
        <v>46170</v>
      </c>
      <c r="F3074" s="47">
        <v>3.0138888888888889E-2</v>
      </c>
      <c r="G3074" s="44">
        <v>6.3</v>
      </c>
      <c r="H3074" s="43" t="s">
        <v>228</v>
      </c>
      <c r="I3074" s="40" t="s">
        <v>1300</v>
      </c>
    </row>
    <row r="3075" spans="1:9" x14ac:dyDescent="0.2">
      <c r="A3075" s="40" t="s">
        <v>278</v>
      </c>
      <c r="B3075" s="28">
        <v>3664</v>
      </c>
      <c r="C3075" s="28">
        <v>5690463</v>
      </c>
      <c r="D3075" s="28"/>
      <c r="E3075" s="45">
        <v>46170</v>
      </c>
      <c r="F3075" s="48">
        <v>4.0162037037037038E-2</v>
      </c>
      <c r="G3075" s="44">
        <v>6.3</v>
      </c>
      <c r="H3075" s="43" t="s">
        <v>229</v>
      </c>
      <c r="I3075" s="40" t="s">
        <v>1300</v>
      </c>
    </row>
    <row r="3076" spans="1:9" x14ac:dyDescent="0.2">
      <c r="A3076" s="40" t="s">
        <v>278</v>
      </c>
      <c r="B3076" s="28">
        <v>3664</v>
      </c>
      <c r="C3076" s="28">
        <v>5692364</v>
      </c>
      <c r="D3076" s="28"/>
      <c r="E3076" s="41">
        <v>46170</v>
      </c>
      <c r="F3076" s="47">
        <v>0.93209490740740741</v>
      </c>
      <c r="G3076" s="44">
        <v>6.3</v>
      </c>
      <c r="H3076" s="43" t="s">
        <v>228</v>
      </c>
      <c r="I3076" s="40" t="s">
        <v>1300</v>
      </c>
    </row>
    <row r="3077" spans="1:9" x14ac:dyDescent="0.2">
      <c r="A3077" s="40" t="s">
        <v>278</v>
      </c>
      <c r="B3077" s="28">
        <v>3664</v>
      </c>
      <c r="C3077" s="28">
        <v>5692364</v>
      </c>
      <c r="D3077" s="28"/>
      <c r="E3077" s="41">
        <v>46170</v>
      </c>
      <c r="F3077" s="47">
        <v>0.93893518518518515</v>
      </c>
      <c r="G3077" s="44">
        <v>6.3</v>
      </c>
      <c r="H3077" s="43" t="s">
        <v>229</v>
      </c>
      <c r="I3077" s="40" t="s">
        <v>1300</v>
      </c>
    </row>
    <row r="3078" spans="1:9" x14ac:dyDescent="0.2">
      <c r="A3078" s="40" t="s">
        <v>278</v>
      </c>
      <c r="B3078" s="28">
        <v>3664</v>
      </c>
      <c r="C3078" s="28" t="s">
        <v>985</v>
      </c>
      <c r="D3078" s="28"/>
      <c r="E3078" s="41">
        <v>46171</v>
      </c>
      <c r="F3078" s="47">
        <v>1.6238425925925927E-2</v>
      </c>
      <c r="G3078" s="44">
        <v>6.3</v>
      </c>
      <c r="H3078" s="43" t="s">
        <v>228</v>
      </c>
      <c r="I3078" s="40" t="s">
        <v>1300</v>
      </c>
    </row>
    <row r="3079" spans="1:9" x14ac:dyDescent="0.2">
      <c r="A3079" s="40" t="s">
        <v>278</v>
      </c>
      <c r="B3079" s="28">
        <v>3664</v>
      </c>
      <c r="C3079" s="28" t="s">
        <v>985</v>
      </c>
      <c r="D3079" s="28"/>
      <c r="E3079" s="41">
        <v>46171</v>
      </c>
      <c r="F3079" s="47">
        <v>2.6516203703703705E-2</v>
      </c>
      <c r="G3079" s="44">
        <v>6.3</v>
      </c>
      <c r="H3079" s="43" t="s">
        <v>229</v>
      </c>
      <c r="I3079" s="40" t="s">
        <v>1300</v>
      </c>
    </row>
    <row r="3080" spans="1:9" x14ac:dyDescent="0.2">
      <c r="A3080" s="40" t="s">
        <v>433</v>
      </c>
      <c r="B3080" s="28">
        <v>3666</v>
      </c>
      <c r="C3080" s="28" t="s">
        <v>35</v>
      </c>
      <c r="D3080" s="28" t="s">
        <v>38</v>
      </c>
      <c r="E3080" s="41">
        <v>46167</v>
      </c>
      <c r="F3080" s="47">
        <v>0.92783564814814812</v>
      </c>
      <c r="G3080" s="44">
        <v>6.3</v>
      </c>
      <c r="H3080" s="43" t="s">
        <v>230</v>
      </c>
      <c r="I3080" s="40" t="s">
        <v>1300</v>
      </c>
    </row>
    <row r="3081" spans="1:9" x14ac:dyDescent="0.2">
      <c r="A3081" s="40" t="s">
        <v>433</v>
      </c>
      <c r="B3081" s="28">
        <v>3666</v>
      </c>
      <c r="C3081" s="28">
        <v>5685219</v>
      </c>
      <c r="D3081" s="28"/>
      <c r="E3081" s="41">
        <v>46168</v>
      </c>
      <c r="F3081" s="47">
        <v>0.19496527777777778</v>
      </c>
      <c r="G3081" s="44">
        <v>6.3</v>
      </c>
      <c r="H3081" s="43" t="s">
        <v>230</v>
      </c>
      <c r="I3081" s="40" t="s">
        <v>1300</v>
      </c>
    </row>
    <row r="3082" spans="1:9" x14ac:dyDescent="0.2">
      <c r="A3082" s="40" t="s">
        <v>433</v>
      </c>
      <c r="B3082" s="28">
        <v>3666</v>
      </c>
      <c r="C3082" s="28">
        <v>5685219</v>
      </c>
      <c r="D3082" s="28"/>
      <c r="E3082" s="41">
        <v>46168</v>
      </c>
      <c r="F3082" s="47">
        <v>0.20011574074074073</v>
      </c>
      <c r="G3082" s="44">
        <v>6.3</v>
      </c>
      <c r="H3082" s="43" t="s">
        <v>227</v>
      </c>
      <c r="I3082" s="40" t="s">
        <v>1300</v>
      </c>
    </row>
    <row r="3083" spans="1:9" x14ac:dyDescent="0.2">
      <c r="A3083" s="40" t="s">
        <v>433</v>
      </c>
      <c r="B3083" s="28">
        <v>3666</v>
      </c>
      <c r="C3083" s="28">
        <v>5688972</v>
      </c>
      <c r="D3083" s="28"/>
      <c r="E3083" s="41">
        <v>46168</v>
      </c>
      <c r="F3083" s="47">
        <v>0.98189814814814813</v>
      </c>
      <c r="G3083" s="44">
        <v>6.3</v>
      </c>
      <c r="H3083" s="43" t="s">
        <v>228</v>
      </c>
      <c r="I3083" s="40" t="s">
        <v>1300</v>
      </c>
    </row>
    <row r="3084" spans="1:9" x14ac:dyDescent="0.2">
      <c r="A3084" s="40" t="s">
        <v>433</v>
      </c>
      <c r="B3084" s="28">
        <v>3666</v>
      </c>
      <c r="C3084" s="28">
        <v>5688972</v>
      </c>
      <c r="D3084" s="28"/>
      <c r="E3084" s="41">
        <v>46168</v>
      </c>
      <c r="F3084" s="47">
        <v>0.98973379629629632</v>
      </c>
      <c r="G3084" s="44">
        <v>6.3</v>
      </c>
      <c r="H3084" s="43" t="s">
        <v>229</v>
      </c>
      <c r="I3084" s="40" t="s">
        <v>1300</v>
      </c>
    </row>
    <row r="3085" spans="1:9" x14ac:dyDescent="0.2">
      <c r="A3085" s="40" t="s">
        <v>433</v>
      </c>
      <c r="B3085" s="28">
        <v>3666</v>
      </c>
      <c r="C3085" s="28">
        <v>5686494</v>
      </c>
      <c r="D3085" s="28"/>
      <c r="E3085" s="41">
        <v>46169</v>
      </c>
      <c r="F3085" s="47">
        <v>0.17636574074074074</v>
      </c>
      <c r="G3085" s="44">
        <v>6.3</v>
      </c>
      <c r="H3085" s="43" t="s">
        <v>230</v>
      </c>
      <c r="I3085" s="40" t="s">
        <v>1300</v>
      </c>
    </row>
    <row r="3086" spans="1:9" x14ac:dyDescent="0.2">
      <c r="A3086" s="40" t="s">
        <v>433</v>
      </c>
      <c r="B3086" s="28">
        <v>3666</v>
      </c>
      <c r="C3086" s="28">
        <v>5686494</v>
      </c>
      <c r="D3086" s="28"/>
      <c r="E3086" s="41">
        <v>46169</v>
      </c>
      <c r="F3086" s="47">
        <v>0.18137731481481481</v>
      </c>
      <c r="G3086" s="44">
        <v>6.3</v>
      </c>
      <c r="H3086" s="43" t="s">
        <v>227</v>
      </c>
      <c r="I3086" s="40" t="s">
        <v>1300</v>
      </c>
    </row>
    <row r="3087" spans="1:9" x14ac:dyDescent="0.2">
      <c r="A3087" s="40" t="s">
        <v>433</v>
      </c>
      <c r="B3087" s="28">
        <v>3666</v>
      </c>
      <c r="C3087" s="28">
        <v>5692063</v>
      </c>
      <c r="D3087" s="28"/>
      <c r="E3087" s="41">
        <v>46170</v>
      </c>
      <c r="F3087" s="47">
        <v>0.82576388888888885</v>
      </c>
      <c r="G3087" s="44">
        <v>6.3</v>
      </c>
      <c r="H3087" s="43" t="s">
        <v>228</v>
      </c>
      <c r="I3087" s="40" t="s">
        <v>1300</v>
      </c>
    </row>
    <row r="3088" spans="1:9" x14ac:dyDescent="0.2">
      <c r="A3088" s="40" t="s">
        <v>433</v>
      </c>
      <c r="B3088" s="28">
        <v>3666</v>
      </c>
      <c r="C3088" s="28">
        <v>5692063</v>
      </c>
      <c r="D3088" s="28"/>
      <c r="E3088" s="41">
        <v>46170</v>
      </c>
      <c r="F3088" s="47">
        <v>0.83445601851851847</v>
      </c>
      <c r="G3088" s="44">
        <v>6.3</v>
      </c>
      <c r="H3088" s="43" t="s">
        <v>229</v>
      </c>
      <c r="I3088" s="40" t="s">
        <v>1300</v>
      </c>
    </row>
    <row r="3089" spans="1:9" x14ac:dyDescent="0.2">
      <c r="A3089" s="40" t="s">
        <v>433</v>
      </c>
      <c r="B3089" s="28">
        <v>3666</v>
      </c>
      <c r="C3089" s="28" t="s">
        <v>35</v>
      </c>
      <c r="D3089" s="28" t="s">
        <v>38</v>
      </c>
      <c r="E3089" s="45">
        <v>46170</v>
      </c>
      <c r="F3089" s="48">
        <v>0.88958333333333328</v>
      </c>
      <c r="G3089" s="44">
        <v>6.3</v>
      </c>
      <c r="H3089" s="43" t="s">
        <v>226</v>
      </c>
      <c r="I3089" s="40" t="s">
        <v>1300</v>
      </c>
    </row>
    <row r="3090" spans="1:9" x14ac:dyDescent="0.2">
      <c r="A3090" s="40" t="s">
        <v>433</v>
      </c>
      <c r="B3090" s="28">
        <v>3666</v>
      </c>
      <c r="C3090" s="28" t="s">
        <v>35</v>
      </c>
      <c r="D3090" s="28" t="s">
        <v>38</v>
      </c>
      <c r="E3090" s="41">
        <v>46170</v>
      </c>
      <c r="F3090" s="47">
        <v>0.89771990740740737</v>
      </c>
      <c r="G3090" s="44">
        <v>6.3</v>
      </c>
      <c r="H3090" s="43" t="s">
        <v>227</v>
      </c>
      <c r="I3090" s="40" t="s">
        <v>1300</v>
      </c>
    </row>
    <row r="3091" spans="1:9" x14ac:dyDescent="0.2">
      <c r="A3091" s="40" t="s">
        <v>986</v>
      </c>
      <c r="B3091" s="28">
        <v>3683</v>
      </c>
      <c r="C3091" s="28">
        <v>10744058</v>
      </c>
      <c r="D3091" s="28" t="s">
        <v>36</v>
      </c>
      <c r="E3091" s="41">
        <v>46168</v>
      </c>
      <c r="F3091" s="47">
        <v>0.42796296296296299</v>
      </c>
      <c r="G3091" s="44">
        <v>6.3</v>
      </c>
      <c r="H3091" s="43" t="s">
        <v>228</v>
      </c>
      <c r="I3091" s="40" t="s">
        <v>1300</v>
      </c>
    </row>
    <row r="3092" spans="1:9" x14ac:dyDescent="0.2">
      <c r="A3092" s="40" t="s">
        <v>986</v>
      </c>
      <c r="B3092" s="28">
        <v>3683</v>
      </c>
      <c r="C3092" s="28">
        <v>10744058</v>
      </c>
      <c r="D3092" s="28" t="s">
        <v>36</v>
      </c>
      <c r="E3092" s="41">
        <v>46168</v>
      </c>
      <c r="F3092" s="47">
        <v>0.44061342592592595</v>
      </c>
      <c r="G3092" s="44">
        <v>6.3</v>
      </c>
      <c r="H3092" s="43" t="s">
        <v>229</v>
      </c>
      <c r="I3092" s="40" t="s">
        <v>1300</v>
      </c>
    </row>
    <row r="3093" spans="1:9" x14ac:dyDescent="0.2">
      <c r="A3093" s="40" t="s">
        <v>986</v>
      </c>
      <c r="B3093" s="28">
        <v>3683</v>
      </c>
      <c r="C3093" s="28" t="s">
        <v>987</v>
      </c>
      <c r="D3093" s="28"/>
      <c r="E3093" s="41">
        <v>46168</v>
      </c>
      <c r="F3093" s="47">
        <v>0.90752314814814816</v>
      </c>
      <c r="G3093" s="44">
        <v>6.3</v>
      </c>
      <c r="H3093" s="43" t="s">
        <v>230</v>
      </c>
      <c r="I3093" s="40" t="s">
        <v>1300</v>
      </c>
    </row>
    <row r="3094" spans="1:9" x14ac:dyDescent="0.2">
      <c r="A3094" s="40" t="s">
        <v>986</v>
      </c>
      <c r="B3094" s="28">
        <v>3683</v>
      </c>
      <c r="C3094" s="28" t="s">
        <v>987</v>
      </c>
      <c r="D3094" s="28"/>
      <c r="E3094" s="41">
        <v>46168</v>
      </c>
      <c r="F3094" s="47">
        <v>0.91340277777777779</v>
      </c>
      <c r="G3094" s="44">
        <v>6.3</v>
      </c>
      <c r="H3094" s="43" t="s">
        <v>227</v>
      </c>
      <c r="I3094" s="40" t="s">
        <v>1300</v>
      </c>
    </row>
    <row r="3095" spans="1:9" x14ac:dyDescent="0.2">
      <c r="A3095" s="40" t="s">
        <v>986</v>
      </c>
      <c r="B3095" s="28">
        <v>3683</v>
      </c>
      <c r="C3095" s="28">
        <v>10765530</v>
      </c>
      <c r="D3095" s="28" t="s">
        <v>36</v>
      </c>
      <c r="E3095" s="41">
        <v>46171</v>
      </c>
      <c r="F3095" s="47">
        <v>0.41056712962962966</v>
      </c>
      <c r="G3095" s="44">
        <v>6.3</v>
      </c>
      <c r="H3095" s="43" t="s">
        <v>228</v>
      </c>
      <c r="I3095" s="40" t="s">
        <v>1300</v>
      </c>
    </row>
    <row r="3096" spans="1:9" x14ac:dyDescent="0.2">
      <c r="A3096" s="40" t="s">
        <v>986</v>
      </c>
      <c r="B3096" s="28">
        <v>3683</v>
      </c>
      <c r="C3096" s="28" t="s">
        <v>35</v>
      </c>
      <c r="D3096" s="28" t="s">
        <v>38</v>
      </c>
      <c r="E3096" s="41">
        <v>46171</v>
      </c>
      <c r="F3096" s="47">
        <v>0.42723379629629632</v>
      </c>
      <c r="G3096" s="44">
        <v>6.3</v>
      </c>
      <c r="H3096" s="43" t="s">
        <v>229</v>
      </c>
      <c r="I3096" s="40" t="s">
        <v>1300</v>
      </c>
    </row>
    <row r="3097" spans="1:9" x14ac:dyDescent="0.2">
      <c r="A3097" s="40" t="s">
        <v>320</v>
      </c>
      <c r="B3097" s="28">
        <v>3685</v>
      </c>
      <c r="C3097" s="28" t="s">
        <v>988</v>
      </c>
      <c r="D3097" s="28"/>
      <c r="E3097" s="45">
        <v>46167</v>
      </c>
      <c r="F3097" s="48">
        <v>0.27978009259259257</v>
      </c>
      <c r="G3097" s="44">
        <v>6.3</v>
      </c>
      <c r="H3097" s="43" t="s">
        <v>228</v>
      </c>
      <c r="I3097" s="40" t="s">
        <v>1300</v>
      </c>
    </row>
    <row r="3098" spans="1:9" x14ac:dyDescent="0.2">
      <c r="A3098" s="40" t="s">
        <v>320</v>
      </c>
      <c r="B3098" s="28">
        <v>3685</v>
      </c>
      <c r="C3098" s="28" t="s">
        <v>989</v>
      </c>
      <c r="D3098" s="28"/>
      <c r="E3098" s="41">
        <v>46168</v>
      </c>
      <c r="F3098" s="47">
        <v>0.19385416666666666</v>
      </c>
      <c r="G3098" s="44">
        <v>6.3</v>
      </c>
      <c r="H3098" s="43" t="s">
        <v>230</v>
      </c>
      <c r="I3098" s="40" t="s">
        <v>1300</v>
      </c>
    </row>
    <row r="3099" spans="1:9" x14ac:dyDescent="0.2">
      <c r="A3099" s="40" t="s">
        <v>320</v>
      </c>
      <c r="B3099" s="28">
        <v>3685</v>
      </c>
      <c r="C3099" s="28" t="s">
        <v>989</v>
      </c>
      <c r="D3099" s="28"/>
      <c r="E3099" s="41">
        <v>46168</v>
      </c>
      <c r="F3099" s="47">
        <v>0.19899305555555555</v>
      </c>
      <c r="G3099" s="44">
        <v>6.3</v>
      </c>
      <c r="H3099" s="43" t="s">
        <v>227</v>
      </c>
      <c r="I3099" s="40" t="s">
        <v>1300</v>
      </c>
    </row>
    <row r="3100" spans="1:9" x14ac:dyDescent="0.2">
      <c r="A3100" s="40" t="s">
        <v>320</v>
      </c>
      <c r="B3100" s="28">
        <v>3685</v>
      </c>
      <c r="C3100" s="28" t="s">
        <v>990</v>
      </c>
      <c r="D3100" s="28"/>
      <c r="E3100" s="41">
        <v>46168</v>
      </c>
      <c r="F3100" s="47">
        <v>0.37111111111111111</v>
      </c>
      <c r="G3100" s="44">
        <v>6.3</v>
      </c>
      <c r="H3100" s="43" t="s">
        <v>230</v>
      </c>
      <c r="I3100" s="40" t="s">
        <v>1300</v>
      </c>
    </row>
    <row r="3101" spans="1:9" x14ac:dyDescent="0.2">
      <c r="A3101" s="40" t="s">
        <v>320</v>
      </c>
      <c r="B3101" s="28">
        <v>3685</v>
      </c>
      <c r="C3101" s="28" t="s">
        <v>990</v>
      </c>
      <c r="D3101" s="28"/>
      <c r="E3101" s="41">
        <v>46168</v>
      </c>
      <c r="F3101" s="47">
        <v>0.37738425925925928</v>
      </c>
      <c r="G3101" s="44">
        <v>6.3</v>
      </c>
      <c r="H3101" s="43" t="s">
        <v>227</v>
      </c>
      <c r="I3101" s="40" t="s">
        <v>1300</v>
      </c>
    </row>
    <row r="3102" spans="1:9" x14ac:dyDescent="0.2">
      <c r="A3102" s="40" t="s">
        <v>320</v>
      </c>
      <c r="B3102" s="28">
        <v>3685</v>
      </c>
      <c r="C3102" s="28" t="s">
        <v>991</v>
      </c>
      <c r="D3102" s="28"/>
      <c r="E3102" s="41">
        <v>46168</v>
      </c>
      <c r="F3102" s="47">
        <v>0.4550925925925926</v>
      </c>
      <c r="G3102" s="42">
        <v>6.3</v>
      </c>
      <c r="H3102" s="40" t="s">
        <v>228</v>
      </c>
      <c r="I3102" s="40" t="s">
        <v>1300</v>
      </c>
    </row>
    <row r="3103" spans="1:9" x14ac:dyDescent="0.2">
      <c r="A3103" s="40" t="s">
        <v>320</v>
      </c>
      <c r="B3103" s="28">
        <v>3685</v>
      </c>
      <c r="C3103" s="28" t="s">
        <v>991</v>
      </c>
      <c r="D3103" s="28"/>
      <c r="E3103" s="45">
        <v>46168</v>
      </c>
      <c r="F3103" s="48">
        <v>0.46638888888888891</v>
      </c>
      <c r="G3103" s="42">
        <v>6.3</v>
      </c>
      <c r="H3103" s="40" t="s">
        <v>229</v>
      </c>
      <c r="I3103" s="40" t="s">
        <v>1300</v>
      </c>
    </row>
    <row r="3104" spans="1:9" x14ac:dyDescent="0.2">
      <c r="A3104" s="40" t="s">
        <v>320</v>
      </c>
      <c r="B3104" s="28">
        <v>3685</v>
      </c>
      <c r="C3104" s="28" t="s">
        <v>992</v>
      </c>
      <c r="D3104" s="28"/>
      <c r="E3104" s="41">
        <v>46168</v>
      </c>
      <c r="F3104" s="47">
        <v>0.52822916666666664</v>
      </c>
      <c r="G3104" s="42">
        <v>6.3</v>
      </c>
      <c r="H3104" s="40" t="s">
        <v>230</v>
      </c>
      <c r="I3104" s="40" t="s">
        <v>1300</v>
      </c>
    </row>
    <row r="3105" spans="1:9" x14ac:dyDescent="0.2">
      <c r="A3105" s="40" t="s">
        <v>320</v>
      </c>
      <c r="B3105" s="28">
        <v>3685</v>
      </c>
      <c r="C3105" s="28" t="s">
        <v>992</v>
      </c>
      <c r="D3105" s="28"/>
      <c r="E3105" s="41">
        <v>46168</v>
      </c>
      <c r="F3105" s="47">
        <v>0.53392361111111108</v>
      </c>
      <c r="G3105" s="42">
        <v>6.3</v>
      </c>
      <c r="H3105" s="40" t="s">
        <v>227</v>
      </c>
      <c r="I3105" s="40" t="s">
        <v>1300</v>
      </c>
    </row>
    <row r="3106" spans="1:9" x14ac:dyDescent="0.2">
      <c r="A3106" s="40" t="s">
        <v>320</v>
      </c>
      <c r="B3106" s="28">
        <v>3685</v>
      </c>
      <c r="C3106" s="28" t="s">
        <v>993</v>
      </c>
      <c r="D3106" s="28"/>
      <c r="E3106" s="41">
        <v>46168</v>
      </c>
      <c r="F3106" s="47">
        <v>0.62618055555555552</v>
      </c>
      <c r="G3106" s="42">
        <v>6.3</v>
      </c>
      <c r="H3106" s="40" t="s">
        <v>228</v>
      </c>
      <c r="I3106" s="40" t="s">
        <v>1300</v>
      </c>
    </row>
    <row r="3107" spans="1:9" x14ac:dyDescent="0.2">
      <c r="A3107" s="40" t="s">
        <v>320</v>
      </c>
      <c r="B3107" s="28">
        <v>3685</v>
      </c>
      <c r="C3107" s="28" t="s">
        <v>994</v>
      </c>
      <c r="D3107" s="28"/>
      <c r="E3107" s="41">
        <v>46169</v>
      </c>
      <c r="F3107" s="47">
        <v>0.51396990740740744</v>
      </c>
      <c r="G3107" s="42">
        <v>6.3</v>
      </c>
      <c r="H3107" s="40" t="s">
        <v>227</v>
      </c>
      <c r="I3107" s="40" t="s">
        <v>1300</v>
      </c>
    </row>
    <row r="3108" spans="1:9" x14ac:dyDescent="0.2">
      <c r="A3108" s="40" t="s">
        <v>320</v>
      </c>
      <c r="B3108" s="28">
        <v>3685</v>
      </c>
      <c r="C3108" s="28" t="s">
        <v>995</v>
      </c>
      <c r="D3108" s="28"/>
      <c r="E3108" s="41">
        <v>46169</v>
      </c>
      <c r="F3108" s="47">
        <v>0.59081018518518513</v>
      </c>
      <c r="G3108" s="42">
        <v>6.3</v>
      </c>
      <c r="H3108" s="40" t="s">
        <v>228</v>
      </c>
      <c r="I3108" s="40" t="s">
        <v>1300</v>
      </c>
    </row>
    <row r="3109" spans="1:9" x14ac:dyDescent="0.2">
      <c r="A3109" s="40" t="s">
        <v>320</v>
      </c>
      <c r="B3109" s="28">
        <v>3685</v>
      </c>
      <c r="C3109" s="28" t="s">
        <v>995</v>
      </c>
      <c r="D3109" s="28"/>
      <c r="E3109" s="41">
        <v>46169</v>
      </c>
      <c r="F3109" s="47">
        <v>0.60185185185185186</v>
      </c>
      <c r="G3109" s="42">
        <v>6.3</v>
      </c>
      <c r="H3109" s="40" t="s">
        <v>229</v>
      </c>
      <c r="I3109" s="40" t="s">
        <v>1300</v>
      </c>
    </row>
    <row r="3110" spans="1:9" x14ac:dyDescent="0.2">
      <c r="A3110" s="40" t="s">
        <v>320</v>
      </c>
      <c r="B3110" s="28">
        <v>3685</v>
      </c>
      <c r="C3110" s="28" t="s">
        <v>996</v>
      </c>
      <c r="D3110" s="28"/>
      <c r="E3110" s="41">
        <v>46169</v>
      </c>
      <c r="F3110" s="47">
        <v>0.74327546296296299</v>
      </c>
      <c r="G3110" s="44">
        <v>6.3</v>
      </c>
      <c r="H3110" s="43" t="s">
        <v>228</v>
      </c>
      <c r="I3110" s="40" t="s">
        <v>1300</v>
      </c>
    </row>
    <row r="3111" spans="1:9" x14ac:dyDescent="0.2">
      <c r="A3111" s="40" t="s">
        <v>320</v>
      </c>
      <c r="B3111" s="28">
        <v>3685</v>
      </c>
      <c r="C3111" s="28" t="s">
        <v>997</v>
      </c>
      <c r="D3111" s="28"/>
      <c r="E3111" s="41">
        <v>46171</v>
      </c>
      <c r="F3111" s="47">
        <v>0.7099537037037037</v>
      </c>
      <c r="G3111" s="44">
        <v>6.3</v>
      </c>
      <c r="H3111" s="43" t="s">
        <v>227</v>
      </c>
      <c r="I3111" s="40" t="s">
        <v>1300</v>
      </c>
    </row>
    <row r="3112" spans="1:9" x14ac:dyDescent="0.2">
      <c r="A3112" s="40" t="s">
        <v>388</v>
      </c>
      <c r="B3112" s="28">
        <v>3691</v>
      </c>
      <c r="C3112" s="28" t="s">
        <v>35</v>
      </c>
      <c r="D3112" s="28" t="s">
        <v>38</v>
      </c>
      <c r="E3112" s="41">
        <v>46168</v>
      </c>
      <c r="F3112" s="47">
        <v>0.70096064814814818</v>
      </c>
      <c r="G3112" s="44">
        <v>6.3</v>
      </c>
      <c r="H3112" s="43" t="s">
        <v>227</v>
      </c>
      <c r="I3112" s="40" t="s">
        <v>1300</v>
      </c>
    </row>
    <row r="3113" spans="1:9" x14ac:dyDescent="0.2">
      <c r="A3113" s="40" t="s">
        <v>388</v>
      </c>
      <c r="B3113" s="28">
        <v>3691</v>
      </c>
      <c r="C3113" s="28" t="s">
        <v>35</v>
      </c>
      <c r="D3113" s="28" t="s">
        <v>38</v>
      </c>
      <c r="E3113" s="45">
        <v>46169</v>
      </c>
      <c r="F3113" s="48">
        <v>0.71706018518518522</v>
      </c>
      <c r="G3113" s="44">
        <v>6.3</v>
      </c>
      <c r="H3113" s="43" t="s">
        <v>227</v>
      </c>
      <c r="I3113" s="40" t="s">
        <v>1300</v>
      </c>
    </row>
    <row r="3114" spans="1:9" x14ac:dyDescent="0.2">
      <c r="A3114" s="40" t="s">
        <v>388</v>
      </c>
      <c r="B3114" s="28">
        <v>3691</v>
      </c>
      <c r="C3114" s="28" t="s">
        <v>35</v>
      </c>
      <c r="D3114" s="28" t="s">
        <v>38</v>
      </c>
      <c r="E3114" s="45">
        <v>46170</v>
      </c>
      <c r="F3114" s="48">
        <v>0.72806712962962961</v>
      </c>
      <c r="G3114" s="44">
        <v>6.3</v>
      </c>
      <c r="H3114" s="43" t="s">
        <v>227</v>
      </c>
      <c r="I3114" s="40" t="s">
        <v>1300</v>
      </c>
    </row>
    <row r="3115" spans="1:9" x14ac:dyDescent="0.2">
      <c r="A3115" s="40" t="s">
        <v>388</v>
      </c>
      <c r="B3115" s="28">
        <v>3691</v>
      </c>
      <c r="C3115" s="28">
        <v>5678749</v>
      </c>
      <c r="D3115" s="28"/>
      <c r="E3115" s="41">
        <v>46170</v>
      </c>
      <c r="F3115" s="47">
        <v>0.9771643518518518</v>
      </c>
      <c r="G3115" s="44">
        <v>6.3</v>
      </c>
      <c r="H3115" s="43" t="s">
        <v>228</v>
      </c>
      <c r="I3115" s="40" t="s">
        <v>1300</v>
      </c>
    </row>
    <row r="3116" spans="1:9" x14ac:dyDescent="0.2">
      <c r="A3116" s="40" t="s">
        <v>388</v>
      </c>
      <c r="B3116" s="28">
        <v>3691</v>
      </c>
      <c r="C3116" s="28">
        <v>5678749</v>
      </c>
      <c r="D3116" s="28"/>
      <c r="E3116" s="41">
        <v>46170</v>
      </c>
      <c r="F3116" s="47">
        <v>0.98412037037037037</v>
      </c>
      <c r="G3116" s="44">
        <v>6.3</v>
      </c>
      <c r="H3116" s="43" t="s">
        <v>229</v>
      </c>
      <c r="I3116" s="40" t="s">
        <v>1300</v>
      </c>
    </row>
    <row r="3117" spans="1:9" x14ac:dyDescent="0.2">
      <c r="A3117" s="40" t="s">
        <v>388</v>
      </c>
      <c r="B3117" s="28">
        <v>3691</v>
      </c>
      <c r="C3117" s="28" t="s">
        <v>35</v>
      </c>
      <c r="D3117" s="28" t="s">
        <v>38</v>
      </c>
      <c r="E3117" s="41">
        <v>46171</v>
      </c>
      <c r="F3117" s="47">
        <v>0.70907407407407408</v>
      </c>
      <c r="G3117" s="44">
        <v>6.3</v>
      </c>
      <c r="H3117" s="43" t="s">
        <v>227</v>
      </c>
      <c r="I3117" s="40" t="s">
        <v>1300</v>
      </c>
    </row>
    <row r="3118" spans="1:9" x14ac:dyDescent="0.2">
      <c r="A3118" s="40" t="s">
        <v>388</v>
      </c>
      <c r="B3118" s="28">
        <v>3691</v>
      </c>
      <c r="C3118" s="28" t="s">
        <v>998</v>
      </c>
      <c r="D3118" s="28"/>
      <c r="E3118" s="45">
        <v>46171</v>
      </c>
      <c r="F3118" s="48">
        <v>0.86824074074074076</v>
      </c>
      <c r="G3118" s="44">
        <v>6.3</v>
      </c>
      <c r="H3118" s="43" t="s">
        <v>228</v>
      </c>
      <c r="I3118" s="40" t="s">
        <v>1300</v>
      </c>
    </row>
    <row r="3119" spans="1:9" x14ac:dyDescent="0.2">
      <c r="A3119" s="40" t="s">
        <v>388</v>
      </c>
      <c r="B3119" s="28">
        <v>3691</v>
      </c>
      <c r="C3119" s="28" t="s">
        <v>998</v>
      </c>
      <c r="D3119" s="28"/>
      <c r="E3119" s="41">
        <v>46171</v>
      </c>
      <c r="F3119" s="47">
        <v>0.87611111111111106</v>
      </c>
      <c r="G3119" s="44">
        <v>6.3</v>
      </c>
      <c r="H3119" s="43" t="s">
        <v>229</v>
      </c>
      <c r="I3119" s="40" t="s">
        <v>1300</v>
      </c>
    </row>
    <row r="3120" spans="1:9" x14ac:dyDescent="0.2">
      <c r="A3120" s="40" t="s">
        <v>388</v>
      </c>
      <c r="B3120" s="28">
        <v>3691</v>
      </c>
      <c r="C3120" s="28">
        <v>5693871</v>
      </c>
      <c r="D3120" s="28"/>
      <c r="E3120" s="41">
        <v>46172</v>
      </c>
      <c r="F3120" s="47">
        <v>7.5648148148148145E-2</v>
      </c>
      <c r="G3120" s="44">
        <v>6.3</v>
      </c>
      <c r="H3120" s="43" t="s">
        <v>228</v>
      </c>
      <c r="I3120" s="40" t="s">
        <v>1300</v>
      </c>
    </row>
    <row r="3121" spans="1:9" x14ac:dyDescent="0.2">
      <c r="A3121" s="40" t="s">
        <v>388</v>
      </c>
      <c r="B3121" s="28">
        <v>3691</v>
      </c>
      <c r="C3121" s="28">
        <v>5693871</v>
      </c>
      <c r="D3121" s="28"/>
      <c r="E3121" s="41">
        <v>46172</v>
      </c>
      <c r="F3121" s="47">
        <v>8.3171296296296299E-2</v>
      </c>
      <c r="G3121" s="44">
        <v>6.3</v>
      </c>
      <c r="H3121" s="43" t="s">
        <v>229</v>
      </c>
      <c r="I3121" s="40" t="s">
        <v>1300</v>
      </c>
    </row>
    <row r="3122" spans="1:9" x14ac:dyDescent="0.2">
      <c r="A3122" s="40" t="s">
        <v>388</v>
      </c>
      <c r="B3122" s="28">
        <v>3691</v>
      </c>
      <c r="C3122" s="28">
        <v>5681738</v>
      </c>
      <c r="D3122" s="28"/>
      <c r="E3122" s="41">
        <v>46173</v>
      </c>
      <c r="F3122" s="47">
        <v>0.90079861111111115</v>
      </c>
      <c r="G3122" s="44">
        <v>6.3</v>
      </c>
      <c r="H3122" s="43" t="s">
        <v>228</v>
      </c>
      <c r="I3122" s="40" t="s">
        <v>1300</v>
      </c>
    </row>
    <row r="3123" spans="1:9" x14ac:dyDescent="0.2">
      <c r="A3123" s="40" t="s">
        <v>283</v>
      </c>
      <c r="B3123" s="28">
        <v>3695</v>
      </c>
      <c r="C3123" s="28" t="s">
        <v>999</v>
      </c>
      <c r="D3123" s="28"/>
      <c r="E3123" s="41">
        <v>46169</v>
      </c>
      <c r="F3123" s="47">
        <v>0.82192129629629629</v>
      </c>
      <c r="G3123" s="44">
        <v>6.3</v>
      </c>
      <c r="H3123" s="43" t="s">
        <v>228</v>
      </c>
      <c r="I3123" s="40" t="s">
        <v>1300</v>
      </c>
    </row>
    <row r="3124" spans="1:9" x14ac:dyDescent="0.2">
      <c r="A3124" s="40" t="s">
        <v>283</v>
      </c>
      <c r="B3124" s="28">
        <v>3695</v>
      </c>
      <c r="C3124" s="28" t="s">
        <v>1000</v>
      </c>
      <c r="D3124" s="28"/>
      <c r="E3124" s="41">
        <v>46169</v>
      </c>
      <c r="F3124" s="47">
        <v>0.98656250000000001</v>
      </c>
      <c r="G3124" s="44">
        <v>6.3</v>
      </c>
      <c r="H3124" s="43" t="s">
        <v>229</v>
      </c>
      <c r="I3124" s="40" t="s">
        <v>1300</v>
      </c>
    </row>
    <row r="3125" spans="1:9" x14ac:dyDescent="0.2">
      <c r="A3125" s="40" t="s">
        <v>283</v>
      </c>
      <c r="B3125" s="28">
        <v>3695</v>
      </c>
      <c r="C3125" s="28">
        <v>5692599</v>
      </c>
      <c r="D3125" s="28" t="s">
        <v>36</v>
      </c>
      <c r="E3125" s="41">
        <v>46171</v>
      </c>
      <c r="F3125" s="47">
        <v>0.23335648148148147</v>
      </c>
      <c r="G3125" s="44">
        <v>6.3</v>
      </c>
      <c r="H3125" s="43" t="s">
        <v>228</v>
      </c>
      <c r="I3125" s="40" t="s">
        <v>1300</v>
      </c>
    </row>
    <row r="3126" spans="1:9" x14ac:dyDescent="0.2">
      <c r="A3126" s="40" t="s">
        <v>283</v>
      </c>
      <c r="B3126" s="28">
        <v>3695</v>
      </c>
      <c r="C3126" s="28">
        <v>5692599</v>
      </c>
      <c r="D3126" s="28" t="s">
        <v>36</v>
      </c>
      <c r="E3126" s="41">
        <v>46171</v>
      </c>
      <c r="F3126" s="47">
        <v>0.24347222222222223</v>
      </c>
      <c r="G3126" s="44">
        <v>6.3</v>
      </c>
      <c r="H3126" s="43" t="s">
        <v>232</v>
      </c>
      <c r="I3126" s="40" t="s">
        <v>1300</v>
      </c>
    </row>
    <row r="3127" spans="1:9" x14ac:dyDescent="0.2">
      <c r="A3127" s="40" t="s">
        <v>283</v>
      </c>
      <c r="B3127" s="28">
        <v>3695</v>
      </c>
      <c r="C3127" s="28">
        <v>5694298</v>
      </c>
      <c r="D3127" s="28"/>
      <c r="E3127" s="41">
        <v>46172</v>
      </c>
      <c r="F3127" s="47">
        <v>4.449074074074074E-2</v>
      </c>
      <c r="G3127" s="44">
        <v>6.3</v>
      </c>
      <c r="H3127" s="43" t="s">
        <v>228</v>
      </c>
      <c r="I3127" s="40" t="s">
        <v>1300</v>
      </c>
    </row>
    <row r="3128" spans="1:9" x14ac:dyDescent="0.2">
      <c r="A3128" s="40" t="s">
        <v>187</v>
      </c>
      <c r="B3128" s="28">
        <v>3703</v>
      </c>
      <c r="C3128" s="28">
        <v>5686590</v>
      </c>
      <c r="D3128" s="28"/>
      <c r="E3128" s="41">
        <v>46167</v>
      </c>
      <c r="F3128" s="47">
        <v>0.93130787037037033</v>
      </c>
      <c r="G3128" s="44">
        <v>6.3</v>
      </c>
      <c r="H3128" s="43" t="s">
        <v>228</v>
      </c>
      <c r="I3128" s="40" t="s">
        <v>1300</v>
      </c>
    </row>
    <row r="3129" spans="1:9" x14ac:dyDescent="0.2">
      <c r="A3129" s="40" t="s">
        <v>187</v>
      </c>
      <c r="B3129" s="28">
        <v>3703</v>
      </c>
      <c r="C3129" s="28">
        <v>5686590</v>
      </c>
      <c r="D3129" s="28"/>
      <c r="E3129" s="45">
        <v>46167</v>
      </c>
      <c r="F3129" s="48">
        <v>0.93817129629629625</v>
      </c>
      <c r="G3129" s="44">
        <v>6.3</v>
      </c>
      <c r="H3129" s="43" t="s">
        <v>229</v>
      </c>
      <c r="I3129" s="40" t="s">
        <v>1300</v>
      </c>
    </row>
    <row r="3130" spans="1:9" x14ac:dyDescent="0.2">
      <c r="A3130" s="40" t="s">
        <v>187</v>
      </c>
      <c r="B3130" s="28">
        <v>3703</v>
      </c>
      <c r="C3130" s="28" t="s">
        <v>1001</v>
      </c>
      <c r="D3130" s="28"/>
      <c r="E3130" s="41">
        <v>46170</v>
      </c>
      <c r="F3130" s="47">
        <v>0.1413888888888889</v>
      </c>
      <c r="G3130" s="44">
        <v>6.3</v>
      </c>
      <c r="H3130" s="43" t="s">
        <v>230</v>
      </c>
      <c r="I3130" s="40" t="s">
        <v>1300</v>
      </c>
    </row>
    <row r="3131" spans="1:9" x14ac:dyDescent="0.2">
      <c r="A3131" s="40" t="s">
        <v>187</v>
      </c>
      <c r="B3131" s="28">
        <v>3703</v>
      </c>
      <c r="C3131" s="28" t="s">
        <v>1001</v>
      </c>
      <c r="D3131" s="28"/>
      <c r="E3131" s="45">
        <v>46170</v>
      </c>
      <c r="F3131" s="48">
        <v>0.14630787037037038</v>
      </c>
      <c r="G3131" s="44">
        <v>6.3</v>
      </c>
      <c r="H3131" s="43" t="s">
        <v>227</v>
      </c>
      <c r="I3131" s="40" t="s">
        <v>1300</v>
      </c>
    </row>
    <row r="3132" spans="1:9" x14ac:dyDescent="0.2">
      <c r="A3132" s="40" t="s">
        <v>187</v>
      </c>
      <c r="B3132" s="28">
        <v>3703</v>
      </c>
      <c r="C3132" s="28" t="s">
        <v>1002</v>
      </c>
      <c r="D3132" s="28"/>
      <c r="E3132" s="41">
        <v>46171</v>
      </c>
      <c r="F3132" s="47">
        <v>0.14699074074074073</v>
      </c>
      <c r="G3132" s="44">
        <v>6.3</v>
      </c>
      <c r="H3132" s="43" t="s">
        <v>227</v>
      </c>
      <c r="I3132" s="40" t="s">
        <v>1300</v>
      </c>
    </row>
    <row r="3133" spans="1:9" x14ac:dyDescent="0.2">
      <c r="A3133" s="40" t="s">
        <v>187</v>
      </c>
      <c r="B3133" s="28">
        <v>3703</v>
      </c>
      <c r="C3133" s="28" t="s">
        <v>1003</v>
      </c>
      <c r="D3133" s="28"/>
      <c r="E3133" s="41">
        <v>46172</v>
      </c>
      <c r="F3133" s="47">
        <v>4.7951388888888891E-2</v>
      </c>
      <c r="G3133" s="44">
        <v>6.3</v>
      </c>
      <c r="H3133" s="43" t="s">
        <v>228</v>
      </c>
      <c r="I3133" s="40" t="s">
        <v>1300</v>
      </c>
    </row>
    <row r="3134" spans="1:9" x14ac:dyDescent="0.2">
      <c r="A3134" s="40" t="s">
        <v>187</v>
      </c>
      <c r="B3134" s="28">
        <v>3703</v>
      </c>
      <c r="C3134" s="28" t="s">
        <v>1003</v>
      </c>
      <c r="D3134" s="28"/>
      <c r="E3134" s="41">
        <v>46172</v>
      </c>
      <c r="F3134" s="47">
        <v>5.5023148148148147E-2</v>
      </c>
      <c r="G3134" s="44">
        <v>6.3</v>
      </c>
      <c r="H3134" s="43" t="s">
        <v>229</v>
      </c>
      <c r="I3134" s="40" t="s">
        <v>1300</v>
      </c>
    </row>
    <row r="3135" spans="1:9" x14ac:dyDescent="0.2">
      <c r="A3135" s="40" t="s">
        <v>187</v>
      </c>
      <c r="B3135" s="28">
        <v>3703</v>
      </c>
      <c r="C3135" s="28" t="s">
        <v>35</v>
      </c>
      <c r="D3135" s="28" t="s">
        <v>38</v>
      </c>
      <c r="E3135" s="41">
        <v>46172</v>
      </c>
      <c r="F3135" s="47">
        <v>0.99581018518518516</v>
      </c>
      <c r="G3135" s="44">
        <v>6.3</v>
      </c>
      <c r="H3135" s="43" t="s">
        <v>232</v>
      </c>
      <c r="I3135" s="40" t="s">
        <v>1300</v>
      </c>
    </row>
    <row r="3136" spans="1:9" x14ac:dyDescent="0.2">
      <c r="A3136" s="40" t="s">
        <v>187</v>
      </c>
      <c r="B3136" s="28">
        <v>3703</v>
      </c>
      <c r="C3136" s="28" t="s">
        <v>35</v>
      </c>
      <c r="D3136" s="28" t="s">
        <v>38</v>
      </c>
      <c r="E3136" s="45">
        <v>46173</v>
      </c>
      <c r="F3136" s="48">
        <v>0.26645833333333335</v>
      </c>
      <c r="G3136" s="44">
        <v>6.3</v>
      </c>
      <c r="H3136" s="43" t="s">
        <v>227</v>
      </c>
      <c r="I3136" s="40" t="s">
        <v>1300</v>
      </c>
    </row>
    <row r="3137" spans="1:9" x14ac:dyDescent="0.2">
      <c r="A3137" s="40" t="s">
        <v>187</v>
      </c>
      <c r="B3137" s="28">
        <v>3703</v>
      </c>
      <c r="C3137" s="28" t="s">
        <v>1004</v>
      </c>
      <c r="D3137" s="28"/>
      <c r="E3137" s="45">
        <v>46173</v>
      </c>
      <c r="F3137" s="48">
        <v>0.83452546296296293</v>
      </c>
      <c r="G3137" s="44">
        <v>6.3</v>
      </c>
      <c r="H3137" s="43" t="s">
        <v>228</v>
      </c>
      <c r="I3137" s="40" t="s">
        <v>1300</v>
      </c>
    </row>
    <row r="3138" spans="1:9" x14ac:dyDescent="0.2">
      <c r="A3138" s="40" t="s">
        <v>179</v>
      </c>
      <c r="B3138" s="28">
        <v>3708</v>
      </c>
      <c r="C3138" s="28" t="s">
        <v>1005</v>
      </c>
      <c r="D3138" s="28"/>
      <c r="E3138" s="41">
        <v>46169</v>
      </c>
      <c r="F3138" s="47">
        <v>4.8715277777777781E-2</v>
      </c>
      <c r="G3138" s="44">
        <v>6.3</v>
      </c>
      <c r="H3138" s="43" t="s">
        <v>228</v>
      </c>
      <c r="I3138" s="40" t="s">
        <v>1300</v>
      </c>
    </row>
    <row r="3139" spans="1:9" x14ac:dyDescent="0.2">
      <c r="A3139" s="40" t="s">
        <v>179</v>
      </c>
      <c r="B3139" s="28">
        <v>3708</v>
      </c>
      <c r="C3139" s="28" t="s">
        <v>1005</v>
      </c>
      <c r="D3139" s="28"/>
      <c r="E3139" s="45">
        <v>46169</v>
      </c>
      <c r="F3139" s="48">
        <v>5.5613425925925927E-2</v>
      </c>
      <c r="G3139" s="42">
        <v>6.3</v>
      </c>
      <c r="H3139" s="40" t="s">
        <v>229</v>
      </c>
      <c r="I3139" s="40" t="s">
        <v>1300</v>
      </c>
    </row>
    <row r="3140" spans="1:9" x14ac:dyDescent="0.2">
      <c r="A3140" s="40" t="s">
        <v>179</v>
      </c>
      <c r="B3140" s="28">
        <v>3708</v>
      </c>
      <c r="C3140" s="28" t="s">
        <v>1006</v>
      </c>
      <c r="D3140" s="28"/>
      <c r="E3140" s="41">
        <v>46169</v>
      </c>
      <c r="F3140" s="47">
        <v>0.96354166666666663</v>
      </c>
      <c r="G3140" s="42">
        <v>6.3</v>
      </c>
      <c r="H3140" s="40" t="s">
        <v>230</v>
      </c>
      <c r="I3140" s="40" t="s">
        <v>1300</v>
      </c>
    </row>
    <row r="3141" spans="1:9" x14ac:dyDescent="0.2">
      <c r="A3141" s="40" t="s">
        <v>179</v>
      </c>
      <c r="B3141" s="28">
        <v>3708</v>
      </c>
      <c r="C3141" s="28" t="s">
        <v>1006</v>
      </c>
      <c r="D3141" s="28"/>
      <c r="E3141" s="41">
        <v>46169</v>
      </c>
      <c r="F3141" s="47">
        <v>0.96891203703703699</v>
      </c>
      <c r="G3141" s="42">
        <v>6.3</v>
      </c>
      <c r="H3141" s="40" t="s">
        <v>227</v>
      </c>
      <c r="I3141" s="40" t="s">
        <v>1300</v>
      </c>
    </row>
    <row r="3142" spans="1:9" x14ac:dyDescent="0.2">
      <c r="A3142" s="40" t="s">
        <v>179</v>
      </c>
      <c r="B3142" s="28">
        <v>3708</v>
      </c>
      <c r="C3142" s="28">
        <v>10751642</v>
      </c>
      <c r="D3142" s="28"/>
      <c r="E3142" s="41">
        <v>46170</v>
      </c>
      <c r="F3142" s="47">
        <v>1.1168981481481481E-2</v>
      </c>
      <c r="G3142" s="42">
        <v>6.3</v>
      </c>
      <c r="H3142" s="40" t="s">
        <v>228</v>
      </c>
      <c r="I3142" s="40" t="s">
        <v>1300</v>
      </c>
    </row>
    <row r="3143" spans="1:9" x14ac:dyDescent="0.2">
      <c r="A3143" s="40" t="s">
        <v>179</v>
      </c>
      <c r="B3143" s="28">
        <v>3708</v>
      </c>
      <c r="C3143" s="28">
        <v>10751642</v>
      </c>
      <c r="D3143" s="28"/>
      <c r="E3143" s="41">
        <v>46170</v>
      </c>
      <c r="F3143" s="47">
        <v>1.9722222222222221E-2</v>
      </c>
      <c r="G3143" s="42">
        <v>6.3</v>
      </c>
      <c r="H3143" s="40" t="s">
        <v>229</v>
      </c>
      <c r="I3143" s="40" t="s">
        <v>1300</v>
      </c>
    </row>
    <row r="3144" spans="1:9" x14ac:dyDescent="0.2">
      <c r="A3144" s="40" t="s">
        <v>179</v>
      </c>
      <c r="B3144" s="28">
        <v>3708</v>
      </c>
      <c r="C3144" s="28" t="s">
        <v>1007</v>
      </c>
      <c r="D3144" s="28" t="s">
        <v>36</v>
      </c>
      <c r="E3144" s="45">
        <v>46171</v>
      </c>
      <c r="F3144" s="48">
        <v>3.6516203703703703E-2</v>
      </c>
      <c r="G3144" s="42">
        <v>6.3</v>
      </c>
      <c r="H3144" s="40" t="s">
        <v>228</v>
      </c>
      <c r="I3144" s="40" t="s">
        <v>1300</v>
      </c>
    </row>
    <row r="3145" spans="1:9" x14ac:dyDescent="0.2">
      <c r="A3145" s="40" t="s">
        <v>179</v>
      </c>
      <c r="B3145" s="28">
        <v>3708</v>
      </c>
      <c r="C3145" s="28" t="s">
        <v>1007</v>
      </c>
      <c r="D3145" s="28" t="s">
        <v>36</v>
      </c>
      <c r="E3145" s="41">
        <v>46171</v>
      </c>
      <c r="F3145" s="47">
        <v>4.6516203703703705E-2</v>
      </c>
      <c r="G3145" s="42">
        <v>6.3</v>
      </c>
      <c r="H3145" s="40" t="s">
        <v>229</v>
      </c>
      <c r="I3145" s="40" t="s">
        <v>1300</v>
      </c>
    </row>
    <row r="3146" spans="1:9" x14ac:dyDescent="0.2">
      <c r="A3146" s="40" t="s">
        <v>179</v>
      </c>
      <c r="B3146" s="28">
        <v>3708</v>
      </c>
      <c r="C3146" s="28">
        <v>10765479</v>
      </c>
      <c r="D3146" s="28"/>
      <c r="E3146" s="45">
        <v>46171</v>
      </c>
      <c r="F3146" s="48">
        <v>0.85841435185185189</v>
      </c>
      <c r="G3146" s="42">
        <v>6.3</v>
      </c>
      <c r="H3146" s="40" t="s">
        <v>228</v>
      </c>
      <c r="I3146" s="40" t="s">
        <v>1300</v>
      </c>
    </row>
    <row r="3147" spans="1:9" x14ac:dyDescent="0.2">
      <c r="A3147" s="40" t="s">
        <v>179</v>
      </c>
      <c r="B3147" s="28">
        <v>3708</v>
      </c>
      <c r="C3147" s="28">
        <v>10765479</v>
      </c>
      <c r="D3147" s="28"/>
      <c r="E3147" s="41">
        <v>46171</v>
      </c>
      <c r="F3147" s="47">
        <v>0.8661226851851852</v>
      </c>
      <c r="G3147" s="42">
        <v>6.3</v>
      </c>
      <c r="H3147" s="40" t="s">
        <v>229</v>
      </c>
      <c r="I3147" s="40" t="s">
        <v>1300</v>
      </c>
    </row>
    <row r="3148" spans="1:9" x14ac:dyDescent="0.2">
      <c r="A3148" s="40" t="s">
        <v>179</v>
      </c>
      <c r="B3148" s="28">
        <v>3708</v>
      </c>
      <c r="C3148" s="28">
        <v>10765479</v>
      </c>
      <c r="D3148" s="28"/>
      <c r="E3148" s="41">
        <v>46171</v>
      </c>
      <c r="F3148" s="47">
        <v>0.89424768518518516</v>
      </c>
      <c r="G3148" s="42">
        <v>6.3</v>
      </c>
      <c r="H3148" s="40" t="s">
        <v>230</v>
      </c>
      <c r="I3148" s="40" t="s">
        <v>1300</v>
      </c>
    </row>
    <row r="3149" spans="1:9" x14ac:dyDescent="0.2">
      <c r="A3149" s="40" t="s">
        <v>179</v>
      </c>
      <c r="B3149" s="28">
        <v>3708</v>
      </c>
      <c r="C3149" s="28">
        <v>10765479</v>
      </c>
      <c r="D3149" s="28"/>
      <c r="E3149" s="41">
        <v>46171</v>
      </c>
      <c r="F3149" s="47">
        <v>0.91488425925925931</v>
      </c>
      <c r="G3149" s="42">
        <v>6.3</v>
      </c>
      <c r="H3149" s="40" t="s">
        <v>227</v>
      </c>
      <c r="I3149" s="40" t="s">
        <v>1300</v>
      </c>
    </row>
    <row r="3150" spans="1:9" x14ac:dyDescent="0.2">
      <c r="A3150" s="40" t="s">
        <v>434</v>
      </c>
      <c r="B3150" s="28">
        <v>3719</v>
      </c>
      <c r="C3150" s="28">
        <v>5686434</v>
      </c>
      <c r="D3150" s="28"/>
      <c r="E3150" s="41">
        <v>46168</v>
      </c>
      <c r="F3150" s="47">
        <v>0.18097222222222223</v>
      </c>
      <c r="G3150" s="42">
        <v>6.3</v>
      </c>
      <c r="H3150" s="40" t="s">
        <v>233</v>
      </c>
      <c r="I3150" s="40" t="s">
        <v>1300</v>
      </c>
    </row>
    <row r="3151" spans="1:9" x14ac:dyDescent="0.2">
      <c r="A3151" s="40" t="s">
        <v>434</v>
      </c>
      <c r="B3151" s="28">
        <v>3719</v>
      </c>
      <c r="C3151" s="28" t="s">
        <v>35</v>
      </c>
      <c r="D3151" s="28" t="s">
        <v>38</v>
      </c>
      <c r="E3151" s="41">
        <v>46168</v>
      </c>
      <c r="F3151" s="47">
        <v>0.21497685185185186</v>
      </c>
      <c r="G3151" s="42">
        <v>6.3</v>
      </c>
      <c r="H3151" s="40" t="s">
        <v>234</v>
      </c>
      <c r="I3151" s="40" t="s">
        <v>1300</v>
      </c>
    </row>
    <row r="3152" spans="1:9" x14ac:dyDescent="0.2">
      <c r="A3152" s="40" t="s">
        <v>434</v>
      </c>
      <c r="B3152" s="28">
        <v>3719</v>
      </c>
      <c r="C3152" s="28" t="s">
        <v>35</v>
      </c>
      <c r="D3152" s="28" t="s">
        <v>38</v>
      </c>
      <c r="E3152" s="45">
        <v>46168</v>
      </c>
      <c r="F3152" s="48">
        <v>0.48473379629629632</v>
      </c>
      <c r="G3152" s="42">
        <v>6.3</v>
      </c>
      <c r="H3152" s="40" t="s">
        <v>232</v>
      </c>
      <c r="I3152" s="40" t="s">
        <v>1300</v>
      </c>
    </row>
    <row r="3153" spans="1:9" x14ac:dyDescent="0.2">
      <c r="A3153" s="40" t="s">
        <v>434</v>
      </c>
      <c r="B3153" s="28">
        <v>3719</v>
      </c>
      <c r="C3153" s="28">
        <v>5694539</v>
      </c>
      <c r="D3153" s="28"/>
      <c r="E3153" s="41">
        <v>46172</v>
      </c>
      <c r="F3153" s="47">
        <v>0.62887731481481479</v>
      </c>
      <c r="G3153" s="42">
        <v>6.3</v>
      </c>
      <c r="H3153" s="40" t="s">
        <v>228</v>
      </c>
      <c r="I3153" s="40" t="s">
        <v>1300</v>
      </c>
    </row>
    <row r="3154" spans="1:9" x14ac:dyDescent="0.2">
      <c r="A3154" s="40" t="s">
        <v>434</v>
      </c>
      <c r="B3154" s="28">
        <v>3719</v>
      </c>
      <c r="C3154" s="28">
        <v>5694539</v>
      </c>
      <c r="D3154" s="28"/>
      <c r="E3154" s="41">
        <v>46172</v>
      </c>
      <c r="F3154" s="47">
        <v>0.64137731481481486</v>
      </c>
      <c r="G3154" s="42">
        <v>6.3</v>
      </c>
      <c r="H3154" s="40" t="s">
        <v>232</v>
      </c>
      <c r="I3154" s="40" t="s">
        <v>1300</v>
      </c>
    </row>
    <row r="3155" spans="1:9" x14ac:dyDescent="0.2">
      <c r="A3155" s="40" t="s">
        <v>298</v>
      </c>
      <c r="B3155" s="28">
        <v>3730</v>
      </c>
      <c r="C3155" s="28">
        <v>5685995</v>
      </c>
      <c r="D3155" s="28"/>
      <c r="E3155" s="41">
        <v>46168</v>
      </c>
      <c r="F3155" s="47">
        <v>0.89255787037037038</v>
      </c>
      <c r="G3155" s="44">
        <v>6.3</v>
      </c>
      <c r="H3155" s="43" t="s">
        <v>228</v>
      </c>
      <c r="I3155" s="40" t="s">
        <v>1300</v>
      </c>
    </row>
    <row r="3156" spans="1:9" x14ac:dyDescent="0.2">
      <c r="A3156" s="40" t="s">
        <v>298</v>
      </c>
      <c r="B3156" s="28">
        <v>3730</v>
      </c>
      <c r="C3156" s="28">
        <v>5685995</v>
      </c>
      <c r="D3156" s="28"/>
      <c r="E3156" s="45">
        <v>46168</v>
      </c>
      <c r="F3156" s="48">
        <v>0.89973379629629635</v>
      </c>
      <c r="G3156" s="44">
        <v>6.3</v>
      </c>
      <c r="H3156" s="43" t="s">
        <v>229</v>
      </c>
      <c r="I3156" s="40" t="s">
        <v>1300</v>
      </c>
    </row>
    <row r="3157" spans="1:9" x14ac:dyDescent="0.2">
      <c r="A3157" s="40" t="s">
        <v>298</v>
      </c>
      <c r="B3157" s="28">
        <v>3730</v>
      </c>
      <c r="C3157" s="28">
        <v>5686016</v>
      </c>
      <c r="D3157" s="28"/>
      <c r="E3157" s="41">
        <v>46169</v>
      </c>
      <c r="F3157" s="47">
        <v>3.2696759259259259E-2</v>
      </c>
      <c r="G3157" s="44">
        <v>6.3</v>
      </c>
      <c r="H3157" s="43" t="s">
        <v>228</v>
      </c>
      <c r="I3157" s="40" t="s">
        <v>1300</v>
      </c>
    </row>
    <row r="3158" spans="1:9" x14ac:dyDescent="0.2">
      <c r="A3158" s="40" t="s">
        <v>298</v>
      </c>
      <c r="B3158" s="28">
        <v>3730</v>
      </c>
      <c r="C3158" s="28">
        <v>5686016</v>
      </c>
      <c r="D3158" s="28"/>
      <c r="E3158" s="41">
        <v>46169</v>
      </c>
      <c r="F3158" s="47">
        <v>3.9479166666666669E-2</v>
      </c>
      <c r="G3158" s="44">
        <v>6.3</v>
      </c>
      <c r="H3158" s="43" t="s">
        <v>229</v>
      </c>
      <c r="I3158" s="40" t="s">
        <v>1300</v>
      </c>
    </row>
    <row r="3159" spans="1:9" x14ac:dyDescent="0.2">
      <c r="A3159" s="40" t="s">
        <v>298</v>
      </c>
      <c r="B3159" s="28">
        <v>3730</v>
      </c>
      <c r="C3159" s="28">
        <v>5687869</v>
      </c>
      <c r="D3159" s="28"/>
      <c r="E3159" s="41">
        <v>46169</v>
      </c>
      <c r="F3159" s="47">
        <v>0.16181712962962963</v>
      </c>
      <c r="G3159" s="44">
        <v>6.3</v>
      </c>
      <c r="H3159" s="43" t="s">
        <v>226</v>
      </c>
      <c r="I3159" s="40" t="s">
        <v>1300</v>
      </c>
    </row>
    <row r="3160" spans="1:9" x14ac:dyDescent="0.2">
      <c r="A3160" s="40" t="s">
        <v>298</v>
      </c>
      <c r="B3160" s="28">
        <v>3730</v>
      </c>
      <c r="C3160" s="28">
        <v>5687869</v>
      </c>
      <c r="D3160" s="28"/>
      <c r="E3160" s="41">
        <v>46169</v>
      </c>
      <c r="F3160" s="47">
        <v>0.16681712962962963</v>
      </c>
      <c r="G3160" s="44">
        <v>6.3</v>
      </c>
      <c r="H3160" s="43" t="s">
        <v>227</v>
      </c>
      <c r="I3160" s="40" t="s">
        <v>1300</v>
      </c>
    </row>
    <row r="3161" spans="1:9" x14ac:dyDescent="0.2">
      <c r="A3161" s="40" t="s">
        <v>298</v>
      </c>
      <c r="B3161" s="28">
        <v>3730</v>
      </c>
      <c r="C3161" s="28">
        <v>5687899</v>
      </c>
      <c r="D3161" s="28"/>
      <c r="E3161" s="41">
        <v>46169</v>
      </c>
      <c r="F3161" s="47">
        <v>0.89141203703703709</v>
      </c>
      <c r="G3161" s="44">
        <v>6.3</v>
      </c>
      <c r="H3161" s="43" t="s">
        <v>228</v>
      </c>
      <c r="I3161" s="40" t="s">
        <v>1300</v>
      </c>
    </row>
    <row r="3162" spans="1:9" x14ac:dyDescent="0.2">
      <c r="A3162" s="40" t="s">
        <v>298</v>
      </c>
      <c r="B3162" s="28">
        <v>3730</v>
      </c>
      <c r="C3162" s="28">
        <v>5687899</v>
      </c>
      <c r="D3162" s="28"/>
      <c r="E3162" s="45">
        <v>46169</v>
      </c>
      <c r="F3162" s="48">
        <v>0.8986574074074074</v>
      </c>
      <c r="G3162" s="44">
        <v>6.3</v>
      </c>
      <c r="H3162" s="43" t="s">
        <v>229</v>
      </c>
      <c r="I3162" s="40" t="s">
        <v>1300</v>
      </c>
    </row>
    <row r="3163" spans="1:9" x14ac:dyDescent="0.2">
      <c r="A3163" s="40" t="s">
        <v>298</v>
      </c>
      <c r="B3163" s="28">
        <v>3730</v>
      </c>
      <c r="C3163" s="28">
        <v>5686065</v>
      </c>
      <c r="D3163" s="28"/>
      <c r="E3163" s="41">
        <v>46170</v>
      </c>
      <c r="F3163" s="47">
        <v>0.26912037037037034</v>
      </c>
      <c r="G3163" s="44">
        <v>6.3</v>
      </c>
      <c r="H3163" s="43" t="s">
        <v>230</v>
      </c>
      <c r="I3163" s="40" t="s">
        <v>1300</v>
      </c>
    </row>
    <row r="3164" spans="1:9" x14ac:dyDescent="0.2">
      <c r="A3164" s="40" t="s">
        <v>298</v>
      </c>
      <c r="B3164" s="28">
        <v>3730</v>
      </c>
      <c r="C3164" s="28">
        <v>5686065</v>
      </c>
      <c r="D3164" s="28"/>
      <c r="E3164" s="45">
        <v>46170</v>
      </c>
      <c r="F3164" s="48">
        <v>0.27478009259259262</v>
      </c>
      <c r="G3164" s="44">
        <v>6.3</v>
      </c>
      <c r="H3164" s="43" t="s">
        <v>227</v>
      </c>
      <c r="I3164" s="40" t="s">
        <v>1300</v>
      </c>
    </row>
    <row r="3165" spans="1:9" x14ac:dyDescent="0.2">
      <c r="A3165" s="40" t="s">
        <v>298</v>
      </c>
      <c r="B3165" s="28">
        <v>3730</v>
      </c>
      <c r="C3165" s="28">
        <v>5690369</v>
      </c>
      <c r="D3165" s="28"/>
      <c r="E3165" s="45">
        <v>46170</v>
      </c>
      <c r="F3165" s="48">
        <v>0.97756944444444449</v>
      </c>
      <c r="G3165" s="44">
        <v>6.3</v>
      </c>
      <c r="H3165" s="43" t="s">
        <v>228</v>
      </c>
      <c r="I3165" s="40" t="s">
        <v>1300</v>
      </c>
    </row>
    <row r="3166" spans="1:9" x14ac:dyDescent="0.2">
      <c r="A3166" s="40" t="s">
        <v>298</v>
      </c>
      <c r="B3166" s="28">
        <v>3730</v>
      </c>
      <c r="C3166" s="28">
        <v>5690369</v>
      </c>
      <c r="D3166" s="28"/>
      <c r="E3166" s="45">
        <v>46170</v>
      </c>
      <c r="F3166" s="48">
        <v>0.98443287037037042</v>
      </c>
      <c r="G3166" s="44">
        <v>6.3</v>
      </c>
      <c r="H3166" s="43" t="s">
        <v>229</v>
      </c>
      <c r="I3166" s="40" t="s">
        <v>1300</v>
      </c>
    </row>
    <row r="3167" spans="1:9" x14ac:dyDescent="0.2">
      <c r="A3167" s="40" t="s">
        <v>298</v>
      </c>
      <c r="B3167" s="28">
        <v>3730</v>
      </c>
      <c r="C3167" s="28">
        <v>5693340</v>
      </c>
      <c r="D3167" s="28"/>
      <c r="E3167" s="41">
        <v>46173</v>
      </c>
      <c r="F3167" s="47">
        <v>3.3402777777777781E-2</v>
      </c>
      <c r="G3167" s="44">
        <v>6.3</v>
      </c>
      <c r="H3167" s="43" t="s">
        <v>228</v>
      </c>
      <c r="I3167" s="40" t="s">
        <v>1300</v>
      </c>
    </row>
    <row r="3168" spans="1:9" x14ac:dyDescent="0.2">
      <c r="A3168" s="40" t="s">
        <v>298</v>
      </c>
      <c r="B3168" s="28">
        <v>3730</v>
      </c>
      <c r="C3168" s="28">
        <v>5693340</v>
      </c>
      <c r="D3168" s="28"/>
      <c r="E3168" s="41">
        <v>46173</v>
      </c>
      <c r="F3168" s="47">
        <v>4.0659722222222222E-2</v>
      </c>
      <c r="G3168" s="44">
        <v>6.3</v>
      </c>
      <c r="H3168" s="43" t="s">
        <v>229</v>
      </c>
      <c r="I3168" s="40" t="s">
        <v>1300</v>
      </c>
    </row>
    <row r="3169" spans="1:9" x14ac:dyDescent="0.2">
      <c r="A3169" s="40" t="s">
        <v>313</v>
      </c>
      <c r="B3169" s="28">
        <v>3740</v>
      </c>
      <c r="C3169" s="28">
        <v>5688501</v>
      </c>
      <c r="D3169" s="28"/>
      <c r="E3169" s="41">
        <v>46168</v>
      </c>
      <c r="F3169" s="47">
        <v>0.94725694444444442</v>
      </c>
      <c r="G3169" s="44">
        <v>6.3</v>
      </c>
      <c r="H3169" s="43" t="s">
        <v>228</v>
      </c>
      <c r="I3169" s="40" t="s">
        <v>1300</v>
      </c>
    </row>
    <row r="3170" spans="1:9" x14ac:dyDescent="0.2">
      <c r="A3170" s="40" t="s">
        <v>313</v>
      </c>
      <c r="B3170" s="28">
        <v>3740</v>
      </c>
      <c r="C3170" s="28">
        <v>5688501</v>
      </c>
      <c r="D3170" s="28"/>
      <c r="E3170" s="41">
        <v>46168</v>
      </c>
      <c r="F3170" s="47">
        <v>0.95516203703703706</v>
      </c>
      <c r="G3170" s="44">
        <v>6.3</v>
      </c>
      <c r="H3170" s="43" t="s">
        <v>229</v>
      </c>
      <c r="I3170" s="40" t="s">
        <v>1300</v>
      </c>
    </row>
    <row r="3171" spans="1:9" x14ac:dyDescent="0.2">
      <c r="A3171" s="40" t="s">
        <v>313</v>
      </c>
      <c r="B3171" s="28">
        <v>3740</v>
      </c>
      <c r="C3171" s="28" t="s">
        <v>35</v>
      </c>
      <c r="D3171" s="28" t="s">
        <v>38</v>
      </c>
      <c r="E3171" s="41">
        <v>46168</v>
      </c>
      <c r="F3171" s="47">
        <v>0.9763425925925926</v>
      </c>
      <c r="G3171" s="44">
        <v>6.3</v>
      </c>
      <c r="H3171" s="43" t="s">
        <v>230</v>
      </c>
      <c r="I3171" s="40" t="s">
        <v>1300</v>
      </c>
    </row>
    <row r="3172" spans="1:9" x14ac:dyDescent="0.2">
      <c r="A3172" s="40" t="s">
        <v>313</v>
      </c>
      <c r="B3172" s="28">
        <v>3740</v>
      </c>
      <c r="C3172" s="28" t="s">
        <v>1008</v>
      </c>
      <c r="D3172" s="28"/>
      <c r="E3172" s="41">
        <v>46169</v>
      </c>
      <c r="F3172" s="47">
        <v>0.46251157407407406</v>
      </c>
      <c r="G3172" s="44">
        <v>6.3</v>
      </c>
      <c r="H3172" s="43" t="s">
        <v>229</v>
      </c>
      <c r="I3172" s="40" t="s">
        <v>1300</v>
      </c>
    </row>
    <row r="3173" spans="1:9" x14ac:dyDescent="0.2">
      <c r="A3173" s="40" t="s">
        <v>435</v>
      </c>
      <c r="B3173" s="28">
        <v>3744</v>
      </c>
      <c r="C3173" s="28" t="s">
        <v>1009</v>
      </c>
      <c r="D3173" s="28"/>
      <c r="E3173" s="41">
        <v>46168</v>
      </c>
      <c r="F3173" s="47">
        <v>3.8402777777777779E-2</v>
      </c>
      <c r="G3173" s="44">
        <v>6.3</v>
      </c>
      <c r="H3173" s="43" t="s">
        <v>228</v>
      </c>
      <c r="I3173" s="40" t="s">
        <v>1300</v>
      </c>
    </row>
    <row r="3174" spans="1:9" x14ac:dyDescent="0.2">
      <c r="A3174" s="40" t="s">
        <v>435</v>
      </c>
      <c r="B3174" s="28">
        <v>3744</v>
      </c>
      <c r="C3174" s="28" t="s">
        <v>1009</v>
      </c>
      <c r="D3174" s="28"/>
      <c r="E3174" s="41">
        <v>46168</v>
      </c>
      <c r="F3174" s="47">
        <v>4.6643518518518522E-2</v>
      </c>
      <c r="G3174" s="44">
        <v>6.3</v>
      </c>
      <c r="H3174" s="43" t="s">
        <v>229</v>
      </c>
      <c r="I3174" s="40" t="s">
        <v>1300</v>
      </c>
    </row>
    <row r="3175" spans="1:9" x14ac:dyDescent="0.2">
      <c r="A3175" s="40" t="s">
        <v>435</v>
      </c>
      <c r="B3175" s="28">
        <v>3744</v>
      </c>
      <c r="C3175" s="28">
        <v>5690288</v>
      </c>
      <c r="D3175" s="28"/>
      <c r="E3175" s="41">
        <v>46169</v>
      </c>
      <c r="F3175" s="47">
        <v>0.7900462962962963</v>
      </c>
      <c r="G3175" s="44">
        <v>6.3</v>
      </c>
      <c r="H3175" s="43" t="s">
        <v>228</v>
      </c>
      <c r="I3175" s="40" t="s">
        <v>1300</v>
      </c>
    </row>
    <row r="3176" spans="1:9" x14ac:dyDescent="0.2">
      <c r="A3176" s="40" t="s">
        <v>435</v>
      </c>
      <c r="B3176" s="28">
        <v>3744</v>
      </c>
      <c r="C3176" s="28">
        <v>5690288</v>
      </c>
      <c r="D3176" s="28"/>
      <c r="E3176" s="41">
        <v>46169</v>
      </c>
      <c r="F3176" s="47">
        <v>0.79896990740740736</v>
      </c>
      <c r="G3176" s="44">
        <v>6.3</v>
      </c>
      <c r="H3176" s="43" t="s">
        <v>229</v>
      </c>
      <c r="I3176" s="40" t="s">
        <v>1300</v>
      </c>
    </row>
    <row r="3177" spans="1:9" x14ac:dyDescent="0.2">
      <c r="A3177" s="40" t="s">
        <v>435</v>
      </c>
      <c r="B3177" s="28">
        <v>3744</v>
      </c>
      <c r="C3177" s="28" t="s">
        <v>35</v>
      </c>
      <c r="D3177" s="28" t="s">
        <v>38</v>
      </c>
      <c r="E3177" s="41">
        <v>46169</v>
      </c>
      <c r="F3177" s="47">
        <v>0.86182870370370368</v>
      </c>
      <c r="G3177" s="44">
        <v>6.3</v>
      </c>
      <c r="H3177" s="43" t="s">
        <v>226</v>
      </c>
      <c r="I3177" s="40" t="s">
        <v>1300</v>
      </c>
    </row>
    <row r="3178" spans="1:9" x14ac:dyDescent="0.2">
      <c r="A3178" s="40" t="s">
        <v>435</v>
      </c>
      <c r="B3178" s="28">
        <v>3744</v>
      </c>
      <c r="C3178" s="28" t="s">
        <v>35</v>
      </c>
      <c r="D3178" s="28" t="s">
        <v>38</v>
      </c>
      <c r="E3178" s="41">
        <v>46169</v>
      </c>
      <c r="F3178" s="47">
        <v>0.86854166666666666</v>
      </c>
      <c r="G3178" s="44">
        <v>6.3</v>
      </c>
      <c r="H3178" s="43" t="s">
        <v>227</v>
      </c>
      <c r="I3178" s="40" t="s">
        <v>1300</v>
      </c>
    </row>
    <row r="3179" spans="1:9" x14ac:dyDescent="0.2">
      <c r="A3179" s="40" t="s">
        <v>435</v>
      </c>
      <c r="B3179" s="28">
        <v>3744</v>
      </c>
      <c r="C3179" s="28">
        <v>5690642</v>
      </c>
      <c r="D3179" s="28"/>
      <c r="E3179" s="41">
        <v>46169</v>
      </c>
      <c r="F3179" s="47">
        <v>0.93626157407407407</v>
      </c>
      <c r="G3179" s="44">
        <v>6.3</v>
      </c>
      <c r="H3179" s="43" t="s">
        <v>229</v>
      </c>
      <c r="I3179" s="40" t="s">
        <v>1300</v>
      </c>
    </row>
    <row r="3180" spans="1:9" x14ac:dyDescent="0.2">
      <c r="A3180" s="40" t="s">
        <v>435</v>
      </c>
      <c r="B3180" s="28">
        <v>3744</v>
      </c>
      <c r="C3180" s="28">
        <v>5692029</v>
      </c>
      <c r="D3180" s="28"/>
      <c r="E3180" s="45">
        <v>46170</v>
      </c>
      <c r="F3180" s="48">
        <v>0.81881944444444443</v>
      </c>
      <c r="G3180" s="44">
        <v>6.3</v>
      </c>
      <c r="H3180" s="43" t="s">
        <v>228</v>
      </c>
      <c r="I3180" s="40" t="s">
        <v>1300</v>
      </c>
    </row>
    <row r="3181" spans="1:9" x14ac:dyDescent="0.2">
      <c r="A3181" s="40" t="s">
        <v>435</v>
      </c>
      <c r="B3181" s="28">
        <v>3744</v>
      </c>
      <c r="C3181" s="28">
        <v>5692029</v>
      </c>
      <c r="D3181" s="28"/>
      <c r="E3181" s="41">
        <v>46170</v>
      </c>
      <c r="F3181" s="47">
        <v>0.82868055555555553</v>
      </c>
      <c r="G3181" s="44">
        <v>6.3</v>
      </c>
      <c r="H3181" s="43" t="s">
        <v>229</v>
      </c>
      <c r="I3181" s="40" t="s">
        <v>1300</v>
      </c>
    </row>
    <row r="3182" spans="1:9" x14ac:dyDescent="0.2">
      <c r="A3182" s="40" t="s">
        <v>435</v>
      </c>
      <c r="B3182" s="28">
        <v>3744</v>
      </c>
      <c r="C3182" s="28" t="s">
        <v>1010</v>
      </c>
      <c r="D3182" s="28"/>
      <c r="E3182" s="45">
        <v>46171</v>
      </c>
      <c r="F3182" s="48">
        <v>0.32908564814814817</v>
      </c>
      <c r="G3182" s="44">
        <v>6.3</v>
      </c>
      <c r="H3182" s="43" t="s">
        <v>228</v>
      </c>
      <c r="I3182" s="40" t="s">
        <v>1300</v>
      </c>
    </row>
    <row r="3183" spans="1:9" x14ac:dyDescent="0.2">
      <c r="A3183" s="40" t="s">
        <v>435</v>
      </c>
      <c r="B3183" s="28">
        <v>3744</v>
      </c>
      <c r="C3183" s="28" t="s">
        <v>1010</v>
      </c>
      <c r="D3183" s="28"/>
      <c r="E3183" s="41">
        <v>46171</v>
      </c>
      <c r="F3183" s="47">
        <v>0.34278935185185183</v>
      </c>
      <c r="G3183" s="44">
        <v>6.3</v>
      </c>
      <c r="H3183" s="43" t="s">
        <v>229</v>
      </c>
      <c r="I3183" s="40" t="s">
        <v>1300</v>
      </c>
    </row>
    <row r="3184" spans="1:9" x14ac:dyDescent="0.2">
      <c r="A3184" s="40" t="s">
        <v>435</v>
      </c>
      <c r="B3184" s="28">
        <v>3744</v>
      </c>
      <c r="C3184" s="28" t="s">
        <v>35</v>
      </c>
      <c r="D3184" s="28" t="s">
        <v>38</v>
      </c>
      <c r="E3184" s="41">
        <v>46171</v>
      </c>
      <c r="F3184" s="47">
        <v>0.44795138888888891</v>
      </c>
      <c r="G3184" s="44">
        <v>6.3</v>
      </c>
      <c r="H3184" s="43" t="s">
        <v>230</v>
      </c>
      <c r="I3184" s="40" t="s">
        <v>1300</v>
      </c>
    </row>
    <row r="3185" spans="1:9" x14ac:dyDescent="0.2">
      <c r="A3185" s="40" t="s">
        <v>435</v>
      </c>
      <c r="B3185" s="28">
        <v>3744</v>
      </c>
      <c r="C3185" s="28" t="s">
        <v>35</v>
      </c>
      <c r="D3185" s="28" t="s">
        <v>38</v>
      </c>
      <c r="E3185" s="41">
        <v>46171</v>
      </c>
      <c r="F3185" s="47">
        <v>0.45424768518518521</v>
      </c>
      <c r="G3185" s="44">
        <v>6.3</v>
      </c>
      <c r="H3185" s="43" t="s">
        <v>227</v>
      </c>
      <c r="I3185" s="40" t="s">
        <v>1300</v>
      </c>
    </row>
    <row r="3186" spans="1:9" x14ac:dyDescent="0.2">
      <c r="A3186" s="40" t="s">
        <v>435</v>
      </c>
      <c r="B3186" s="28">
        <v>3744</v>
      </c>
      <c r="C3186" s="28" t="s">
        <v>1011</v>
      </c>
      <c r="D3186" s="28"/>
      <c r="E3186" s="41">
        <v>46171</v>
      </c>
      <c r="F3186" s="47">
        <v>0.53291666666666671</v>
      </c>
      <c r="G3186" s="44">
        <v>6.3</v>
      </c>
      <c r="H3186" s="43" t="s">
        <v>228</v>
      </c>
      <c r="I3186" s="40" t="s">
        <v>1300</v>
      </c>
    </row>
    <row r="3187" spans="1:9" x14ac:dyDescent="0.2">
      <c r="A3187" s="40" t="s">
        <v>435</v>
      </c>
      <c r="B3187" s="28">
        <v>3744</v>
      </c>
      <c r="C3187" s="28" t="s">
        <v>1011</v>
      </c>
      <c r="D3187" s="28"/>
      <c r="E3187" s="41">
        <v>46171</v>
      </c>
      <c r="F3187" s="47">
        <v>0.54643518518518519</v>
      </c>
      <c r="G3187" s="44">
        <v>6.3</v>
      </c>
      <c r="H3187" s="43" t="s">
        <v>229</v>
      </c>
      <c r="I3187" s="40" t="s">
        <v>1300</v>
      </c>
    </row>
    <row r="3188" spans="1:9" x14ac:dyDescent="0.2">
      <c r="A3188" s="40" t="s">
        <v>435</v>
      </c>
      <c r="B3188" s="28">
        <v>3744</v>
      </c>
      <c r="C3188" s="28">
        <v>5695166</v>
      </c>
      <c r="D3188" s="28"/>
      <c r="E3188" s="41">
        <v>46172</v>
      </c>
      <c r="F3188" s="47">
        <v>0.90690972222222221</v>
      </c>
      <c r="G3188" s="44">
        <v>6.3</v>
      </c>
      <c r="H3188" s="43" t="s">
        <v>230</v>
      </c>
      <c r="I3188" s="40" t="s">
        <v>1300</v>
      </c>
    </row>
    <row r="3189" spans="1:9" x14ac:dyDescent="0.2">
      <c r="A3189" s="40" t="s">
        <v>435</v>
      </c>
      <c r="B3189" s="28">
        <v>3744</v>
      </c>
      <c r="C3189" s="28">
        <v>5695166</v>
      </c>
      <c r="D3189" s="28"/>
      <c r="E3189" s="45">
        <v>46172</v>
      </c>
      <c r="F3189" s="48">
        <v>0.91378472222222218</v>
      </c>
      <c r="G3189" s="44">
        <v>6.3</v>
      </c>
      <c r="H3189" s="43" t="s">
        <v>227</v>
      </c>
      <c r="I3189" s="40" t="s">
        <v>1300</v>
      </c>
    </row>
    <row r="3190" spans="1:9" x14ac:dyDescent="0.2">
      <c r="A3190" s="40" t="s">
        <v>435</v>
      </c>
      <c r="B3190" s="28">
        <v>3744</v>
      </c>
      <c r="C3190" s="28" t="s">
        <v>35</v>
      </c>
      <c r="D3190" s="28" t="s">
        <v>38</v>
      </c>
      <c r="E3190" s="41">
        <v>46173</v>
      </c>
      <c r="F3190" s="47">
        <v>0.40721064814814817</v>
      </c>
      <c r="G3190" s="44">
        <v>6.3</v>
      </c>
      <c r="H3190" s="43" t="s">
        <v>228</v>
      </c>
      <c r="I3190" s="40" t="s">
        <v>1300</v>
      </c>
    </row>
    <row r="3191" spans="1:9" x14ac:dyDescent="0.2">
      <c r="A3191" s="40" t="s">
        <v>435</v>
      </c>
      <c r="B3191" s="28">
        <v>3744</v>
      </c>
      <c r="C3191" s="28" t="s">
        <v>35</v>
      </c>
      <c r="D3191" s="28" t="s">
        <v>38</v>
      </c>
      <c r="E3191" s="41">
        <v>46173</v>
      </c>
      <c r="F3191" s="47">
        <v>0.4148148148148148</v>
      </c>
      <c r="G3191" s="44">
        <v>6.3</v>
      </c>
      <c r="H3191" s="43" t="s">
        <v>232</v>
      </c>
      <c r="I3191" s="40" t="s">
        <v>1300</v>
      </c>
    </row>
    <row r="3192" spans="1:9" x14ac:dyDescent="0.2">
      <c r="A3192" s="40" t="s">
        <v>286</v>
      </c>
      <c r="B3192" s="28">
        <v>3768</v>
      </c>
      <c r="C3192" s="28">
        <v>5686385</v>
      </c>
      <c r="D3192" s="28"/>
      <c r="E3192" s="41">
        <v>46167</v>
      </c>
      <c r="F3192" s="47">
        <v>0.71317129629629628</v>
      </c>
      <c r="G3192" s="42">
        <v>6.3</v>
      </c>
      <c r="H3192" s="40" t="s">
        <v>228</v>
      </c>
      <c r="I3192" s="40" t="s">
        <v>1300</v>
      </c>
    </row>
    <row r="3193" spans="1:9" x14ac:dyDescent="0.2">
      <c r="A3193" s="40" t="s">
        <v>286</v>
      </c>
      <c r="B3193" s="28">
        <v>3768</v>
      </c>
      <c r="C3193" s="28">
        <v>5686385</v>
      </c>
      <c r="D3193" s="28"/>
      <c r="E3193" s="41">
        <v>46167</v>
      </c>
      <c r="F3193" s="47">
        <v>0.72624999999999995</v>
      </c>
      <c r="G3193" s="42">
        <v>6.3</v>
      </c>
      <c r="H3193" s="40" t="s">
        <v>229</v>
      </c>
      <c r="I3193" s="40" t="s">
        <v>1300</v>
      </c>
    </row>
    <row r="3194" spans="1:9" x14ac:dyDescent="0.2">
      <c r="A3194" s="40" t="s">
        <v>286</v>
      </c>
      <c r="B3194" s="28">
        <v>3768</v>
      </c>
      <c r="C3194" s="28" t="s">
        <v>1012</v>
      </c>
      <c r="D3194" s="28"/>
      <c r="E3194" s="41">
        <v>46169</v>
      </c>
      <c r="F3194" s="47">
        <v>0.56400462962962961</v>
      </c>
      <c r="G3194" s="42">
        <v>6.3</v>
      </c>
      <c r="H3194" s="40" t="s">
        <v>228</v>
      </c>
      <c r="I3194" s="40" t="s">
        <v>1300</v>
      </c>
    </row>
    <row r="3195" spans="1:9" x14ac:dyDescent="0.2">
      <c r="A3195" s="40" t="s">
        <v>286</v>
      </c>
      <c r="B3195" s="28">
        <v>3768</v>
      </c>
      <c r="C3195" s="28" t="s">
        <v>1012</v>
      </c>
      <c r="D3195" s="28"/>
      <c r="E3195" s="41">
        <v>46169</v>
      </c>
      <c r="F3195" s="47">
        <v>0.57254629629629628</v>
      </c>
      <c r="G3195" s="42">
        <v>6.3</v>
      </c>
      <c r="H3195" s="40" t="s">
        <v>229</v>
      </c>
      <c r="I3195" s="40" t="s">
        <v>1300</v>
      </c>
    </row>
    <row r="3196" spans="1:9" x14ac:dyDescent="0.2">
      <c r="A3196" s="40" t="s">
        <v>286</v>
      </c>
      <c r="B3196" s="28">
        <v>3768</v>
      </c>
      <c r="C3196" s="28">
        <v>5690564</v>
      </c>
      <c r="D3196" s="28" t="s">
        <v>37</v>
      </c>
      <c r="E3196" s="41">
        <v>46169</v>
      </c>
      <c r="F3196" s="47">
        <v>0.99277777777777776</v>
      </c>
      <c r="G3196" s="44">
        <v>6.3</v>
      </c>
      <c r="H3196" s="43" t="s">
        <v>228</v>
      </c>
      <c r="I3196" s="40" t="s">
        <v>1300</v>
      </c>
    </row>
    <row r="3197" spans="1:9" x14ac:dyDescent="0.2">
      <c r="A3197" s="40" t="s">
        <v>286</v>
      </c>
      <c r="B3197" s="28">
        <v>3768</v>
      </c>
      <c r="C3197" s="28">
        <v>5690564</v>
      </c>
      <c r="D3197" s="28" t="s">
        <v>37</v>
      </c>
      <c r="E3197" s="41">
        <v>46170</v>
      </c>
      <c r="F3197" s="47">
        <v>1.6782407407407408E-3</v>
      </c>
      <c r="G3197" s="44">
        <v>6.3</v>
      </c>
      <c r="H3197" s="43" t="s">
        <v>229</v>
      </c>
      <c r="I3197" s="40" t="s">
        <v>1300</v>
      </c>
    </row>
    <row r="3198" spans="1:9" x14ac:dyDescent="0.2">
      <c r="A3198" s="40" t="s">
        <v>286</v>
      </c>
      <c r="B3198" s="28">
        <v>3768</v>
      </c>
      <c r="C3198" s="28">
        <v>5691615</v>
      </c>
      <c r="D3198" s="28"/>
      <c r="E3198" s="41">
        <v>46170</v>
      </c>
      <c r="F3198" s="47">
        <v>0.74842592592592594</v>
      </c>
      <c r="G3198" s="44">
        <v>6.3</v>
      </c>
      <c r="H3198" s="43" t="s">
        <v>228</v>
      </c>
      <c r="I3198" s="40" t="s">
        <v>1300</v>
      </c>
    </row>
    <row r="3199" spans="1:9" x14ac:dyDescent="0.2">
      <c r="A3199" s="40" t="s">
        <v>286</v>
      </c>
      <c r="B3199" s="28">
        <v>3768</v>
      </c>
      <c r="C3199" s="28">
        <v>5691615</v>
      </c>
      <c r="D3199" s="28"/>
      <c r="E3199" s="41">
        <v>46170</v>
      </c>
      <c r="F3199" s="47">
        <v>0.7600810185185185</v>
      </c>
      <c r="G3199" s="44">
        <v>6.3</v>
      </c>
      <c r="H3199" s="43" t="s">
        <v>229</v>
      </c>
      <c r="I3199" s="40" t="s">
        <v>1300</v>
      </c>
    </row>
    <row r="3200" spans="1:9" x14ac:dyDescent="0.2">
      <c r="A3200" s="40" t="s">
        <v>286</v>
      </c>
      <c r="B3200" s="28">
        <v>3768</v>
      </c>
      <c r="C3200" s="28">
        <v>5692334</v>
      </c>
      <c r="D3200" s="28"/>
      <c r="E3200" s="41">
        <v>46170</v>
      </c>
      <c r="F3200" s="47">
        <v>0.92177083333333332</v>
      </c>
      <c r="G3200" s="44">
        <v>6.3</v>
      </c>
      <c r="H3200" s="43" t="s">
        <v>228</v>
      </c>
      <c r="I3200" s="40" t="s">
        <v>1300</v>
      </c>
    </row>
    <row r="3201" spans="1:9" x14ac:dyDescent="0.2">
      <c r="A3201" s="40" t="s">
        <v>286</v>
      </c>
      <c r="B3201" s="28">
        <v>3768</v>
      </c>
      <c r="C3201" s="28">
        <v>5692334</v>
      </c>
      <c r="D3201" s="28"/>
      <c r="E3201" s="41">
        <v>46170</v>
      </c>
      <c r="F3201" s="47">
        <v>0.93</v>
      </c>
      <c r="G3201" s="44">
        <v>6.3</v>
      </c>
      <c r="H3201" s="43" t="s">
        <v>229</v>
      </c>
      <c r="I3201" s="40" t="s">
        <v>1300</v>
      </c>
    </row>
    <row r="3202" spans="1:9" x14ac:dyDescent="0.2">
      <c r="A3202" s="40" t="s">
        <v>286</v>
      </c>
      <c r="B3202" s="28">
        <v>3768</v>
      </c>
      <c r="C3202" s="28">
        <v>5681629</v>
      </c>
      <c r="D3202" s="28"/>
      <c r="E3202" s="41">
        <v>46171</v>
      </c>
      <c r="F3202" s="47">
        <v>1.3553240740740741E-2</v>
      </c>
      <c r="G3202" s="44">
        <v>6.3</v>
      </c>
      <c r="H3202" s="43" t="s">
        <v>228</v>
      </c>
      <c r="I3202" s="40" t="s">
        <v>1300</v>
      </c>
    </row>
    <row r="3203" spans="1:9" x14ac:dyDescent="0.2">
      <c r="A3203" s="40" t="s">
        <v>286</v>
      </c>
      <c r="B3203" s="28">
        <v>3768</v>
      </c>
      <c r="C3203" s="28">
        <v>5681629</v>
      </c>
      <c r="D3203" s="28"/>
      <c r="E3203" s="45">
        <v>46171</v>
      </c>
      <c r="F3203" s="48">
        <v>2.1145833333333332E-2</v>
      </c>
      <c r="G3203" s="44">
        <v>6.3</v>
      </c>
      <c r="H3203" s="43" t="s">
        <v>232</v>
      </c>
      <c r="I3203" s="40" t="s">
        <v>1300</v>
      </c>
    </row>
    <row r="3204" spans="1:9" x14ac:dyDescent="0.2">
      <c r="A3204" s="40" t="s">
        <v>286</v>
      </c>
      <c r="B3204" s="28">
        <v>3768</v>
      </c>
      <c r="C3204" s="28" t="s">
        <v>35</v>
      </c>
      <c r="D3204" s="28" t="s">
        <v>38</v>
      </c>
      <c r="E3204" s="41">
        <v>46171</v>
      </c>
      <c r="F3204" s="47">
        <v>3.4930555555555555E-2</v>
      </c>
      <c r="G3204" s="44">
        <v>6.3</v>
      </c>
      <c r="H3204" s="43" t="s">
        <v>226</v>
      </c>
      <c r="I3204" s="40" t="s">
        <v>1300</v>
      </c>
    </row>
    <row r="3205" spans="1:9" x14ac:dyDescent="0.2">
      <c r="A3205" s="40" t="s">
        <v>286</v>
      </c>
      <c r="B3205" s="28">
        <v>3768</v>
      </c>
      <c r="C3205" s="28" t="s">
        <v>1013</v>
      </c>
      <c r="D3205" s="28"/>
      <c r="E3205" s="45">
        <v>46171</v>
      </c>
      <c r="F3205" s="48">
        <v>0.8354166666666667</v>
      </c>
      <c r="G3205" s="44">
        <v>6.3</v>
      </c>
      <c r="H3205" s="43" t="s">
        <v>228</v>
      </c>
      <c r="I3205" s="40" t="s">
        <v>1300</v>
      </c>
    </row>
    <row r="3206" spans="1:9" x14ac:dyDescent="0.2">
      <c r="A3206" s="40" t="s">
        <v>286</v>
      </c>
      <c r="B3206" s="28">
        <v>3768</v>
      </c>
      <c r="C3206" s="28" t="s">
        <v>35</v>
      </c>
      <c r="D3206" s="28" t="s">
        <v>38</v>
      </c>
      <c r="E3206" s="41">
        <v>46171</v>
      </c>
      <c r="F3206" s="47">
        <v>0.84393518518518518</v>
      </c>
      <c r="G3206" s="44">
        <v>6.3</v>
      </c>
      <c r="H3206" s="43" t="s">
        <v>229</v>
      </c>
      <c r="I3206" s="40" t="s">
        <v>1300</v>
      </c>
    </row>
    <row r="3207" spans="1:9" x14ac:dyDescent="0.2">
      <c r="A3207" s="40" t="s">
        <v>288</v>
      </c>
      <c r="B3207" s="28">
        <v>3775</v>
      </c>
      <c r="C3207" s="28">
        <v>5690274</v>
      </c>
      <c r="D3207" s="28"/>
      <c r="E3207" s="41">
        <v>46170</v>
      </c>
      <c r="F3207" s="47">
        <v>0.34710648148148149</v>
      </c>
      <c r="G3207" s="44">
        <v>6.3</v>
      </c>
      <c r="H3207" s="43" t="s">
        <v>226</v>
      </c>
      <c r="I3207" s="40" t="s">
        <v>1300</v>
      </c>
    </row>
    <row r="3208" spans="1:9" x14ac:dyDescent="0.2">
      <c r="A3208" s="40" t="s">
        <v>288</v>
      </c>
      <c r="B3208" s="28">
        <v>3775</v>
      </c>
      <c r="C3208" s="28">
        <v>5690274</v>
      </c>
      <c r="D3208" s="28"/>
      <c r="E3208" s="41">
        <v>46170</v>
      </c>
      <c r="F3208" s="47">
        <v>0.35521990740740739</v>
      </c>
      <c r="G3208" s="44">
        <v>6.3</v>
      </c>
      <c r="H3208" s="43" t="s">
        <v>227</v>
      </c>
      <c r="I3208" s="40" t="s">
        <v>1300</v>
      </c>
    </row>
    <row r="3209" spans="1:9" x14ac:dyDescent="0.2">
      <c r="A3209" s="40" t="s">
        <v>363</v>
      </c>
      <c r="B3209" s="28">
        <v>3787</v>
      </c>
      <c r="C3209" s="28" t="s">
        <v>35</v>
      </c>
      <c r="D3209" s="28" t="s">
        <v>38</v>
      </c>
      <c r="E3209" s="41">
        <v>46169</v>
      </c>
      <c r="F3209" s="47">
        <v>0.28540509259259261</v>
      </c>
      <c r="G3209" s="44">
        <v>6.3</v>
      </c>
      <c r="H3209" s="43" t="s">
        <v>232</v>
      </c>
      <c r="I3209" s="40" t="s">
        <v>1300</v>
      </c>
    </row>
    <row r="3210" spans="1:9" x14ac:dyDescent="0.2">
      <c r="A3210" s="40" t="s">
        <v>363</v>
      </c>
      <c r="B3210" s="28">
        <v>3787</v>
      </c>
      <c r="C3210" s="28">
        <v>5687926</v>
      </c>
      <c r="D3210" s="28"/>
      <c r="E3210" s="41">
        <v>46169</v>
      </c>
      <c r="F3210" s="47">
        <v>0.54496527777777781</v>
      </c>
      <c r="G3210" s="44">
        <v>6.3</v>
      </c>
      <c r="H3210" s="43" t="s">
        <v>231</v>
      </c>
      <c r="I3210" s="40" t="s">
        <v>1300</v>
      </c>
    </row>
    <row r="3211" spans="1:9" x14ac:dyDescent="0.2">
      <c r="A3211" s="40" t="s">
        <v>363</v>
      </c>
      <c r="B3211" s="28">
        <v>3787</v>
      </c>
      <c r="C3211" s="28">
        <v>5687926</v>
      </c>
      <c r="D3211" s="28"/>
      <c r="E3211" s="41">
        <v>46169</v>
      </c>
      <c r="F3211" s="47">
        <v>0.54917824074074073</v>
      </c>
      <c r="G3211" s="44">
        <v>6.3</v>
      </c>
      <c r="H3211" s="43" t="s">
        <v>227</v>
      </c>
      <c r="I3211" s="40" t="s">
        <v>1300</v>
      </c>
    </row>
    <row r="3212" spans="1:9" x14ac:dyDescent="0.2">
      <c r="A3212" s="40" t="s">
        <v>363</v>
      </c>
      <c r="B3212" s="28">
        <v>3787</v>
      </c>
      <c r="C3212" s="28">
        <v>5687893</v>
      </c>
      <c r="D3212" s="28"/>
      <c r="E3212" s="41">
        <v>46169</v>
      </c>
      <c r="F3212" s="47">
        <v>0.64840277777777777</v>
      </c>
      <c r="G3212" s="42">
        <v>6.3</v>
      </c>
      <c r="H3212" s="40" t="s">
        <v>228</v>
      </c>
      <c r="I3212" s="40" t="s">
        <v>1300</v>
      </c>
    </row>
    <row r="3213" spans="1:9" x14ac:dyDescent="0.2">
      <c r="A3213" s="40" t="s">
        <v>363</v>
      </c>
      <c r="B3213" s="28">
        <v>3787</v>
      </c>
      <c r="C3213" s="28">
        <v>5687893</v>
      </c>
      <c r="D3213" s="28"/>
      <c r="E3213" s="41">
        <v>46169</v>
      </c>
      <c r="F3213" s="47">
        <v>0.65950231481481481</v>
      </c>
      <c r="G3213" s="42">
        <v>6.3</v>
      </c>
      <c r="H3213" s="40" t="s">
        <v>232</v>
      </c>
      <c r="I3213" s="40" t="s">
        <v>1300</v>
      </c>
    </row>
    <row r="3214" spans="1:9" x14ac:dyDescent="0.2">
      <c r="A3214" s="40" t="s">
        <v>363</v>
      </c>
      <c r="B3214" s="28">
        <v>3787</v>
      </c>
      <c r="C3214" s="28" t="s">
        <v>35</v>
      </c>
      <c r="D3214" s="28" t="s">
        <v>38</v>
      </c>
      <c r="E3214" s="41">
        <v>46169</v>
      </c>
      <c r="F3214" s="47">
        <v>0.87686342592592592</v>
      </c>
      <c r="G3214" s="44">
        <v>6.3</v>
      </c>
      <c r="H3214" s="43" t="s">
        <v>233</v>
      </c>
      <c r="I3214" s="40" t="s">
        <v>1300</v>
      </c>
    </row>
    <row r="3215" spans="1:9" x14ac:dyDescent="0.2">
      <c r="A3215" s="40" t="s">
        <v>363</v>
      </c>
      <c r="B3215" s="28">
        <v>3787</v>
      </c>
      <c r="C3215" s="28">
        <v>5690368</v>
      </c>
      <c r="D3215" s="28"/>
      <c r="E3215" s="41">
        <v>46170</v>
      </c>
      <c r="F3215" s="47">
        <v>0.49957175925925928</v>
      </c>
      <c r="G3215" s="44">
        <v>6.3</v>
      </c>
      <c r="H3215" s="43" t="s">
        <v>226</v>
      </c>
      <c r="I3215" s="40" t="s">
        <v>1300</v>
      </c>
    </row>
    <row r="3216" spans="1:9" x14ac:dyDescent="0.2">
      <c r="A3216" s="40" t="s">
        <v>363</v>
      </c>
      <c r="B3216" s="28">
        <v>3787</v>
      </c>
      <c r="C3216" s="28">
        <v>5690368</v>
      </c>
      <c r="D3216" s="28"/>
      <c r="E3216" s="41">
        <v>46170</v>
      </c>
      <c r="F3216" s="47">
        <v>0.50484953703703705</v>
      </c>
      <c r="G3216" s="44">
        <v>6.3</v>
      </c>
      <c r="H3216" s="43" t="s">
        <v>227</v>
      </c>
      <c r="I3216" s="40" t="s">
        <v>1300</v>
      </c>
    </row>
    <row r="3217" spans="1:9" x14ac:dyDescent="0.2">
      <c r="A3217" s="40" t="s">
        <v>363</v>
      </c>
      <c r="B3217" s="28">
        <v>3787</v>
      </c>
      <c r="C3217" s="28">
        <v>5689829</v>
      </c>
      <c r="D3217" s="28"/>
      <c r="E3217" s="41">
        <v>46170</v>
      </c>
      <c r="F3217" s="47">
        <v>0.88971064814814815</v>
      </c>
      <c r="G3217" s="44">
        <v>6.3</v>
      </c>
      <c r="H3217" s="43" t="s">
        <v>228</v>
      </c>
      <c r="I3217" s="40" t="s">
        <v>1300</v>
      </c>
    </row>
    <row r="3218" spans="1:9" x14ac:dyDescent="0.2">
      <c r="A3218" s="40" t="s">
        <v>363</v>
      </c>
      <c r="B3218" s="28">
        <v>3787</v>
      </c>
      <c r="C3218" s="28">
        <v>5689829</v>
      </c>
      <c r="D3218" s="28"/>
      <c r="E3218" s="41">
        <v>46170</v>
      </c>
      <c r="F3218" s="47">
        <v>0.89584490740740741</v>
      </c>
      <c r="G3218" s="44">
        <v>6.3</v>
      </c>
      <c r="H3218" s="43" t="s">
        <v>229</v>
      </c>
      <c r="I3218" s="40" t="s">
        <v>1300</v>
      </c>
    </row>
    <row r="3219" spans="1:9" x14ac:dyDescent="0.2">
      <c r="A3219" s="40" t="s">
        <v>363</v>
      </c>
      <c r="B3219" s="28">
        <v>3787</v>
      </c>
      <c r="C3219" s="28">
        <v>5691508</v>
      </c>
      <c r="D3219" s="28"/>
      <c r="E3219" s="41">
        <v>46171</v>
      </c>
      <c r="F3219" s="47">
        <v>0.36734953703703704</v>
      </c>
      <c r="G3219" s="44">
        <v>6.3</v>
      </c>
      <c r="H3219" s="43" t="s">
        <v>231</v>
      </c>
      <c r="I3219" s="40" t="s">
        <v>1300</v>
      </c>
    </row>
    <row r="3220" spans="1:9" x14ac:dyDescent="0.2">
      <c r="A3220" s="40" t="s">
        <v>363</v>
      </c>
      <c r="B3220" s="28">
        <v>3787</v>
      </c>
      <c r="C3220" s="28">
        <v>5691508</v>
      </c>
      <c r="D3220" s="28"/>
      <c r="E3220" s="41">
        <v>46171</v>
      </c>
      <c r="F3220" s="47">
        <v>0.37302083333333336</v>
      </c>
      <c r="G3220" s="44">
        <v>6.3</v>
      </c>
      <c r="H3220" s="43" t="s">
        <v>227</v>
      </c>
      <c r="I3220" s="40" t="s">
        <v>1300</v>
      </c>
    </row>
    <row r="3221" spans="1:9" x14ac:dyDescent="0.2">
      <c r="A3221" s="40" t="s">
        <v>363</v>
      </c>
      <c r="B3221" s="28">
        <v>3787</v>
      </c>
      <c r="C3221" s="28" t="s">
        <v>35</v>
      </c>
      <c r="D3221" s="28" t="s">
        <v>38</v>
      </c>
      <c r="E3221" s="41">
        <v>46171</v>
      </c>
      <c r="F3221" s="47">
        <v>0.56266203703703699</v>
      </c>
      <c r="G3221" s="44">
        <v>6.3</v>
      </c>
      <c r="H3221" s="43" t="s">
        <v>228</v>
      </c>
      <c r="I3221" s="40" t="s">
        <v>1300</v>
      </c>
    </row>
    <row r="3222" spans="1:9" x14ac:dyDescent="0.2">
      <c r="A3222" s="40" t="s">
        <v>363</v>
      </c>
      <c r="B3222" s="28">
        <v>3787</v>
      </c>
      <c r="C3222" s="28" t="s">
        <v>35</v>
      </c>
      <c r="D3222" s="28" t="s">
        <v>38</v>
      </c>
      <c r="E3222" s="45">
        <v>46171</v>
      </c>
      <c r="F3222" s="48">
        <v>0.57069444444444439</v>
      </c>
      <c r="G3222" s="44">
        <v>6.3</v>
      </c>
      <c r="H3222" s="43" t="s">
        <v>229</v>
      </c>
      <c r="I3222" s="40" t="s">
        <v>1300</v>
      </c>
    </row>
    <row r="3223" spans="1:9" x14ac:dyDescent="0.2">
      <c r="A3223" s="40" t="s">
        <v>363</v>
      </c>
      <c r="B3223" s="28">
        <v>3787</v>
      </c>
      <c r="C3223" s="28" t="s">
        <v>35</v>
      </c>
      <c r="D3223" s="28" t="s">
        <v>38</v>
      </c>
      <c r="E3223" s="41">
        <v>46172</v>
      </c>
      <c r="F3223" s="47">
        <v>0.10792824074074074</v>
      </c>
      <c r="G3223" s="44">
        <v>6.3</v>
      </c>
      <c r="H3223" s="43" t="s">
        <v>232</v>
      </c>
      <c r="I3223" s="40" t="s">
        <v>1300</v>
      </c>
    </row>
    <row r="3224" spans="1:9" x14ac:dyDescent="0.2">
      <c r="A3224" s="40" t="s">
        <v>363</v>
      </c>
      <c r="B3224" s="28">
        <v>3787</v>
      </c>
      <c r="C3224" s="28">
        <v>5694197</v>
      </c>
      <c r="D3224" s="28"/>
      <c r="E3224" s="45">
        <v>46172</v>
      </c>
      <c r="F3224" s="48">
        <v>0.17776620370370369</v>
      </c>
      <c r="G3224" s="44">
        <v>6.3</v>
      </c>
      <c r="H3224" s="43" t="s">
        <v>226</v>
      </c>
      <c r="I3224" s="40" t="s">
        <v>1300</v>
      </c>
    </row>
    <row r="3225" spans="1:9" x14ac:dyDescent="0.2">
      <c r="A3225" s="40" t="s">
        <v>363</v>
      </c>
      <c r="B3225" s="28">
        <v>3787</v>
      </c>
      <c r="C3225" s="28">
        <v>5694197</v>
      </c>
      <c r="D3225" s="28"/>
      <c r="E3225" s="41">
        <v>46172</v>
      </c>
      <c r="F3225" s="47">
        <v>0.18230324074074075</v>
      </c>
      <c r="G3225" s="44">
        <v>6.3</v>
      </c>
      <c r="H3225" s="43" t="s">
        <v>227</v>
      </c>
      <c r="I3225" s="40" t="s">
        <v>1300</v>
      </c>
    </row>
    <row r="3226" spans="1:9" x14ac:dyDescent="0.2">
      <c r="A3226" s="40" t="s">
        <v>363</v>
      </c>
      <c r="B3226" s="28">
        <v>3787</v>
      </c>
      <c r="C3226" s="28">
        <v>5691556</v>
      </c>
      <c r="D3226" s="28"/>
      <c r="E3226" s="41">
        <v>46172</v>
      </c>
      <c r="F3226" s="47">
        <v>0.37925925925925924</v>
      </c>
      <c r="G3226" s="44">
        <v>6.3</v>
      </c>
      <c r="H3226" s="43" t="s">
        <v>228</v>
      </c>
      <c r="I3226" s="40" t="s">
        <v>1300</v>
      </c>
    </row>
    <row r="3227" spans="1:9" x14ac:dyDescent="0.2">
      <c r="A3227" s="40" t="s">
        <v>363</v>
      </c>
      <c r="B3227" s="28">
        <v>3787</v>
      </c>
      <c r="C3227" s="28">
        <v>5691556</v>
      </c>
      <c r="D3227" s="28"/>
      <c r="E3227" s="41">
        <v>46172</v>
      </c>
      <c r="F3227" s="47">
        <v>0.38704861111111111</v>
      </c>
      <c r="G3227" s="44">
        <v>6.3</v>
      </c>
      <c r="H3227" s="43" t="s">
        <v>229</v>
      </c>
      <c r="I3227" s="40" t="s">
        <v>1300</v>
      </c>
    </row>
    <row r="3228" spans="1:9" x14ac:dyDescent="0.2">
      <c r="A3228" s="40" t="s">
        <v>304</v>
      </c>
      <c r="B3228" s="28">
        <v>3799</v>
      </c>
      <c r="C3228" s="28" t="s">
        <v>35</v>
      </c>
      <c r="D3228" s="28" t="s">
        <v>38</v>
      </c>
      <c r="E3228" s="41">
        <v>46168</v>
      </c>
      <c r="F3228" s="47">
        <v>0.95078703703703704</v>
      </c>
      <c r="G3228" s="44">
        <v>6.3</v>
      </c>
      <c r="H3228" s="43" t="s">
        <v>226</v>
      </c>
      <c r="I3228" s="40" t="s">
        <v>1300</v>
      </c>
    </row>
    <row r="3229" spans="1:9" x14ac:dyDescent="0.2">
      <c r="A3229" s="40" t="s">
        <v>304</v>
      </c>
      <c r="B3229" s="28">
        <v>3799</v>
      </c>
      <c r="C3229" s="28">
        <v>5690482</v>
      </c>
      <c r="D3229" s="28"/>
      <c r="E3229" s="41">
        <v>46169</v>
      </c>
      <c r="F3229" s="47">
        <v>0.89146990740740739</v>
      </c>
      <c r="G3229" s="44">
        <v>6.3</v>
      </c>
      <c r="H3229" s="43" t="s">
        <v>228</v>
      </c>
      <c r="I3229" s="40" t="s">
        <v>1300</v>
      </c>
    </row>
    <row r="3230" spans="1:9" x14ac:dyDescent="0.2">
      <c r="A3230" s="40" t="s">
        <v>304</v>
      </c>
      <c r="B3230" s="28">
        <v>3799</v>
      </c>
      <c r="C3230" s="28" t="s">
        <v>35</v>
      </c>
      <c r="D3230" s="28" t="s">
        <v>38</v>
      </c>
      <c r="E3230" s="41">
        <v>46170</v>
      </c>
      <c r="F3230" s="47">
        <v>0.45041666666666669</v>
      </c>
      <c r="G3230" s="44">
        <v>6.3</v>
      </c>
      <c r="H3230" s="43" t="s">
        <v>228</v>
      </c>
      <c r="I3230" s="40" t="s">
        <v>1300</v>
      </c>
    </row>
    <row r="3231" spans="1:9" x14ac:dyDescent="0.2">
      <c r="A3231" s="40" t="s">
        <v>304</v>
      </c>
      <c r="B3231" s="28">
        <v>3799</v>
      </c>
      <c r="C3231" s="28" t="s">
        <v>35</v>
      </c>
      <c r="D3231" s="28" t="s">
        <v>38</v>
      </c>
      <c r="E3231" s="41">
        <v>46170</v>
      </c>
      <c r="F3231" s="47">
        <v>0.45975694444444443</v>
      </c>
      <c r="G3231" s="44">
        <v>6.3</v>
      </c>
      <c r="H3231" s="43" t="s">
        <v>229</v>
      </c>
      <c r="I3231" s="40" t="s">
        <v>1300</v>
      </c>
    </row>
    <row r="3232" spans="1:9" x14ac:dyDescent="0.2">
      <c r="A3232" s="40" t="s">
        <v>304</v>
      </c>
      <c r="B3232" s="28">
        <v>3799</v>
      </c>
      <c r="C3232" s="28">
        <v>5689678</v>
      </c>
      <c r="D3232" s="28" t="s">
        <v>37</v>
      </c>
      <c r="E3232" s="41">
        <v>46170</v>
      </c>
      <c r="F3232" s="47">
        <v>0.54186342592592596</v>
      </c>
      <c r="G3232" s="44">
        <v>6.3</v>
      </c>
      <c r="H3232" s="43" t="s">
        <v>230</v>
      </c>
      <c r="I3232" s="40" t="s">
        <v>1300</v>
      </c>
    </row>
    <row r="3233" spans="1:9" x14ac:dyDescent="0.2">
      <c r="A3233" s="40" t="s">
        <v>304</v>
      </c>
      <c r="B3233" s="28">
        <v>3799</v>
      </c>
      <c r="C3233" s="28">
        <v>5689678</v>
      </c>
      <c r="D3233" s="28" t="s">
        <v>37</v>
      </c>
      <c r="E3233" s="41">
        <v>46170</v>
      </c>
      <c r="F3233" s="47">
        <v>0.54740740740740745</v>
      </c>
      <c r="G3233" s="44">
        <v>6.3</v>
      </c>
      <c r="H3233" s="43" t="s">
        <v>227</v>
      </c>
      <c r="I3233" s="40" t="s">
        <v>1300</v>
      </c>
    </row>
    <row r="3234" spans="1:9" x14ac:dyDescent="0.2">
      <c r="A3234" s="40" t="s">
        <v>304</v>
      </c>
      <c r="B3234" s="28">
        <v>3799</v>
      </c>
      <c r="C3234" s="28" t="s">
        <v>35</v>
      </c>
      <c r="D3234" s="28" t="s">
        <v>38</v>
      </c>
      <c r="E3234" s="41">
        <v>46170</v>
      </c>
      <c r="F3234" s="47">
        <v>0.72288194444444442</v>
      </c>
      <c r="G3234" s="44">
        <v>6.3</v>
      </c>
      <c r="H3234" s="43" t="s">
        <v>230</v>
      </c>
      <c r="I3234" s="40" t="s">
        <v>1300</v>
      </c>
    </row>
    <row r="3235" spans="1:9" x14ac:dyDescent="0.2">
      <c r="A3235" s="40" t="s">
        <v>304</v>
      </c>
      <c r="B3235" s="28">
        <v>3799</v>
      </c>
      <c r="C3235" s="28" t="s">
        <v>35</v>
      </c>
      <c r="D3235" s="28" t="s">
        <v>38</v>
      </c>
      <c r="E3235" s="45">
        <v>46170</v>
      </c>
      <c r="F3235" s="48">
        <v>0.73722222222222222</v>
      </c>
      <c r="G3235" s="44">
        <v>6.3</v>
      </c>
      <c r="H3235" s="43" t="s">
        <v>227</v>
      </c>
      <c r="I3235" s="40" t="s">
        <v>1300</v>
      </c>
    </row>
    <row r="3236" spans="1:9" x14ac:dyDescent="0.2">
      <c r="A3236" s="40" t="s">
        <v>290</v>
      </c>
      <c r="B3236" s="28">
        <v>3809</v>
      </c>
      <c r="C3236" s="28">
        <v>5686209</v>
      </c>
      <c r="D3236" s="28"/>
      <c r="E3236" s="41">
        <v>46167</v>
      </c>
      <c r="F3236" s="47">
        <v>0.62344907407407413</v>
      </c>
      <c r="G3236" s="42">
        <v>6.3</v>
      </c>
      <c r="H3236" s="40" t="s">
        <v>228</v>
      </c>
      <c r="I3236" s="40" t="s">
        <v>1300</v>
      </c>
    </row>
    <row r="3237" spans="1:9" x14ac:dyDescent="0.2">
      <c r="A3237" s="40" t="s">
        <v>290</v>
      </c>
      <c r="B3237" s="28">
        <v>3809</v>
      </c>
      <c r="C3237" s="28">
        <v>5686209</v>
      </c>
      <c r="D3237" s="28"/>
      <c r="E3237" s="41">
        <v>46167</v>
      </c>
      <c r="F3237" s="47">
        <v>0.6330324074074074</v>
      </c>
      <c r="G3237" s="42">
        <v>6.3</v>
      </c>
      <c r="H3237" s="40" t="s">
        <v>229</v>
      </c>
      <c r="I3237" s="40" t="s">
        <v>1300</v>
      </c>
    </row>
    <row r="3238" spans="1:9" x14ac:dyDescent="0.2">
      <c r="A3238" s="40" t="s">
        <v>290</v>
      </c>
      <c r="B3238" s="28">
        <v>3809</v>
      </c>
      <c r="C3238" s="28">
        <v>5690159</v>
      </c>
      <c r="D3238" s="28"/>
      <c r="E3238" s="41">
        <v>46169</v>
      </c>
      <c r="F3238" s="47">
        <v>0.74284722222222221</v>
      </c>
      <c r="G3238" s="44">
        <v>6.3</v>
      </c>
      <c r="H3238" s="43" t="s">
        <v>228</v>
      </c>
      <c r="I3238" s="40" t="s">
        <v>1300</v>
      </c>
    </row>
    <row r="3239" spans="1:9" x14ac:dyDescent="0.2">
      <c r="A3239" s="40" t="s">
        <v>290</v>
      </c>
      <c r="B3239" s="28">
        <v>3809</v>
      </c>
      <c r="C3239" s="28" t="s">
        <v>1014</v>
      </c>
      <c r="D3239" s="28"/>
      <c r="E3239" s="41">
        <v>46170</v>
      </c>
      <c r="F3239" s="47">
        <v>0.64696759259259262</v>
      </c>
      <c r="G3239" s="44">
        <v>6.3</v>
      </c>
      <c r="H3239" s="43" t="s">
        <v>228</v>
      </c>
      <c r="I3239" s="40" t="s">
        <v>1300</v>
      </c>
    </row>
    <row r="3240" spans="1:9" x14ac:dyDescent="0.2">
      <c r="A3240" s="40" t="s">
        <v>290</v>
      </c>
      <c r="B3240" s="28">
        <v>3809</v>
      </c>
      <c r="C3240" s="28" t="s">
        <v>1014</v>
      </c>
      <c r="D3240" s="28"/>
      <c r="E3240" s="41">
        <v>46170</v>
      </c>
      <c r="F3240" s="47">
        <v>0.66387731481481482</v>
      </c>
      <c r="G3240" s="44">
        <v>6.3</v>
      </c>
      <c r="H3240" s="43" t="s">
        <v>229</v>
      </c>
      <c r="I3240" s="40" t="s">
        <v>1300</v>
      </c>
    </row>
    <row r="3241" spans="1:9" x14ac:dyDescent="0.2">
      <c r="A3241" s="40" t="s">
        <v>290</v>
      </c>
      <c r="B3241" s="28">
        <v>3809</v>
      </c>
      <c r="C3241" s="28" t="s">
        <v>1015</v>
      </c>
      <c r="D3241" s="28"/>
      <c r="E3241" s="45">
        <v>46170</v>
      </c>
      <c r="F3241" s="48">
        <v>0.77613425925925927</v>
      </c>
      <c r="G3241" s="44">
        <v>6.3</v>
      </c>
      <c r="H3241" s="43" t="s">
        <v>228</v>
      </c>
      <c r="I3241" s="40" t="s">
        <v>1300</v>
      </c>
    </row>
    <row r="3242" spans="1:9" x14ac:dyDescent="0.2">
      <c r="A3242" s="40" t="s">
        <v>290</v>
      </c>
      <c r="B3242" s="28">
        <v>3809</v>
      </c>
      <c r="C3242" s="28" t="s">
        <v>1015</v>
      </c>
      <c r="D3242" s="28"/>
      <c r="E3242" s="41">
        <v>46170</v>
      </c>
      <c r="F3242" s="47">
        <v>0.789525462962963</v>
      </c>
      <c r="G3242" s="44">
        <v>6.3</v>
      </c>
      <c r="H3242" s="43" t="s">
        <v>229</v>
      </c>
      <c r="I3242" s="40" t="s">
        <v>1300</v>
      </c>
    </row>
    <row r="3243" spans="1:9" x14ac:dyDescent="0.2">
      <c r="A3243" s="40" t="s">
        <v>295</v>
      </c>
      <c r="B3243" s="28">
        <v>3810</v>
      </c>
      <c r="C3243" s="28" t="s">
        <v>1016</v>
      </c>
      <c r="D3243" s="28"/>
      <c r="E3243" s="45">
        <v>46167</v>
      </c>
      <c r="F3243" s="48">
        <v>7.0185185185185184E-2</v>
      </c>
      <c r="G3243" s="44">
        <v>6.3</v>
      </c>
      <c r="H3243" s="43" t="s">
        <v>228</v>
      </c>
      <c r="I3243" s="40" t="s">
        <v>1300</v>
      </c>
    </row>
    <row r="3244" spans="1:9" x14ac:dyDescent="0.2">
      <c r="A3244" s="40" t="s">
        <v>295</v>
      </c>
      <c r="B3244" s="28">
        <v>3810</v>
      </c>
      <c r="C3244" s="28" t="s">
        <v>1016</v>
      </c>
      <c r="D3244" s="28"/>
      <c r="E3244" s="41">
        <v>46167</v>
      </c>
      <c r="F3244" s="47">
        <v>7.8263888888888883E-2</v>
      </c>
      <c r="G3244" s="44">
        <v>6.3</v>
      </c>
      <c r="H3244" s="43" t="s">
        <v>229</v>
      </c>
      <c r="I3244" s="40" t="s">
        <v>1300</v>
      </c>
    </row>
    <row r="3245" spans="1:9" x14ac:dyDescent="0.2">
      <c r="A3245" s="40" t="s">
        <v>295</v>
      </c>
      <c r="B3245" s="28">
        <v>3810</v>
      </c>
      <c r="C3245" s="28">
        <v>5689364</v>
      </c>
      <c r="D3245" s="28"/>
      <c r="E3245" s="41">
        <v>46169</v>
      </c>
      <c r="F3245" s="47">
        <v>0.42429398148148151</v>
      </c>
      <c r="G3245" s="44">
        <v>6.3</v>
      </c>
      <c r="H3245" s="43" t="s">
        <v>228</v>
      </c>
      <c r="I3245" s="40" t="s">
        <v>1300</v>
      </c>
    </row>
    <row r="3246" spans="1:9" x14ac:dyDescent="0.2">
      <c r="A3246" s="40" t="s">
        <v>295</v>
      </c>
      <c r="B3246" s="28">
        <v>3810</v>
      </c>
      <c r="C3246" s="28">
        <v>5689364</v>
      </c>
      <c r="D3246" s="28"/>
      <c r="E3246" s="41">
        <v>46169</v>
      </c>
      <c r="F3246" s="47">
        <v>0.43699074074074074</v>
      </c>
      <c r="G3246" s="44">
        <v>6.3</v>
      </c>
      <c r="H3246" s="43" t="s">
        <v>229</v>
      </c>
      <c r="I3246" s="40" t="s">
        <v>1300</v>
      </c>
    </row>
    <row r="3247" spans="1:9" x14ac:dyDescent="0.2">
      <c r="A3247" s="40" t="s">
        <v>295</v>
      </c>
      <c r="B3247" s="28">
        <v>3810</v>
      </c>
      <c r="C3247" s="28" t="s">
        <v>35</v>
      </c>
      <c r="D3247" s="28" t="s">
        <v>38</v>
      </c>
      <c r="E3247" s="41">
        <v>46169</v>
      </c>
      <c r="F3247" s="47">
        <v>0.44868055555555558</v>
      </c>
      <c r="G3247" s="42">
        <v>6.3</v>
      </c>
      <c r="H3247" s="40" t="s">
        <v>230</v>
      </c>
      <c r="I3247" s="40" t="s">
        <v>1300</v>
      </c>
    </row>
    <row r="3248" spans="1:9" x14ac:dyDescent="0.2">
      <c r="A3248" s="40" t="s">
        <v>295</v>
      </c>
      <c r="B3248" s="28">
        <v>3810</v>
      </c>
      <c r="C3248" s="28" t="s">
        <v>35</v>
      </c>
      <c r="D3248" s="28" t="s">
        <v>38</v>
      </c>
      <c r="E3248" s="41">
        <v>46169</v>
      </c>
      <c r="F3248" s="47">
        <v>0.45478009259259261</v>
      </c>
      <c r="G3248" s="42">
        <v>6.3</v>
      </c>
      <c r="H3248" s="40" t="s">
        <v>227</v>
      </c>
      <c r="I3248" s="40" t="s">
        <v>1300</v>
      </c>
    </row>
    <row r="3249" spans="1:9" x14ac:dyDescent="0.2">
      <c r="A3249" s="40" t="s">
        <v>295</v>
      </c>
      <c r="B3249" s="28">
        <v>3810</v>
      </c>
      <c r="C3249" s="28" t="s">
        <v>1017</v>
      </c>
      <c r="D3249" s="28"/>
      <c r="E3249" s="45">
        <v>46169</v>
      </c>
      <c r="F3249" s="48">
        <v>0.5524189814814815</v>
      </c>
      <c r="G3249" s="44">
        <v>6.3</v>
      </c>
      <c r="H3249" s="43" t="s">
        <v>228</v>
      </c>
      <c r="I3249" s="40" t="s">
        <v>1300</v>
      </c>
    </row>
    <row r="3250" spans="1:9" x14ac:dyDescent="0.2">
      <c r="A3250" s="40" t="s">
        <v>295</v>
      </c>
      <c r="B3250" s="28">
        <v>3810</v>
      </c>
      <c r="C3250" s="28" t="s">
        <v>1017</v>
      </c>
      <c r="D3250" s="28"/>
      <c r="E3250" s="45">
        <v>46169</v>
      </c>
      <c r="F3250" s="48">
        <v>0.56206018518518519</v>
      </c>
      <c r="G3250" s="44">
        <v>6.3</v>
      </c>
      <c r="H3250" s="43" t="s">
        <v>229</v>
      </c>
      <c r="I3250" s="40" t="s">
        <v>1300</v>
      </c>
    </row>
    <row r="3251" spans="1:9" x14ac:dyDescent="0.2">
      <c r="A3251" s="40" t="s">
        <v>295</v>
      </c>
      <c r="B3251" s="28">
        <v>3810</v>
      </c>
      <c r="C3251" s="28" t="s">
        <v>35</v>
      </c>
      <c r="D3251" s="28" t="s">
        <v>38</v>
      </c>
      <c r="E3251" s="41">
        <v>46169</v>
      </c>
      <c r="F3251" s="47">
        <v>0.57629629629629631</v>
      </c>
      <c r="G3251" s="44">
        <v>6.3</v>
      </c>
      <c r="H3251" s="43" t="s">
        <v>226</v>
      </c>
      <c r="I3251" s="40" t="s">
        <v>1300</v>
      </c>
    </row>
    <row r="3252" spans="1:9" x14ac:dyDescent="0.2">
      <c r="A3252" s="40" t="s">
        <v>295</v>
      </c>
      <c r="B3252" s="28">
        <v>3810</v>
      </c>
      <c r="C3252" s="28" t="s">
        <v>35</v>
      </c>
      <c r="D3252" s="28" t="s">
        <v>38</v>
      </c>
      <c r="E3252" s="45">
        <v>46169</v>
      </c>
      <c r="F3252" s="48">
        <v>0.58126157407407408</v>
      </c>
      <c r="G3252" s="44">
        <v>6.3</v>
      </c>
      <c r="H3252" s="43" t="s">
        <v>227</v>
      </c>
      <c r="I3252" s="40" t="s">
        <v>1300</v>
      </c>
    </row>
    <row r="3253" spans="1:9" x14ac:dyDescent="0.2">
      <c r="A3253" s="40" t="s">
        <v>295</v>
      </c>
      <c r="B3253" s="28">
        <v>3810</v>
      </c>
      <c r="C3253" s="28" t="s">
        <v>35</v>
      </c>
      <c r="D3253" s="28" t="s">
        <v>38</v>
      </c>
      <c r="E3253" s="45">
        <v>46170</v>
      </c>
      <c r="F3253" s="48">
        <v>0.40447916666666667</v>
      </c>
      <c r="G3253" s="44">
        <v>6.3</v>
      </c>
      <c r="H3253" s="43" t="s">
        <v>228</v>
      </c>
      <c r="I3253" s="40" t="s">
        <v>1300</v>
      </c>
    </row>
    <row r="3254" spans="1:9" x14ac:dyDescent="0.2">
      <c r="A3254" s="40" t="s">
        <v>295</v>
      </c>
      <c r="B3254" s="28">
        <v>3810</v>
      </c>
      <c r="C3254" s="28" t="s">
        <v>1018</v>
      </c>
      <c r="D3254" s="28"/>
      <c r="E3254" s="45">
        <v>46170</v>
      </c>
      <c r="F3254" s="48">
        <v>0.74986111111111109</v>
      </c>
      <c r="G3254" s="44">
        <v>6.3</v>
      </c>
      <c r="H3254" s="43" t="s">
        <v>228</v>
      </c>
      <c r="I3254" s="40" t="s">
        <v>1300</v>
      </c>
    </row>
    <row r="3255" spans="1:9" x14ac:dyDescent="0.2">
      <c r="A3255" s="40" t="s">
        <v>295</v>
      </c>
      <c r="B3255" s="28">
        <v>3810</v>
      </c>
      <c r="C3255" s="28" t="s">
        <v>1018</v>
      </c>
      <c r="D3255" s="28"/>
      <c r="E3255" s="41">
        <v>46170</v>
      </c>
      <c r="F3255" s="47">
        <v>0.76479166666666665</v>
      </c>
      <c r="G3255" s="44">
        <v>6.3</v>
      </c>
      <c r="H3255" s="43" t="s">
        <v>229</v>
      </c>
      <c r="I3255" s="40" t="s">
        <v>1300</v>
      </c>
    </row>
    <row r="3256" spans="1:9" x14ac:dyDescent="0.2">
      <c r="A3256" s="40" t="s">
        <v>295</v>
      </c>
      <c r="B3256" s="28">
        <v>3810</v>
      </c>
      <c r="C3256" s="28" t="s">
        <v>1019</v>
      </c>
      <c r="D3256" s="28"/>
      <c r="E3256" s="41">
        <v>46171</v>
      </c>
      <c r="F3256" s="47">
        <v>0.58846064814814814</v>
      </c>
      <c r="G3256" s="42">
        <v>6.3</v>
      </c>
      <c r="H3256" s="40" t="s">
        <v>228</v>
      </c>
      <c r="I3256" s="40" t="s">
        <v>1300</v>
      </c>
    </row>
    <row r="3257" spans="1:9" x14ac:dyDescent="0.2">
      <c r="A3257" s="40" t="s">
        <v>295</v>
      </c>
      <c r="B3257" s="28">
        <v>3810</v>
      </c>
      <c r="C3257" s="28" t="s">
        <v>1019</v>
      </c>
      <c r="D3257" s="28"/>
      <c r="E3257" s="41">
        <v>46171</v>
      </c>
      <c r="F3257" s="47">
        <v>0.59871527777777778</v>
      </c>
      <c r="G3257" s="42">
        <v>6.3</v>
      </c>
      <c r="H3257" s="40" t="s">
        <v>229</v>
      </c>
      <c r="I3257" s="40" t="s">
        <v>1300</v>
      </c>
    </row>
    <row r="3258" spans="1:9" x14ac:dyDescent="0.2">
      <c r="A3258" s="40" t="s">
        <v>295</v>
      </c>
      <c r="B3258" s="28">
        <v>3810</v>
      </c>
      <c r="C3258" s="28">
        <v>5693497</v>
      </c>
      <c r="D3258" s="28"/>
      <c r="E3258" s="41">
        <v>46171</v>
      </c>
      <c r="F3258" s="47">
        <v>0.88243055555555561</v>
      </c>
      <c r="G3258" s="42">
        <v>6.3</v>
      </c>
      <c r="H3258" s="40" t="s">
        <v>228</v>
      </c>
      <c r="I3258" s="40" t="s">
        <v>1300</v>
      </c>
    </row>
    <row r="3259" spans="1:9" x14ac:dyDescent="0.2">
      <c r="A3259" s="40" t="s">
        <v>295</v>
      </c>
      <c r="B3259" s="28">
        <v>3810</v>
      </c>
      <c r="C3259" s="28">
        <v>5693497</v>
      </c>
      <c r="D3259" s="28"/>
      <c r="E3259" s="41">
        <v>46171</v>
      </c>
      <c r="F3259" s="47">
        <v>0.88991898148148152</v>
      </c>
      <c r="G3259" s="42">
        <v>6.3</v>
      </c>
      <c r="H3259" s="40" t="s">
        <v>229</v>
      </c>
      <c r="I3259" s="40" t="s">
        <v>1300</v>
      </c>
    </row>
    <row r="3260" spans="1:9" x14ac:dyDescent="0.2">
      <c r="A3260" s="40" t="s">
        <v>295</v>
      </c>
      <c r="B3260" s="28">
        <v>3810</v>
      </c>
      <c r="C3260" s="28" t="s">
        <v>1020</v>
      </c>
      <c r="D3260" s="28"/>
      <c r="E3260" s="41">
        <v>46172</v>
      </c>
      <c r="F3260" s="47">
        <v>0.3997337962962963</v>
      </c>
      <c r="G3260" s="44">
        <v>6.3</v>
      </c>
      <c r="H3260" s="43" t="s">
        <v>228</v>
      </c>
      <c r="I3260" s="40" t="s">
        <v>1300</v>
      </c>
    </row>
    <row r="3261" spans="1:9" x14ac:dyDescent="0.2">
      <c r="A3261" s="40" t="s">
        <v>295</v>
      </c>
      <c r="B3261" s="28">
        <v>3810</v>
      </c>
      <c r="C3261" s="28" t="s">
        <v>1020</v>
      </c>
      <c r="D3261" s="28"/>
      <c r="E3261" s="45">
        <v>46172</v>
      </c>
      <c r="F3261" s="48">
        <v>0.40962962962962962</v>
      </c>
      <c r="G3261" s="44">
        <v>6.3</v>
      </c>
      <c r="H3261" s="43" t="s">
        <v>229</v>
      </c>
      <c r="I3261" s="40" t="s">
        <v>1300</v>
      </c>
    </row>
    <row r="3262" spans="1:9" x14ac:dyDescent="0.2">
      <c r="A3262" s="40" t="s">
        <v>295</v>
      </c>
      <c r="B3262" s="28">
        <v>3810</v>
      </c>
      <c r="C3262" s="28" t="s">
        <v>35</v>
      </c>
      <c r="D3262" s="28" t="s">
        <v>38</v>
      </c>
      <c r="E3262" s="41">
        <v>46172</v>
      </c>
      <c r="F3262" s="47">
        <v>0.44903935185185184</v>
      </c>
      <c r="G3262" s="42">
        <v>6.3</v>
      </c>
      <c r="H3262" s="40" t="s">
        <v>230</v>
      </c>
      <c r="I3262" s="40" t="s">
        <v>1300</v>
      </c>
    </row>
    <row r="3263" spans="1:9" x14ac:dyDescent="0.2">
      <c r="A3263" s="40" t="s">
        <v>295</v>
      </c>
      <c r="B3263" s="28">
        <v>3810</v>
      </c>
      <c r="C3263" s="28" t="s">
        <v>35</v>
      </c>
      <c r="D3263" s="28" t="s">
        <v>38</v>
      </c>
      <c r="E3263" s="41">
        <v>46172</v>
      </c>
      <c r="F3263" s="47">
        <v>0.45520833333333333</v>
      </c>
      <c r="G3263" s="42">
        <v>6.3</v>
      </c>
      <c r="H3263" s="40" t="s">
        <v>227</v>
      </c>
      <c r="I3263" s="40" t="s">
        <v>1300</v>
      </c>
    </row>
    <row r="3264" spans="1:9" x14ac:dyDescent="0.2">
      <c r="A3264" s="40" t="s">
        <v>295</v>
      </c>
      <c r="B3264" s="28">
        <v>3810</v>
      </c>
      <c r="C3264" s="28">
        <v>5695087</v>
      </c>
      <c r="D3264" s="28"/>
      <c r="E3264" s="41">
        <v>46172</v>
      </c>
      <c r="F3264" s="47">
        <v>0.82913194444444449</v>
      </c>
      <c r="G3264" s="44">
        <v>6.3</v>
      </c>
      <c r="H3264" s="43" t="s">
        <v>228</v>
      </c>
      <c r="I3264" s="40" t="s">
        <v>1300</v>
      </c>
    </row>
    <row r="3265" spans="1:9" x14ac:dyDescent="0.2">
      <c r="A3265" s="40" t="s">
        <v>295</v>
      </c>
      <c r="B3265" s="28">
        <v>3810</v>
      </c>
      <c r="C3265" s="28" t="s">
        <v>35</v>
      </c>
      <c r="D3265" s="28" t="s">
        <v>38</v>
      </c>
      <c r="E3265" s="41">
        <v>46172</v>
      </c>
      <c r="F3265" s="47">
        <v>0.89568287037037042</v>
      </c>
      <c r="G3265" s="44">
        <v>6.3</v>
      </c>
      <c r="H3265" s="43" t="s">
        <v>230</v>
      </c>
      <c r="I3265" s="40" t="s">
        <v>1300</v>
      </c>
    </row>
    <row r="3266" spans="1:9" x14ac:dyDescent="0.2">
      <c r="A3266" s="40" t="s">
        <v>295</v>
      </c>
      <c r="B3266" s="28">
        <v>3810</v>
      </c>
      <c r="C3266" s="28" t="s">
        <v>35</v>
      </c>
      <c r="D3266" s="28" t="s">
        <v>38</v>
      </c>
      <c r="E3266" s="41">
        <v>46172</v>
      </c>
      <c r="F3266" s="47">
        <v>0.90087962962962964</v>
      </c>
      <c r="G3266" s="44">
        <v>6.3</v>
      </c>
      <c r="H3266" s="43" t="s">
        <v>227</v>
      </c>
      <c r="I3266" s="40" t="s">
        <v>1300</v>
      </c>
    </row>
    <row r="3267" spans="1:9" x14ac:dyDescent="0.2">
      <c r="A3267" s="40" t="s">
        <v>295</v>
      </c>
      <c r="B3267" s="28">
        <v>3810</v>
      </c>
      <c r="C3267" s="28">
        <v>5695289</v>
      </c>
      <c r="D3267" s="28"/>
      <c r="E3267" s="41">
        <v>46172</v>
      </c>
      <c r="F3267" s="47">
        <v>0.97312500000000002</v>
      </c>
      <c r="G3267" s="44">
        <v>6.3</v>
      </c>
      <c r="H3267" s="43" t="s">
        <v>228</v>
      </c>
      <c r="I3267" s="40" t="s">
        <v>1300</v>
      </c>
    </row>
    <row r="3268" spans="1:9" x14ac:dyDescent="0.2">
      <c r="A3268" s="40" t="s">
        <v>295</v>
      </c>
      <c r="B3268" s="28">
        <v>3810</v>
      </c>
      <c r="C3268" s="28">
        <v>5695289</v>
      </c>
      <c r="D3268" s="28"/>
      <c r="E3268" s="45">
        <v>46172</v>
      </c>
      <c r="F3268" s="48">
        <v>0.98052083333333329</v>
      </c>
      <c r="G3268" s="44">
        <v>6.3</v>
      </c>
      <c r="H3268" s="43" t="s">
        <v>229</v>
      </c>
      <c r="I3268" s="40" t="s">
        <v>1300</v>
      </c>
    </row>
    <row r="3269" spans="1:9" x14ac:dyDescent="0.2">
      <c r="A3269" s="40" t="s">
        <v>295</v>
      </c>
      <c r="B3269" s="28">
        <v>3810</v>
      </c>
      <c r="C3269" s="28" t="s">
        <v>1021</v>
      </c>
      <c r="D3269" s="28"/>
      <c r="E3269" s="41">
        <v>46173</v>
      </c>
      <c r="F3269" s="47">
        <v>0.39159722222222221</v>
      </c>
      <c r="G3269" s="44">
        <v>6.3</v>
      </c>
      <c r="H3269" s="43" t="s">
        <v>228</v>
      </c>
      <c r="I3269" s="40" t="s">
        <v>1300</v>
      </c>
    </row>
    <row r="3270" spans="1:9" x14ac:dyDescent="0.2">
      <c r="A3270" s="40" t="s">
        <v>295</v>
      </c>
      <c r="B3270" s="28">
        <v>3810</v>
      </c>
      <c r="C3270" s="28" t="s">
        <v>1021</v>
      </c>
      <c r="D3270" s="28"/>
      <c r="E3270" s="41">
        <v>46173</v>
      </c>
      <c r="F3270" s="47">
        <v>0.39850694444444446</v>
      </c>
      <c r="G3270" s="42">
        <v>6.3</v>
      </c>
      <c r="H3270" s="40" t="s">
        <v>229</v>
      </c>
      <c r="I3270" s="40" t="s">
        <v>1300</v>
      </c>
    </row>
    <row r="3271" spans="1:9" x14ac:dyDescent="0.2">
      <c r="A3271" s="40" t="s">
        <v>266</v>
      </c>
      <c r="B3271" s="28">
        <v>3812</v>
      </c>
      <c r="C3271" s="28">
        <v>5685117</v>
      </c>
      <c r="D3271" s="28"/>
      <c r="E3271" s="45">
        <v>46167</v>
      </c>
      <c r="F3271" s="48">
        <v>0.16293981481481482</v>
      </c>
      <c r="G3271" s="42">
        <v>6.3</v>
      </c>
      <c r="H3271" s="40" t="s">
        <v>230</v>
      </c>
      <c r="I3271" s="40" t="s">
        <v>1300</v>
      </c>
    </row>
    <row r="3272" spans="1:9" x14ac:dyDescent="0.2">
      <c r="A3272" s="40" t="s">
        <v>266</v>
      </c>
      <c r="B3272" s="28">
        <v>3812</v>
      </c>
      <c r="C3272" s="28">
        <v>5685117</v>
      </c>
      <c r="D3272" s="28"/>
      <c r="E3272" s="41">
        <v>46167</v>
      </c>
      <c r="F3272" s="47">
        <v>0.16844907407407408</v>
      </c>
      <c r="G3272" s="44">
        <v>6.3</v>
      </c>
      <c r="H3272" s="43" t="s">
        <v>227</v>
      </c>
      <c r="I3272" s="40" t="s">
        <v>1300</v>
      </c>
    </row>
    <row r="3273" spans="1:9" x14ac:dyDescent="0.2">
      <c r="A3273" s="40" t="s">
        <v>266</v>
      </c>
      <c r="B3273" s="28">
        <v>3812</v>
      </c>
      <c r="C3273" s="28" t="s">
        <v>1022</v>
      </c>
      <c r="D3273" s="28"/>
      <c r="E3273" s="41">
        <v>46167</v>
      </c>
      <c r="F3273" s="47">
        <v>0.79336805555555556</v>
      </c>
      <c r="G3273" s="44">
        <v>6.3</v>
      </c>
      <c r="H3273" s="43" t="s">
        <v>228</v>
      </c>
      <c r="I3273" s="40" t="s">
        <v>1300</v>
      </c>
    </row>
    <row r="3274" spans="1:9" x14ac:dyDescent="0.2">
      <c r="A3274" s="40" t="s">
        <v>266</v>
      </c>
      <c r="B3274" s="28">
        <v>3812</v>
      </c>
      <c r="C3274" s="28" t="s">
        <v>1022</v>
      </c>
      <c r="D3274" s="28"/>
      <c r="E3274" s="41">
        <v>46167</v>
      </c>
      <c r="F3274" s="47">
        <v>0.80085648148148147</v>
      </c>
      <c r="G3274" s="44">
        <v>6.3</v>
      </c>
      <c r="H3274" s="43" t="s">
        <v>229</v>
      </c>
      <c r="I3274" s="40" t="s">
        <v>1300</v>
      </c>
    </row>
    <row r="3275" spans="1:9" x14ac:dyDescent="0.2">
      <c r="A3275" s="40" t="s">
        <v>266</v>
      </c>
      <c r="B3275" s="28">
        <v>3812</v>
      </c>
      <c r="C3275" s="28">
        <v>5686968</v>
      </c>
      <c r="D3275" s="28"/>
      <c r="E3275" s="41">
        <v>46167</v>
      </c>
      <c r="F3275" s="47">
        <v>0.93458333333333332</v>
      </c>
      <c r="G3275" s="44">
        <v>6.3</v>
      </c>
      <c r="H3275" s="43" t="s">
        <v>228</v>
      </c>
      <c r="I3275" s="40" t="s">
        <v>1300</v>
      </c>
    </row>
    <row r="3276" spans="1:9" x14ac:dyDescent="0.2">
      <c r="A3276" s="40" t="s">
        <v>266</v>
      </c>
      <c r="B3276" s="28">
        <v>3812</v>
      </c>
      <c r="C3276" s="28">
        <v>5686968</v>
      </c>
      <c r="D3276" s="28"/>
      <c r="E3276" s="41">
        <v>46167</v>
      </c>
      <c r="F3276" s="47">
        <v>0.94259259259259254</v>
      </c>
      <c r="G3276" s="44">
        <v>6.3</v>
      </c>
      <c r="H3276" s="43" t="s">
        <v>229</v>
      </c>
      <c r="I3276" s="40" t="s">
        <v>1300</v>
      </c>
    </row>
    <row r="3277" spans="1:9" x14ac:dyDescent="0.2">
      <c r="A3277" s="40" t="s">
        <v>266</v>
      </c>
      <c r="B3277" s="28">
        <v>3812</v>
      </c>
      <c r="C3277" s="28">
        <v>5688383</v>
      </c>
      <c r="D3277" s="28"/>
      <c r="E3277" s="41">
        <v>46168</v>
      </c>
      <c r="F3277" s="47">
        <v>0.83737268518518515</v>
      </c>
      <c r="G3277" s="42">
        <v>6.3</v>
      </c>
      <c r="H3277" s="40" t="s">
        <v>230</v>
      </c>
      <c r="I3277" s="40" t="s">
        <v>1300</v>
      </c>
    </row>
    <row r="3278" spans="1:9" x14ac:dyDescent="0.2">
      <c r="A3278" s="40" t="s">
        <v>266</v>
      </c>
      <c r="B3278" s="28">
        <v>3812</v>
      </c>
      <c r="C3278" s="28">
        <v>5691859</v>
      </c>
      <c r="D3278" s="28"/>
      <c r="E3278" s="45">
        <v>46170</v>
      </c>
      <c r="F3278" s="48">
        <v>0.74280092592592595</v>
      </c>
      <c r="G3278" s="42">
        <v>6.3</v>
      </c>
      <c r="H3278" s="40" t="s">
        <v>228</v>
      </c>
      <c r="I3278" s="40" t="s">
        <v>1300</v>
      </c>
    </row>
    <row r="3279" spans="1:9" x14ac:dyDescent="0.2">
      <c r="A3279" s="40" t="s">
        <v>266</v>
      </c>
      <c r="B3279" s="28">
        <v>3812</v>
      </c>
      <c r="C3279" s="28">
        <v>5691859</v>
      </c>
      <c r="D3279" s="28"/>
      <c r="E3279" s="45">
        <v>46170</v>
      </c>
      <c r="F3279" s="48">
        <v>0.75511574074074073</v>
      </c>
      <c r="G3279" s="42">
        <v>6.3</v>
      </c>
      <c r="H3279" s="40" t="s">
        <v>232</v>
      </c>
      <c r="I3279" s="40" t="s">
        <v>1300</v>
      </c>
    </row>
    <row r="3280" spans="1:9" x14ac:dyDescent="0.2">
      <c r="A3280" s="40" t="s">
        <v>266</v>
      </c>
      <c r="B3280" s="28">
        <v>3812</v>
      </c>
      <c r="C3280" s="28" t="s">
        <v>1023</v>
      </c>
      <c r="D3280" s="28"/>
      <c r="E3280" s="41">
        <v>46170</v>
      </c>
      <c r="F3280" s="47">
        <v>0.98538194444444449</v>
      </c>
      <c r="G3280" s="42">
        <v>6.3</v>
      </c>
      <c r="H3280" s="40" t="s">
        <v>228</v>
      </c>
      <c r="I3280" s="40" t="s">
        <v>1300</v>
      </c>
    </row>
    <row r="3281" spans="1:9" x14ac:dyDescent="0.2">
      <c r="A3281" s="40" t="s">
        <v>266</v>
      </c>
      <c r="B3281" s="28">
        <v>3812</v>
      </c>
      <c r="C3281" s="28" t="s">
        <v>1023</v>
      </c>
      <c r="D3281" s="28"/>
      <c r="E3281" s="41">
        <v>46170</v>
      </c>
      <c r="F3281" s="47">
        <v>0.99254629629629632</v>
      </c>
      <c r="G3281" s="44">
        <v>6.3</v>
      </c>
      <c r="H3281" s="43" t="s">
        <v>229</v>
      </c>
      <c r="I3281" s="40" t="s">
        <v>1300</v>
      </c>
    </row>
    <row r="3282" spans="1:9" x14ac:dyDescent="0.2">
      <c r="A3282" s="40" t="s">
        <v>266</v>
      </c>
      <c r="B3282" s="28">
        <v>3812</v>
      </c>
      <c r="C3282" s="28" t="s">
        <v>35</v>
      </c>
      <c r="D3282" s="28" t="s">
        <v>38</v>
      </c>
      <c r="E3282" s="41">
        <v>46171</v>
      </c>
      <c r="F3282" s="47">
        <v>0.47310185185185183</v>
      </c>
      <c r="G3282" s="44">
        <v>6.3</v>
      </c>
      <c r="H3282" s="43" t="s">
        <v>227</v>
      </c>
      <c r="I3282" s="40" t="s">
        <v>1300</v>
      </c>
    </row>
    <row r="3283" spans="1:9" x14ac:dyDescent="0.2">
      <c r="A3283" s="40" t="s">
        <v>266</v>
      </c>
      <c r="B3283" s="28">
        <v>3812</v>
      </c>
      <c r="C3283" s="28" t="s">
        <v>1024</v>
      </c>
      <c r="D3283" s="28"/>
      <c r="E3283" s="41">
        <v>46173</v>
      </c>
      <c r="F3283" s="47">
        <v>0.32346064814814812</v>
      </c>
      <c r="G3283" s="44">
        <v>6.3</v>
      </c>
      <c r="H3283" s="43" t="s">
        <v>228</v>
      </c>
      <c r="I3283" s="40" t="s">
        <v>1300</v>
      </c>
    </row>
    <row r="3284" spans="1:9" x14ac:dyDescent="0.2">
      <c r="A3284" s="40" t="s">
        <v>266</v>
      </c>
      <c r="B3284" s="28">
        <v>3812</v>
      </c>
      <c r="C3284" s="28" t="s">
        <v>1024</v>
      </c>
      <c r="D3284" s="28"/>
      <c r="E3284" s="45">
        <v>46173</v>
      </c>
      <c r="F3284" s="48">
        <v>0.33003472222222224</v>
      </c>
      <c r="G3284" s="44">
        <v>6.3</v>
      </c>
      <c r="H3284" s="43" t="s">
        <v>229</v>
      </c>
      <c r="I3284" s="40" t="s">
        <v>1300</v>
      </c>
    </row>
    <row r="3285" spans="1:9" x14ac:dyDescent="0.2">
      <c r="A3285" s="40" t="s">
        <v>266</v>
      </c>
      <c r="B3285" s="28">
        <v>3812</v>
      </c>
      <c r="C3285" s="28">
        <v>5695220</v>
      </c>
      <c r="D3285" s="28" t="s">
        <v>37</v>
      </c>
      <c r="E3285" s="41">
        <v>46173</v>
      </c>
      <c r="F3285" s="47">
        <v>0.38343749999999999</v>
      </c>
      <c r="G3285" s="44">
        <v>6.3</v>
      </c>
      <c r="H3285" s="43" t="s">
        <v>230</v>
      </c>
      <c r="I3285" s="40" t="s">
        <v>1300</v>
      </c>
    </row>
    <row r="3286" spans="1:9" x14ac:dyDescent="0.2">
      <c r="A3286" s="40" t="s">
        <v>266</v>
      </c>
      <c r="B3286" s="28">
        <v>3812</v>
      </c>
      <c r="C3286" s="28">
        <v>5695220</v>
      </c>
      <c r="D3286" s="28" t="s">
        <v>37</v>
      </c>
      <c r="E3286" s="41">
        <v>46173</v>
      </c>
      <c r="F3286" s="47">
        <v>0.38825231481481481</v>
      </c>
      <c r="G3286" s="44">
        <v>6.3</v>
      </c>
      <c r="H3286" s="43" t="s">
        <v>227</v>
      </c>
      <c r="I3286" s="40" t="s">
        <v>1300</v>
      </c>
    </row>
    <row r="3287" spans="1:9" x14ac:dyDescent="0.2">
      <c r="A3287" s="40" t="s">
        <v>266</v>
      </c>
      <c r="B3287" s="28">
        <v>3812</v>
      </c>
      <c r="C3287" s="28" t="s">
        <v>35</v>
      </c>
      <c r="D3287" s="28" t="s">
        <v>38</v>
      </c>
      <c r="E3287" s="45">
        <v>46173</v>
      </c>
      <c r="F3287" s="48">
        <v>0.84914351851851855</v>
      </c>
      <c r="G3287" s="44">
        <v>6.3</v>
      </c>
      <c r="H3287" s="43" t="s">
        <v>228</v>
      </c>
      <c r="I3287" s="40" t="s">
        <v>1300</v>
      </c>
    </row>
    <row r="3288" spans="1:9" x14ac:dyDescent="0.2">
      <c r="A3288" s="40" t="s">
        <v>266</v>
      </c>
      <c r="B3288" s="28">
        <v>3812</v>
      </c>
      <c r="C3288" s="28" t="s">
        <v>35</v>
      </c>
      <c r="D3288" s="28" t="s">
        <v>38</v>
      </c>
      <c r="E3288" s="41">
        <v>46173</v>
      </c>
      <c r="F3288" s="47">
        <v>0.85555555555555551</v>
      </c>
      <c r="G3288" s="44">
        <v>6.3</v>
      </c>
      <c r="H3288" s="43" t="s">
        <v>232</v>
      </c>
      <c r="I3288" s="40" t="s">
        <v>1300</v>
      </c>
    </row>
    <row r="3289" spans="1:9" x14ac:dyDescent="0.2">
      <c r="A3289" s="40" t="s">
        <v>266</v>
      </c>
      <c r="B3289" s="28">
        <v>3812</v>
      </c>
      <c r="C3289" s="28">
        <v>5696000</v>
      </c>
      <c r="D3289" s="28"/>
      <c r="E3289" s="41">
        <v>46173</v>
      </c>
      <c r="F3289" s="47">
        <v>0.89468749999999997</v>
      </c>
      <c r="G3289" s="44">
        <v>6.3</v>
      </c>
      <c r="H3289" s="43" t="s">
        <v>226</v>
      </c>
      <c r="I3289" s="40" t="s">
        <v>1300</v>
      </c>
    </row>
    <row r="3290" spans="1:9" x14ac:dyDescent="0.2">
      <c r="A3290" s="40" t="s">
        <v>266</v>
      </c>
      <c r="B3290" s="28">
        <v>3812</v>
      </c>
      <c r="C3290" s="28">
        <v>5696000</v>
      </c>
      <c r="D3290" s="28"/>
      <c r="E3290" s="41">
        <v>46173</v>
      </c>
      <c r="F3290" s="47">
        <v>0.89949074074074076</v>
      </c>
      <c r="G3290" s="44">
        <v>6.3</v>
      </c>
      <c r="H3290" s="43" t="s">
        <v>227</v>
      </c>
      <c r="I3290" s="40" t="s">
        <v>1300</v>
      </c>
    </row>
    <row r="3291" spans="1:9" x14ac:dyDescent="0.2">
      <c r="A3291" s="40" t="s">
        <v>296</v>
      </c>
      <c r="B3291" s="28">
        <v>3815</v>
      </c>
      <c r="C3291" s="28" t="s">
        <v>35</v>
      </c>
      <c r="D3291" s="28" t="s">
        <v>38</v>
      </c>
      <c r="E3291" s="41">
        <v>46167</v>
      </c>
      <c r="F3291" s="47">
        <v>7.2222222222222219E-3</v>
      </c>
      <c r="G3291" s="44">
        <v>6.3</v>
      </c>
      <c r="H3291" s="43" t="s">
        <v>226</v>
      </c>
      <c r="I3291" s="40" t="s">
        <v>1300</v>
      </c>
    </row>
    <row r="3292" spans="1:9" x14ac:dyDescent="0.2">
      <c r="A3292" s="40" t="s">
        <v>296</v>
      </c>
      <c r="B3292" s="28">
        <v>3815</v>
      </c>
      <c r="C3292" s="28" t="s">
        <v>1025</v>
      </c>
      <c r="D3292" s="28"/>
      <c r="E3292" s="41">
        <v>46170</v>
      </c>
      <c r="F3292" s="47">
        <v>8.7152777777777784E-3</v>
      </c>
      <c r="G3292" s="44">
        <v>6.3</v>
      </c>
      <c r="H3292" s="43" t="s">
        <v>228</v>
      </c>
      <c r="I3292" s="40" t="s">
        <v>1300</v>
      </c>
    </row>
    <row r="3293" spans="1:9" x14ac:dyDescent="0.2">
      <c r="A3293" s="40" t="s">
        <v>296</v>
      </c>
      <c r="B3293" s="28">
        <v>3815</v>
      </c>
      <c r="C3293" s="28" t="s">
        <v>1025</v>
      </c>
      <c r="D3293" s="28"/>
      <c r="E3293" s="41">
        <v>46170</v>
      </c>
      <c r="F3293" s="47">
        <v>1.6782407407407409E-2</v>
      </c>
      <c r="G3293" s="42">
        <v>6.3</v>
      </c>
      <c r="H3293" s="40" t="s">
        <v>229</v>
      </c>
      <c r="I3293" s="40" t="s">
        <v>1300</v>
      </c>
    </row>
    <row r="3294" spans="1:9" x14ac:dyDescent="0.2">
      <c r="A3294" s="40" t="s">
        <v>296</v>
      </c>
      <c r="B3294" s="28">
        <v>3815</v>
      </c>
      <c r="C3294" s="28" t="s">
        <v>35</v>
      </c>
      <c r="D3294" s="28" t="s">
        <v>38</v>
      </c>
      <c r="E3294" s="41">
        <v>46170</v>
      </c>
      <c r="F3294" s="47">
        <v>2.5000000000000001E-2</v>
      </c>
      <c r="G3294" s="42">
        <v>6.3</v>
      </c>
      <c r="H3294" s="40" t="s">
        <v>230</v>
      </c>
      <c r="I3294" s="40" t="s">
        <v>1300</v>
      </c>
    </row>
    <row r="3295" spans="1:9" x14ac:dyDescent="0.2">
      <c r="A3295" s="40" t="s">
        <v>296</v>
      </c>
      <c r="B3295" s="28">
        <v>3815</v>
      </c>
      <c r="C3295" s="28">
        <v>5691663</v>
      </c>
      <c r="D3295" s="28"/>
      <c r="E3295" s="41">
        <v>46170</v>
      </c>
      <c r="F3295" s="47">
        <v>0.63571759259259264</v>
      </c>
      <c r="G3295" s="42">
        <v>6.3</v>
      </c>
      <c r="H3295" s="40" t="s">
        <v>228</v>
      </c>
      <c r="I3295" s="40" t="s">
        <v>1300</v>
      </c>
    </row>
    <row r="3296" spans="1:9" x14ac:dyDescent="0.2">
      <c r="A3296" s="40" t="s">
        <v>296</v>
      </c>
      <c r="B3296" s="28">
        <v>3815</v>
      </c>
      <c r="C3296" s="28">
        <v>5691663</v>
      </c>
      <c r="D3296" s="28"/>
      <c r="E3296" s="41">
        <v>46170</v>
      </c>
      <c r="F3296" s="47">
        <v>0.65888888888888886</v>
      </c>
      <c r="G3296" s="42">
        <v>6.3</v>
      </c>
      <c r="H3296" s="40" t="s">
        <v>229</v>
      </c>
      <c r="I3296" s="40" t="s">
        <v>1300</v>
      </c>
    </row>
    <row r="3297" spans="1:9" x14ac:dyDescent="0.2">
      <c r="A3297" s="40" t="s">
        <v>296</v>
      </c>
      <c r="B3297" s="28">
        <v>3815</v>
      </c>
      <c r="C3297" s="28" t="s">
        <v>35</v>
      </c>
      <c r="D3297" s="28" t="s">
        <v>38</v>
      </c>
      <c r="E3297" s="41">
        <v>46170</v>
      </c>
      <c r="F3297" s="47">
        <v>0.6708912037037037</v>
      </c>
      <c r="G3297" s="42">
        <v>6.3</v>
      </c>
      <c r="H3297" s="40" t="s">
        <v>226</v>
      </c>
      <c r="I3297" s="40" t="s">
        <v>1300</v>
      </c>
    </row>
    <row r="3298" spans="1:9" x14ac:dyDescent="0.2">
      <c r="A3298" s="40" t="s">
        <v>296</v>
      </c>
      <c r="B3298" s="28">
        <v>3815</v>
      </c>
      <c r="C3298" s="28">
        <v>5692441</v>
      </c>
      <c r="D3298" s="28"/>
      <c r="E3298" s="41">
        <v>46170</v>
      </c>
      <c r="F3298" s="47">
        <v>0.97728009259259263</v>
      </c>
      <c r="G3298" s="42">
        <v>6.3</v>
      </c>
      <c r="H3298" s="40" t="s">
        <v>228</v>
      </c>
      <c r="I3298" s="40" t="s">
        <v>1300</v>
      </c>
    </row>
    <row r="3299" spans="1:9" x14ac:dyDescent="0.2">
      <c r="A3299" s="40" t="s">
        <v>296</v>
      </c>
      <c r="B3299" s="28">
        <v>3815</v>
      </c>
      <c r="C3299" s="28">
        <v>5692441</v>
      </c>
      <c r="D3299" s="28"/>
      <c r="E3299" s="41">
        <v>46170</v>
      </c>
      <c r="F3299" s="47">
        <v>0.98405092592592591</v>
      </c>
      <c r="G3299" s="42">
        <v>6.3</v>
      </c>
      <c r="H3299" s="40" t="s">
        <v>229</v>
      </c>
      <c r="I3299" s="40" t="s">
        <v>1300</v>
      </c>
    </row>
    <row r="3300" spans="1:9" x14ac:dyDescent="0.2">
      <c r="A3300" s="40" t="s">
        <v>296</v>
      </c>
      <c r="B3300" s="28">
        <v>3815</v>
      </c>
      <c r="C3300" s="28" t="s">
        <v>35</v>
      </c>
      <c r="D3300" s="28" t="s">
        <v>38</v>
      </c>
      <c r="E3300" s="45">
        <v>46170</v>
      </c>
      <c r="F3300" s="48">
        <v>0.99951388888888892</v>
      </c>
      <c r="G3300" s="42">
        <v>6.3</v>
      </c>
      <c r="H3300" s="40" t="s">
        <v>230</v>
      </c>
      <c r="I3300" s="40" t="s">
        <v>1300</v>
      </c>
    </row>
    <row r="3301" spans="1:9" x14ac:dyDescent="0.2">
      <c r="A3301" s="40" t="s">
        <v>296</v>
      </c>
      <c r="B3301" s="28">
        <v>3815</v>
      </c>
      <c r="C3301" s="28">
        <v>5694201</v>
      </c>
      <c r="D3301" s="28"/>
      <c r="E3301" s="41">
        <v>46171</v>
      </c>
      <c r="F3301" s="47">
        <v>0.94939814814814816</v>
      </c>
      <c r="G3301" s="44">
        <v>6.3</v>
      </c>
      <c r="H3301" s="43" t="s">
        <v>228</v>
      </c>
      <c r="I3301" s="40" t="s">
        <v>1300</v>
      </c>
    </row>
    <row r="3302" spans="1:9" x14ac:dyDescent="0.2">
      <c r="A3302" s="40" t="s">
        <v>296</v>
      </c>
      <c r="B3302" s="28">
        <v>3815</v>
      </c>
      <c r="C3302" s="28">
        <v>5694201</v>
      </c>
      <c r="D3302" s="28"/>
      <c r="E3302" s="41">
        <v>46171</v>
      </c>
      <c r="F3302" s="47">
        <v>0.95625000000000004</v>
      </c>
      <c r="G3302" s="44">
        <v>6.3</v>
      </c>
      <c r="H3302" s="43" t="s">
        <v>229</v>
      </c>
      <c r="I3302" s="40" t="s">
        <v>1300</v>
      </c>
    </row>
    <row r="3303" spans="1:9" x14ac:dyDescent="0.2">
      <c r="A3303" s="40" t="s">
        <v>296</v>
      </c>
      <c r="B3303" s="28">
        <v>3815</v>
      </c>
      <c r="C3303" s="28" t="s">
        <v>35</v>
      </c>
      <c r="D3303" s="28" t="s">
        <v>38</v>
      </c>
      <c r="E3303" s="45">
        <v>46171</v>
      </c>
      <c r="F3303" s="48">
        <v>0.97312500000000002</v>
      </c>
      <c r="G3303" s="44">
        <v>6.3</v>
      </c>
      <c r="H3303" s="43" t="s">
        <v>230</v>
      </c>
      <c r="I3303" s="40" t="s">
        <v>1300</v>
      </c>
    </row>
    <row r="3304" spans="1:9" x14ac:dyDescent="0.2">
      <c r="A3304" s="40" t="s">
        <v>296</v>
      </c>
      <c r="B3304" s="28">
        <v>3815</v>
      </c>
      <c r="C3304" s="28" t="s">
        <v>1026</v>
      </c>
      <c r="D3304" s="28"/>
      <c r="E3304" s="41">
        <v>46172</v>
      </c>
      <c r="F3304" s="47">
        <v>0.89430555555555558</v>
      </c>
      <c r="G3304" s="44">
        <v>6.3</v>
      </c>
      <c r="H3304" s="43" t="s">
        <v>228</v>
      </c>
      <c r="I3304" s="40" t="s">
        <v>1300</v>
      </c>
    </row>
    <row r="3305" spans="1:9" x14ac:dyDescent="0.2">
      <c r="A3305" s="40" t="s">
        <v>296</v>
      </c>
      <c r="B3305" s="28">
        <v>3815</v>
      </c>
      <c r="C3305" s="28" t="s">
        <v>1026</v>
      </c>
      <c r="D3305" s="28"/>
      <c r="E3305" s="45">
        <v>46172</v>
      </c>
      <c r="F3305" s="48">
        <v>0.90143518518518517</v>
      </c>
      <c r="G3305" s="44">
        <v>6.3</v>
      </c>
      <c r="H3305" s="43" t="s">
        <v>229</v>
      </c>
      <c r="I3305" s="40" t="s">
        <v>1300</v>
      </c>
    </row>
    <row r="3306" spans="1:9" x14ac:dyDescent="0.2">
      <c r="A3306" s="40" t="s">
        <v>296</v>
      </c>
      <c r="B3306" s="28">
        <v>3815</v>
      </c>
      <c r="C3306" s="28" t="s">
        <v>35</v>
      </c>
      <c r="D3306" s="28" t="s">
        <v>38</v>
      </c>
      <c r="E3306" s="41">
        <v>46172</v>
      </c>
      <c r="F3306" s="47">
        <v>0.91347222222222224</v>
      </c>
      <c r="G3306" s="44">
        <v>6.3</v>
      </c>
      <c r="H3306" s="43" t="s">
        <v>231</v>
      </c>
      <c r="I3306" s="40" t="s">
        <v>1300</v>
      </c>
    </row>
    <row r="3307" spans="1:9" x14ac:dyDescent="0.2">
      <c r="A3307" s="40" t="s">
        <v>306</v>
      </c>
      <c r="B3307" s="28">
        <v>3816</v>
      </c>
      <c r="C3307" s="28">
        <v>5685336</v>
      </c>
      <c r="D3307" s="28"/>
      <c r="E3307" s="45">
        <v>46167</v>
      </c>
      <c r="F3307" s="48">
        <v>3.5671296296296298E-2</v>
      </c>
      <c r="G3307" s="44">
        <v>6.3</v>
      </c>
      <c r="H3307" s="43" t="s">
        <v>228</v>
      </c>
      <c r="I3307" s="40" t="s">
        <v>1300</v>
      </c>
    </row>
    <row r="3308" spans="1:9" x14ac:dyDescent="0.2">
      <c r="A3308" s="40" t="s">
        <v>306</v>
      </c>
      <c r="B3308" s="28">
        <v>3816</v>
      </c>
      <c r="C3308" s="28">
        <v>5685336</v>
      </c>
      <c r="D3308" s="28"/>
      <c r="E3308" s="41">
        <v>46167</v>
      </c>
      <c r="F3308" s="47">
        <v>4.0416666666666663E-2</v>
      </c>
      <c r="G3308" s="44">
        <v>6.3</v>
      </c>
      <c r="H3308" s="43" t="s">
        <v>233</v>
      </c>
      <c r="I3308" s="40" t="s">
        <v>1300</v>
      </c>
    </row>
    <row r="3309" spans="1:9" x14ac:dyDescent="0.2">
      <c r="A3309" s="40" t="s">
        <v>306</v>
      </c>
      <c r="B3309" s="28">
        <v>3816</v>
      </c>
      <c r="C3309" s="28" t="s">
        <v>35</v>
      </c>
      <c r="D3309" s="28" t="s">
        <v>38</v>
      </c>
      <c r="E3309" s="45">
        <v>46169</v>
      </c>
      <c r="F3309" s="48">
        <v>0.83459490740740738</v>
      </c>
      <c r="G3309" s="44">
        <v>6.3</v>
      </c>
      <c r="H3309" s="43" t="s">
        <v>230</v>
      </c>
      <c r="I3309" s="40" t="s">
        <v>1300</v>
      </c>
    </row>
    <row r="3310" spans="1:9" x14ac:dyDescent="0.2">
      <c r="A3310" s="40" t="s">
        <v>306</v>
      </c>
      <c r="B3310" s="28">
        <v>3816</v>
      </c>
      <c r="C3310" s="28" t="s">
        <v>35</v>
      </c>
      <c r="D3310" s="28" t="s">
        <v>38</v>
      </c>
      <c r="E3310" s="41">
        <v>46169</v>
      </c>
      <c r="F3310" s="47">
        <v>0.84949074074074071</v>
      </c>
      <c r="G3310" s="44">
        <v>6.3</v>
      </c>
      <c r="H3310" s="43" t="s">
        <v>227</v>
      </c>
      <c r="I3310" s="40" t="s">
        <v>1300</v>
      </c>
    </row>
    <row r="3311" spans="1:9" x14ac:dyDescent="0.2">
      <c r="A3311" s="40" t="s">
        <v>306</v>
      </c>
      <c r="B3311" s="28">
        <v>3816</v>
      </c>
      <c r="C3311" s="28">
        <v>5690328</v>
      </c>
      <c r="D3311" s="28"/>
      <c r="E3311" s="41">
        <v>46169</v>
      </c>
      <c r="F3311" s="47">
        <v>0.89659722222222227</v>
      </c>
      <c r="G3311" s="44">
        <v>6.3</v>
      </c>
      <c r="H3311" s="43" t="s">
        <v>228</v>
      </c>
      <c r="I3311" s="40" t="s">
        <v>1300</v>
      </c>
    </row>
    <row r="3312" spans="1:9" x14ac:dyDescent="0.2">
      <c r="A3312" s="40" t="s">
        <v>306</v>
      </c>
      <c r="B3312" s="28">
        <v>3816</v>
      </c>
      <c r="C3312" s="28">
        <v>5690328</v>
      </c>
      <c r="D3312" s="28"/>
      <c r="E3312" s="41">
        <v>46169</v>
      </c>
      <c r="F3312" s="47">
        <v>0.9032175925925926</v>
      </c>
      <c r="G3312" s="44">
        <v>6.3</v>
      </c>
      <c r="H3312" s="43" t="s">
        <v>229</v>
      </c>
      <c r="I3312" s="40" t="s">
        <v>1300</v>
      </c>
    </row>
    <row r="3313" spans="1:9" x14ac:dyDescent="0.2">
      <c r="A3313" s="40" t="s">
        <v>306</v>
      </c>
      <c r="B3313" s="28">
        <v>3816</v>
      </c>
      <c r="C3313" s="28" t="s">
        <v>35</v>
      </c>
      <c r="D3313" s="28" t="s">
        <v>38</v>
      </c>
      <c r="E3313" s="41">
        <v>46169</v>
      </c>
      <c r="F3313" s="47">
        <v>0.921875</v>
      </c>
      <c r="G3313" s="44">
        <v>6.3</v>
      </c>
      <c r="H3313" s="43" t="s">
        <v>230</v>
      </c>
      <c r="I3313" s="40" t="s">
        <v>1300</v>
      </c>
    </row>
    <row r="3314" spans="1:9" x14ac:dyDescent="0.2">
      <c r="A3314" s="40" t="s">
        <v>306</v>
      </c>
      <c r="B3314" s="28">
        <v>3816</v>
      </c>
      <c r="C3314" s="28" t="s">
        <v>35</v>
      </c>
      <c r="D3314" s="28" t="s">
        <v>38</v>
      </c>
      <c r="E3314" s="41">
        <v>46169</v>
      </c>
      <c r="F3314" s="47">
        <v>0.92774305555555558</v>
      </c>
      <c r="G3314" s="44">
        <v>6.3</v>
      </c>
      <c r="H3314" s="43" t="s">
        <v>227</v>
      </c>
      <c r="I3314" s="40" t="s">
        <v>1300</v>
      </c>
    </row>
    <row r="3315" spans="1:9" x14ac:dyDescent="0.2">
      <c r="A3315" s="40" t="s">
        <v>306</v>
      </c>
      <c r="B3315" s="28">
        <v>3816</v>
      </c>
      <c r="C3315" s="28">
        <v>5682092</v>
      </c>
      <c r="D3315" s="28"/>
      <c r="E3315" s="41">
        <v>46169</v>
      </c>
      <c r="F3315" s="47">
        <v>0.9909027777777778</v>
      </c>
      <c r="G3315" s="44">
        <v>6.3</v>
      </c>
      <c r="H3315" s="43" t="s">
        <v>228</v>
      </c>
      <c r="I3315" s="40" t="s">
        <v>1300</v>
      </c>
    </row>
    <row r="3316" spans="1:9" x14ac:dyDescent="0.2">
      <c r="A3316" s="40" t="s">
        <v>306</v>
      </c>
      <c r="B3316" s="28">
        <v>3816</v>
      </c>
      <c r="C3316" s="28">
        <v>5682092</v>
      </c>
      <c r="D3316" s="28"/>
      <c r="E3316" s="41">
        <v>46169</v>
      </c>
      <c r="F3316" s="47">
        <v>0.99769675925925927</v>
      </c>
      <c r="G3316" s="42">
        <v>6.3</v>
      </c>
      <c r="H3316" s="40" t="s">
        <v>229</v>
      </c>
      <c r="I3316" s="40" t="s">
        <v>1300</v>
      </c>
    </row>
    <row r="3317" spans="1:9" x14ac:dyDescent="0.2">
      <c r="A3317" s="40" t="s">
        <v>306</v>
      </c>
      <c r="B3317" s="28">
        <v>3816</v>
      </c>
      <c r="C3317" s="28" t="s">
        <v>35</v>
      </c>
      <c r="D3317" s="28" t="s">
        <v>38</v>
      </c>
      <c r="E3317" s="41">
        <v>46172</v>
      </c>
      <c r="F3317" s="47">
        <v>1.7824074074074075E-3</v>
      </c>
      <c r="G3317" s="42">
        <v>6.3</v>
      </c>
      <c r="H3317" s="40" t="s">
        <v>230</v>
      </c>
      <c r="I3317" s="40" t="s">
        <v>1300</v>
      </c>
    </row>
    <row r="3318" spans="1:9" x14ac:dyDescent="0.2">
      <c r="A3318" s="40" t="s">
        <v>306</v>
      </c>
      <c r="B3318" s="28">
        <v>3816</v>
      </c>
      <c r="C3318" s="28" t="s">
        <v>35</v>
      </c>
      <c r="D3318" s="28" t="s">
        <v>38</v>
      </c>
      <c r="E3318" s="41">
        <v>46172</v>
      </c>
      <c r="F3318" s="47">
        <v>7.083333333333333E-3</v>
      </c>
      <c r="G3318" s="44">
        <v>6.3</v>
      </c>
      <c r="H3318" s="43" t="s">
        <v>227</v>
      </c>
      <c r="I3318" s="40" t="s">
        <v>1300</v>
      </c>
    </row>
    <row r="3319" spans="1:9" x14ac:dyDescent="0.2">
      <c r="A3319" s="40" t="s">
        <v>306</v>
      </c>
      <c r="B3319" s="28">
        <v>3816</v>
      </c>
      <c r="C3319" s="28">
        <v>5696452</v>
      </c>
      <c r="D3319" s="28"/>
      <c r="E3319" s="41">
        <v>46173</v>
      </c>
      <c r="F3319" s="47">
        <v>0.92791666666666661</v>
      </c>
      <c r="G3319" s="44">
        <v>6.3</v>
      </c>
      <c r="H3319" s="43" t="s">
        <v>228</v>
      </c>
      <c r="I3319" s="40" t="s">
        <v>1300</v>
      </c>
    </row>
    <row r="3320" spans="1:9" x14ac:dyDescent="0.2">
      <c r="A3320" s="40" t="s">
        <v>314</v>
      </c>
      <c r="B3320" s="28">
        <v>3818</v>
      </c>
      <c r="C3320" s="28">
        <v>5687764</v>
      </c>
      <c r="D3320" s="28"/>
      <c r="E3320" s="41">
        <v>46168</v>
      </c>
      <c r="F3320" s="47">
        <v>0.54128472222222224</v>
      </c>
      <c r="G3320" s="44">
        <v>6.3</v>
      </c>
      <c r="H3320" s="43" t="s">
        <v>228</v>
      </c>
      <c r="I3320" s="40" t="s">
        <v>1300</v>
      </c>
    </row>
    <row r="3321" spans="1:9" x14ac:dyDescent="0.2">
      <c r="A3321" s="40" t="s">
        <v>314</v>
      </c>
      <c r="B3321" s="28">
        <v>3818</v>
      </c>
      <c r="C3321" s="28">
        <v>5687764</v>
      </c>
      <c r="D3321" s="28"/>
      <c r="E3321" s="41">
        <v>46168</v>
      </c>
      <c r="F3321" s="47">
        <v>0.55125000000000002</v>
      </c>
      <c r="G3321" s="44">
        <v>6.3</v>
      </c>
      <c r="H3321" s="43" t="s">
        <v>229</v>
      </c>
      <c r="I3321" s="40" t="s">
        <v>1300</v>
      </c>
    </row>
    <row r="3322" spans="1:9" x14ac:dyDescent="0.2">
      <c r="A3322" s="40" t="s">
        <v>314</v>
      </c>
      <c r="B3322" s="28">
        <v>3818</v>
      </c>
      <c r="C3322" s="28">
        <v>5687827</v>
      </c>
      <c r="D3322" s="28"/>
      <c r="E3322" s="45">
        <v>46168</v>
      </c>
      <c r="F3322" s="48">
        <v>0.79178240740740746</v>
      </c>
      <c r="G3322" s="44">
        <v>6.3</v>
      </c>
      <c r="H3322" s="43" t="s">
        <v>230</v>
      </c>
      <c r="I3322" s="40" t="s">
        <v>1300</v>
      </c>
    </row>
    <row r="3323" spans="1:9" x14ac:dyDescent="0.2">
      <c r="A3323" s="40" t="s">
        <v>314</v>
      </c>
      <c r="B3323" s="28">
        <v>3818</v>
      </c>
      <c r="C3323" s="28" t="s">
        <v>1027</v>
      </c>
      <c r="D3323" s="28"/>
      <c r="E3323" s="41">
        <v>46169</v>
      </c>
      <c r="F3323" s="47">
        <v>0.58687500000000004</v>
      </c>
      <c r="G3323" s="44">
        <v>6.3</v>
      </c>
      <c r="H3323" s="43" t="s">
        <v>228</v>
      </c>
      <c r="I3323" s="40" t="s">
        <v>1300</v>
      </c>
    </row>
    <row r="3324" spans="1:9" x14ac:dyDescent="0.2">
      <c r="A3324" s="40" t="s">
        <v>314</v>
      </c>
      <c r="B3324" s="28">
        <v>3818</v>
      </c>
      <c r="C3324" s="28" t="s">
        <v>1027</v>
      </c>
      <c r="D3324" s="28"/>
      <c r="E3324" s="45">
        <v>46169</v>
      </c>
      <c r="F3324" s="48">
        <v>0.59964120370370366</v>
      </c>
      <c r="G3324" s="44">
        <v>6.3</v>
      </c>
      <c r="H3324" s="43" t="s">
        <v>229</v>
      </c>
      <c r="I3324" s="40" t="s">
        <v>1300</v>
      </c>
    </row>
    <row r="3325" spans="1:9" x14ac:dyDescent="0.2">
      <c r="A3325" s="40" t="s">
        <v>314</v>
      </c>
      <c r="B3325" s="28">
        <v>3818</v>
      </c>
      <c r="C3325" s="28" t="s">
        <v>35</v>
      </c>
      <c r="D3325" s="28" t="s">
        <v>38</v>
      </c>
      <c r="E3325" s="41">
        <v>46169</v>
      </c>
      <c r="F3325" s="47">
        <v>0.63013888888888892</v>
      </c>
      <c r="G3325" s="44">
        <v>6.3</v>
      </c>
      <c r="H3325" s="43" t="s">
        <v>230</v>
      </c>
      <c r="I3325" s="40" t="s">
        <v>1300</v>
      </c>
    </row>
    <row r="3326" spans="1:9" x14ac:dyDescent="0.2">
      <c r="A3326" s="40" t="s">
        <v>314</v>
      </c>
      <c r="B3326" s="28">
        <v>3818</v>
      </c>
      <c r="C3326" s="28" t="s">
        <v>1028</v>
      </c>
      <c r="D3326" s="28"/>
      <c r="E3326" s="45">
        <v>46170</v>
      </c>
      <c r="F3326" s="48">
        <v>0.98021990740740739</v>
      </c>
      <c r="G3326" s="44">
        <v>6.3</v>
      </c>
      <c r="H3326" s="43" t="s">
        <v>228</v>
      </c>
      <c r="I3326" s="40" t="s">
        <v>1300</v>
      </c>
    </row>
    <row r="3327" spans="1:9" x14ac:dyDescent="0.2">
      <c r="A3327" s="40" t="s">
        <v>314</v>
      </c>
      <c r="B3327" s="28">
        <v>3818</v>
      </c>
      <c r="C3327" s="28" t="s">
        <v>1028</v>
      </c>
      <c r="D3327" s="28"/>
      <c r="E3327" s="41">
        <v>46170</v>
      </c>
      <c r="F3327" s="47">
        <v>0.98988425925925927</v>
      </c>
      <c r="G3327" s="44">
        <v>6.3</v>
      </c>
      <c r="H3327" s="43" t="s">
        <v>229</v>
      </c>
      <c r="I3327" s="40" t="s">
        <v>1300</v>
      </c>
    </row>
    <row r="3328" spans="1:9" x14ac:dyDescent="0.2">
      <c r="A3328" s="40" t="s">
        <v>314</v>
      </c>
      <c r="B3328" s="28">
        <v>3818</v>
      </c>
      <c r="C3328" s="28" t="s">
        <v>35</v>
      </c>
      <c r="D3328" s="28" t="s">
        <v>38</v>
      </c>
      <c r="E3328" s="41">
        <v>46172</v>
      </c>
      <c r="F3328" s="47">
        <v>0.92025462962962967</v>
      </c>
      <c r="G3328" s="44">
        <v>6.3</v>
      </c>
      <c r="H3328" s="43" t="s">
        <v>229</v>
      </c>
      <c r="I3328" s="40" t="s">
        <v>1300</v>
      </c>
    </row>
    <row r="3329" spans="1:9" x14ac:dyDescent="0.2">
      <c r="A3329" s="40" t="s">
        <v>314</v>
      </c>
      <c r="B3329" s="28">
        <v>3818</v>
      </c>
      <c r="C3329" s="28" t="s">
        <v>35</v>
      </c>
      <c r="D3329" s="28" t="s">
        <v>38</v>
      </c>
      <c r="E3329" s="45">
        <v>46172</v>
      </c>
      <c r="F3329" s="48">
        <v>0.98454861111111114</v>
      </c>
      <c r="G3329" s="44">
        <v>6.3</v>
      </c>
      <c r="H3329" s="43" t="s">
        <v>227</v>
      </c>
      <c r="I3329" s="40" t="s">
        <v>1300</v>
      </c>
    </row>
    <row r="3330" spans="1:9" x14ac:dyDescent="0.2">
      <c r="A3330" s="40" t="s">
        <v>318</v>
      </c>
      <c r="B3330" s="28">
        <v>3829</v>
      </c>
      <c r="C3330" s="28" t="s">
        <v>1029</v>
      </c>
      <c r="D3330" s="28"/>
      <c r="E3330" s="41">
        <v>46168</v>
      </c>
      <c r="F3330" s="47">
        <v>0.88267361111111109</v>
      </c>
      <c r="G3330" s="44">
        <v>6.3</v>
      </c>
      <c r="H3330" s="43" t="s">
        <v>228</v>
      </c>
      <c r="I3330" s="40" t="s">
        <v>1300</v>
      </c>
    </row>
    <row r="3331" spans="1:9" x14ac:dyDescent="0.2">
      <c r="A3331" s="40" t="s">
        <v>318</v>
      </c>
      <c r="B3331" s="28">
        <v>3829</v>
      </c>
      <c r="C3331" s="28" t="s">
        <v>1029</v>
      </c>
      <c r="D3331" s="28"/>
      <c r="E3331" s="45">
        <v>46168</v>
      </c>
      <c r="F3331" s="48">
        <v>0.88942129629629629</v>
      </c>
      <c r="G3331" s="44">
        <v>6.3</v>
      </c>
      <c r="H3331" s="43" t="s">
        <v>229</v>
      </c>
      <c r="I3331" s="40" t="s">
        <v>1300</v>
      </c>
    </row>
    <row r="3332" spans="1:9" x14ac:dyDescent="0.2">
      <c r="A3332" s="40" t="s">
        <v>318</v>
      </c>
      <c r="B3332" s="28">
        <v>3829</v>
      </c>
      <c r="C3332" s="28" t="s">
        <v>1030</v>
      </c>
      <c r="D3332" s="28"/>
      <c r="E3332" s="41">
        <v>46169</v>
      </c>
      <c r="F3332" s="47">
        <v>0.86993055555555554</v>
      </c>
      <c r="G3332" s="44">
        <v>6.3</v>
      </c>
      <c r="H3332" s="43" t="s">
        <v>230</v>
      </c>
      <c r="I3332" s="40" t="s">
        <v>1300</v>
      </c>
    </row>
    <row r="3333" spans="1:9" x14ac:dyDescent="0.2">
      <c r="A3333" s="40" t="s">
        <v>318</v>
      </c>
      <c r="B3333" s="28">
        <v>3829</v>
      </c>
      <c r="C3333" s="28" t="s">
        <v>1030</v>
      </c>
      <c r="D3333" s="28"/>
      <c r="E3333" s="41">
        <v>46169</v>
      </c>
      <c r="F3333" s="47">
        <v>0.87509259259259264</v>
      </c>
      <c r="G3333" s="44">
        <v>6.3</v>
      </c>
      <c r="H3333" s="43" t="s">
        <v>227</v>
      </c>
      <c r="I3333" s="40" t="s">
        <v>1300</v>
      </c>
    </row>
    <row r="3334" spans="1:9" x14ac:dyDescent="0.2">
      <c r="A3334" s="40" t="s">
        <v>318</v>
      </c>
      <c r="B3334" s="28">
        <v>3829</v>
      </c>
      <c r="C3334" s="28" t="s">
        <v>1031</v>
      </c>
      <c r="D3334" s="28"/>
      <c r="E3334" s="41">
        <v>46169</v>
      </c>
      <c r="F3334" s="47">
        <v>0.93737268518518524</v>
      </c>
      <c r="G3334" s="44">
        <v>6.3</v>
      </c>
      <c r="H3334" s="43" t="s">
        <v>228</v>
      </c>
      <c r="I3334" s="40" t="s">
        <v>1300</v>
      </c>
    </row>
    <row r="3335" spans="1:9" x14ac:dyDescent="0.2">
      <c r="A3335" s="40" t="s">
        <v>318</v>
      </c>
      <c r="B3335" s="28">
        <v>3829</v>
      </c>
      <c r="C3335" s="28" t="s">
        <v>1031</v>
      </c>
      <c r="D3335" s="28"/>
      <c r="E3335" s="41">
        <v>46169</v>
      </c>
      <c r="F3335" s="47">
        <v>0.94423611111111116</v>
      </c>
      <c r="G3335" s="44">
        <v>6.3</v>
      </c>
      <c r="H3335" s="43" t="s">
        <v>229</v>
      </c>
      <c r="I3335" s="40" t="s">
        <v>1300</v>
      </c>
    </row>
    <row r="3336" spans="1:9" x14ac:dyDescent="0.2">
      <c r="A3336" s="40" t="s">
        <v>302</v>
      </c>
      <c r="B3336" s="28">
        <v>3833</v>
      </c>
      <c r="C3336" s="28">
        <v>5686271</v>
      </c>
      <c r="D3336" s="28"/>
      <c r="E3336" s="41">
        <v>46167</v>
      </c>
      <c r="F3336" s="47">
        <v>0.81744212962962959</v>
      </c>
      <c r="G3336" s="44">
        <v>6.3</v>
      </c>
      <c r="H3336" s="43" t="s">
        <v>228</v>
      </c>
      <c r="I3336" s="40" t="s">
        <v>1300</v>
      </c>
    </row>
    <row r="3337" spans="1:9" x14ac:dyDescent="0.2">
      <c r="A3337" s="40" t="s">
        <v>302</v>
      </c>
      <c r="B3337" s="28">
        <v>3833</v>
      </c>
      <c r="C3337" s="28">
        <v>5686271</v>
      </c>
      <c r="D3337" s="28"/>
      <c r="E3337" s="45">
        <v>46167</v>
      </c>
      <c r="F3337" s="48">
        <v>0.82756944444444447</v>
      </c>
      <c r="G3337" s="44">
        <v>6.3</v>
      </c>
      <c r="H3337" s="43" t="s">
        <v>229</v>
      </c>
      <c r="I3337" s="40" t="s">
        <v>1300</v>
      </c>
    </row>
    <row r="3338" spans="1:9" x14ac:dyDescent="0.2">
      <c r="A3338" s="40" t="s">
        <v>302</v>
      </c>
      <c r="B3338" s="28">
        <v>3833</v>
      </c>
      <c r="C3338" s="28" t="s">
        <v>1032</v>
      </c>
      <c r="D3338" s="28"/>
      <c r="E3338" s="41">
        <v>46168</v>
      </c>
      <c r="F3338" s="47">
        <v>0.50218750000000001</v>
      </c>
      <c r="G3338" s="44">
        <v>6.3</v>
      </c>
      <c r="H3338" s="43" t="s">
        <v>228</v>
      </c>
      <c r="I3338" s="40" t="s">
        <v>1300</v>
      </c>
    </row>
    <row r="3339" spans="1:9" x14ac:dyDescent="0.2">
      <c r="A3339" s="40" t="s">
        <v>302</v>
      </c>
      <c r="B3339" s="28">
        <v>3833</v>
      </c>
      <c r="C3339" s="28" t="s">
        <v>1032</v>
      </c>
      <c r="D3339" s="28"/>
      <c r="E3339" s="41">
        <v>46168</v>
      </c>
      <c r="F3339" s="47">
        <v>0.51314814814814813</v>
      </c>
      <c r="G3339" s="44">
        <v>6.3</v>
      </c>
      <c r="H3339" s="43" t="s">
        <v>229</v>
      </c>
      <c r="I3339" s="40" t="s">
        <v>1300</v>
      </c>
    </row>
    <row r="3340" spans="1:9" x14ac:dyDescent="0.2">
      <c r="A3340" s="40" t="s">
        <v>302</v>
      </c>
      <c r="B3340" s="28">
        <v>3833</v>
      </c>
      <c r="C3340" s="28">
        <v>5688754</v>
      </c>
      <c r="D3340" s="28"/>
      <c r="E3340" s="41">
        <v>46168</v>
      </c>
      <c r="F3340" s="47">
        <v>0.87663194444444448</v>
      </c>
      <c r="G3340" s="44">
        <v>6.3</v>
      </c>
      <c r="H3340" s="43" t="s">
        <v>228</v>
      </c>
      <c r="I3340" s="40" t="s">
        <v>1300</v>
      </c>
    </row>
    <row r="3341" spans="1:9" x14ac:dyDescent="0.2">
      <c r="A3341" s="40" t="s">
        <v>302</v>
      </c>
      <c r="B3341" s="28">
        <v>3833</v>
      </c>
      <c r="C3341" s="28">
        <v>5688754</v>
      </c>
      <c r="D3341" s="28"/>
      <c r="E3341" s="41">
        <v>46168</v>
      </c>
      <c r="F3341" s="47">
        <v>0.88371527777777781</v>
      </c>
      <c r="G3341" s="44">
        <v>6.3</v>
      </c>
      <c r="H3341" s="43" t="s">
        <v>229</v>
      </c>
      <c r="I3341" s="40" t="s">
        <v>1300</v>
      </c>
    </row>
    <row r="3342" spans="1:9" x14ac:dyDescent="0.2">
      <c r="A3342" s="40" t="s">
        <v>302</v>
      </c>
      <c r="B3342" s="28">
        <v>3833</v>
      </c>
      <c r="C3342" s="28" t="s">
        <v>35</v>
      </c>
      <c r="D3342" s="28" t="s">
        <v>38</v>
      </c>
      <c r="E3342" s="41">
        <v>46168</v>
      </c>
      <c r="F3342" s="47">
        <v>0.96104166666666668</v>
      </c>
      <c r="G3342" s="44">
        <v>6.3</v>
      </c>
      <c r="H3342" s="43" t="s">
        <v>230</v>
      </c>
      <c r="I3342" s="40" t="s">
        <v>1300</v>
      </c>
    </row>
    <row r="3343" spans="1:9" x14ac:dyDescent="0.2">
      <c r="A3343" s="40" t="s">
        <v>302</v>
      </c>
      <c r="B3343" s="28">
        <v>3833</v>
      </c>
      <c r="C3343" s="28" t="s">
        <v>35</v>
      </c>
      <c r="D3343" s="28" t="s">
        <v>38</v>
      </c>
      <c r="E3343" s="41">
        <v>46170</v>
      </c>
      <c r="F3343" s="47">
        <v>0.92599537037037039</v>
      </c>
      <c r="G3343" s="44">
        <v>6.3</v>
      </c>
      <c r="H3343" s="43" t="s">
        <v>228</v>
      </c>
      <c r="I3343" s="40" t="s">
        <v>1300</v>
      </c>
    </row>
    <row r="3344" spans="1:9" x14ac:dyDescent="0.2">
      <c r="A3344" s="40" t="s">
        <v>302</v>
      </c>
      <c r="B3344" s="28">
        <v>3833</v>
      </c>
      <c r="C3344" s="28" t="s">
        <v>1033</v>
      </c>
      <c r="D3344" s="28"/>
      <c r="E3344" s="41">
        <v>46172</v>
      </c>
      <c r="F3344" s="47">
        <v>0.37761574074074072</v>
      </c>
      <c r="G3344" s="44">
        <v>6.3</v>
      </c>
      <c r="H3344" s="43" t="s">
        <v>228</v>
      </c>
      <c r="I3344" s="40" t="s">
        <v>1300</v>
      </c>
    </row>
    <row r="3345" spans="1:9" x14ac:dyDescent="0.2">
      <c r="A3345" s="40" t="s">
        <v>302</v>
      </c>
      <c r="B3345" s="28">
        <v>3833</v>
      </c>
      <c r="C3345" s="28" t="s">
        <v>1033</v>
      </c>
      <c r="D3345" s="28"/>
      <c r="E3345" s="41">
        <v>46172</v>
      </c>
      <c r="F3345" s="47">
        <v>0.38653935185185184</v>
      </c>
      <c r="G3345" s="44">
        <v>6.3</v>
      </c>
      <c r="H3345" s="43" t="s">
        <v>229</v>
      </c>
      <c r="I3345" s="40" t="s">
        <v>1300</v>
      </c>
    </row>
    <row r="3346" spans="1:9" x14ac:dyDescent="0.2">
      <c r="A3346" s="40" t="s">
        <v>436</v>
      </c>
      <c r="B3346" s="28">
        <v>3838</v>
      </c>
      <c r="C3346" s="28">
        <v>5691673</v>
      </c>
      <c r="D3346" s="28"/>
      <c r="E3346" s="41">
        <v>46170</v>
      </c>
      <c r="F3346" s="47">
        <v>0.63995370370370375</v>
      </c>
      <c r="G3346" s="44">
        <v>6.3</v>
      </c>
      <c r="H3346" s="43" t="s">
        <v>228</v>
      </c>
      <c r="I3346" s="40" t="s">
        <v>1300</v>
      </c>
    </row>
    <row r="3347" spans="1:9" x14ac:dyDescent="0.2">
      <c r="A3347" s="40" t="s">
        <v>436</v>
      </c>
      <c r="B3347" s="28">
        <v>3838</v>
      </c>
      <c r="C3347" s="28">
        <v>5691673</v>
      </c>
      <c r="D3347" s="28"/>
      <c r="E3347" s="45">
        <v>46170</v>
      </c>
      <c r="F3347" s="48">
        <v>0.6550231481481481</v>
      </c>
      <c r="G3347" s="44">
        <v>6.3</v>
      </c>
      <c r="H3347" s="43" t="s">
        <v>229</v>
      </c>
      <c r="I3347" s="40" t="s">
        <v>1300</v>
      </c>
    </row>
    <row r="3348" spans="1:9" x14ac:dyDescent="0.2">
      <c r="A3348" s="40" t="s">
        <v>436</v>
      </c>
      <c r="B3348" s="28">
        <v>3838</v>
      </c>
      <c r="C3348" s="28">
        <v>5694202</v>
      </c>
      <c r="D3348" s="28"/>
      <c r="E3348" s="45">
        <v>46171</v>
      </c>
      <c r="F3348" s="48">
        <v>0.95208333333333328</v>
      </c>
      <c r="G3348" s="44">
        <v>6.3</v>
      </c>
      <c r="H3348" s="43" t="s">
        <v>228</v>
      </c>
      <c r="I3348" s="40" t="s">
        <v>1300</v>
      </c>
    </row>
    <row r="3349" spans="1:9" x14ac:dyDescent="0.2">
      <c r="A3349" s="40" t="s">
        <v>436</v>
      </c>
      <c r="B3349" s="28">
        <v>3838</v>
      </c>
      <c r="C3349" s="28">
        <v>5694202</v>
      </c>
      <c r="D3349" s="28"/>
      <c r="E3349" s="45">
        <v>46171</v>
      </c>
      <c r="F3349" s="48">
        <v>0.95960648148148153</v>
      </c>
      <c r="G3349" s="44">
        <v>6.3</v>
      </c>
      <c r="H3349" s="43" t="s">
        <v>229</v>
      </c>
      <c r="I3349" s="40" t="s">
        <v>1300</v>
      </c>
    </row>
    <row r="3350" spans="1:9" x14ac:dyDescent="0.2">
      <c r="A3350" s="40" t="s">
        <v>391</v>
      </c>
      <c r="B3350" s="28">
        <v>3840</v>
      </c>
      <c r="C3350" s="28" t="s">
        <v>1034</v>
      </c>
      <c r="D3350" s="28"/>
      <c r="E3350" s="41">
        <v>46168</v>
      </c>
      <c r="F3350" s="47">
        <v>0.55086805555555551</v>
      </c>
      <c r="G3350" s="44">
        <v>6.3</v>
      </c>
      <c r="H3350" s="43" t="s">
        <v>228</v>
      </c>
      <c r="I3350" s="40" t="s">
        <v>1300</v>
      </c>
    </row>
    <row r="3351" spans="1:9" x14ac:dyDescent="0.2">
      <c r="A3351" s="40" t="s">
        <v>391</v>
      </c>
      <c r="B3351" s="28">
        <v>3840</v>
      </c>
      <c r="C3351" s="28" t="s">
        <v>1034</v>
      </c>
      <c r="D3351" s="28"/>
      <c r="E3351" s="41">
        <v>46168</v>
      </c>
      <c r="F3351" s="47">
        <v>0.56135416666666671</v>
      </c>
      <c r="G3351" s="44">
        <v>6.3</v>
      </c>
      <c r="H3351" s="43" t="s">
        <v>229</v>
      </c>
      <c r="I3351" s="40" t="s">
        <v>1300</v>
      </c>
    </row>
    <row r="3352" spans="1:9" x14ac:dyDescent="0.2">
      <c r="A3352" s="40" t="s">
        <v>391</v>
      </c>
      <c r="B3352" s="28">
        <v>3840</v>
      </c>
      <c r="C3352" s="28" t="s">
        <v>35</v>
      </c>
      <c r="D3352" s="28" t="s">
        <v>38</v>
      </c>
      <c r="E3352" s="41">
        <v>46168</v>
      </c>
      <c r="F3352" s="47">
        <v>0.59341435185185187</v>
      </c>
      <c r="G3352" s="44">
        <v>6.3</v>
      </c>
      <c r="H3352" s="43" t="s">
        <v>230</v>
      </c>
      <c r="I3352" s="40" t="s">
        <v>1300</v>
      </c>
    </row>
    <row r="3353" spans="1:9" x14ac:dyDescent="0.2">
      <c r="A3353" s="40" t="s">
        <v>391</v>
      </c>
      <c r="B3353" s="28">
        <v>3840</v>
      </c>
      <c r="C3353" s="28" t="s">
        <v>35</v>
      </c>
      <c r="D3353" s="28" t="s">
        <v>38</v>
      </c>
      <c r="E3353" s="41">
        <v>46168</v>
      </c>
      <c r="F3353" s="47">
        <v>0.59953703703703709</v>
      </c>
      <c r="G3353" s="44">
        <v>6.3</v>
      </c>
      <c r="H3353" s="43" t="s">
        <v>227</v>
      </c>
      <c r="I3353" s="40" t="s">
        <v>1300</v>
      </c>
    </row>
    <row r="3354" spans="1:9" x14ac:dyDescent="0.2">
      <c r="A3354" s="40" t="s">
        <v>391</v>
      </c>
      <c r="B3354" s="28">
        <v>3840</v>
      </c>
      <c r="C3354" s="28">
        <v>5688973</v>
      </c>
      <c r="D3354" s="28"/>
      <c r="E3354" s="41">
        <v>46169</v>
      </c>
      <c r="F3354" s="47">
        <v>0.22832175925925927</v>
      </c>
      <c r="G3354" s="44">
        <v>6.3</v>
      </c>
      <c r="H3354" s="43" t="s">
        <v>228</v>
      </c>
      <c r="I3354" s="40" t="s">
        <v>1300</v>
      </c>
    </row>
    <row r="3355" spans="1:9" x14ac:dyDescent="0.2">
      <c r="A3355" s="40" t="s">
        <v>391</v>
      </c>
      <c r="B3355" s="28">
        <v>3840</v>
      </c>
      <c r="C3355" s="28">
        <v>5688973</v>
      </c>
      <c r="D3355" s="28"/>
      <c r="E3355" s="45">
        <v>46169</v>
      </c>
      <c r="F3355" s="48">
        <v>0.23579861111111111</v>
      </c>
      <c r="G3355" s="44">
        <v>6.3</v>
      </c>
      <c r="H3355" s="43" t="s">
        <v>229</v>
      </c>
      <c r="I3355" s="40" t="s">
        <v>1300</v>
      </c>
    </row>
    <row r="3356" spans="1:9" x14ac:dyDescent="0.2">
      <c r="A3356" s="40" t="s">
        <v>391</v>
      </c>
      <c r="B3356" s="28">
        <v>3840</v>
      </c>
      <c r="C3356" s="28" t="s">
        <v>1035</v>
      </c>
      <c r="D3356" s="28"/>
      <c r="E3356" s="41">
        <v>46170</v>
      </c>
      <c r="F3356" s="47">
        <v>0.33368055555555554</v>
      </c>
      <c r="G3356" s="44">
        <v>6.3</v>
      </c>
      <c r="H3356" s="43" t="s">
        <v>228</v>
      </c>
      <c r="I3356" s="40" t="s">
        <v>1300</v>
      </c>
    </row>
    <row r="3357" spans="1:9" x14ac:dyDescent="0.2">
      <c r="A3357" s="40" t="s">
        <v>391</v>
      </c>
      <c r="B3357" s="28">
        <v>3840</v>
      </c>
      <c r="C3357" s="28" t="s">
        <v>1035</v>
      </c>
      <c r="D3357" s="28"/>
      <c r="E3357" s="45">
        <v>46170</v>
      </c>
      <c r="F3357" s="48">
        <v>0.37568287037037035</v>
      </c>
      <c r="G3357" s="44">
        <v>6.3</v>
      </c>
      <c r="H3357" s="43" t="s">
        <v>226</v>
      </c>
      <c r="I3357" s="40" t="s">
        <v>1300</v>
      </c>
    </row>
    <row r="3358" spans="1:9" x14ac:dyDescent="0.2">
      <c r="A3358" s="40" t="s">
        <v>391</v>
      </c>
      <c r="B3358" s="28">
        <v>3840</v>
      </c>
      <c r="C3358" s="28" t="s">
        <v>35</v>
      </c>
      <c r="D3358" s="28" t="s">
        <v>38</v>
      </c>
      <c r="E3358" s="45">
        <v>46170</v>
      </c>
      <c r="F3358" s="48">
        <v>0.38104166666666667</v>
      </c>
      <c r="G3358" s="44">
        <v>6.3</v>
      </c>
      <c r="H3358" s="43" t="s">
        <v>227</v>
      </c>
      <c r="I3358" s="40" t="s">
        <v>1300</v>
      </c>
    </row>
    <row r="3359" spans="1:9" x14ac:dyDescent="0.2">
      <c r="A3359" s="40" t="s">
        <v>391</v>
      </c>
      <c r="B3359" s="28">
        <v>3840</v>
      </c>
      <c r="C3359" s="28">
        <v>5681631</v>
      </c>
      <c r="D3359" s="28"/>
      <c r="E3359" s="41">
        <v>46171</v>
      </c>
      <c r="F3359" s="47">
        <v>1.4224537037037037E-2</v>
      </c>
      <c r="G3359" s="44">
        <v>6.3</v>
      </c>
      <c r="H3359" s="43" t="s">
        <v>228</v>
      </c>
      <c r="I3359" s="40" t="s">
        <v>1300</v>
      </c>
    </row>
    <row r="3360" spans="1:9" x14ac:dyDescent="0.2">
      <c r="A3360" s="40" t="s">
        <v>391</v>
      </c>
      <c r="B3360" s="28">
        <v>3840</v>
      </c>
      <c r="C3360" s="28">
        <v>5681631</v>
      </c>
      <c r="D3360" s="28"/>
      <c r="E3360" s="41">
        <v>46171</v>
      </c>
      <c r="F3360" s="47">
        <v>2.2442129629629631E-2</v>
      </c>
      <c r="G3360" s="44">
        <v>6.3</v>
      </c>
      <c r="H3360" s="43" t="s">
        <v>229</v>
      </c>
      <c r="I3360" s="40" t="s">
        <v>1300</v>
      </c>
    </row>
    <row r="3361" spans="1:9" x14ac:dyDescent="0.2">
      <c r="A3361" s="40" t="s">
        <v>391</v>
      </c>
      <c r="B3361" s="28">
        <v>3840</v>
      </c>
      <c r="C3361" s="28" t="s">
        <v>35</v>
      </c>
      <c r="D3361" s="28" t="s">
        <v>38</v>
      </c>
      <c r="E3361" s="41">
        <v>46171</v>
      </c>
      <c r="F3361" s="47">
        <v>3.3032407407407406E-2</v>
      </c>
      <c r="G3361" s="44">
        <v>6.3</v>
      </c>
      <c r="H3361" s="43" t="s">
        <v>230</v>
      </c>
      <c r="I3361" s="40" t="s">
        <v>1300</v>
      </c>
    </row>
    <row r="3362" spans="1:9" x14ac:dyDescent="0.2">
      <c r="A3362" s="40" t="s">
        <v>307</v>
      </c>
      <c r="B3362" s="28">
        <v>3842</v>
      </c>
      <c r="C3362" s="28" t="s">
        <v>35</v>
      </c>
      <c r="D3362" s="28" t="s">
        <v>38</v>
      </c>
      <c r="E3362" s="45">
        <v>46169</v>
      </c>
      <c r="F3362" s="48">
        <v>0.5562731481481481</v>
      </c>
      <c r="G3362" s="44">
        <v>6.3</v>
      </c>
      <c r="H3362" s="43" t="s">
        <v>230</v>
      </c>
      <c r="I3362" s="40" t="s">
        <v>1300</v>
      </c>
    </row>
    <row r="3363" spans="1:9" x14ac:dyDescent="0.2">
      <c r="A3363" s="40" t="s">
        <v>307</v>
      </c>
      <c r="B3363" s="28">
        <v>3842</v>
      </c>
      <c r="C3363" s="28" t="s">
        <v>35</v>
      </c>
      <c r="D3363" s="28" t="s">
        <v>38</v>
      </c>
      <c r="E3363" s="41">
        <v>46169</v>
      </c>
      <c r="F3363" s="47">
        <v>0.56267361111111114</v>
      </c>
      <c r="G3363" s="44">
        <v>6.3</v>
      </c>
      <c r="H3363" s="43" t="s">
        <v>227</v>
      </c>
      <c r="I3363" s="40" t="s">
        <v>1300</v>
      </c>
    </row>
    <row r="3364" spans="1:9" x14ac:dyDescent="0.2">
      <c r="A3364" s="40" t="s">
        <v>307</v>
      </c>
      <c r="B3364" s="28">
        <v>3842</v>
      </c>
      <c r="C3364" s="28" t="s">
        <v>1036</v>
      </c>
      <c r="D3364" s="28"/>
      <c r="E3364" s="45">
        <v>46169</v>
      </c>
      <c r="F3364" s="48">
        <v>0.90686342592592595</v>
      </c>
      <c r="G3364" s="44">
        <v>6.3</v>
      </c>
      <c r="H3364" s="43" t="s">
        <v>228</v>
      </c>
      <c r="I3364" s="40" t="s">
        <v>1300</v>
      </c>
    </row>
    <row r="3365" spans="1:9" x14ac:dyDescent="0.2">
      <c r="A3365" s="40" t="s">
        <v>307</v>
      </c>
      <c r="B3365" s="28">
        <v>3842</v>
      </c>
      <c r="C3365" s="28" t="s">
        <v>1036</v>
      </c>
      <c r="D3365" s="28"/>
      <c r="E3365" s="41">
        <v>46169</v>
      </c>
      <c r="F3365" s="47">
        <v>0.91378472222222218</v>
      </c>
      <c r="G3365" s="44">
        <v>6.3</v>
      </c>
      <c r="H3365" s="43" t="s">
        <v>229</v>
      </c>
      <c r="I3365" s="40" t="s">
        <v>1300</v>
      </c>
    </row>
    <row r="3366" spans="1:9" x14ac:dyDescent="0.2">
      <c r="A3366" s="40" t="s">
        <v>307</v>
      </c>
      <c r="B3366" s="28">
        <v>3842</v>
      </c>
      <c r="C3366" s="28" t="s">
        <v>1037</v>
      </c>
      <c r="D3366" s="28"/>
      <c r="E3366" s="45">
        <v>46172</v>
      </c>
      <c r="F3366" s="48">
        <v>0.47954861111111113</v>
      </c>
      <c r="G3366" s="44">
        <v>6.3</v>
      </c>
      <c r="H3366" s="43" t="s">
        <v>228</v>
      </c>
      <c r="I3366" s="40" t="s">
        <v>1300</v>
      </c>
    </row>
    <row r="3367" spans="1:9" x14ac:dyDescent="0.2">
      <c r="A3367" s="40" t="s">
        <v>307</v>
      </c>
      <c r="B3367" s="28">
        <v>3842</v>
      </c>
      <c r="C3367" s="28" t="s">
        <v>1037</v>
      </c>
      <c r="D3367" s="28"/>
      <c r="E3367" s="41">
        <v>46172</v>
      </c>
      <c r="F3367" s="47">
        <v>0.49009259259259258</v>
      </c>
      <c r="G3367" s="44">
        <v>6.3</v>
      </c>
      <c r="H3367" s="43" t="s">
        <v>229</v>
      </c>
      <c r="I3367" s="40" t="s">
        <v>1300</v>
      </c>
    </row>
    <row r="3368" spans="1:9" x14ac:dyDescent="0.2">
      <c r="A3368" s="40" t="s">
        <v>307</v>
      </c>
      <c r="B3368" s="28">
        <v>3842</v>
      </c>
      <c r="C3368" s="28">
        <v>5694525</v>
      </c>
      <c r="D3368" s="28"/>
      <c r="E3368" s="41">
        <v>46173</v>
      </c>
      <c r="F3368" s="47">
        <v>0.30806712962962962</v>
      </c>
      <c r="G3368" s="44">
        <v>6.3</v>
      </c>
      <c r="H3368" s="43" t="s">
        <v>228</v>
      </c>
      <c r="I3368" s="40" t="s">
        <v>1300</v>
      </c>
    </row>
    <row r="3369" spans="1:9" x14ac:dyDescent="0.2">
      <c r="A3369" s="40" t="s">
        <v>307</v>
      </c>
      <c r="B3369" s="28">
        <v>3842</v>
      </c>
      <c r="C3369" s="28">
        <v>5694525</v>
      </c>
      <c r="D3369" s="28"/>
      <c r="E3369" s="41">
        <v>46173</v>
      </c>
      <c r="F3369" s="47">
        <v>0.31487268518518519</v>
      </c>
      <c r="G3369" s="44">
        <v>6.3</v>
      </c>
      <c r="H3369" s="43" t="s">
        <v>229</v>
      </c>
      <c r="I3369" s="40" t="s">
        <v>1300</v>
      </c>
    </row>
    <row r="3370" spans="1:9" x14ac:dyDescent="0.2">
      <c r="A3370" s="40" t="s">
        <v>307</v>
      </c>
      <c r="B3370" s="28">
        <v>3842</v>
      </c>
      <c r="C3370" s="28">
        <v>5695502</v>
      </c>
      <c r="D3370" s="28"/>
      <c r="E3370" s="41">
        <v>46173</v>
      </c>
      <c r="F3370" s="47">
        <v>0.45493055555555556</v>
      </c>
      <c r="G3370" s="44">
        <v>6.3</v>
      </c>
      <c r="H3370" s="43" t="s">
        <v>228</v>
      </c>
      <c r="I3370" s="40" t="s">
        <v>1300</v>
      </c>
    </row>
    <row r="3371" spans="1:9" x14ac:dyDescent="0.2">
      <c r="A3371" s="40" t="s">
        <v>307</v>
      </c>
      <c r="B3371" s="28">
        <v>3842</v>
      </c>
      <c r="C3371" s="28">
        <v>5695502</v>
      </c>
      <c r="D3371" s="28"/>
      <c r="E3371" s="41">
        <v>46173</v>
      </c>
      <c r="F3371" s="47">
        <v>0.46384259259259258</v>
      </c>
      <c r="G3371" s="44">
        <v>6.3</v>
      </c>
      <c r="H3371" s="43" t="s">
        <v>229</v>
      </c>
      <c r="I3371" s="40" t="s">
        <v>1300</v>
      </c>
    </row>
    <row r="3372" spans="1:9" x14ac:dyDescent="0.2">
      <c r="A3372" s="40" t="s">
        <v>308</v>
      </c>
      <c r="B3372" s="28">
        <v>3855</v>
      </c>
      <c r="C3372" s="28" t="s">
        <v>1038</v>
      </c>
      <c r="D3372" s="28"/>
      <c r="E3372" s="41">
        <v>46167</v>
      </c>
      <c r="F3372" s="47">
        <v>4.1724537037037039E-2</v>
      </c>
      <c r="G3372" s="44">
        <v>6.3</v>
      </c>
      <c r="H3372" s="43" t="s">
        <v>228</v>
      </c>
      <c r="I3372" s="40" t="s">
        <v>1300</v>
      </c>
    </row>
    <row r="3373" spans="1:9" x14ac:dyDescent="0.2">
      <c r="A3373" s="40" t="s">
        <v>308</v>
      </c>
      <c r="B3373" s="28">
        <v>3855</v>
      </c>
      <c r="C3373" s="28" t="s">
        <v>1038</v>
      </c>
      <c r="D3373" s="28"/>
      <c r="E3373" s="41">
        <v>46167</v>
      </c>
      <c r="F3373" s="47">
        <v>4.9108796296296296E-2</v>
      </c>
      <c r="G3373" s="44">
        <v>6.3</v>
      </c>
      <c r="H3373" s="43" t="s">
        <v>232</v>
      </c>
      <c r="I3373" s="40" t="s">
        <v>1300</v>
      </c>
    </row>
    <row r="3374" spans="1:9" x14ac:dyDescent="0.2">
      <c r="A3374" s="40" t="s">
        <v>308</v>
      </c>
      <c r="B3374" s="28">
        <v>3855</v>
      </c>
      <c r="C3374" s="28" t="s">
        <v>1039</v>
      </c>
      <c r="D3374" s="28"/>
      <c r="E3374" s="41">
        <v>46167</v>
      </c>
      <c r="F3374" s="47">
        <v>0.76040509259259259</v>
      </c>
      <c r="G3374" s="42">
        <v>6.3</v>
      </c>
      <c r="H3374" s="40" t="s">
        <v>228</v>
      </c>
      <c r="I3374" s="40" t="s">
        <v>1300</v>
      </c>
    </row>
    <row r="3375" spans="1:9" x14ac:dyDescent="0.2">
      <c r="A3375" s="40" t="s">
        <v>308</v>
      </c>
      <c r="B3375" s="28">
        <v>3855</v>
      </c>
      <c r="C3375" s="28" t="s">
        <v>1040</v>
      </c>
      <c r="D3375" s="28"/>
      <c r="E3375" s="45">
        <v>46169</v>
      </c>
      <c r="F3375" s="48">
        <v>0.89856481481481476</v>
      </c>
      <c r="G3375" s="42">
        <v>6.3</v>
      </c>
      <c r="H3375" s="40" t="s">
        <v>228</v>
      </c>
      <c r="I3375" s="40" t="s">
        <v>1300</v>
      </c>
    </row>
    <row r="3376" spans="1:9" x14ac:dyDescent="0.2">
      <c r="A3376" s="40" t="s">
        <v>308</v>
      </c>
      <c r="B3376" s="28">
        <v>3855</v>
      </c>
      <c r="C3376" s="28" t="s">
        <v>1040</v>
      </c>
      <c r="D3376" s="28"/>
      <c r="E3376" s="41">
        <v>46169</v>
      </c>
      <c r="F3376" s="47">
        <v>0.90560185185185182</v>
      </c>
      <c r="G3376" s="44">
        <v>6.3</v>
      </c>
      <c r="H3376" s="43" t="s">
        <v>229</v>
      </c>
      <c r="I3376" s="40" t="s">
        <v>1300</v>
      </c>
    </row>
    <row r="3377" spans="1:9" x14ac:dyDescent="0.2">
      <c r="A3377" s="40" t="s">
        <v>308</v>
      </c>
      <c r="B3377" s="28">
        <v>3855</v>
      </c>
      <c r="C3377" s="28" t="s">
        <v>35</v>
      </c>
      <c r="D3377" s="28" t="s">
        <v>38</v>
      </c>
      <c r="E3377" s="41">
        <v>46169</v>
      </c>
      <c r="F3377" s="47">
        <v>0.92194444444444446</v>
      </c>
      <c r="G3377" s="44">
        <v>6.3</v>
      </c>
      <c r="H3377" s="43" t="s">
        <v>230</v>
      </c>
      <c r="I3377" s="40" t="s">
        <v>1300</v>
      </c>
    </row>
    <row r="3378" spans="1:9" x14ac:dyDescent="0.2">
      <c r="A3378" s="40" t="s">
        <v>308</v>
      </c>
      <c r="B3378" s="28">
        <v>3855</v>
      </c>
      <c r="C3378" s="28" t="s">
        <v>35</v>
      </c>
      <c r="D3378" s="28" t="s">
        <v>38</v>
      </c>
      <c r="E3378" s="41">
        <v>46169</v>
      </c>
      <c r="F3378" s="47">
        <v>0.92746527777777776</v>
      </c>
      <c r="G3378" s="44">
        <v>6.3</v>
      </c>
      <c r="H3378" s="43" t="s">
        <v>227</v>
      </c>
      <c r="I3378" s="40" t="s">
        <v>1300</v>
      </c>
    </row>
    <row r="3379" spans="1:9" x14ac:dyDescent="0.2">
      <c r="A3379" s="40" t="s">
        <v>308</v>
      </c>
      <c r="B3379" s="28">
        <v>3855</v>
      </c>
      <c r="C3379" s="28">
        <v>5692628</v>
      </c>
      <c r="D3379" s="28"/>
      <c r="E3379" s="41">
        <v>46171</v>
      </c>
      <c r="F3379" s="47">
        <v>0.94775462962962964</v>
      </c>
      <c r="G3379" s="44">
        <v>6.3</v>
      </c>
      <c r="H3379" s="43" t="s">
        <v>228</v>
      </c>
      <c r="I3379" s="40" t="s">
        <v>1300</v>
      </c>
    </row>
    <row r="3380" spans="1:9" x14ac:dyDescent="0.2">
      <c r="A3380" s="40" t="s">
        <v>308</v>
      </c>
      <c r="B3380" s="28">
        <v>3855</v>
      </c>
      <c r="C3380" s="28">
        <v>5692628</v>
      </c>
      <c r="D3380" s="28"/>
      <c r="E3380" s="41">
        <v>46171</v>
      </c>
      <c r="F3380" s="47">
        <v>0.9544097222222222</v>
      </c>
      <c r="G3380" s="44">
        <v>6.3</v>
      </c>
      <c r="H3380" s="43" t="s">
        <v>232</v>
      </c>
      <c r="I3380" s="40" t="s">
        <v>1300</v>
      </c>
    </row>
    <row r="3381" spans="1:9" x14ac:dyDescent="0.2">
      <c r="A3381" s="40" t="s">
        <v>308</v>
      </c>
      <c r="B3381" s="28">
        <v>3855</v>
      </c>
      <c r="C3381" s="28" t="s">
        <v>35</v>
      </c>
      <c r="D3381" s="28" t="s">
        <v>38</v>
      </c>
      <c r="E3381" s="41">
        <v>46171</v>
      </c>
      <c r="F3381" s="47">
        <v>0.99173611111111115</v>
      </c>
      <c r="G3381" s="44">
        <v>6.3</v>
      </c>
      <c r="H3381" s="43" t="s">
        <v>226</v>
      </c>
      <c r="I3381" s="40" t="s">
        <v>1300</v>
      </c>
    </row>
    <row r="3382" spans="1:9" x14ac:dyDescent="0.2">
      <c r="A3382" s="40" t="s">
        <v>308</v>
      </c>
      <c r="B3382" s="28">
        <v>3855</v>
      </c>
      <c r="C3382" s="28" t="s">
        <v>35</v>
      </c>
      <c r="D3382" s="28" t="s">
        <v>38</v>
      </c>
      <c r="E3382" s="41">
        <v>46171</v>
      </c>
      <c r="F3382" s="47">
        <v>0.99695601851851856</v>
      </c>
      <c r="G3382" s="44">
        <v>6.3</v>
      </c>
      <c r="H3382" s="43" t="s">
        <v>227</v>
      </c>
      <c r="I3382" s="40" t="s">
        <v>1300</v>
      </c>
    </row>
    <row r="3383" spans="1:9" x14ac:dyDescent="0.2">
      <c r="A3383" s="40" t="s">
        <v>437</v>
      </c>
      <c r="B3383" s="28">
        <v>3905</v>
      </c>
      <c r="C3383" s="28" t="s">
        <v>1041</v>
      </c>
      <c r="D3383" s="28"/>
      <c r="E3383" s="45">
        <v>46168</v>
      </c>
      <c r="F3383" s="48">
        <v>0.91643518518518519</v>
      </c>
      <c r="G3383" s="44">
        <v>6.3</v>
      </c>
      <c r="H3383" s="43" t="s">
        <v>228</v>
      </c>
      <c r="I3383" s="40" t="s">
        <v>1300</v>
      </c>
    </row>
    <row r="3384" spans="1:9" x14ac:dyDescent="0.2">
      <c r="A3384" s="40" t="s">
        <v>437</v>
      </c>
      <c r="B3384" s="28">
        <v>3905</v>
      </c>
      <c r="C3384" s="28" t="s">
        <v>1041</v>
      </c>
      <c r="D3384" s="28"/>
      <c r="E3384" s="41">
        <v>46168</v>
      </c>
      <c r="F3384" s="47">
        <v>0.9234606481481481</v>
      </c>
      <c r="G3384" s="44">
        <v>6.3</v>
      </c>
      <c r="H3384" s="43" t="s">
        <v>229</v>
      </c>
      <c r="I3384" s="40" t="s">
        <v>1300</v>
      </c>
    </row>
    <row r="3385" spans="1:9" x14ac:dyDescent="0.2">
      <c r="A3385" s="40" t="s">
        <v>386</v>
      </c>
      <c r="B3385" s="28">
        <v>3912</v>
      </c>
      <c r="C3385" s="28" t="s">
        <v>1042</v>
      </c>
      <c r="D3385" s="28"/>
      <c r="E3385" s="41">
        <v>46171</v>
      </c>
      <c r="F3385" s="47">
        <v>0.98956018518518518</v>
      </c>
      <c r="G3385" s="44">
        <v>6.3</v>
      </c>
      <c r="H3385" s="43" t="s">
        <v>228</v>
      </c>
      <c r="I3385" s="40" t="s">
        <v>1300</v>
      </c>
    </row>
    <row r="3386" spans="1:9" x14ac:dyDescent="0.2">
      <c r="A3386" s="40" t="s">
        <v>386</v>
      </c>
      <c r="B3386" s="28">
        <v>3912</v>
      </c>
      <c r="C3386" s="28" t="s">
        <v>1042</v>
      </c>
      <c r="D3386" s="28"/>
      <c r="E3386" s="41">
        <v>46171</v>
      </c>
      <c r="F3386" s="47">
        <v>0.99734953703703699</v>
      </c>
      <c r="G3386" s="44">
        <v>6.3</v>
      </c>
      <c r="H3386" s="43" t="s">
        <v>229</v>
      </c>
      <c r="I3386" s="40" t="s">
        <v>1300</v>
      </c>
    </row>
    <row r="3387" spans="1:9" x14ac:dyDescent="0.2">
      <c r="A3387" s="40" t="s">
        <v>386</v>
      </c>
      <c r="B3387" s="28">
        <v>3912</v>
      </c>
      <c r="C3387" s="28" t="s">
        <v>1043</v>
      </c>
      <c r="D3387" s="28"/>
      <c r="E3387" s="41">
        <v>46173</v>
      </c>
      <c r="F3387" s="47">
        <v>1.2037037037037037E-2</v>
      </c>
      <c r="G3387" s="44">
        <v>6.3</v>
      </c>
      <c r="H3387" s="43" t="s">
        <v>228</v>
      </c>
      <c r="I3387" s="40" t="s">
        <v>1300</v>
      </c>
    </row>
    <row r="3388" spans="1:9" x14ac:dyDescent="0.2">
      <c r="A3388" s="40" t="s">
        <v>386</v>
      </c>
      <c r="B3388" s="28">
        <v>3912</v>
      </c>
      <c r="C3388" s="28" t="s">
        <v>1043</v>
      </c>
      <c r="D3388" s="28"/>
      <c r="E3388" s="41">
        <v>46173</v>
      </c>
      <c r="F3388" s="47">
        <v>1.8738425925925926E-2</v>
      </c>
      <c r="G3388" s="44">
        <v>6.3</v>
      </c>
      <c r="H3388" s="43" t="s">
        <v>229</v>
      </c>
      <c r="I3388" s="40" t="s">
        <v>1300</v>
      </c>
    </row>
    <row r="3389" spans="1:9" x14ac:dyDescent="0.2">
      <c r="A3389" s="40" t="s">
        <v>316</v>
      </c>
      <c r="B3389" s="28">
        <v>3913</v>
      </c>
      <c r="C3389" s="28">
        <v>5686807</v>
      </c>
      <c r="D3389" s="28"/>
      <c r="E3389" s="41">
        <v>46167</v>
      </c>
      <c r="F3389" s="47">
        <v>0.85849537037037038</v>
      </c>
      <c r="G3389" s="44">
        <v>6.3</v>
      </c>
      <c r="H3389" s="43" t="s">
        <v>228</v>
      </c>
      <c r="I3389" s="40" t="s">
        <v>1300</v>
      </c>
    </row>
    <row r="3390" spans="1:9" x14ac:dyDescent="0.2">
      <c r="A3390" s="40" t="s">
        <v>316</v>
      </c>
      <c r="B3390" s="28">
        <v>3913</v>
      </c>
      <c r="C3390" s="28">
        <v>5686807</v>
      </c>
      <c r="D3390" s="28"/>
      <c r="E3390" s="41">
        <v>46167</v>
      </c>
      <c r="F3390" s="47">
        <v>0.86673611111111115</v>
      </c>
      <c r="G3390" s="44">
        <v>6.3</v>
      </c>
      <c r="H3390" s="43" t="s">
        <v>229</v>
      </c>
      <c r="I3390" s="40" t="s">
        <v>1300</v>
      </c>
    </row>
    <row r="3391" spans="1:9" x14ac:dyDescent="0.2">
      <c r="A3391" s="40" t="s">
        <v>316</v>
      </c>
      <c r="B3391" s="28">
        <v>3913</v>
      </c>
      <c r="C3391" s="28" t="s">
        <v>35</v>
      </c>
      <c r="D3391" s="28" t="s">
        <v>38</v>
      </c>
      <c r="E3391" s="41">
        <v>46167</v>
      </c>
      <c r="F3391" s="47">
        <v>0.88313657407407409</v>
      </c>
      <c r="G3391" s="42">
        <v>6.3</v>
      </c>
      <c r="H3391" s="40" t="s">
        <v>230</v>
      </c>
      <c r="I3391" s="40" t="s">
        <v>1300</v>
      </c>
    </row>
    <row r="3392" spans="1:9" x14ac:dyDescent="0.2">
      <c r="A3392" s="40" t="s">
        <v>316</v>
      </c>
      <c r="B3392" s="28">
        <v>3913</v>
      </c>
      <c r="C3392" s="28" t="s">
        <v>35</v>
      </c>
      <c r="D3392" s="28" t="s">
        <v>38</v>
      </c>
      <c r="E3392" s="41">
        <v>46167</v>
      </c>
      <c r="F3392" s="47">
        <v>0.88832175925925927</v>
      </c>
      <c r="G3392" s="42">
        <v>6.3</v>
      </c>
      <c r="H3392" s="40" t="s">
        <v>227</v>
      </c>
      <c r="I3392" s="40" t="s">
        <v>1300</v>
      </c>
    </row>
    <row r="3393" spans="1:9" x14ac:dyDescent="0.2">
      <c r="A3393" s="40" t="s">
        <v>316</v>
      </c>
      <c r="B3393" s="28">
        <v>3913</v>
      </c>
      <c r="C3393" s="28">
        <v>5691060</v>
      </c>
      <c r="D3393" s="28"/>
      <c r="E3393" s="45">
        <v>46170</v>
      </c>
      <c r="F3393" s="48">
        <v>0.39555555555555555</v>
      </c>
      <c r="G3393" s="42">
        <v>6.3</v>
      </c>
      <c r="H3393" s="40" t="s">
        <v>228</v>
      </c>
      <c r="I3393" s="40" t="s">
        <v>1300</v>
      </c>
    </row>
    <row r="3394" spans="1:9" x14ac:dyDescent="0.2">
      <c r="A3394" s="40" t="s">
        <v>316</v>
      </c>
      <c r="B3394" s="28">
        <v>3913</v>
      </c>
      <c r="C3394" s="28">
        <v>5691060</v>
      </c>
      <c r="D3394" s="28"/>
      <c r="E3394" s="41">
        <v>46170</v>
      </c>
      <c r="F3394" s="47">
        <v>0.40890046296296295</v>
      </c>
      <c r="G3394" s="42">
        <v>6.3</v>
      </c>
      <c r="H3394" s="40" t="s">
        <v>229</v>
      </c>
      <c r="I3394" s="40" t="s">
        <v>1300</v>
      </c>
    </row>
    <row r="3395" spans="1:9" x14ac:dyDescent="0.2">
      <c r="A3395" s="40" t="s">
        <v>316</v>
      </c>
      <c r="B3395" s="28">
        <v>3913</v>
      </c>
      <c r="C3395" s="28">
        <v>5694374</v>
      </c>
      <c r="D3395" s="28"/>
      <c r="E3395" s="45">
        <v>46172</v>
      </c>
      <c r="F3395" s="48">
        <v>0.1816898148148148</v>
      </c>
      <c r="G3395" s="42">
        <v>6.3</v>
      </c>
      <c r="H3395" s="40" t="s">
        <v>226</v>
      </c>
      <c r="I3395" s="40" t="s">
        <v>1300</v>
      </c>
    </row>
    <row r="3396" spans="1:9" x14ac:dyDescent="0.2">
      <c r="A3396" s="40" t="s">
        <v>316</v>
      </c>
      <c r="B3396" s="28">
        <v>3913</v>
      </c>
      <c r="C3396" s="28">
        <v>5694374</v>
      </c>
      <c r="D3396" s="28"/>
      <c r="E3396" s="41">
        <v>46172</v>
      </c>
      <c r="F3396" s="47">
        <v>0.18653935185185186</v>
      </c>
      <c r="G3396" s="42">
        <v>6.3</v>
      </c>
      <c r="H3396" s="40" t="s">
        <v>227</v>
      </c>
      <c r="I3396" s="40" t="s">
        <v>1300</v>
      </c>
    </row>
    <row r="3397" spans="1:9" x14ac:dyDescent="0.2">
      <c r="A3397" s="40" t="s">
        <v>339</v>
      </c>
      <c r="B3397" s="28">
        <v>3917</v>
      </c>
      <c r="C3397" s="28">
        <v>5687375</v>
      </c>
      <c r="D3397" s="28"/>
      <c r="E3397" s="41">
        <v>46168</v>
      </c>
      <c r="F3397" s="47">
        <v>0.35515046296296299</v>
      </c>
      <c r="G3397" s="44">
        <v>6.3</v>
      </c>
      <c r="H3397" s="43" t="s">
        <v>230</v>
      </c>
      <c r="I3397" s="40" t="s">
        <v>1300</v>
      </c>
    </row>
    <row r="3398" spans="1:9" x14ac:dyDescent="0.2">
      <c r="A3398" s="40" t="s">
        <v>339</v>
      </c>
      <c r="B3398" s="28">
        <v>3917</v>
      </c>
      <c r="C3398" s="28">
        <v>5687375</v>
      </c>
      <c r="D3398" s="28"/>
      <c r="E3398" s="41">
        <v>46168</v>
      </c>
      <c r="F3398" s="47">
        <v>0.36064814814814816</v>
      </c>
      <c r="G3398" s="44">
        <v>6.3</v>
      </c>
      <c r="H3398" s="43" t="s">
        <v>227</v>
      </c>
      <c r="I3398" s="40" t="s">
        <v>1300</v>
      </c>
    </row>
    <row r="3399" spans="1:9" x14ac:dyDescent="0.2">
      <c r="A3399" s="40" t="s">
        <v>339</v>
      </c>
      <c r="B3399" s="28">
        <v>3917</v>
      </c>
      <c r="C3399" s="28">
        <v>5688115</v>
      </c>
      <c r="D3399" s="28"/>
      <c r="E3399" s="45">
        <v>46169</v>
      </c>
      <c r="F3399" s="48">
        <v>0.32883101851851854</v>
      </c>
      <c r="G3399" s="44">
        <v>6.3</v>
      </c>
      <c r="H3399" s="43" t="s">
        <v>227</v>
      </c>
      <c r="I3399" s="40" t="s">
        <v>1300</v>
      </c>
    </row>
    <row r="3400" spans="1:9" x14ac:dyDescent="0.2">
      <c r="A3400" s="40" t="s">
        <v>339</v>
      </c>
      <c r="B3400" s="28">
        <v>3917</v>
      </c>
      <c r="C3400" s="28">
        <v>5691061</v>
      </c>
      <c r="D3400" s="28"/>
      <c r="E3400" s="41">
        <v>46171</v>
      </c>
      <c r="F3400" s="47">
        <v>0.61526620370370366</v>
      </c>
      <c r="G3400" s="44">
        <v>6.3</v>
      </c>
      <c r="H3400" s="43" t="s">
        <v>227</v>
      </c>
      <c r="I3400" s="40" t="s">
        <v>1300</v>
      </c>
    </row>
    <row r="3401" spans="1:9" x14ac:dyDescent="0.2">
      <c r="A3401" s="40" t="s">
        <v>339</v>
      </c>
      <c r="B3401" s="28">
        <v>3917</v>
      </c>
      <c r="C3401" s="28">
        <v>5693418</v>
      </c>
      <c r="D3401" s="28" t="s">
        <v>37</v>
      </c>
      <c r="E3401" s="41">
        <v>46172</v>
      </c>
      <c r="F3401" s="47">
        <v>0.48114583333333333</v>
      </c>
      <c r="G3401" s="44">
        <v>6.3</v>
      </c>
      <c r="H3401" s="43" t="s">
        <v>230</v>
      </c>
      <c r="I3401" s="40" t="s">
        <v>1300</v>
      </c>
    </row>
    <row r="3402" spans="1:9" x14ac:dyDescent="0.2">
      <c r="A3402" s="40" t="s">
        <v>339</v>
      </c>
      <c r="B3402" s="28">
        <v>3917</v>
      </c>
      <c r="C3402" s="28">
        <v>5694550</v>
      </c>
      <c r="D3402" s="28"/>
      <c r="E3402" s="41">
        <v>46172</v>
      </c>
      <c r="F3402" s="47">
        <v>0.73478009259259258</v>
      </c>
      <c r="G3402" s="44">
        <v>6.3</v>
      </c>
      <c r="H3402" s="43" t="s">
        <v>229</v>
      </c>
      <c r="I3402" s="40" t="s">
        <v>1300</v>
      </c>
    </row>
    <row r="3403" spans="1:9" x14ac:dyDescent="0.2">
      <c r="A3403" s="40" t="s">
        <v>1044</v>
      </c>
      <c r="B3403" s="28">
        <v>3922</v>
      </c>
      <c r="C3403" s="28" t="s">
        <v>1045</v>
      </c>
      <c r="D3403" s="28"/>
      <c r="E3403" s="41">
        <v>46173</v>
      </c>
      <c r="F3403" s="47">
        <v>2.8599537037037038E-2</v>
      </c>
      <c r="G3403" s="44">
        <v>6.3</v>
      </c>
      <c r="H3403" s="43" t="s">
        <v>228</v>
      </c>
      <c r="I3403" s="40" t="s">
        <v>1300</v>
      </c>
    </row>
    <row r="3404" spans="1:9" x14ac:dyDescent="0.2">
      <c r="A3404" s="40" t="s">
        <v>1044</v>
      </c>
      <c r="B3404" s="28">
        <v>3922</v>
      </c>
      <c r="C3404" s="28" t="s">
        <v>1045</v>
      </c>
      <c r="D3404" s="28"/>
      <c r="E3404" s="41">
        <v>46173</v>
      </c>
      <c r="F3404" s="47">
        <v>3.4942129629629629E-2</v>
      </c>
      <c r="G3404" s="44">
        <v>6.3</v>
      </c>
      <c r="H3404" s="43" t="s">
        <v>232</v>
      </c>
      <c r="I3404" s="40" t="s">
        <v>1300</v>
      </c>
    </row>
    <row r="3405" spans="1:9" x14ac:dyDescent="0.2">
      <c r="A3405" s="40" t="s">
        <v>382</v>
      </c>
      <c r="B3405" s="28">
        <v>3924</v>
      </c>
      <c r="C3405" s="28">
        <v>5684493</v>
      </c>
      <c r="D3405" s="28"/>
      <c r="E3405" s="41">
        <v>46167</v>
      </c>
      <c r="F3405" s="47">
        <v>0.51363425925925921</v>
      </c>
      <c r="G3405" s="44">
        <v>6.3</v>
      </c>
      <c r="H3405" s="43" t="s">
        <v>226</v>
      </c>
      <c r="I3405" s="40" t="s">
        <v>1300</v>
      </c>
    </row>
    <row r="3406" spans="1:9" x14ac:dyDescent="0.2">
      <c r="A3406" s="40" t="s">
        <v>382</v>
      </c>
      <c r="B3406" s="28">
        <v>3924</v>
      </c>
      <c r="C3406" s="28">
        <v>5684493</v>
      </c>
      <c r="D3406" s="28"/>
      <c r="E3406" s="41">
        <v>46167</v>
      </c>
      <c r="F3406" s="47">
        <v>0.51946759259259256</v>
      </c>
      <c r="G3406" s="44">
        <v>6.3</v>
      </c>
      <c r="H3406" s="43" t="s">
        <v>227</v>
      </c>
      <c r="I3406" s="40" t="s">
        <v>1300</v>
      </c>
    </row>
    <row r="3407" spans="1:9" x14ac:dyDescent="0.2">
      <c r="A3407" s="40" t="s">
        <v>382</v>
      </c>
      <c r="B3407" s="28">
        <v>3924</v>
      </c>
      <c r="C3407" s="28">
        <v>5684462</v>
      </c>
      <c r="D3407" s="28"/>
      <c r="E3407" s="41">
        <v>46167</v>
      </c>
      <c r="F3407" s="47">
        <v>0.60091435185185182</v>
      </c>
      <c r="G3407" s="42">
        <v>6.3</v>
      </c>
      <c r="H3407" s="40" t="s">
        <v>228</v>
      </c>
      <c r="I3407" s="40" t="s">
        <v>1300</v>
      </c>
    </row>
    <row r="3408" spans="1:9" x14ac:dyDescent="0.2">
      <c r="A3408" s="40" t="s">
        <v>382</v>
      </c>
      <c r="B3408" s="28">
        <v>3924</v>
      </c>
      <c r="C3408" s="28">
        <v>5684462</v>
      </c>
      <c r="D3408" s="28"/>
      <c r="E3408" s="41">
        <v>46167</v>
      </c>
      <c r="F3408" s="47">
        <v>0.61253472222222227</v>
      </c>
      <c r="G3408" s="42">
        <v>6.3</v>
      </c>
      <c r="H3408" s="40" t="s">
        <v>229</v>
      </c>
      <c r="I3408" s="40" t="s">
        <v>1300</v>
      </c>
    </row>
    <row r="3409" spans="1:9" x14ac:dyDescent="0.2">
      <c r="A3409" s="40" t="s">
        <v>382</v>
      </c>
      <c r="B3409" s="28">
        <v>3924</v>
      </c>
      <c r="C3409" s="28">
        <v>5684881</v>
      </c>
      <c r="D3409" s="28"/>
      <c r="E3409" s="41">
        <v>46167</v>
      </c>
      <c r="F3409" s="47">
        <v>0.83429398148148148</v>
      </c>
      <c r="G3409" s="44">
        <v>6.3</v>
      </c>
      <c r="H3409" s="43" t="s">
        <v>228</v>
      </c>
      <c r="I3409" s="40" t="s">
        <v>1300</v>
      </c>
    </row>
    <row r="3410" spans="1:9" x14ac:dyDescent="0.2">
      <c r="A3410" s="40" t="s">
        <v>382</v>
      </c>
      <c r="B3410" s="28">
        <v>3924</v>
      </c>
      <c r="C3410" s="28">
        <v>5684881</v>
      </c>
      <c r="D3410" s="28"/>
      <c r="E3410" s="41">
        <v>46167</v>
      </c>
      <c r="F3410" s="47">
        <v>0.84545138888888893</v>
      </c>
      <c r="G3410" s="44">
        <v>6.3</v>
      </c>
      <c r="H3410" s="43" t="s">
        <v>229</v>
      </c>
      <c r="I3410" s="40" t="s">
        <v>1300</v>
      </c>
    </row>
    <row r="3411" spans="1:9" x14ac:dyDescent="0.2">
      <c r="A3411" s="40" t="s">
        <v>382</v>
      </c>
      <c r="B3411" s="28">
        <v>3924</v>
      </c>
      <c r="C3411" s="28">
        <v>5684533</v>
      </c>
      <c r="D3411" s="28"/>
      <c r="E3411" s="41">
        <v>46167</v>
      </c>
      <c r="F3411" s="47">
        <v>0.87844907407407402</v>
      </c>
      <c r="G3411" s="44">
        <v>6.3</v>
      </c>
      <c r="H3411" s="43" t="s">
        <v>227</v>
      </c>
      <c r="I3411" s="40" t="s">
        <v>1300</v>
      </c>
    </row>
    <row r="3412" spans="1:9" x14ac:dyDescent="0.2">
      <c r="A3412" s="40" t="s">
        <v>382</v>
      </c>
      <c r="B3412" s="28">
        <v>3924</v>
      </c>
      <c r="C3412" s="28">
        <v>5684501</v>
      </c>
      <c r="D3412" s="28" t="s">
        <v>36</v>
      </c>
      <c r="E3412" s="45">
        <v>46167</v>
      </c>
      <c r="F3412" s="48">
        <v>0.98908564814814814</v>
      </c>
      <c r="G3412" s="44">
        <v>6.3</v>
      </c>
      <c r="H3412" s="43" t="s">
        <v>228</v>
      </c>
      <c r="I3412" s="40" t="s">
        <v>1300</v>
      </c>
    </row>
    <row r="3413" spans="1:9" x14ac:dyDescent="0.2">
      <c r="A3413" s="40" t="s">
        <v>382</v>
      </c>
      <c r="B3413" s="28">
        <v>3924</v>
      </c>
      <c r="C3413" s="28">
        <v>5684501</v>
      </c>
      <c r="D3413" s="28" t="s">
        <v>36</v>
      </c>
      <c r="E3413" s="41">
        <v>46167</v>
      </c>
      <c r="F3413" s="47">
        <v>0.99671296296296297</v>
      </c>
      <c r="G3413" s="44">
        <v>6.3</v>
      </c>
      <c r="H3413" s="43" t="s">
        <v>232</v>
      </c>
      <c r="I3413" s="40" t="s">
        <v>1300</v>
      </c>
    </row>
    <row r="3414" spans="1:9" x14ac:dyDescent="0.2">
      <c r="A3414" s="40" t="s">
        <v>382</v>
      </c>
      <c r="B3414" s="28">
        <v>3924</v>
      </c>
      <c r="C3414" s="28">
        <v>5686013</v>
      </c>
      <c r="D3414" s="28"/>
      <c r="E3414" s="41">
        <v>46168</v>
      </c>
      <c r="F3414" s="47">
        <v>0.55237268518518523</v>
      </c>
      <c r="G3414" s="44">
        <v>6.3</v>
      </c>
      <c r="H3414" s="43" t="s">
        <v>230</v>
      </c>
      <c r="I3414" s="40" t="s">
        <v>1300</v>
      </c>
    </row>
    <row r="3415" spans="1:9" x14ac:dyDescent="0.2">
      <c r="A3415" s="40" t="s">
        <v>382</v>
      </c>
      <c r="B3415" s="28">
        <v>3924</v>
      </c>
      <c r="C3415" s="28">
        <v>5686013</v>
      </c>
      <c r="D3415" s="28"/>
      <c r="E3415" s="41">
        <v>46168</v>
      </c>
      <c r="F3415" s="47">
        <v>0.55825231481481485</v>
      </c>
      <c r="G3415" s="44">
        <v>6.3</v>
      </c>
      <c r="H3415" s="43" t="s">
        <v>227</v>
      </c>
      <c r="I3415" s="40" t="s">
        <v>1300</v>
      </c>
    </row>
    <row r="3416" spans="1:9" x14ac:dyDescent="0.2">
      <c r="A3416" s="40" t="s">
        <v>382</v>
      </c>
      <c r="B3416" s="28">
        <v>3924</v>
      </c>
      <c r="C3416" s="28">
        <v>5686684</v>
      </c>
      <c r="D3416" s="28"/>
      <c r="E3416" s="41">
        <v>46168</v>
      </c>
      <c r="F3416" s="47">
        <v>0.73954861111111114</v>
      </c>
      <c r="G3416" s="44">
        <v>6.3</v>
      </c>
      <c r="H3416" s="43" t="s">
        <v>230</v>
      </c>
      <c r="I3416" s="40" t="s">
        <v>1300</v>
      </c>
    </row>
    <row r="3417" spans="1:9" x14ac:dyDescent="0.2">
      <c r="A3417" s="40" t="s">
        <v>382</v>
      </c>
      <c r="B3417" s="28">
        <v>3924</v>
      </c>
      <c r="C3417" s="28">
        <v>5686684</v>
      </c>
      <c r="D3417" s="28"/>
      <c r="E3417" s="41">
        <v>46168</v>
      </c>
      <c r="F3417" s="47">
        <v>0.7520486111111111</v>
      </c>
      <c r="G3417" s="44">
        <v>6.3</v>
      </c>
      <c r="H3417" s="43" t="s">
        <v>227</v>
      </c>
      <c r="I3417" s="40" t="s">
        <v>1300</v>
      </c>
    </row>
    <row r="3418" spans="1:9" x14ac:dyDescent="0.2">
      <c r="A3418" s="40" t="s">
        <v>382</v>
      </c>
      <c r="B3418" s="28">
        <v>3924</v>
      </c>
      <c r="C3418" s="28" t="s">
        <v>35</v>
      </c>
      <c r="D3418" s="28" t="s">
        <v>38</v>
      </c>
      <c r="E3418" s="45">
        <v>46169</v>
      </c>
      <c r="F3418" s="48">
        <v>0.62019675925925921</v>
      </c>
      <c r="G3418" s="44">
        <v>6.3</v>
      </c>
      <c r="H3418" s="43" t="s">
        <v>230</v>
      </c>
      <c r="I3418" s="40" t="s">
        <v>1300</v>
      </c>
    </row>
    <row r="3419" spans="1:9" x14ac:dyDescent="0.2">
      <c r="A3419" s="40" t="s">
        <v>382</v>
      </c>
      <c r="B3419" s="28">
        <v>3924</v>
      </c>
      <c r="C3419" s="28" t="s">
        <v>35</v>
      </c>
      <c r="D3419" s="28" t="s">
        <v>38</v>
      </c>
      <c r="E3419" s="41">
        <v>46169</v>
      </c>
      <c r="F3419" s="47">
        <v>0.62692129629629634</v>
      </c>
      <c r="G3419" s="44">
        <v>6.3</v>
      </c>
      <c r="H3419" s="43" t="s">
        <v>227</v>
      </c>
      <c r="I3419" s="40" t="s">
        <v>1300</v>
      </c>
    </row>
    <row r="3420" spans="1:9" x14ac:dyDescent="0.2">
      <c r="A3420" s="40" t="s">
        <v>382</v>
      </c>
      <c r="B3420" s="28">
        <v>3924</v>
      </c>
      <c r="C3420" s="28" t="s">
        <v>35</v>
      </c>
      <c r="D3420" s="28" t="s">
        <v>38</v>
      </c>
      <c r="E3420" s="41">
        <v>46169</v>
      </c>
      <c r="F3420" s="47">
        <v>0.65643518518518518</v>
      </c>
      <c r="G3420" s="44">
        <v>6.3</v>
      </c>
      <c r="H3420" s="43" t="s">
        <v>228</v>
      </c>
      <c r="I3420" s="40" t="s">
        <v>1300</v>
      </c>
    </row>
    <row r="3421" spans="1:9" x14ac:dyDescent="0.2">
      <c r="A3421" s="40" t="s">
        <v>382</v>
      </c>
      <c r="B3421" s="28">
        <v>3924</v>
      </c>
      <c r="C3421" s="28">
        <v>5692156</v>
      </c>
      <c r="D3421" s="28"/>
      <c r="E3421" s="41">
        <v>46171</v>
      </c>
      <c r="F3421" s="47">
        <v>0.81966435185185182</v>
      </c>
      <c r="G3421" s="44">
        <v>6.3</v>
      </c>
      <c r="H3421" s="43" t="s">
        <v>230</v>
      </c>
      <c r="I3421" s="40" t="s">
        <v>1300</v>
      </c>
    </row>
    <row r="3422" spans="1:9" x14ac:dyDescent="0.2">
      <c r="A3422" s="40" t="s">
        <v>382</v>
      </c>
      <c r="B3422" s="28">
        <v>3924</v>
      </c>
      <c r="C3422" s="28">
        <v>5692156</v>
      </c>
      <c r="D3422" s="28"/>
      <c r="E3422" s="41">
        <v>46171</v>
      </c>
      <c r="F3422" s="47">
        <v>0.85297453703703707</v>
      </c>
      <c r="G3422" s="44">
        <v>6.3</v>
      </c>
      <c r="H3422" s="43" t="s">
        <v>227</v>
      </c>
      <c r="I3422" s="40" t="s">
        <v>1300</v>
      </c>
    </row>
    <row r="3423" spans="1:9" x14ac:dyDescent="0.2">
      <c r="A3423" s="40" t="s">
        <v>382</v>
      </c>
      <c r="B3423" s="28">
        <v>3924</v>
      </c>
      <c r="C3423" s="28">
        <v>5693335</v>
      </c>
      <c r="D3423" s="28"/>
      <c r="E3423" s="41">
        <v>46172</v>
      </c>
      <c r="F3423" s="47">
        <v>0.55990740740740741</v>
      </c>
      <c r="G3423" s="44">
        <v>6.3</v>
      </c>
      <c r="H3423" s="43" t="s">
        <v>230</v>
      </c>
      <c r="I3423" s="40" t="s">
        <v>1300</v>
      </c>
    </row>
    <row r="3424" spans="1:9" x14ac:dyDescent="0.2">
      <c r="A3424" s="40" t="s">
        <v>382</v>
      </c>
      <c r="B3424" s="28">
        <v>3924</v>
      </c>
      <c r="C3424" s="28">
        <v>5693335</v>
      </c>
      <c r="D3424" s="28"/>
      <c r="E3424" s="41">
        <v>46172</v>
      </c>
      <c r="F3424" s="47">
        <v>0.59004629629629635</v>
      </c>
      <c r="G3424" s="42">
        <v>6.3</v>
      </c>
      <c r="H3424" s="40" t="s">
        <v>227</v>
      </c>
      <c r="I3424" s="40" t="s">
        <v>1300</v>
      </c>
    </row>
    <row r="3425" spans="1:9" x14ac:dyDescent="0.2">
      <c r="A3425" s="40" t="s">
        <v>382</v>
      </c>
      <c r="B3425" s="28">
        <v>3924</v>
      </c>
      <c r="C3425" s="28">
        <v>5693331</v>
      </c>
      <c r="D3425" s="28"/>
      <c r="E3425" s="41">
        <v>46172</v>
      </c>
      <c r="F3425" s="47">
        <v>0.92979166666666668</v>
      </c>
      <c r="G3425" s="42">
        <v>6.3</v>
      </c>
      <c r="H3425" s="40" t="s">
        <v>228</v>
      </c>
      <c r="I3425" s="40" t="s">
        <v>1300</v>
      </c>
    </row>
    <row r="3426" spans="1:9" x14ac:dyDescent="0.2">
      <c r="A3426" s="40" t="s">
        <v>382</v>
      </c>
      <c r="B3426" s="28">
        <v>3924</v>
      </c>
      <c r="C3426" s="28">
        <v>5693331</v>
      </c>
      <c r="D3426" s="28"/>
      <c r="E3426" s="41">
        <v>46172</v>
      </c>
      <c r="F3426" s="47">
        <v>0.93807870370370372</v>
      </c>
      <c r="G3426" s="42">
        <v>6.3</v>
      </c>
      <c r="H3426" s="40" t="s">
        <v>229</v>
      </c>
      <c r="I3426" s="40" t="s">
        <v>1300</v>
      </c>
    </row>
    <row r="3427" spans="1:9" x14ac:dyDescent="0.2">
      <c r="A3427" s="40" t="s">
        <v>317</v>
      </c>
      <c r="B3427" s="28">
        <v>3934</v>
      </c>
      <c r="C3427" s="28">
        <v>5684879</v>
      </c>
      <c r="D3427" s="28"/>
      <c r="E3427" s="41">
        <v>46167</v>
      </c>
      <c r="F3427" s="47">
        <v>0.28643518518518518</v>
      </c>
      <c r="G3427" s="44">
        <v>6.3</v>
      </c>
      <c r="H3427" s="43" t="s">
        <v>230</v>
      </c>
      <c r="I3427" s="40" t="s">
        <v>1300</v>
      </c>
    </row>
    <row r="3428" spans="1:9" x14ac:dyDescent="0.2">
      <c r="A3428" s="40" t="s">
        <v>317</v>
      </c>
      <c r="B3428" s="28">
        <v>3934</v>
      </c>
      <c r="C3428" s="28" t="s">
        <v>1046</v>
      </c>
      <c r="D3428" s="28" t="s">
        <v>36</v>
      </c>
      <c r="E3428" s="41">
        <v>46167</v>
      </c>
      <c r="F3428" s="47">
        <v>0.29303240740740738</v>
      </c>
      <c r="G3428" s="44">
        <v>6.3</v>
      </c>
      <c r="H3428" s="43" t="s">
        <v>227</v>
      </c>
      <c r="I3428" s="40" t="s">
        <v>1300</v>
      </c>
    </row>
    <row r="3429" spans="1:9" x14ac:dyDescent="0.2">
      <c r="A3429" s="40" t="s">
        <v>317</v>
      </c>
      <c r="B3429" s="28">
        <v>3934</v>
      </c>
      <c r="C3429" s="28">
        <v>10736233</v>
      </c>
      <c r="D3429" s="28" t="s">
        <v>36</v>
      </c>
      <c r="E3429" s="41">
        <v>46167</v>
      </c>
      <c r="F3429" s="47">
        <v>0.59015046296296292</v>
      </c>
      <c r="G3429" s="44">
        <v>6.3</v>
      </c>
      <c r="H3429" s="43" t="s">
        <v>228</v>
      </c>
      <c r="I3429" s="40" t="s">
        <v>1300</v>
      </c>
    </row>
    <row r="3430" spans="1:9" x14ac:dyDescent="0.2">
      <c r="A3430" s="40" t="s">
        <v>317</v>
      </c>
      <c r="B3430" s="28">
        <v>3934</v>
      </c>
      <c r="C3430" s="28">
        <v>10736233</v>
      </c>
      <c r="D3430" s="28" t="s">
        <v>36</v>
      </c>
      <c r="E3430" s="45">
        <v>46167</v>
      </c>
      <c r="F3430" s="48">
        <v>0.60035879629629629</v>
      </c>
      <c r="G3430" s="44">
        <v>6.3</v>
      </c>
      <c r="H3430" s="43" t="s">
        <v>229</v>
      </c>
      <c r="I3430" s="40" t="s">
        <v>1300</v>
      </c>
    </row>
    <row r="3431" spans="1:9" x14ac:dyDescent="0.2">
      <c r="A3431" s="40" t="s">
        <v>317</v>
      </c>
      <c r="B3431" s="28">
        <v>3934</v>
      </c>
      <c r="C3431" s="28" t="s">
        <v>1047</v>
      </c>
      <c r="D3431" s="28"/>
      <c r="E3431" s="41">
        <v>46170</v>
      </c>
      <c r="F3431" s="47">
        <v>0.3548263888888889</v>
      </c>
      <c r="G3431" s="44">
        <v>6.3</v>
      </c>
      <c r="H3431" s="43" t="s">
        <v>229</v>
      </c>
      <c r="I3431" s="40" t="s">
        <v>1300</v>
      </c>
    </row>
    <row r="3432" spans="1:9" x14ac:dyDescent="0.2">
      <c r="A3432" s="40" t="s">
        <v>317</v>
      </c>
      <c r="B3432" s="28">
        <v>3934</v>
      </c>
      <c r="C3432" s="28" t="s">
        <v>1048</v>
      </c>
      <c r="D3432" s="28"/>
      <c r="E3432" s="41">
        <v>46171</v>
      </c>
      <c r="F3432" s="47">
        <v>0.48863425925925924</v>
      </c>
      <c r="G3432" s="44">
        <v>6.3</v>
      </c>
      <c r="H3432" s="43" t="s">
        <v>228</v>
      </c>
      <c r="I3432" s="40" t="s">
        <v>1300</v>
      </c>
    </row>
    <row r="3433" spans="1:9" x14ac:dyDescent="0.2">
      <c r="A3433" s="40" t="s">
        <v>317</v>
      </c>
      <c r="B3433" s="28">
        <v>3934</v>
      </c>
      <c r="C3433" s="28" t="s">
        <v>1048</v>
      </c>
      <c r="D3433" s="28"/>
      <c r="E3433" s="41">
        <v>46171</v>
      </c>
      <c r="F3433" s="47">
        <v>0.50671296296296298</v>
      </c>
      <c r="G3433" s="44">
        <v>6.3</v>
      </c>
      <c r="H3433" s="43" t="s">
        <v>229</v>
      </c>
      <c r="I3433" s="40" t="s">
        <v>1300</v>
      </c>
    </row>
    <row r="3434" spans="1:9" x14ac:dyDescent="0.2">
      <c r="A3434" s="40" t="s">
        <v>317</v>
      </c>
      <c r="B3434" s="28">
        <v>3934</v>
      </c>
      <c r="C3434" s="28" t="s">
        <v>1049</v>
      </c>
      <c r="D3434" s="28"/>
      <c r="E3434" s="41">
        <v>46171</v>
      </c>
      <c r="F3434" s="47">
        <v>0.54949074074074078</v>
      </c>
      <c r="G3434" s="44">
        <v>6.3</v>
      </c>
      <c r="H3434" s="43" t="s">
        <v>230</v>
      </c>
      <c r="I3434" s="40" t="s">
        <v>1300</v>
      </c>
    </row>
    <row r="3435" spans="1:9" x14ac:dyDescent="0.2">
      <c r="A3435" s="40" t="s">
        <v>317</v>
      </c>
      <c r="B3435" s="28">
        <v>3934</v>
      </c>
      <c r="C3435" s="28" t="s">
        <v>1049</v>
      </c>
      <c r="D3435" s="28"/>
      <c r="E3435" s="41">
        <v>46171</v>
      </c>
      <c r="F3435" s="47">
        <v>0.55961805555555555</v>
      </c>
      <c r="G3435" s="44">
        <v>6.3</v>
      </c>
      <c r="H3435" s="43" t="s">
        <v>227</v>
      </c>
      <c r="I3435" s="40" t="s">
        <v>1300</v>
      </c>
    </row>
    <row r="3436" spans="1:9" x14ac:dyDescent="0.2">
      <c r="A3436" s="40" t="s">
        <v>317</v>
      </c>
      <c r="B3436" s="28">
        <v>3934</v>
      </c>
      <c r="C3436" s="28" t="s">
        <v>1050</v>
      </c>
      <c r="D3436" s="28"/>
      <c r="E3436" s="45">
        <v>46171</v>
      </c>
      <c r="F3436" s="48">
        <v>0.67016203703703703</v>
      </c>
      <c r="G3436" s="44">
        <v>6.3</v>
      </c>
      <c r="H3436" s="43" t="s">
        <v>228</v>
      </c>
      <c r="I3436" s="40" t="s">
        <v>1300</v>
      </c>
    </row>
    <row r="3437" spans="1:9" x14ac:dyDescent="0.2">
      <c r="A3437" s="40" t="s">
        <v>317</v>
      </c>
      <c r="B3437" s="28">
        <v>3934</v>
      </c>
      <c r="C3437" s="28" t="s">
        <v>1050</v>
      </c>
      <c r="D3437" s="28"/>
      <c r="E3437" s="41">
        <v>46171</v>
      </c>
      <c r="F3437" s="47">
        <v>0.6827199074074074</v>
      </c>
      <c r="G3437" s="44">
        <v>6.3</v>
      </c>
      <c r="H3437" s="43" t="s">
        <v>229</v>
      </c>
      <c r="I3437" s="40" t="s">
        <v>1300</v>
      </c>
    </row>
    <row r="3438" spans="1:9" x14ac:dyDescent="0.2">
      <c r="A3438" s="40" t="s">
        <v>311</v>
      </c>
      <c r="B3438" s="28">
        <v>3938</v>
      </c>
      <c r="C3438" s="28" t="s">
        <v>1051</v>
      </c>
      <c r="D3438" s="28"/>
      <c r="E3438" s="41">
        <v>46170</v>
      </c>
      <c r="F3438" s="47">
        <v>0.47787037037037039</v>
      </c>
      <c r="G3438" s="44">
        <v>6.3</v>
      </c>
      <c r="H3438" s="43" t="s">
        <v>228</v>
      </c>
      <c r="I3438" s="40" t="s">
        <v>1300</v>
      </c>
    </row>
    <row r="3439" spans="1:9" x14ac:dyDescent="0.2">
      <c r="A3439" s="40" t="s">
        <v>311</v>
      </c>
      <c r="B3439" s="28">
        <v>3938</v>
      </c>
      <c r="C3439" s="28" t="s">
        <v>1051</v>
      </c>
      <c r="D3439" s="28"/>
      <c r="E3439" s="41">
        <v>46170</v>
      </c>
      <c r="F3439" s="47">
        <v>0.48613425925925924</v>
      </c>
      <c r="G3439" s="44">
        <v>6.3</v>
      </c>
      <c r="H3439" s="43" t="s">
        <v>229</v>
      </c>
      <c r="I3439" s="40" t="s">
        <v>1300</v>
      </c>
    </row>
    <row r="3440" spans="1:9" x14ac:dyDescent="0.2">
      <c r="A3440" s="40" t="s">
        <v>311</v>
      </c>
      <c r="B3440" s="28">
        <v>3938</v>
      </c>
      <c r="C3440" s="28">
        <v>5689851</v>
      </c>
      <c r="D3440" s="28"/>
      <c r="E3440" s="41">
        <v>46170</v>
      </c>
      <c r="F3440" s="47">
        <v>0.55496527777777782</v>
      </c>
      <c r="G3440" s="42">
        <v>6.3</v>
      </c>
      <c r="H3440" s="40" t="s">
        <v>230</v>
      </c>
      <c r="I3440" s="40" t="s">
        <v>1300</v>
      </c>
    </row>
    <row r="3441" spans="1:9" x14ac:dyDescent="0.2">
      <c r="A3441" s="40" t="s">
        <v>311</v>
      </c>
      <c r="B3441" s="28">
        <v>3938</v>
      </c>
      <c r="C3441" s="28" t="s">
        <v>1052</v>
      </c>
      <c r="D3441" s="28"/>
      <c r="E3441" s="41">
        <v>46172</v>
      </c>
      <c r="F3441" s="47">
        <v>0.32087962962962963</v>
      </c>
      <c r="G3441" s="42">
        <v>6.3</v>
      </c>
      <c r="H3441" s="40" t="s">
        <v>228</v>
      </c>
      <c r="I3441" s="40" t="s">
        <v>1300</v>
      </c>
    </row>
    <row r="3442" spans="1:9" x14ac:dyDescent="0.2">
      <c r="A3442" s="40" t="s">
        <v>311</v>
      </c>
      <c r="B3442" s="28">
        <v>3938</v>
      </c>
      <c r="C3442" s="28" t="s">
        <v>1052</v>
      </c>
      <c r="D3442" s="28"/>
      <c r="E3442" s="41">
        <v>46172</v>
      </c>
      <c r="F3442" s="47">
        <v>0.33128472222222222</v>
      </c>
      <c r="G3442" s="44">
        <v>6.3</v>
      </c>
      <c r="H3442" s="43" t="s">
        <v>229</v>
      </c>
      <c r="I3442" s="40" t="s">
        <v>1300</v>
      </c>
    </row>
    <row r="3443" spans="1:9" x14ac:dyDescent="0.2">
      <c r="A3443" s="40" t="s">
        <v>387</v>
      </c>
      <c r="B3443" s="28">
        <v>3939</v>
      </c>
      <c r="C3443" s="28" t="s">
        <v>1053</v>
      </c>
      <c r="D3443" s="28"/>
      <c r="E3443" s="41">
        <v>46168</v>
      </c>
      <c r="F3443" s="47">
        <v>0.42734953703703704</v>
      </c>
      <c r="G3443" s="44">
        <v>6.3</v>
      </c>
      <c r="H3443" s="43" t="s">
        <v>228</v>
      </c>
      <c r="I3443" s="40" t="s">
        <v>1300</v>
      </c>
    </row>
    <row r="3444" spans="1:9" x14ac:dyDescent="0.2">
      <c r="A3444" s="40" t="s">
        <v>387</v>
      </c>
      <c r="B3444" s="28">
        <v>3939</v>
      </c>
      <c r="C3444" s="28" t="s">
        <v>1053</v>
      </c>
      <c r="D3444" s="28"/>
      <c r="E3444" s="41">
        <v>46168</v>
      </c>
      <c r="F3444" s="47">
        <v>0.43916666666666665</v>
      </c>
      <c r="G3444" s="44">
        <v>6.3</v>
      </c>
      <c r="H3444" s="43" t="s">
        <v>229</v>
      </c>
      <c r="I3444" s="40" t="s">
        <v>1300</v>
      </c>
    </row>
    <row r="3445" spans="1:9" x14ac:dyDescent="0.2">
      <c r="A3445" s="40" t="s">
        <v>387</v>
      </c>
      <c r="B3445" s="28">
        <v>3939</v>
      </c>
      <c r="C3445" s="28" t="s">
        <v>1054</v>
      </c>
      <c r="D3445" s="28"/>
      <c r="E3445" s="41">
        <v>46169</v>
      </c>
      <c r="F3445" s="47">
        <v>0.8931365740740741</v>
      </c>
      <c r="G3445" s="44">
        <v>6.3</v>
      </c>
      <c r="H3445" s="43" t="s">
        <v>228</v>
      </c>
      <c r="I3445" s="40" t="s">
        <v>1300</v>
      </c>
    </row>
    <row r="3446" spans="1:9" x14ac:dyDescent="0.2">
      <c r="A3446" s="40" t="s">
        <v>387</v>
      </c>
      <c r="B3446" s="28">
        <v>3939</v>
      </c>
      <c r="C3446" s="28" t="s">
        <v>1054</v>
      </c>
      <c r="D3446" s="28"/>
      <c r="E3446" s="41">
        <v>46169</v>
      </c>
      <c r="F3446" s="47">
        <v>0.89990740740740738</v>
      </c>
      <c r="G3446" s="44">
        <v>6.3</v>
      </c>
      <c r="H3446" s="43" t="s">
        <v>229</v>
      </c>
      <c r="I3446" s="40" t="s">
        <v>1300</v>
      </c>
    </row>
    <row r="3447" spans="1:9" x14ac:dyDescent="0.2">
      <c r="A3447" s="40" t="s">
        <v>387</v>
      </c>
      <c r="B3447" s="28">
        <v>3939</v>
      </c>
      <c r="C3447" s="28" t="s">
        <v>1055</v>
      </c>
      <c r="D3447" s="28"/>
      <c r="E3447" s="41">
        <v>46170</v>
      </c>
      <c r="F3447" s="47">
        <v>0.68923611111111116</v>
      </c>
      <c r="G3447" s="44">
        <v>6.3</v>
      </c>
      <c r="H3447" s="43" t="s">
        <v>228</v>
      </c>
      <c r="I3447" s="40" t="s">
        <v>1300</v>
      </c>
    </row>
    <row r="3448" spans="1:9" x14ac:dyDescent="0.2">
      <c r="A3448" s="40" t="s">
        <v>387</v>
      </c>
      <c r="B3448" s="28">
        <v>3939</v>
      </c>
      <c r="C3448" s="28" t="s">
        <v>1055</v>
      </c>
      <c r="D3448" s="28"/>
      <c r="E3448" s="45">
        <v>46170</v>
      </c>
      <c r="F3448" s="48">
        <v>0.70349537037037035</v>
      </c>
      <c r="G3448" s="44">
        <v>6.3</v>
      </c>
      <c r="H3448" s="43" t="s">
        <v>229</v>
      </c>
      <c r="I3448" s="40" t="s">
        <v>1300</v>
      </c>
    </row>
    <row r="3449" spans="1:9" x14ac:dyDescent="0.2">
      <c r="A3449" s="40" t="s">
        <v>438</v>
      </c>
      <c r="B3449" s="28">
        <v>3943</v>
      </c>
      <c r="C3449" s="28">
        <v>5687323</v>
      </c>
      <c r="D3449" s="28"/>
      <c r="E3449" s="45">
        <v>46168</v>
      </c>
      <c r="F3449" s="48">
        <v>0.41769675925925925</v>
      </c>
      <c r="G3449" s="44">
        <v>6.3</v>
      </c>
      <c r="H3449" s="43" t="s">
        <v>226</v>
      </c>
      <c r="I3449" s="40" t="s">
        <v>1300</v>
      </c>
    </row>
    <row r="3450" spans="1:9" x14ac:dyDescent="0.2">
      <c r="A3450" s="40" t="s">
        <v>438</v>
      </c>
      <c r="B3450" s="28">
        <v>3943</v>
      </c>
      <c r="C3450" s="28">
        <v>5687323</v>
      </c>
      <c r="D3450" s="28"/>
      <c r="E3450" s="41">
        <v>46168</v>
      </c>
      <c r="F3450" s="47">
        <v>0.42505787037037035</v>
      </c>
      <c r="G3450" s="42">
        <v>6.3</v>
      </c>
      <c r="H3450" s="40" t="s">
        <v>227</v>
      </c>
      <c r="I3450" s="40" t="s">
        <v>1300</v>
      </c>
    </row>
    <row r="3451" spans="1:9" x14ac:dyDescent="0.2">
      <c r="A3451" s="40" t="s">
        <v>438</v>
      </c>
      <c r="B3451" s="28">
        <v>3943</v>
      </c>
      <c r="C3451" s="28" t="s">
        <v>35</v>
      </c>
      <c r="D3451" s="28" t="s">
        <v>38</v>
      </c>
      <c r="E3451" s="45">
        <v>46168</v>
      </c>
      <c r="F3451" s="48">
        <v>0.73146990740740736</v>
      </c>
      <c r="G3451" s="42">
        <v>6.3</v>
      </c>
      <c r="H3451" s="40" t="s">
        <v>235</v>
      </c>
      <c r="I3451" s="40" t="s">
        <v>1300</v>
      </c>
    </row>
    <row r="3452" spans="1:9" x14ac:dyDescent="0.2">
      <c r="A3452" s="40" t="s">
        <v>438</v>
      </c>
      <c r="B3452" s="28">
        <v>3943</v>
      </c>
      <c r="C3452" s="28" t="s">
        <v>35</v>
      </c>
      <c r="D3452" s="28" t="s">
        <v>38</v>
      </c>
      <c r="E3452" s="41">
        <v>46168</v>
      </c>
      <c r="F3452" s="47">
        <v>0.7368055555555556</v>
      </c>
      <c r="G3452" s="42">
        <v>6.3</v>
      </c>
      <c r="H3452" s="40" t="s">
        <v>233</v>
      </c>
      <c r="I3452" s="40" t="s">
        <v>1300</v>
      </c>
    </row>
    <row r="3453" spans="1:9" x14ac:dyDescent="0.2">
      <c r="A3453" s="40" t="s">
        <v>438</v>
      </c>
      <c r="B3453" s="28">
        <v>3943</v>
      </c>
      <c r="C3453" s="28">
        <v>5688124</v>
      </c>
      <c r="D3453" s="28"/>
      <c r="E3453" s="41">
        <v>46168</v>
      </c>
      <c r="F3453" s="47">
        <v>0.76756944444444442</v>
      </c>
      <c r="G3453" s="42">
        <v>6.3</v>
      </c>
      <c r="H3453" s="40" t="s">
        <v>229</v>
      </c>
      <c r="I3453" s="40" t="s">
        <v>1300</v>
      </c>
    </row>
    <row r="3454" spans="1:9" x14ac:dyDescent="0.2">
      <c r="A3454" s="40" t="s">
        <v>438</v>
      </c>
      <c r="B3454" s="28">
        <v>3943</v>
      </c>
      <c r="C3454" s="28">
        <v>5690162</v>
      </c>
      <c r="D3454" s="28"/>
      <c r="E3454" s="41">
        <v>46171</v>
      </c>
      <c r="F3454" s="47">
        <v>0.30578703703703702</v>
      </c>
      <c r="G3454" s="42">
        <v>6.3</v>
      </c>
      <c r="H3454" s="40" t="s">
        <v>228</v>
      </c>
      <c r="I3454" s="40" t="s">
        <v>1300</v>
      </c>
    </row>
    <row r="3455" spans="1:9" x14ac:dyDescent="0.2">
      <c r="A3455" s="40" t="s">
        <v>438</v>
      </c>
      <c r="B3455" s="28">
        <v>3943</v>
      </c>
      <c r="C3455" s="28">
        <v>5690162</v>
      </c>
      <c r="D3455" s="28"/>
      <c r="E3455" s="41">
        <v>46171</v>
      </c>
      <c r="F3455" s="47">
        <v>0.31819444444444445</v>
      </c>
      <c r="G3455" s="42">
        <v>6.3</v>
      </c>
      <c r="H3455" s="40" t="s">
        <v>229</v>
      </c>
      <c r="I3455" s="40" t="s">
        <v>1300</v>
      </c>
    </row>
    <row r="3456" spans="1:9" x14ac:dyDescent="0.2">
      <c r="A3456" s="40" t="s">
        <v>438</v>
      </c>
      <c r="B3456" s="28">
        <v>3943</v>
      </c>
      <c r="C3456" s="28">
        <v>5691829</v>
      </c>
      <c r="D3456" s="28"/>
      <c r="E3456" s="41">
        <v>46171</v>
      </c>
      <c r="F3456" s="47">
        <v>0.43256944444444445</v>
      </c>
      <c r="G3456" s="44">
        <v>6.3</v>
      </c>
      <c r="H3456" s="43" t="s">
        <v>231</v>
      </c>
      <c r="I3456" s="40" t="s">
        <v>1300</v>
      </c>
    </row>
    <row r="3457" spans="1:9" x14ac:dyDescent="0.2">
      <c r="A3457" s="40" t="s">
        <v>438</v>
      </c>
      <c r="B3457" s="28">
        <v>3943</v>
      </c>
      <c r="C3457" s="28">
        <v>5691829</v>
      </c>
      <c r="D3457" s="28"/>
      <c r="E3457" s="45">
        <v>46171</v>
      </c>
      <c r="F3457" s="48">
        <v>0.47416666666666668</v>
      </c>
      <c r="G3457" s="44">
        <v>6.3</v>
      </c>
      <c r="H3457" s="43" t="s">
        <v>232</v>
      </c>
      <c r="I3457" s="40" t="s">
        <v>1300</v>
      </c>
    </row>
    <row r="3458" spans="1:9" x14ac:dyDescent="0.2">
      <c r="A3458" s="40" t="s">
        <v>438</v>
      </c>
      <c r="B3458" s="28">
        <v>3943</v>
      </c>
      <c r="C3458" s="28">
        <v>5693249</v>
      </c>
      <c r="D3458" s="28"/>
      <c r="E3458" s="41">
        <v>46171</v>
      </c>
      <c r="F3458" s="47">
        <v>0.69163194444444442</v>
      </c>
      <c r="G3458" s="44">
        <v>6.3</v>
      </c>
      <c r="H3458" s="43" t="s">
        <v>228</v>
      </c>
      <c r="I3458" s="40" t="s">
        <v>1300</v>
      </c>
    </row>
    <row r="3459" spans="1:9" x14ac:dyDescent="0.2">
      <c r="A3459" s="40" t="s">
        <v>438</v>
      </c>
      <c r="B3459" s="28">
        <v>3943</v>
      </c>
      <c r="C3459" s="28" t="s">
        <v>35</v>
      </c>
      <c r="D3459" s="28" t="s">
        <v>38</v>
      </c>
      <c r="E3459" s="41">
        <v>46171</v>
      </c>
      <c r="F3459" s="47">
        <v>0.77557870370370374</v>
      </c>
      <c r="G3459" s="44">
        <v>6.3</v>
      </c>
      <c r="H3459" s="43" t="s">
        <v>230</v>
      </c>
      <c r="I3459" s="40" t="s">
        <v>1300</v>
      </c>
    </row>
    <row r="3460" spans="1:9" x14ac:dyDescent="0.2">
      <c r="A3460" s="40" t="s">
        <v>1056</v>
      </c>
      <c r="B3460" s="28">
        <v>3945</v>
      </c>
      <c r="C3460" s="28" t="s">
        <v>1057</v>
      </c>
      <c r="D3460" s="28"/>
      <c r="E3460" s="41">
        <v>46173</v>
      </c>
      <c r="F3460" s="47">
        <v>0.83071759259259259</v>
      </c>
      <c r="G3460" s="44">
        <v>6.3</v>
      </c>
      <c r="H3460" s="43" t="s">
        <v>228</v>
      </c>
      <c r="I3460" s="40" t="s">
        <v>1300</v>
      </c>
    </row>
    <row r="3461" spans="1:9" x14ac:dyDescent="0.2">
      <c r="A3461" s="40" t="s">
        <v>1056</v>
      </c>
      <c r="B3461" s="28">
        <v>3945</v>
      </c>
      <c r="C3461" s="28">
        <v>5696049</v>
      </c>
      <c r="D3461" s="28"/>
      <c r="E3461" s="45">
        <v>46173</v>
      </c>
      <c r="F3461" s="48">
        <v>0.89225694444444448</v>
      </c>
      <c r="G3461" s="44">
        <v>6.3</v>
      </c>
      <c r="H3461" s="43" t="s">
        <v>230</v>
      </c>
      <c r="I3461" s="40" t="s">
        <v>1300</v>
      </c>
    </row>
    <row r="3462" spans="1:9" x14ac:dyDescent="0.2">
      <c r="A3462" s="40" t="s">
        <v>1056</v>
      </c>
      <c r="B3462" s="28">
        <v>3945</v>
      </c>
      <c r="C3462" s="28">
        <v>5696049</v>
      </c>
      <c r="D3462" s="28"/>
      <c r="E3462" s="41">
        <v>46173</v>
      </c>
      <c r="F3462" s="47">
        <v>0.89752314814814815</v>
      </c>
      <c r="G3462" s="44">
        <v>6.3</v>
      </c>
      <c r="H3462" s="43" t="s">
        <v>227</v>
      </c>
      <c r="I3462" s="40" t="s">
        <v>1300</v>
      </c>
    </row>
    <row r="3463" spans="1:9" x14ac:dyDescent="0.2">
      <c r="A3463" s="40" t="s">
        <v>322</v>
      </c>
      <c r="B3463" s="28">
        <v>3948</v>
      </c>
      <c r="C3463" s="28" t="s">
        <v>1058</v>
      </c>
      <c r="D3463" s="28"/>
      <c r="E3463" s="41">
        <v>46167</v>
      </c>
      <c r="F3463" s="47">
        <v>0.34056712962962965</v>
      </c>
      <c r="G3463" s="44">
        <v>6.3</v>
      </c>
      <c r="H3463" s="43" t="s">
        <v>228</v>
      </c>
      <c r="I3463" s="40" t="s">
        <v>1300</v>
      </c>
    </row>
    <row r="3464" spans="1:9" x14ac:dyDescent="0.2">
      <c r="A3464" s="40" t="s">
        <v>322</v>
      </c>
      <c r="B3464" s="28">
        <v>3948</v>
      </c>
      <c r="C3464" s="28" t="s">
        <v>1059</v>
      </c>
      <c r="D3464" s="28"/>
      <c r="E3464" s="45">
        <v>46167</v>
      </c>
      <c r="F3464" s="48">
        <v>0.40369212962962964</v>
      </c>
      <c r="G3464" s="44">
        <v>6.3</v>
      </c>
      <c r="H3464" s="43" t="s">
        <v>230</v>
      </c>
      <c r="I3464" s="40" t="s">
        <v>1300</v>
      </c>
    </row>
    <row r="3465" spans="1:9" x14ac:dyDescent="0.2">
      <c r="A3465" s="40" t="s">
        <v>322</v>
      </c>
      <c r="B3465" s="28">
        <v>3948</v>
      </c>
      <c r="C3465" s="28" t="s">
        <v>1059</v>
      </c>
      <c r="D3465" s="28"/>
      <c r="E3465" s="45">
        <v>46167</v>
      </c>
      <c r="F3465" s="48">
        <v>0.41199074074074077</v>
      </c>
      <c r="G3465" s="44">
        <v>6.3</v>
      </c>
      <c r="H3465" s="43" t="s">
        <v>227</v>
      </c>
      <c r="I3465" s="40" t="s">
        <v>1300</v>
      </c>
    </row>
    <row r="3466" spans="1:9" x14ac:dyDescent="0.2">
      <c r="A3466" s="40" t="s">
        <v>322</v>
      </c>
      <c r="B3466" s="28">
        <v>3948</v>
      </c>
      <c r="C3466" s="28" t="s">
        <v>1060</v>
      </c>
      <c r="D3466" s="28"/>
      <c r="E3466" s="41">
        <v>46167</v>
      </c>
      <c r="F3466" s="47">
        <v>0.60131944444444441</v>
      </c>
      <c r="G3466" s="44">
        <v>6.3</v>
      </c>
      <c r="H3466" s="43" t="s">
        <v>228</v>
      </c>
      <c r="I3466" s="40" t="s">
        <v>1300</v>
      </c>
    </row>
    <row r="3467" spans="1:9" x14ac:dyDescent="0.2">
      <c r="A3467" s="40" t="s">
        <v>322</v>
      </c>
      <c r="B3467" s="28">
        <v>3948</v>
      </c>
      <c r="C3467" s="28" t="s">
        <v>1060</v>
      </c>
      <c r="D3467" s="28"/>
      <c r="E3467" s="41">
        <v>46167</v>
      </c>
      <c r="F3467" s="47">
        <v>0.61349537037037039</v>
      </c>
      <c r="G3467" s="44">
        <v>6.3</v>
      </c>
      <c r="H3467" s="43" t="s">
        <v>229</v>
      </c>
      <c r="I3467" s="40" t="s">
        <v>1300</v>
      </c>
    </row>
    <row r="3468" spans="1:9" x14ac:dyDescent="0.2">
      <c r="A3468" s="40" t="s">
        <v>322</v>
      </c>
      <c r="B3468" s="28">
        <v>3948</v>
      </c>
      <c r="C3468" s="28" t="s">
        <v>1061</v>
      </c>
      <c r="D3468" s="28"/>
      <c r="E3468" s="45">
        <v>46168</v>
      </c>
      <c r="F3468" s="48">
        <v>0.4289351851851852</v>
      </c>
      <c r="G3468" s="44">
        <v>6.3</v>
      </c>
      <c r="H3468" s="43" t="s">
        <v>230</v>
      </c>
      <c r="I3468" s="40" t="s">
        <v>1300</v>
      </c>
    </row>
    <row r="3469" spans="1:9" x14ac:dyDescent="0.2">
      <c r="A3469" s="40" t="s">
        <v>322</v>
      </c>
      <c r="B3469" s="28">
        <v>3948</v>
      </c>
      <c r="C3469" s="28" t="s">
        <v>1061</v>
      </c>
      <c r="D3469" s="28"/>
      <c r="E3469" s="41">
        <v>46168</v>
      </c>
      <c r="F3469" s="47">
        <v>0.43722222222222223</v>
      </c>
      <c r="G3469" s="44">
        <v>6.3</v>
      </c>
      <c r="H3469" s="43" t="s">
        <v>227</v>
      </c>
      <c r="I3469" s="40" t="s">
        <v>1300</v>
      </c>
    </row>
    <row r="3470" spans="1:9" x14ac:dyDescent="0.2">
      <c r="A3470" s="40" t="s">
        <v>322</v>
      </c>
      <c r="B3470" s="28">
        <v>3948</v>
      </c>
      <c r="C3470" s="28" t="s">
        <v>1062</v>
      </c>
      <c r="D3470" s="28"/>
      <c r="E3470" s="41">
        <v>46172</v>
      </c>
      <c r="F3470" s="47">
        <v>0.58472222222222225</v>
      </c>
      <c r="G3470" s="44">
        <v>6.3</v>
      </c>
      <c r="H3470" s="43" t="s">
        <v>228</v>
      </c>
      <c r="I3470" s="40" t="s">
        <v>1300</v>
      </c>
    </row>
    <row r="3471" spans="1:9" x14ac:dyDescent="0.2">
      <c r="A3471" s="40" t="s">
        <v>322</v>
      </c>
      <c r="B3471" s="28">
        <v>3948</v>
      </c>
      <c r="C3471" s="28" t="s">
        <v>1063</v>
      </c>
      <c r="D3471" s="28"/>
      <c r="E3471" s="41">
        <v>46172</v>
      </c>
      <c r="F3471" s="47">
        <v>0.68343750000000003</v>
      </c>
      <c r="G3471" s="44">
        <v>6.3</v>
      </c>
      <c r="H3471" s="43" t="s">
        <v>231</v>
      </c>
      <c r="I3471" s="40" t="s">
        <v>1300</v>
      </c>
    </row>
    <row r="3472" spans="1:9" x14ac:dyDescent="0.2">
      <c r="A3472" s="40" t="s">
        <v>322</v>
      </c>
      <c r="B3472" s="28">
        <v>3948</v>
      </c>
      <c r="C3472" s="28" t="s">
        <v>1063</v>
      </c>
      <c r="D3472" s="28"/>
      <c r="E3472" s="41">
        <v>46172</v>
      </c>
      <c r="F3472" s="47">
        <v>0.70368055555555553</v>
      </c>
      <c r="G3472" s="44">
        <v>6.3</v>
      </c>
      <c r="H3472" s="43" t="s">
        <v>227</v>
      </c>
      <c r="I3472" s="40" t="s">
        <v>1300</v>
      </c>
    </row>
    <row r="3473" spans="1:9" x14ac:dyDescent="0.2">
      <c r="A3473" s="40" t="s">
        <v>439</v>
      </c>
      <c r="B3473" s="28">
        <v>3951</v>
      </c>
      <c r="C3473" s="28" t="s">
        <v>1064</v>
      </c>
      <c r="D3473" s="28"/>
      <c r="E3473" s="41">
        <v>46171</v>
      </c>
      <c r="F3473" s="47">
        <v>0.24179398148148148</v>
      </c>
      <c r="G3473" s="44">
        <v>6.3</v>
      </c>
      <c r="H3473" s="43" t="s">
        <v>228</v>
      </c>
      <c r="I3473" s="40" t="s">
        <v>1300</v>
      </c>
    </row>
    <row r="3474" spans="1:9" x14ac:dyDescent="0.2">
      <c r="A3474" s="40" t="s">
        <v>439</v>
      </c>
      <c r="B3474" s="28">
        <v>3951</v>
      </c>
      <c r="C3474" s="28" t="s">
        <v>1064</v>
      </c>
      <c r="D3474" s="28"/>
      <c r="E3474" s="41">
        <v>46171</v>
      </c>
      <c r="F3474" s="47">
        <v>0.24929398148148149</v>
      </c>
      <c r="G3474" s="44">
        <v>6.3</v>
      </c>
      <c r="H3474" s="43" t="s">
        <v>232</v>
      </c>
      <c r="I3474" s="40" t="s">
        <v>1300</v>
      </c>
    </row>
    <row r="3475" spans="1:9" x14ac:dyDescent="0.2">
      <c r="A3475" s="40" t="s">
        <v>439</v>
      </c>
      <c r="B3475" s="28">
        <v>3951</v>
      </c>
      <c r="C3475" s="28" t="s">
        <v>1065</v>
      </c>
      <c r="D3475" s="28"/>
      <c r="E3475" s="41">
        <v>46171</v>
      </c>
      <c r="F3475" s="47">
        <v>0.70197916666666671</v>
      </c>
      <c r="G3475" s="44">
        <v>6.3</v>
      </c>
      <c r="H3475" s="43" t="s">
        <v>226</v>
      </c>
      <c r="I3475" s="40" t="s">
        <v>1300</v>
      </c>
    </row>
    <row r="3476" spans="1:9" x14ac:dyDescent="0.2">
      <c r="A3476" s="40" t="s">
        <v>439</v>
      </c>
      <c r="B3476" s="28">
        <v>3951</v>
      </c>
      <c r="C3476" s="28" t="s">
        <v>1065</v>
      </c>
      <c r="D3476" s="28"/>
      <c r="E3476" s="41">
        <v>46171</v>
      </c>
      <c r="F3476" s="47">
        <v>0.72918981481481482</v>
      </c>
      <c r="G3476" s="44">
        <v>6.3</v>
      </c>
      <c r="H3476" s="43" t="s">
        <v>227</v>
      </c>
      <c r="I3476" s="40" t="s">
        <v>1300</v>
      </c>
    </row>
    <row r="3477" spans="1:9" x14ac:dyDescent="0.2">
      <c r="A3477" s="40" t="s">
        <v>439</v>
      </c>
      <c r="B3477" s="28">
        <v>3951</v>
      </c>
      <c r="C3477" s="28" t="s">
        <v>1066</v>
      </c>
      <c r="D3477" s="28"/>
      <c r="E3477" s="41">
        <v>46171</v>
      </c>
      <c r="F3477" s="47">
        <v>0.92269675925925931</v>
      </c>
      <c r="G3477" s="44">
        <v>6.3</v>
      </c>
      <c r="H3477" s="43" t="s">
        <v>227</v>
      </c>
      <c r="I3477" s="40" t="s">
        <v>1300</v>
      </c>
    </row>
    <row r="3478" spans="1:9" x14ac:dyDescent="0.2">
      <c r="A3478" s="40" t="s">
        <v>439</v>
      </c>
      <c r="B3478" s="28">
        <v>3951</v>
      </c>
      <c r="C3478" s="28" t="s">
        <v>1067</v>
      </c>
      <c r="D3478" s="28"/>
      <c r="E3478" s="41">
        <v>46172</v>
      </c>
      <c r="F3478" s="47">
        <v>6.898148148148148E-3</v>
      </c>
      <c r="G3478" s="42">
        <v>6.3</v>
      </c>
      <c r="H3478" s="40" t="s">
        <v>228</v>
      </c>
      <c r="I3478" s="40" t="s">
        <v>1300</v>
      </c>
    </row>
    <row r="3479" spans="1:9" x14ac:dyDescent="0.2">
      <c r="A3479" s="40" t="s">
        <v>439</v>
      </c>
      <c r="B3479" s="28">
        <v>3951</v>
      </c>
      <c r="C3479" s="28" t="s">
        <v>1067</v>
      </c>
      <c r="D3479" s="28"/>
      <c r="E3479" s="41">
        <v>46172</v>
      </c>
      <c r="F3479" s="47">
        <v>1.4490740740740742E-2</v>
      </c>
      <c r="G3479" s="42">
        <v>6.3</v>
      </c>
      <c r="H3479" s="40" t="s">
        <v>229</v>
      </c>
      <c r="I3479" s="40" t="s">
        <v>1300</v>
      </c>
    </row>
    <row r="3480" spans="1:9" x14ac:dyDescent="0.2">
      <c r="A3480" s="40" t="s">
        <v>439</v>
      </c>
      <c r="B3480" s="28">
        <v>3951</v>
      </c>
      <c r="C3480" s="28" t="s">
        <v>1068</v>
      </c>
      <c r="D3480" s="28"/>
      <c r="E3480" s="41">
        <v>46172</v>
      </c>
      <c r="F3480" s="47">
        <v>0.84920138888888885</v>
      </c>
      <c r="G3480" s="42">
        <v>6.3</v>
      </c>
      <c r="H3480" s="40" t="s">
        <v>228</v>
      </c>
      <c r="I3480" s="40" t="s">
        <v>1300</v>
      </c>
    </row>
    <row r="3481" spans="1:9" x14ac:dyDescent="0.2">
      <c r="A3481" s="40" t="s">
        <v>439</v>
      </c>
      <c r="B3481" s="28">
        <v>3951</v>
      </c>
      <c r="C3481" s="28" t="s">
        <v>1068</v>
      </c>
      <c r="D3481" s="28"/>
      <c r="E3481" s="45">
        <v>46172</v>
      </c>
      <c r="F3481" s="48">
        <v>0.8571064814814815</v>
      </c>
      <c r="G3481" s="42">
        <v>6.3</v>
      </c>
      <c r="H3481" s="40" t="s">
        <v>229</v>
      </c>
      <c r="I3481" s="40" t="s">
        <v>1300</v>
      </c>
    </row>
    <row r="3482" spans="1:9" x14ac:dyDescent="0.2">
      <c r="A3482" s="40" t="s">
        <v>439</v>
      </c>
      <c r="B3482" s="28">
        <v>3951</v>
      </c>
      <c r="C3482" s="28" t="s">
        <v>1069</v>
      </c>
      <c r="D3482" s="28"/>
      <c r="E3482" s="41">
        <v>46172</v>
      </c>
      <c r="F3482" s="47">
        <v>0.94017361111111108</v>
      </c>
      <c r="G3482" s="44">
        <v>6.3</v>
      </c>
      <c r="H3482" s="43" t="s">
        <v>230</v>
      </c>
      <c r="I3482" s="40" t="s">
        <v>1300</v>
      </c>
    </row>
    <row r="3483" spans="1:9" x14ac:dyDescent="0.2">
      <c r="A3483" s="40" t="s">
        <v>439</v>
      </c>
      <c r="B3483" s="28">
        <v>3951</v>
      </c>
      <c r="C3483" s="28" t="s">
        <v>1069</v>
      </c>
      <c r="D3483" s="28"/>
      <c r="E3483" s="45">
        <v>46172</v>
      </c>
      <c r="F3483" s="48">
        <v>0.94604166666666667</v>
      </c>
      <c r="G3483" s="44">
        <v>6.3</v>
      </c>
      <c r="H3483" s="43" t="s">
        <v>227</v>
      </c>
      <c r="I3483" s="40" t="s">
        <v>1300</v>
      </c>
    </row>
    <row r="3484" spans="1:9" x14ac:dyDescent="0.2">
      <c r="A3484" s="40" t="s">
        <v>439</v>
      </c>
      <c r="B3484" s="28">
        <v>3951</v>
      </c>
      <c r="C3484" s="28" t="s">
        <v>1070</v>
      </c>
      <c r="D3484" s="28"/>
      <c r="E3484" s="41">
        <v>46173</v>
      </c>
      <c r="F3484" s="47">
        <v>3.7499999999999999E-2</v>
      </c>
      <c r="G3484" s="44">
        <v>6.3</v>
      </c>
      <c r="H3484" s="43" t="s">
        <v>228</v>
      </c>
      <c r="I3484" s="40" t="s">
        <v>1300</v>
      </c>
    </row>
    <row r="3485" spans="1:9" x14ac:dyDescent="0.2">
      <c r="A3485" s="40" t="s">
        <v>439</v>
      </c>
      <c r="B3485" s="28">
        <v>3951</v>
      </c>
      <c r="C3485" s="28" t="s">
        <v>1071</v>
      </c>
      <c r="D3485" s="28"/>
      <c r="E3485" s="41">
        <v>46173</v>
      </c>
      <c r="F3485" s="47">
        <v>0.15663194444444445</v>
      </c>
      <c r="G3485" s="44">
        <v>6.3</v>
      </c>
      <c r="H3485" s="43" t="s">
        <v>230</v>
      </c>
      <c r="I3485" s="40" t="s">
        <v>1300</v>
      </c>
    </row>
    <row r="3486" spans="1:9" x14ac:dyDescent="0.2">
      <c r="A3486" s="40" t="s">
        <v>439</v>
      </c>
      <c r="B3486" s="28">
        <v>3951</v>
      </c>
      <c r="C3486" s="28" t="s">
        <v>1071</v>
      </c>
      <c r="D3486" s="28"/>
      <c r="E3486" s="41">
        <v>46173</v>
      </c>
      <c r="F3486" s="47">
        <v>0.16153935185185186</v>
      </c>
      <c r="G3486" s="44">
        <v>6.3</v>
      </c>
      <c r="H3486" s="43" t="s">
        <v>227</v>
      </c>
      <c r="I3486" s="40" t="s">
        <v>1300</v>
      </c>
    </row>
    <row r="3487" spans="1:9" x14ac:dyDescent="0.2">
      <c r="A3487" s="40" t="s">
        <v>439</v>
      </c>
      <c r="B3487" s="28">
        <v>3951</v>
      </c>
      <c r="C3487" s="28" t="s">
        <v>1072</v>
      </c>
      <c r="D3487" s="28"/>
      <c r="E3487" s="45">
        <v>46173</v>
      </c>
      <c r="F3487" s="48">
        <v>0.23184027777777777</v>
      </c>
      <c r="G3487" s="44">
        <v>6.3</v>
      </c>
      <c r="H3487" s="43" t="s">
        <v>228</v>
      </c>
      <c r="I3487" s="40" t="s">
        <v>1300</v>
      </c>
    </row>
    <row r="3488" spans="1:9" x14ac:dyDescent="0.2">
      <c r="A3488" s="40" t="s">
        <v>439</v>
      </c>
      <c r="B3488" s="28">
        <v>3951</v>
      </c>
      <c r="C3488" s="28" t="s">
        <v>1072</v>
      </c>
      <c r="D3488" s="28"/>
      <c r="E3488" s="45">
        <v>46173</v>
      </c>
      <c r="F3488" s="48">
        <v>0.23914351851851851</v>
      </c>
      <c r="G3488" s="44">
        <v>6.3</v>
      </c>
      <c r="H3488" s="43" t="s">
        <v>229</v>
      </c>
      <c r="I3488" s="40" t="s">
        <v>1300</v>
      </c>
    </row>
    <row r="3489" spans="1:9" x14ac:dyDescent="0.2">
      <c r="A3489" s="40" t="s">
        <v>379</v>
      </c>
      <c r="B3489" s="28">
        <v>3954</v>
      </c>
      <c r="C3489" s="28" t="s">
        <v>1073</v>
      </c>
      <c r="D3489" s="28"/>
      <c r="E3489" s="41">
        <v>46168</v>
      </c>
      <c r="F3489" s="47">
        <v>0.86663194444444447</v>
      </c>
      <c r="G3489" s="44">
        <v>6.3</v>
      </c>
      <c r="H3489" s="43" t="s">
        <v>228</v>
      </c>
      <c r="I3489" s="40" t="s">
        <v>1300</v>
      </c>
    </row>
    <row r="3490" spans="1:9" x14ac:dyDescent="0.2">
      <c r="A3490" s="40" t="s">
        <v>379</v>
      </c>
      <c r="B3490" s="28">
        <v>3954</v>
      </c>
      <c r="C3490" s="28" t="s">
        <v>1073</v>
      </c>
      <c r="D3490" s="28"/>
      <c r="E3490" s="41">
        <v>46168</v>
      </c>
      <c r="F3490" s="47">
        <v>0.87364583333333334</v>
      </c>
      <c r="G3490" s="44">
        <v>6.3</v>
      </c>
      <c r="H3490" s="43" t="s">
        <v>229</v>
      </c>
      <c r="I3490" s="40" t="s">
        <v>1300</v>
      </c>
    </row>
    <row r="3491" spans="1:9" x14ac:dyDescent="0.2">
      <c r="A3491" s="40" t="s">
        <v>379</v>
      </c>
      <c r="B3491" s="28">
        <v>3954</v>
      </c>
      <c r="C3491" s="28" t="s">
        <v>1074</v>
      </c>
      <c r="D3491" s="28" t="s">
        <v>36</v>
      </c>
      <c r="E3491" s="41">
        <v>46168</v>
      </c>
      <c r="F3491" s="47">
        <v>0.91572916666666671</v>
      </c>
      <c r="G3491" s="44">
        <v>6.3</v>
      </c>
      <c r="H3491" s="43" t="s">
        <v>230</v>
      </c>
      <c r="I3491" s="40" t="s">
        <v>1300</v>
      </c>
    </row>
    <row r="3492" spans="1:9" x14ac:dyDescent="0.2">
      <c r="A3492" s="40" t="s">
        <v>379</v>
      </c>
      <c r="B3492" s="28">
        <v>3954</v>
      </c>
      <c r="C3492" s="28" t="s">
        <v>1074</v>
      </c>
      <c r="D3492" s="28" t="s">
        <v>36</v>
      </c>
      <c r="E3492" s="41">
        <v>46168</v>
      </c>
      <c r="F3492" s="47">
        <v>0.92105324074074069</v>
      </c>
      <c r="G3492" s="44">
        <v>6.3</v>
      </c>
      <c r="H3492" s="43" t="s">
        <v>227</v>
      </c>
      <c r="I3492" s="40" t="s">
        <v>1300</v>
      </c>
    </row>
    <row r="3493" spans="1:9" x14ac:dyDescent="0.2">
      <c r="A3493" s="40" t="s">
        <v>379</v>
      </c>
      <c r="B3493" s="28">
        <v>3954</v>
      </c>
      <c r="C3493" s="28" t="s">
        <v>1075</v>
      </c>
      <c r="D3493" s="28"/>
      <c r="E3493" s="41">
        <v>46169</v>
      </c>
      <c r="F3493" s="47">
        <v>0.59608796296296296</v>
      </c>
      <c r="G3493" s="44">
        <v>6.3</v>
      </c>
      <c r="H3493" s="43" t="s">
        <v>230</v>
      </c>
      <c r="I3493" s="40" t="s">
        <v>1300</v>
      </c>
    </row>
    <row r="3494" spans="1:9" x14ac:dyDescent="0.2">
      <c r="A3494" s="40" t="s">
        <v>379</v>
      </c>
      <c r="B3494" s="28">
        <v>3954</v>
      </c>
      <c r="C3494" s="28" t="s">
        <v>1075</v>
      </c>
      <c r="D3494" s="28"/>
      <c r="E3494" s="41">
        <v>46169</v>
      </c>
      <c r="F3494" s="47">
        <v>0.60261574074074076</v>
      </c>
      <c r="G3494" s="44">
        <v>6.3</v>
      </c>
      <c r="H3494" s="43" t="s">
        <v>227</v>
      </c>
      <c r="I3494" s="40" t="s">
        <v>1300</v>
      </c>
    </row>
    <row r="3495" spans="1:9" x14ac:dyDescent="0.2">
      <c r="A3495" s="40" t="s">
        <v>379</v>
      </c>
      <c r="B3495" s="28">
        <v>3954</v>
      </c>
      <c r="C3495" s="28" t="s">
        <v>1076</v>
      </c>
      <c r="D3495" s="28"/>
      <c r="E3495" s="41">
        <v>46169</v>
      </c>
      <c r="F3495" s="47">
        <v>0.65324074074074079</v>
      </c>
      <c r="G3495" s="44">
        <v>6.3</v>
      </c>
      <c r="H3495" s="43" t="s">
        <v>228</v>
      </c>
      <c r="I3495" s="40" t="s">
        <v>1300</v>
      </c>
    </row>
    <row r="3496" spans="1:9" x14ac:dyDescent="0.2">
      <c r="A3496" s="40" t="s">
        <v>379</v>
      </c>
      <c r="B3496" s="28">
        <v>3954</v>
      </c>
      <c r="C3496" s="28" t="s">
        <v>1076</v>
      </c>
      <c r="D3496" s="28"/>
      <c r="E3496" s="41">
        <v>46169</v>
      </c>
      <c r="F3496" s="47">
        <v>0.66809027777777774</v>
      </c>
      <c r="G3496" s="44">
        <v>6.3</v>
      </c>
      <c r="H3496" s="43" t="s">
        <v>229</v>
      </c>
      <c r="I3496" s="40" t="s">
        <v>1300</v>
      </c>
    </row>
    <row r="3497" spans="1:9" x14ac:dyDescent="0.2">
      <c r="A3497" s="40" t="s">
        <v>379</v>
      </c>
      <c r="B3497" s="28">
        <v>3954</v>
      </c>
      <c r="C3497" s="28" t="s">
        <v>1077</v>
      </c>
      <c r="D3497" s="28"/>
      <c r="E3497" s="41">
        <v>46170</v>
      </c>
      <c r="F3497" s="47">
        <v>0.91880787037037037</v>
      </c>
      <c r="G3497" s="44">
        <v>6.3</v>
      </c>
      <c r="H3497" s="43" t="s">
        <v>228</v>
      </c>
      <c r="I3497" s="40" t="s">
        <v>1300</v>
      </c>
    </row>
    <row r="3498" spans="1:9" x14ac:dyDescent="0.2">
      <c r="A3498" s="40" t="s">
        <v>379</v>
      </c>
      <c r="B3498" s="28">
        <v>3954</v>
      </c>
      <c r="C3498" s="28">
        <v>10770090</v>
      </c>
      <c r="D3498" s="28"/>
      <c r="E3498" s="41">
        <v>46170</v>
      </c>
      <c r="F3498" s="47">
        <v>0.92715277777777783</v>
      </c>
      <c r="G3498" s="44">
        <v>6.3</v>
      </c>
      <c r="H3498" s="43" t="s">
        <v>229</v>
      </c>
      <c r="I3498" s="40" t="s">
        <v>1300</v>
      </c>
    </row>
    <row r="3499" spans="1:9" x14ac:dyDescent="0.2">
      <c r="A3499" s="40" t="s">
        <v>379</v>
      </c>
      <c r="B3499" s="28">
        <v>3954</v>
      </c>
      <c r="C3499" s="28" t="s">
        <v>35</v>
      </c>
      <c r="D3499" s="28" t="s">
        <v>38</v>
      </c>
      <c r="E3499" s="45">
        <v>46170</v>
      </c>
      <c r="F3499" s="48">
        <v>0.99311342592592589</v>
      </c>
      <c r="G3499" s="44">
        <v>6.3</v>
      </c>
      <c r="H3499" s="43" t="s">
        <v>230</v>
      </c>
      <c r="I3499" s="40" t="s">
        <v>1300</v>
      </c>
    </row>
    <row r="3500" spans="1:9" x14ac:dyDescent="0.2">
      <c r="A3500" s="40" t="s">
        <v>379</v>
      </c>
      <c r="B3500" s="28">
        <v>3954</v>
      </c>
      <c r="C3500" s="28" t="s">
        <v>35</v>
      </c>
      <c r="D3500" s="28" t="s">
        <v>38</v>
      </c>
      <c r="E3500" s="41">
        <v>46170</v>
      </c>
      <c r="F3500" s="47">
        <v>0.99864583333333334</v>
      </c>
      <c r="G3500" s="44">
        <v>6.3</v>
      </c>
      <c r="H3500" s="43" t="s">
        <v>227</v>
      </c>
      <c r="I3500" s="40" t="s">
        <v>1300</v>
      </c>
    </row>
    <row r="3501" spans="1:9" x14ac:dyDescent="0.2">
      <c r="A3501" s="40" t="s">
        <v>315</v>
      </c>
      <c r="B3501" s="28">
        <v>3956</v>
      </c>
      <c r="C3501" s="28">
        <v>10756313</v>
      </c>
      <c r="D3501" s="28"/>
      <c r="E3501" s="41">
        <v>46169</v>
      </c>
      <c r="F3501" s="47">
        <v>0.34216435185185184</v>
      </c>
      <c r="G3501" s="44">
        <v>6.3</v>
      </c>
      <c r="H3501" s="43" t="s">
        <v>227</v>
      </c>
      <c r="I3501" s="40" t="s">
        <v>1300</v>
      </c>
    </row>
    <row r="3502" spans="1:9" x14ac:dyDescent="0.2">
      <c r="A3502" s="40" t="s">
        <v>315</v>
      </c>
      <c r="B3502" s="28">
        <v>3956</v>
      </c>
      <c r="C3502" s="28" t="s">
        <v>1078</v>
      </c>
      <c r="D3502" s="28"/>
      <c r="E3502" s="41">
        <v>46169</v>
      </c>
      <c r="F3502" s="47">
        <v>0.65586805555555561</v>
      </c>
      <c r="G3502" s="44">
        <v>6.3</v>
      </c>
      <c r="H3502" s="43" t="s">
        <v>228</v>
      </c>
      <c r="I3502" s="40" t="s">
        <v>1300</v>
      </c>
    </row>
    <row r="3503" spans="1:9" x14ac:dyDescent="0.2">
      <c r="A3503" s="40" t="s">
        <v>315</v>
      </c>
      <c r="B3503" s="28">
        <v>3956</v>
      </c>
      <c r="C3503" s="28" t="s">
        <v>1078</v>
      </c>
      <c r="D3503" s="28"/>
      <c r="E3503" s="41">
        <v>46169</v>
      </c>
      <c r="F3503" s="47">
        <v>0.67190972222222223</v>
      </c>
      <c r="G3503" s="42">
        <v>6.3</v>
      </c>
      <c r="H3503" s="40" t="s">
        <v>232</v>
      </c>
      <c r="I3503" s="40" t="s">
        <v>1300</v>
      </c>
    </row>
    <row r="3504" spans="1:9" x14ac:dyDescent="0.2">
      <c r="A3504" s="40" t="s">
        <v>315</v>
      </c>
      <c r="B3504" s="28">
        <v>3956</v>
      </c>
      <c r="C3504" s="28" t="s">
        <v>35</v>
      </c>
      <c r="D3504" s="28" t="s">
        <v>38</v>
      </c>
      <c r="E3504" s="41">
        <v>46169</v>
      </c>
      <c r="F3504" s="47">
        <v>0.7419675925925926</v>
      </c>
      <c r="G3504" s="42">
        <v>6.3</v>
      </c>
      <c r="H3504" s="40" t="s">
        <v>226</v>
      </c>
      <c r="I3504" s="40" t="s">
        <v>1300</v>
      </c>
    </row>
    <row r="3505" spans="1:9" x14ac:dyDescent="0.2">
      <c r="A3505" s="40" t="s">
        <v>315</v>
      </c>
      <c r="B3505" s="28">
        <v>3956</v>
      </c>
      <c r="C3505" s="28" t="s">
        <v>1079</v>
      </c>
      <c r="D3505" s="28"/>
      <c r="E3505" s="41">
        <v>46169</v>
      </c>
      <c r="F3505" s="47">
        <v>0.87936342592592598</v>
      </c>
      <c r="G3505" s="44">
        <v>6.3</v>
      </c>
      <c r="H3505" s="43" t="s">
        <v>228</v>
      </c>
      <c r="I3505" s="40" t="s">
        <v>1300</v>
      </c>
    </row>
    <row r="3506" spans="1:9" x14ac:dyDescent="0.2">
      <c r="A3506" s="40" t="s">
        <v>315</v>
      </c>
      <c r="B3506" s="28">
        <v>3956</v>
      </c>
      <c r="C3506" s="28" t="s">
        <v>1079</v>
      </c>
      <c r="D3506" s="28"/>
      <c r="E3506" s="41">
        <v>46169</v>
      </c>
      <c r="F3506" s="47">
        <v>0.8865277777777778</v>
      </c>
      <c r="G3506" s="44">
        <v>6.3</v>
      </c>
      <c r="H3506" s="43" t="s">
        <v>229</v>
      </c>
      <c r="I3506" s="40" t="s">
        <v>1300</v>
      </c>
    </row>
    <row r="3507" spans="1:9" x14ac:dyDescent="0.2">
      <c r="A3507" s="40" t="s">
        <v>315</v>
      </c>
      <c r="B3507" s="28">
        <v>3956</v>
      </c>
      <c r="C3507" s="28">
        <v>5690568</v>
      </c>
      <c r="D3507" s="28"/>
      <c r="E3507" s="41">
        <v>46169</v>
      </c>
      <c r="F3507" s="47">
        <v>0.93217592592592591</v>
      </c>
      <c r="G3507" s="44">
        <v>6.3</v>
      </c>
      <c r="H3507" s="43" t="s">
        <v>226</v>
      </c>
      <c r="I3507" s="40" t="s">
        <v>1300</v>
      </c>
    </row>
    <row r="3508" spans="1:9" x14ac:dyDescent="0.2">
      <c r="A3508" s="40" t="s">
        <v>315</v>
      </c>
      <c r="B3508" s="28">
        <v>3956</v>
      </c>
      <c r="C3508" s="28" t="s">
        <v>35</v>
      </c>
      <c r="D3508" s="28" t="s">
        <v>38</v>
      </c>
      <c r="E3508" s="45">
        <v>46171</v>
      </c>
      <c r="F3508" s="48">
        <v>0.25292824074074072</v>
      </c>
      <c r="G3508" s="44">
        <v>6.3</v>
      </c>
      <c r="H3508" s="43" t="s">
        <v>227</v>
      </c>
      <c r="I3508" s="40" t="s">
        <v>1300</v>
      </c>
    </row>
    <row r="3509" spans="1:9" x14ac:dyDescent="0.2">
      <c r="A3509" s="40" t="s">
        <v>315</v>
      </c>
      <c r="B3509" s="28">
        <v>3956</v>
      </c>
      <c r="C3509" s="28" t="s">
        <v>1080</v>
      </c>
      <c r="D3509" s="28"/>
      <c r="E3509" s="41">
        <v>46171</v>
      </c>
      <c r="F3509" s="47">
        <v>0.56770833333333337</v>
      </c>
      <c r="G3509" s="44">
        <v>6.3</v>
      </c>
      <c r="H3509" s="43" t="s">
        <v>228</v>
      </c>
      <c r="I3509" s="40" t="s">
        <v>1300</v>
      </c>
    </row>
    <row r="3510" spans="1:9" x14ac:dyDescent="0.2">
      <c r="A3510" s="40" t="s">
        <v>315</v>
      </c>
      <c r="B3510" s="28">
        <v>3956</v>
      </c>
      <c r="C3510" s="28" t="s">
        <v>1080</v>
      </c>
      <c r="D3510" s="28"/>
      <c r="E3510" s="41">
        <v>46171</v>
      </c>
      <c r="F3510" s="47">
        <v>0.57800925925925928</v>
      </c>
      <c r="G3510" s="44">
        <v>6.3</v>
      </c>
      <c r="H3510" s="43" t="s">
        <v>229</v>
      </c>
      <c r="I3510" s="40" t="s">
        <v>1300</v>
      </c>
    </row>
    <row r="3511" spans="1:9" x14ac:dyDescent="0.2">
      <c r="A3511" s="40" t="s">
        <v>315</v>
      </c>
      <c r="B3511" s="28">
        <v>3956</v>
      </c>
      <c r="C3511" s="28" t="s">
        <v>35</v>
      </c>
      <c r="D3511" s="28" t="s">
        <v>38</v>
      </c>
      <c r="E3511" s="45">
        <v>46173</v>
      </c>
      <c r="F3511" s="48">
        <v>0.44199074074074074</v>
      </c>
      <c r="G3511" s="44">
        <v>6.3</v>
      </c>
      <c r="H3511" s="43" t="s">
        <v>227</v>
      </c>
      <c r="I3511" s="40" t="s">
        <v>1300</v>
      </c>
    </row>
    <row r="3512" spans="1:9" x14ac:dyDescent="0.2">
      <c r="A3512" s="40" t="s">
        <v>315</v>
      </c>
      <c r="B3512" s="28">
        <v>3956</v>
      </c>
      <c r="C3512" s="28" t="s">
        <v>35</v>
      </c>
      <c r="D3512" s="28" t="s">
        <v>38</v>
      </c>
      <c r="E3512" s="45">
        <v>46173</v>
      </c>
      <c r="F3512" s="48">
        <v>0.87746527777777783</v>
      </c>
      <c r="G3512" s="44">
        <v>6.3</v>
      </c>
      <c r="H3512" s="43" t="s">
        <v>227</v>
      </c>
      <c r="I3512" s="40" t="s">
        <v>1300</v>
      </c>
    </row>
    <row r="3513" spans="1:9" x14ac:dyDescent="0.2">
      <c r="A3513" s="40" t="s">
        <v>354</v>
      </c>
      <c r="B3513" s="28">
        <v>3959</v>
      </c>
      <c r="C3513" s="28" t="s">
        <v>1081</v>
      </c>
      <c r="D3513" s="28"/>
      <c r="E3513" s="41">
        <v>46167</v>
      </c>
      <c r="F3513" s="47">
        <v>4.6793981481481478E-2</v>
      </c>
      <c r="G3513" s="44">
        <v>6.3</v>
      </c>
      <c r="H3513" s="43" t="s">
        <v>228</v>
      </c>
      <c r="I3513" s="40" t="s">
        <v>1300</v>
      </c>
    </row>
    <row r="3514" spans="1:9" x14ac:dyDescent="0.2">
      <c r="A3514" s="40" t="s">
        <v>354</v>
      </c>
      <c r="B3514" s="28">
        <v>3959</v>
      </c>
      <c r="C3514" s="28" t="s">
        <v>1081</v>
      </c>
      <c r="D3514" s="28"/>
      <c r="E3514" s="41">
        <v>46167</v>
      </c>
      <c r="F3514" s="47">
        <v>5.4340277777777779E-2</v>
      </c>
      <c r="G3514" s="44">
        <v>6.3</v>
      </c>
      <c r="H3514" s="43" t="s">
        <v>229</v>
      </c>
      <c r="I3514" s="40" t="s">
        <v>1300</v>
      </c>
    </row>
    <row r="3515" spans="1:9" x14ac:dyDescent="0.2">
      <c r="A3515" s="40" t="s">
        <v>354</v>
      </c>
      <c r="B3515" s="28">
        <v>3959</v>
      </c>
      <c r="C3515" s="28">
        <v>5687024</v>
      </c>
      <c r="D3515" s="28"/>
      <c r="E3515" s="41">
        <v>46167</v>
      </c>
      <c r="F3515" s="47">
        <v>0.94513888888888886</v>
      </c>
      <c r="G3515" s="44">
        <v>6.3</v>
      </c>
      <c r="H3515" s="43" t="s">
        <v>228</v>
      </c>
      <c r="I3515" s="40" t="s">
        <v>1300</v>
      </c>
    </row>
    <row r="3516" spans="1:9" x14ac:dyDescent="0.2">
      <c r="A3516" s="40" t="s">
        <v>354</v>
      </c>
      <c r="B3516" s="28">
        <v>3959</v>
      </c>
      <c r="C3516" s="28">
        <v>5687024</v>
      </c>
      <c r="D3516" s="28"/>
      <c r="E3516" s="41">
        <v>46167</v>
      </c>
      <c r="F3516" s="47">
        <v>0.95273148148148146</v>
      </c>
      <c r="G3516" s="44">
        <v>6.3</v>
      </c>
      <c r="H3516" s="43" t="s">
        <v>229</v>
      </c>
      <c r="I3516" s="40" t="s">
        <v>1300</v>
      </c>
    </row>
    <row r="3517" spans="1:9" x14ac:dyDescent="0.2">
      <c r="A3517" s="40" t="s">
        <v>354</v>
      </c>
      <c r="B3517" s="28">
        <v>3959</v>
      </c>
      <c r="C3517" s="28">
        <v>5650047</v>
      </c>
      <c r="D3517" s="28"/>
      <c r="E3517" s="41">
        <v>46171</v>
      </c>
      <c r="F3517" s="47">
        <v>0.99601851851851853</v>
      </c>
      <c r="G3517" s="44">
        <v>6.3</v>
      </c>
      <c r="H3517" s="43" t="s">
        <v>228</v>
      </c>
      <c r="I3517" s="40" t="s">
        <v>1300</v>
      </c>
    </row>
    <row r="3518" spans="1:9" x14ac:dyDescent="0.2">
      <c r="A3518" s="40" t="s">
        <v>354</v>
      </c>
      <c r="B3518" s="28">
        <v>3959</v>
      </c>
      <c r="C3518" s="28">
        <v>5650047</v>
      </c>
      <c r="D3518" s="28"/>
      <c r="E3518" s="45">
        <v>46172</v>
      </c>
      <c r="F3518" s="48">
        <v>4.4212962962962964E-3</v>
      </c>
      <c r="G3518" s="44">
        <v>6.3</v>
      </c>
      <c r="H3518" s="43" t="s">
        <v>229</v>
      </c>
      <c r="I3518" s="40" t="s">
        <v>1300</v>
      </c>
    </row>
    <row r="3519" spans="1:9" x14ac:dyDescent="0.2">
      <c r="A3519" s="40" t="s">
        <v>354</v>
      </c>
      <c r="B3519" s="28">
        <v>3959</v>
      </c>
      <c r="C3519" s="28">
        <v>5691075</v>
      </c>
      <c r="D3519" s="28"/>
      <c r="E3519" s="41">
        <v>46172</v>
      </c>
      <c r="F3519" s="47">
        <v>0.3077199074074074</v>
      </c>
      <c r="G3519" s="44">
        <v>6.3</v>
      </c>
      <c r="H3519" s="43" t="s">
        <v>230</v>
      </c>
      <c r="I3519" s="40" t="s">
        <v>1300</v>
      </c>
    </row>
    <row r="3520" spans="1:9" x14ac:dyDescent="0.2">
      <c r="A3520" s="40" t="s">
        <v>354</v>
      </c>
      <c r="B3520" s="28">
        <v>3959</v>
      </c>
      <c r="C3520" s="28">
        <v>5691075</v>
      </c>
      <c r="D3520" s="28"/>
      <c r="E3520" s="41">
        <v>46172</v>
      </c>
      <c r="F3520" s="47">
        <v>0.31347222222222221</v>
      </c>
      <c r="G3520" s="44">
        <v>6.3</v>
      </c>
      <c r="H3520" s="43" t="s">
        <v>227</v>
      </c>
      <c r="I3520" s="40" t="s">
        <v>1300</v>
      </c>
    </row>
    <row r="3521" spans="1:9" x14ac:dyDescent="0.2">
      <c r="A3521" s="40" t="s">
        <v>354</v>
      </c>
      <c r="B3521" s="28">
        <v>3959</v>
      </c>
      <c r="C3521" s="28" t="s">
        <v>1082</v>
      </c>
      <c r="D3521" s="28"/>
      <c r="E3521" s="45">
        <v>46172</v>
      </c>
      <c r="F3521" s="48">
        <v>0.40210648148148148</v>
      </c>
      <c r="G3521" s="44">
        <v>6.3</v>
      </c>
      <c r="H3521" s="43" t="s">
        <v>228</v>
      </c>
      <c r="I3521" s="40" t="s">
        <v>1300</v>
      </c>
    </row>
    <row r="3522" spans="1:9" x14ac:dyDescent="0.2">
      <c r="A3522" s="40" t="s">
        <v>354</v>
      </c>
      <c r="B3522" s="28">
        <v>3959</v>
      </c>
      <c r="C3522" s="28" t="s">
        <v>1082</v>
      </c>
      <c r="D3522" s="28"/>
      <c r="E3522" s="45">
        <v>46172</v>
      </c>
      <c r="F3522" s="48">
        <v>0.41354166666666664</v>
      </c>
      <c r="G3522" s="44">
        <v>6.3</v>
      </c>
      <c r="H3522" s="43" t="s">
        <v>229</v>
      </c>
      <c r="I3522" s="40" t="s">
        <v>1300</v>
      </c>
    </row>
    <row r="3523" spans="1:9" x14ac:dyDescent="0.2">
      <c r="A3523" s="40" t="s">
        <v>385</v>
      </c>
      <c r="B3523" s="28">
        <v>4026</v>
      </c>
      <c r="C3523" s="28" t="s">
        <v>1083</v>
      </c>
      <c r="D3523" s="28"/>
      <c r="E3523" s="41">
        <v>46167</v>
      </c>
      <c r="F3523" s="47">
        <v>0.46160879629629631</v>
      </c>
      <c r="G3523" s="44">
        <v>6.3</v>
      </c>
      <c r="H3523" s="43" t="s">
        <v>230</v>
      </c>
      <c r="I3523" s="40" t="s">
        <v>1300</v>
      </c>
    </row>
    <row r="3524" spans="1:9" x14ac:dyDescent="0.2">
      <c r="A3524" s="40" t="s">
        <v>385</v>
      </c>
      <c r="B3524" s="28">
        <v>4026</v>
      </c>
      <c r="C3524" s="28" t="s">
        <v>1083</v>
      </c>
      <c r="D3524" s="28"/>
      <c r="E3524" s="41">
        <v>46167</v>
      </c>
      <c r="F3524" s="47">
        <v>0.46761574074074075</v>
      </c>
      <c r="G3524" s="44">
        <v>6.3</v>
      </c>
      <c r="H3524" s="43" t="s">
        <v>227</v>
      </c>
      <c r="I3524" s="40" t="s">
        <v>1300</v>
      </c>
    </row>
    <row r="3525" spans="1:9" x14ac:dyDescent="0.2">
      <c r="A3525" s="40" t="s">
        <v>385</v>
      </c>
      <c r="B3525" s="28">
        <v>4026</v>
      </c>
      <c r="C3525" s="28" t="s">
        <v>1084</v>
      </c>
      <c r="D3525" s="28"/>
      <c r="E3525" s="41">
        <v>46168</v>
      </c>
      <c r="F3525" s="47">
        <v>0.28535879629629629</v>
      </c>
      <c r="G3525" s="44">
        <v>6.3</v>
      </c>
      <c r="H3525" s="43" t="s">
        <v>230</v>
      </c>
      <c r="I3525" s="40" t="s">
        <v>1300</v>
      </c>
    </row>
    <row r="3526" spans="1:9" x14ac:dyDescent="0.2">
      <c r="A3526" s="40" t="s">
        <v>385</v>
      </c>
      <c r="B3526" s="28">
        <v>4026</v>
      </c>
      <c r="C3526" s="28" t="s">
        <v>1084</v>
      </c>
      <c r="D3526" s="28"/>
      <c r="E3526" s="41">
        <v>46168</v>
      </c>
      <c r="F3526" s="47">
        <v>0.29716435185185186</v>
      </c>
      <c r="G3526" s="44">
        <v>6.3</v>
      </c>
      <c r="H3526" s="43" t="s">
        <v>227</v>
      </c>
      <c r="I3526" s="40" t="s">
        <v>1300</v>
      </c>
    </row>
    <row r="3527" spans="1:9" x14ac:dyDescent="0.2">
      <c r="A3527" s="40" t="s">
        <v>1085</v>
      </c>
      <c r="B3527" s="28">
        <v>4027</v>
      </c>
      <c r="C3527" s="28" t="s">
        <v>1086</v>
      </c>
      <c r="D3527" s="28"/>
      <c r="E3527" s="41">
        <v>46171</v>
      </c>
      <c r="F3527" s="47">
        <v>0.50800925925925922</v>
      </c>
      <c r="G3527" s="44">
        <v>6.3</v>
      </c>
      <c r="H3527" s="43" t="s">
        <v>232</v>
      </c>
      <c r="I3527" s="40" t="s">
        <v>1300</v>
      </c>
    </row>
    <row r="3528" spans="1:9" x14ac:dyDescent="0.2">
      <c r="A3528" s="40" t="s">
        <v>1085</v>
      </c>
      <c r="B3528" s="28">
        <v>4027</v>
      </c>
      <c r="C3528" s="28" t="s">
        <v>35</v>
      </c>
      <c r="D3528" s="28" t="s">
        <v>38</v>
      </c>
      <c r="E3528" s="41">
        <v>46171</v>
      </c>
      <c r="F3528" s="47">
        <v>0.70672453703703708</v>
      </c>
      <c r="G3528" s="44">
        <v>6.3</v>
      </c>
      <c r="H3528" s="43" t="s">
        <v>229</v>
      </c>
      <c r="I3528" s="40" t="s">
        <v>1300</v>
      </c>
    </row>
    <row r="3529" spans="1:9" x14ac:dyDescent="0.2">
      <c r="A3529" s="40" t="s">
        <v>362</v>
      </c>
      <c r="B3529" s="28">
        <v>4029</v>
      </c>
      <c r="C3529" s="28" t="s">
        <v>35</v>
      </c>
      <c r="D3529" s="28" t="s">
        <v>38</v>
      </c>
      <c r="E3529" s="41">
        <v>46167</v>
      </c>
      <c r="F3529" s="47">
        <v>0.27032407407407405</v>
      </c>
      <c r="G3529" s="44">
        <v>6.3</v>
      </c>
      <c r="H3529" s="43" t="s">
        <v>232</v>
      </c>
      <c r="I3529" s="40" t="s">
        <v>1300</v>
      </c>
    </row>
    <row r="3530" spans="1:9" x14ac:dyDescent="0.2">
      <c r="A3530" s="40" t="s">
        <v>362</v>
      </c>
      <c r="B3530" s="28">
        <v>4029</v>
      </c>
      <c r="C3530" s="28" t="s">
        <v>35</v>
      </c>
      <c r="D3530" s="28" t="s">
        <v>38</v>
      </c>
      <c r="E3530" s="41">
        <v>46167</v>
      </c>
      <c r="F3530" s="47">
        <v>0.29777777777777775</v>
      </c>
      <c r="G3530" s="44">
        <v>6.3</v>
      </c>
      <c r="H3530" s="43" t="s">
        <v>226</v>
      </c>
      <c r="I3530" s="40" t="s">
        <v>1300</v>
      </c>
    </row>
    <row r="3531" spans="1:9" x14ac:dyDescent="0.2">
      <c r="A3531" s="40" t="s">
        <v>362</v>
      </c>
      <c r="B3531" s="28">
        <v>4029</v>
      </c>
      <c r="C3531" s="28" t="s">
        <v>35</v>
      </c>
      <c r="D3531" s="28" t="s">
        <v>38</v>
      </c>
      <c r="E3531" s="41">
        <v>46170</v>
      </c>
      <c r="F3531" s="47">
        <v>0.8966898148148148</v>
      </c>
      <c r="G3531" s="42">
        <v>6.3</v>
      </c>
      <c r="H3531" s="40" t="s">
        <v>230</v>
      </c>
      <c r="I3531" s="40" t="s">
        <v>1300</v>
      </c>
    </row>
    <row r="3532" spans="1:9" x14ac:dyDescent="0.2">
      <c r="A3532" s="40" t="s">
        <v>362</v>
      </c>
      <c r="B3532" s="28">
        <v>4029</v>
      </c>
      <c r="C3532" s="28">
        <v>5693160</v>
      </c>
      <c r="D3532" s="28"/>
      <c r="E3532" s="41">
        <v>46171</v>
      </c>
      <c r="F3532" s="47">
        <v>0.64109953703703704</v>
      </c>
      <c r="G3532" s="44">
        <v>6.3</v>
      </c>
      <c r="H3532" s="43" t="s">
        <v>228</v>
      </c>
      <c r="I3532" s="40" t="s">
        <v>1300</v>
      </c>
    </row>
    <row r="3533" spans="1:9" x14ac:dyDescent="0.2">
      <c r="A3533" s="40" t="s">
        <v>362</v>
      </c>
      <c r="B3533" s="28">
        <v>4029</v>
      </c>
      <c r="C3533" s="28">
        <v>5693160</v>
      </c>
      <c r="D3533" s="28"/>
      <c r="E3533" s="41">
        <v>46171</v>
      </c>
      <c r="F3533" s="47">
        <v>0.65182870370370372</v>
      </c>
      <c r="G3533" s="44">
        <v>6.3</v>
      </c>
      <c r="H3533" s="43" t="s">
        <v>229</v>
      </c>
      <c r="I3533" s="40" t="s">
        <v>1300</v>
      </c>
    </row>
    <row r="3534" spans="1:9" x14ac:dyDescent="0.2">
      <c r="A3534" s="40" t="s">
        <v>362</v>
      </c>
      <c r="B3534" s="28">
        <v>4029</v>
      </c>
      <c r="C3534" s="28" t="s">
        <v>1087</v>
      </c>
      <c r="D3534" s="28"/>
      <c r="E3534" s="41">
        <v>46171</v>
      </c>
      <c r="F3534" s="47">
        <v>0.87337962962962967</v>
      </c>
      <c r="G3534" s="44">
        <v>6.3</v>
      </c>
      <c r="H3534" s="43" t="s">
        <v>228</v>
      </c>
      <c r="I3534" s="40" t="s">
        <v>1300</v>
      </c>
    </row>
    <row r="3535" spans="1:9" x14ac:dyDescent="0.2">
      <c r="A3535" s="40" t="s">
        <v>362</v>
      </c>
      <c r="B3535" s="28">
        <v>4029</v>
      </c>
      <c r="C3535" s="28" t="s">
        <v>1087</v>
      </c>
      <c r="D3535" s="28"/>
      <c r="E3535" s="41">
        <v>46171</v>
      </c>
      <c r="F3535" s="47">
        <v>0.88321759259259258</v>
      </c>
      <c r="G3535" s="44">
        <v>6.3</v>
      </c>
      <c r="H3535" s="43" t="s">
        <v>232</v>
      </c>
      <c r="I3535" s="40" t="s">
        <v>1300</v>
      </c>
    </row>
    <row r="3536" spans="1:9" x14ac:dyDescent="0.2">
      <c r="A3536" s="40" t="s">
        <v>362</v>
      </c>
      <c r="B3536" s="28">
        <v>4029</v>
      </c>
      <c r="C3536" s="28" t="s">
        <v>35</v>
      </c>
      <c r="D3536" s="28" t="s">
        <v>38</v>
      </c>
      <c r="E3536" s="41">
        <v>46171</v>
      </c>
      <c r="F3536" s="47">
        <v>0.9208912037037037</v>
      </c>
      <c r="G3536" s="44">
        <v>6.3</v>
      </c>
      <c r="H3536" s="43" t="s">
        <v>227</v>
      </c>
      <c r="I3536" s="40" t="s">
        <v>1300</v>
      </c>
    </row>
    <row r="3537" spans="1:9" x14ac:dyDescent="0.2">
      <c r="A3537" s="40" t="s">
        <v>362</v>
      </c>
      <c r="B3537" s="28">
        <v>4029</v>
      </c>
      <c r="C3537" s="28" t="s">
        <v>1088</v>
      </c>
      <c r="D3537" s="28"/>
      <c r="E3537" s="41">
        <v>46171</v>
      </c>
      <c r="F3537" s="47">
        <v>0.96909722222222228</v>
      </c>
      <c r="G3537" s="44">
        <v>6.3</v>
      </c>
      <c r="H3537" s="43" t="s">
        <v>228</v>
      </c>
      <c r="I3537" s="40" t="s">
        <v>1300</v>
      </c>
    </row>
    <row r="3538" spans="1:9" x14ac:dyDescent="0.2">
      <c r="A3538" s="40" t="s">
        <v>362</v>
      </c>
      <c r="B3538" s="28">
        <v>4029</v>
      </c>
      <c r="C3538" s="28" t="s">
        <v>1088</v>
      </c>
      <c r="D3538" s="28"/>
      <c r="E3538" s="41">
        <v>46171</v>
      </c>
      <c r="F3538" s="47">
        <v>0.97655092592592596</v>
      </c>
      <c r="G3538" s="44">
        <v>6.3</v>
      </c>
      <c r="H3538" s="43" t="s">
        <v>232</v>
      </c>
      <c r="I3538" s="40" t="s">
        <v>1300</v>
      </c>
    </row>
    <row r="3539" spans="1:9" x14ac:dyDescent="0.2">
      <c r="A3539" s="40" t="s">
        <v>362</v>
      </c>
      <c r="B3539" s="28">
        <v>4029</v>
      </c>
      <c r="C3539" s="28" t="s">
        <v>35</v>
      </c>
      <c r="D3539" s="28" t="s">
        <v>38</v>
      </c>
      <c r="E3539" s="41">
        <v>46172</v>
      </c>
      <c r="F3539" s="47">
        <v>1.2962962962962963E-2</v>
      </c>
      <c r="G3539" s="44">
        <v>6.3</v>
      </c>
      <c r="H3539" s="43" t="s">
        <v>226</v>
      </c>
      <c r="I3539" s="40" t="s">
        <v>1300</v>
      </c>
    </row>
    <row r="3540" spans="1:9" x14ac:dyDescent="0.2">
      <c r="A3540" s="40" t="s">
        <v>362</v>
      </c>
      <c r="B3540" s="28">
        <v>4029</v>
      </c>
      <c r="C3540" s="28" t="s">
        <v>1089</v>
      </c>
      <c r="D3540" s="28"/>
      <c r="E3540" s="41">
        <v>46172</v>
      </c>
      <c r="F3540" s="47">
        <v>5.3171296296296293E-2</v>
      </c>
      <c r="G3540" s="44">
        <v>6.3</v>
      </c>
      <c r="H3540" s="43" t="s">
        <v>228</v>
      </c>
      <c r="I3540" s="40" t="s">
        <v>1300</v>
      </c>
    </row>
    <row r="3541" spans="1:9" x14ac:dyDescent="0.2">
      <c r="A3541" s="40" t="s">
        <v>362</v>
      </c>
      <c r="B3541" s="28">
        <v>4029</v>
      </c>
      <c r="C3541" s="28" t="s">
        <v>1089</v>
      </c>
      <c r="D3541" s="28"/>
      <c r="E3541" s="45">
        <v>46172</v>
      </c>
      <c r="F3541" s="48">
        <v>6.128472222222222E-2</v>
      </c>
      <c r="G3541" s="44">
        <v>6.3</v>
      </c>
      <c r="H3541" s="43" t="s">
        <v>229</v>
      </c>
      <c r="I3541" s="40" t="s">
        <v>1300</v>
      </c>
    </row>
    <row r="3542" spans="1:9" x14ac:dyDescent="0.2">
      <c r="A3542" s="40" t="s">
        <v>440</v>
      </c>
      <c r="B3542" s="28">
        <v>4041</v>
      </c>
      <c r="C3542" s="28" t="s">
        <v>1090</v>
      </c>
      <c r="D3542" s="28"/>
      <c r="E3542" s="41">
        <v>46167</v>
      </c>
      <c r="F3542" s="47">
        <v>7.7546296296296293E-4</v>
      </c>
      <c r="G3542" s="44">
        <v>6.3</v>
      </c>
      <c r="H3542" s="43" t="s">
        <v>228</v>
      </c>
      <c r="I3542" s="40" t="s">
        <v>1300</v>
      </c>
    </row>
    <row r="3543" spans="1:9" x14ac:dyDescent="0.2">
      <c r="A3543" s="40" t="s">
        <v>440</v>
      </c>
      <c r="B3543" s="28">
        <v>4041</v>
      </c>
      <c r="C3543" s="28" t="s">
        <v>1090</v>
      </c>
      <c r="D3543" s="28"/>
      <c r="E3543" s="41">
        <v>46167</v>
      </c>
      <c r="F3543" s="47">
        <v>6.4004629629629628E-3</v>
      </c>
      <c r="G3543" s="44">
        <v>6.3</v>
      </c>
      <c r="H3543" s="43" t="s">
        <v>229</v>
      </c>
      <c r="I3543" s="40" t="s">
        <v>1300</v>
      </c>
    </row>
    <row r="3544" spans="1:9" x14ac:dyDescent="0.2">
      <c r="A3544" s="40" t="s">
        <v>440</v>
      </c>
      <c r="B3544" s="28">
        <v>4041</v>
      </c>
      <c r="C3544" s="28" t="s">
        <v>1091</v>
      </c>
      <c r="D3544" s="28" t="s">
        <v>36</v>
      </c>
      <c r="E3544" s="41">
        <v>46167</v>
      </c>
      <c r="F3544" s="47">
        <v>1.7986111111111112E-2</v>
      </c>
      <c r="G3544" s="44">
        <v>6.3</v>
      </c>
      <c r="H3544" s="43" t="s">
        <v>230</v>
      </c>
      <c r="I3544" s="40" t="s">
        <v>1300</v>
      </c>
    </row>
    <row r="3545" spans="1:9" x14ac:dyDescent="0.2">
      <c r="A3545" s="40" t="s">
        <v>440</v>
      </c>
      <c r="B3545" s="28">
        <v>4041</v>
      </c>
      <c r="C3545" s="28" t="s">
        <v>1091</v>
      </c>
      <c r="D3545" s="28" t="s">
        <v>36</v>
      </c>
      <c r="E3545" s="41">
        <v>46167</v>
      </c>
      <c r="F3545" s="47">
        <v>2.2129629629629631E-2</v>
      </c>
      <c r="G3545" s="44">
        <v>6.3</v>
      </c>
      <c r="H3545" s="43" t="s">
        <v>227</v>
      </c>
      <c r="I3545" s="40" t="s">
        <v>1300</v>
      </c>
    </row>
    <row r="3546" spans="1:9" x14ac:dyDescent="0.2">
      <c r="A3546" s="40" t="s">
        <v>440</v>
      </c>
      <c r="B3546" s="28">
        <v>4041</v>
      </c>
      <c r="C3546" s="28" t="s">
        <v>1092</v>
      </c>
      <c r="D3546" s="28"/>
      <c r="E3546" s="41">
        <v>46167</v>
      </c>
      <c r="F3546" s="47">
        <v>0.89520833333333338</v>
      </c>
      <c r="G3546" s="44">
        <v>6.3</v>
      </c>
      <c r="H3546" s="43" t="s">
        <v>228</v>
      </c>
      <c r="I3546" s="40" t="s">
        <v>1300</v>
      </c>
    </row>
    <row r="3547" spans="1:9" x14ac:dyDescent="0.2">
      <c r="A3547" s="40" t="s">
        <v>440</v>
      </c>
      <c r="B3547" s="28">
        <v>4041</v>
      </c>
      <c r="C3547" s="28" t="s">
        <v>1092</v>
      </c>
      <c r="D3547" s="28"/>
      <c r="E3547" s="41">
        <v>46167</v>
      </c>
      <c r="F3547" s="47">
        <v>0.90192129629629625</v>
      </c>
      <c r="G3547" s="44">
        <v>6.3</v>
      </c>
      <c r="H3547" s="43" t="s">
        <v>229</v>
      </c>
      <c r="I3547" s="40" t="s">
        <v>1300</v>
      </c>
    </row>
    <row r="3548" spans="1:9" x14ac:dyDescent="0.2">
      <c r="A3548" s="40" t="s">
        <v>440</v>
      </c>
      <c r="B3548" s="28">
        <v>4041</v>
      </c>
      <c r="C3548" s="28" t="s">
        <v>1092</v>
      </c>
      <c r="D3548" s="28"/>
      <c r="E3548" s="41">
        <v>46167</v>
      </c>
      <c r="F3548" s="47">
        <v>0.92319444444444443</v>
      </c>
      <c r="G3548" s="44">
        <v>6.3</v>
      </c>
      <c r="H3548" s="43" t="s">
        <v>230</v>
      </c>
      <c r="I3548" s="40" t="s">
        <v>1300</v>
      </c>
    </row>
    <row r="3549" spans="1:9" x14ac:dyDescent="0.2">
      <c r="A3549" s="40" t="s">
        <v>440</v>
      </c>
      <c r="B3549" s="28">
        <v>4041</v>
      </c>
      <c r="C3549" s="28" t="s">
        <v>1092</v>
      </c>
      <c r="D3549" s="28"/>
      <c r="E3549" s="41">
        <v>46167</v>
      </c>
      <c r="F3549" s="47">
        <v>0.92909722222222224</v>
      </c>
      <c r="G3549" s="44">
        <v>6.3</v>
      </c>
      <c r="H3549" s="43" t="s">
        <v>227</v>
      </c>
      <c r="I3549" s="40" t="s">
        <v>1300</v>
      </c>
    </row>
    <row r="3550" spans="1:9" x14ac:dyDescent="0.2">
      <c r="A3550" s="40" t="s">
        <v>440</v>
      </c>
      <c r="B3550" s="28">
        <v>4041</v>
      </c>
      <c r="C3550" s="28" t="s">
        <v>35</v>
      </c>
      <c r="D3550" s="28" t="s">
        <v>38</v>
      </c>
      <c r="E3550" s="41">
        <v>46168</v>
      </c>
      <c r="F3550" s="47">
        <v>2.2349537037037036E-2</v>
      </c>
      <c r="G3550" s="44">
        <v>6.3</v>
      </c>
      <c r="H3550" s="43" t="s">
        <v>230</v>
      </c>
      <c r="I3550" s="40" t="s">
        <v>1300</v>
      </c>
    </row>
    <row r="3551" spans="1:9" x14ac:dyDescent="0.2">
      <c r="A3551" s="40" t="s">
        <v>440</v>
      </c>
      <c r="B3551" s="28">
        <v>4041</v>
      </c>
      <c r="C3551" s="28" t="s">
        <v>35</v>
      </c>
      <c r="D3551" s="28" t="s">
        <v>38</v>
      </c>
      <c r="E3551" s="41">
        <v>46168</v>
      </c>
      <c r="F3551" s="47">
        <v>2.6516203703703705E-2</v>
      </c>
      <c r="G3551" s="44">
        <v>6.3</v>
      </c>
      <c r="H3551" s="43" t="s">
        <v>227</v>
      </c>
      <c r="I3551" s="40" t="s">
        <v>1300</v>
      </c>
    </row>
    <row r="3552" spans="1:9" x14ac:dyDescent="0.2">
      <c r="A3552" s="40" t="s">
        <v>440</v>
      </c>
      <c r="B3552" s="28">
        <v>4041</v>
      </c>
      <c r="C3552" s="28" t="s">
        <v>1093</v>
      </c>
      <c r="D3552" s="28"/>
      <c r="E3552" s="45">
        <v>46168</v>
      </c>
      <c r="F3552" s="48">
        <v>0.11016203703703703</v>
      </c>
      <c r="G3552" s="44">
        <v>6.3</v>
      </c>
      <c r="H3552" s="43" t="s">
        <v>229</v>
      </c>
      <c r="I3552" s="40" t="s">
        <v>1300</v>
      </c>
    </row>
    <row r="3553" spans="1:9" x14ac:dyDescent="0.2">
      <c r="A3553" s="40" t="s">
        <v>440</v>
      </c>
      <c r="B3553" s="28">
        <v>4041</v>
      </c>
      <c r="C3553" s="28" t="s">
        <v>1093</v>
      </c>
      <c r="D3553" s="28"/>
      <c r="E3553" s="41">
        <v>46168</v>
      </c>
      <c r="F3553" s="47">
        <v>0.15234953703703705</v>
      </c>
      <c r="G3553" s="44">
        <v>6.3</v>
      </c>
      <c r="H3553" s="43" t="s">
        <v>230</v>
      </c>
      <c r="I3553" s="40" t="s">
        <v>1300</v>
      </c>
    </row>
    <row r="3554" spans="1:9" x14ac:dyDescent="0.2">
      <c r="A3554" s="40" t="s">
        <v>440</v>
      </c>
      <c r="B3554" s="28">
        <v>4041</v>
      </c>
      <c r="C3554" s="28" t="s">
        <v>1093</v>
      </c>
      <c r="D3554" s="28"/>
      <c r="E3554" s="41">
        <v>46168</v>
      </c>
      <c r="F3554" s="47">
        <v>0.15708333333333332</v>
      </c>
      <c r="G3554" s="44">
        <v>6.3</v>
      </c>
      <c r="H3554" s="43" t="s">
        <v>227</v>
      </c>
      <c r="I3554" s="40" t="s">
        <v>1300</v>
      </c>
    </row>
    <row r="3555" spans="1:9" x14ac:dyDescent="0.2">
      <c r="A3555" s="40" t="s">
        <v>440</v>
      </c>
      <c r="B3555" s="28">
        <v>4041</v>
      </c>
      <c r="C3555" s="28" t="s">
        <v>1094</v>
      </c>
      <c r="D3555" s="28"/>
      <c r="E3555" s="41">
        <v>46168</v>
      </c>
      <c r="F3555" s="47">
        <v>0.76520833333333338</v>
      </c>
      <c r="G3555" s="44">
        <v>6.3</v>
      </c>
      <c r="H3555" s="43" t="s">
        <v>228</v>
      </c>
      <c r="I3555" s="40" t="s">
        <v>1300</v>
      </c>
    </row>
    <row r="3556" spans="1:9" x14ac:dyDescent="0.2">
      <c r="A3556" s="40" t="s">
        <v>440</v>
      </c>
      <c r="B3556" s="28">
        <v>4041</v>
      </c>
      <c r="C3556" s="28" t="s">
        <v>1094</v>
      </c>
      <c r="D3556" s="28"/>
      <c r="E3556" s="41">
        <v>46168</v>
      </c>
      <c r="F3556" s="47">
        <v>0.77894675925925927</v>
      </c>
      <c r="G3556" s="44">
        <v>6.3</v>
      </c>
      <c r="H3556" s="43" t="s">
        <v>229</v>
      </c>
      <c r="I3556" s="40" t="s">
        <v>1300</v>
      </c>
    </row>
    <row r="3557" spans="1:9" x14ac:dyDescent="0.2">
      <c r="A3557" s="40" t="s">
        <v>440</v>
      </c>
      <c r="B3557" s="28">
        <v>4041</v>
      </c>
      <c r="C3557" s="28" t="s">
        <v>1095</v>
      </c>
      <c r="D3557" s="28"/>
      <c r="E3557" s="41">
        <v>46169</v>
      </c>
      <c r="F3557" s="47">
        <v>0.10706018518518519</v>
      </c>
      <c r="G3557" s="44">
        <v>6.3</v>
      </c>
      <c r="H3557" s="43" t="s">
        <v>227</v>
      </c>
      <c r="I3557" s="40" t="s">
        <v>1300</v>
      </c>
    </row>
    <row r="3558" spans="1:9" x14ac:dyDescent="0.2">
      <c r="A3558" s="40" t="s">
        <v>440</v>
      </c>
      <c r="B3558" s="28">
        <v>4041</v>
      </c>
      <c r="C3558" s="28" t="s">
        <v>35</v>
      </c>
      <c r="D3558" s="28" t="s">
        <v>38</v>
      </c>
      <c r="E3558" s="41">
        <v>46169</v>
      </c>
      <c r="F3558" s="47">
        <v>0.12765046296296295</v>
      </c>
      <c r="G3558" s="44">
        <v>6.3</v>
      </c>
      <c r="H3558" s="43" t="s">
        <v>228</v>
      </c>
      <c r="I3558" s="40" t="s">
        <v>1300</v>
      </c>
    </row>
    <row r="3559" spans="1:9" x14ac:dyDescent="0.2">
      <c r="A3559" s="40" t="s">
        <v>440</v>
      </c>
      <c r="B3559" s="28">
        <v>4041</v>
      </c>
      <c r="C3559" s="28" t="s">
        <v>35</v>
      </c>
      <c r="D3559" s="28" t="s">
        <v>38</v>
      </c>
      <c r="E3559" s="41">
        <v>46169</v>
      </c>
      <c r="F3559" s="47">
        <v>0.13163194444444445</v>
      </c>
      <c r="G3559" s="44">
        <v>6.3</v>
      </c>
      <c r="H3559" s="43" t="s">
        <v>233</v>
      </c>
      <c r="I3559" s="40" t="s">
        <v>1300</v>
      </c>
    </row>
    <row r="3560" spans="1:9" x14ac:dyDescent="0.2">
      <c r="A3560" s="40" t="s">
        <v>440</v>
      </c>
      <c r="B3560" s="28">
        <v>4041</v>
      </c>
      <c r="C3560" s="28" t="s">
        <v>35</v>
      </c>
      <c r="D3560" s="28" t="s">
        <v>38</v>
      </c>
      <c r="E3560" s="45">
        <v>46169</v>
      </c>
      <c r="F3560" s="48">
        <v>0.88219907407407405</v>
      </c>
      <c r="G3560" s="44">
        <v>6.3</v>
      </c>
      <c r="H3560" s="43" t="s">
        <v>227</v>
      </c>
      <c r="I3560" s="40" t="s">
        <v>1300</v>
      </c>
    </row>
    <row r="3561" spans="1:9" x14ac:dyDescent="0.2">
      <c r="A3561" s="40" t="s">
        <v>440</v>
      </c>
      <c r="B3561" s="28">
        <v>4041</v>
      </c>
      <c r="C3561" s="28" t="s">
        <v>1096</v>
      </c>
      <c r="D3561" s="28"/>
      <c r="E3561" s="41">
        <v>46170</v>
      </c>
      <c r="F3561" s="47">
        <v>9.4710648148148155E-2</v>
      </c>
      <c r="G3561" s="44">
        <v>6.3</v>
      </c>
      <c r="H3561" s="43" t="s">
        <v>228</v>
      </c>
      <c r="I3561" s="40" t="s">
        <v>1300</v>
      </c>
    </row>
    <row r="3562" spans="1:9" x14ac:dyDescent="0.2">
      <c r="A3562" s="40" t="s">
        <v>440</v>
      </c>
      <c r="B3562" s="28">
        <v>4041</v>
      </c>
      <c r="C3562" s="28" t="s">
        <v>1096</v>
      </c>
      <c r="D3562" s="28"/>
      <c r="E3562" s="45">
        <v>46170</v>
      </c>
      <c r="F3562" s="48">
        <v>0.10003472222222222</v>
      </c>
      <c r="G3562" s="44">
        <v>6.3</v>
      </c>
      <c r="H3562" s="43" t="s">
        <v>232</v>
      </c>
      <c r="I3562" s="40" t="s">
        <v>1300</v>
      </c>
    </row>
    <row r="3563" spans="1:9" x14ac:dyDescent="0.2">
      <c r="A3563" s="40" t="s">
        <v>440</v>
      </c>
      <c r="B3563" s="28">
        <v>4041</v>
      </c>
      <c r="C3563" s="28" t="s">
        <v>1097</v>
      </c>
      <c r="D3563" s="28"/>
      <c r="E3563" s="41">
        <v>46170</v>
      </c>
      <c r="F3563" s="47">
        <v>0.16226851851851851</v>
      </c>
      <c r="G3563" s="44">
        <v>6.3</v>
      </c>
      <c r="H3563" s="43" t="s">
        <v>234</v>
      </c>
      <c r="I3563" s="40" t="s">
        <v>1300</v>
      </c>
    </row>
    <row r="3564" spans="1:9" x14ac:dyDescent="0.2">
      <c r="A3564" s="40" t="s">
        <v>440</v>
      </c>
      <c r="B3564" s="28">
        <v>4041</v>
      </c>
      <c r="C3564" s="28" t="s">
        <v>1097</v>
      </c>
      <c r="D3564" s="28"/>
      <c r="E3564" s="41">
        <v>46170</v>
      </c>
      <c r="F3564" s="47">
        <v>0.16452546296296297</v>
      </c>
      <c r="G3564" s="44">
        <v>6.3</v>
      </c>
      <c r="H3564" s="43" t="s">
        <v>227</v>
      </c>
      <c r="I3564" s="40" t="s">
        <v>1300</v>
      </c>
    </row>
    <row r="3565" spans="1:9" x14ac:dyDescent="0.2">
      <c r="A3565" s="40" t="s">
        <v>440</v>
      </c>
      <c r="B3565" s="28">
        <v>4041</v>
      </c>
      <c r="C3565" s="28" t="s">
        <v>1098</v>
      </c>
      <c r="D3565" s="28"/>
      <c r="E3565" s="41">
        <v>46170</v>
      </c>
      <c r="F3565" s="47">
        <v>0.9949189814814815</v>
      </c>
      <c r="G3565" s="44">
        <v>6.3</v>
      </c>
      <c r="H3565" s="43" t="s">
        <v>228</v>
      </c>
      <c r="I3565" s="40" t="s">
        <v>1300</v>
      </c>
    </row>
    <row r="3566" spans="1:9" x14ac:dyDescent="0.2">
      <c r="A3566" s="40" t="s">
        <v>440</v>
      </c>
      <c r="B3566" s="28">
        <v>4041</v>
      </c>
      <c r="C3566" s="28" t="s">
        <v>1098</v>
      </c>
      <c r="D3566" s="28"/>
      <c r="E3566" s="41">
        <v>46171</v>
      </c>
      <c r="F3566" s="47">
        <v>4.7453703703703703E-3</v>
      </c>
      <c r="G3566" s="44">
        <v>6.3</v>
      </c>
      <c r="H3566" s="43" t="s">
        <v>229</v>
      </c>
      <c r="I3566" s="40" t="s">
        <v>1300</v>
      </c>
    </row>
    <row r="3567" spans="1:9" x14ac:dyDescent="0.2">
      <c r="A3567" s="40" t="s">
        <v>440</v>
      </c>
      <c r="B3567" s="28">
        <v>4041</v>
      </c>
      <c r="C3567" s="28" t="s">
        <v>1099</v>
      </c>
      <c r="D3567" s="28"/>
      <c r="E3567" s="41">
        <v>46171</v>
      </c>
      <c r="F3567" s="47">
        <v>0.10326388888888889</v>
      </c>
      <c r="G3567" s="44">
        <v>6.3</v>
      </c>
      <c r="H3567" s="43" t="s">
        <v>230</v>
      </c>
      <c r="I3567" s="40" t="s">
        <v>1300</v>
      </c>
    </row>
    <row r="3568" spans="1:9" x14ac:dyDescent="0.2">
      <c r="A3568" s="40" t="s">
        <v>440</v>
      </c>
      <c r="B3568" s="28">
        <v>4041</v>
      </c>
      <c r="C3568" s="28" t="s">
        <v>1099</v>
      </c>
      <c r="D3568" s="28"/>
      <c r="E3568" s="41">
        <v>46171</v>
      </c>
      <c r="F3568" s="47">
        <v>0.10765046296296296</v>
      </c>
      <c r="G3568" s="44">
        <v>6.3</v>
      </c>
      <c r="H3568" s="43" t="s">
        <v>227</v>
      </c>
      <c r="I3568" s="40" t="s">
        <v>1300</v>
      </c>
    </row>
    <row r="3569" spans="1:9" x14ac:dyDescent="0.2">
      <c r="A3569" s="40" t="s">
        <v>440</v>
      </c>
      <c r="B3569" s="28">
        <v>4041</v>
      </c>
      <c r="C3569" s="28" t="s">
        <v>1100</v>
      </c>
      <c r="D3569" s="28"/>
      <c r="E3569" s="41">
        <v>46171</v>
      </c>
      <c r="F3569" s="47">
        <v>0.84336805555555561</v>
      </c>
      <c r="G3569" s="42">
        <v>6.3</v>
      </c>
      <c r="H3569" s="40" t="s">
        <v>228</v>
      </c>
      <c r="I3569" s="40" t="s">
        <v>1300</v>
      </c>
    </row>
    <row r="3570" spans="1:9" x14ac:dyDescent="0.2">
      <c r="A3570" s="40" t="s">
        <v>440</v>
      </c>
      <c r="B3570" s="28">
        <v>4041</v>
      </c>
      <c r="C3570" s="28" t="s">
        <v>1100</v>
      </c>
      <c r="D3570" s="28"/>
      <c r="E3570" s="41">
        <v>46171</v>
      </c>
      <c r="F3570" s="47">
        <v>0.84996527777777775</v>
      </c>
      <c r="G3570" s="42">
        <v>6.3</v>
      </c>
      <c r="H3570" s="40" t="s">
        <v>229</v>
      </c>
      <c r="I3570" s="40" t="s">
        <v>1300</v>
      </c>
    </row>
    <row r="3571" spans="1:9" x14ac:dyDescent="0.2">
      <c r="A3571" s="40" t="s">
        <v>440</v>
      </c>
      <c r="B3571" s="28">
        <v>4041</v>
      </c>
      <c r="C3571" s="28" t="s">
        <v>1101</v>
      </c>
      <c r="D3571" s="28"/>
      <c r="E3571" s="41">
        <v>46171</v>
      </c>
      <c r="F3571" s="47">
        <v>0.98586805555555557</v>
      </c>
      <c r="G3571" s="42">
        <v>6.3</v>
      </c>
      <c r="H3571" s="40" t="s">
        <v>228</v>
      </c>
      <c r="I3571" s="40" t="s">
        <v>1300</v>
      </c>
    </row>
    <row r="3572" spans="1:9" x14ac:dyDescent="0.2">
      <c r="A3572" s="40" t="s">
        <v>440</v>
      </c>
      <c r="B3572" s="28">
        <v>4041</v>
      </c>
      <c r="C3572" s="28" t="s">
        <v>1101</v>
      </c>
      <c r="D3572" s="28"/>
      <c r="E3572" s="41">
        <v>46171</v>
      </c>
      <c r="F3572" s="47">
        <v>0.99202546296296301</v>
      </c>
      <c r="G3572" s="44">
        <v>6.3</v>
      </c>
      <c r="H3572" s="43" t="s">
        <v>229</v>
      </c>
      <c r="I3572" s="40" t="s">
        <v>1300</v>
      </c>
    </row>
    <row r="3573" spans="1:9" x14ac:dyDescent="0.2">
      <c r="A3573" s="40" t="s">
        <v>440</v>
      </c>
      <c r="B3573" s="28">
        <v>4041</v>
      </c>
      <c r="C3573" s="28" t="s">
        <v>1102</v>
      </c>
      <c r="D3573" s="28" t="s">
        <v>36</v>
      </c>
      <c r="E3573" s="41">
        <v>46172</v>
      </c>
      <c r="F3573" s="47">
        <v>1.7476851851851852E-3</v>
      </c>
      <c r="G3573" s="44">
        <v>6.3</v>
      </c>
      <c r="H3573" s="43" t="s">
        <v>230</v>
      </c>
      <c r="I3573" s="40" t="s">
        <v>1300</v>
      </c>
    </row>
    <row r="3574" spans="1:9" x14ac:dyDescent="0.2">
      <c r="A3574" s="40" t="s">
        <v>440</v>
      </c>
      <c r="B3574" s="28">
        <v>4041</v>
      </c>
      <c r="C3574" s="28" t="s">
        <v>1102</v>
      </c>
      <c r="D3574" s="28" t="s">
        <v>36</v>
      </c>
      <c r="E3574" s="41">
        <v>46172</v>
      </c>
      <c r="F3574" s="47">
        <v>6.7939814814814816E-3</v>
      </c>
      <c r="G3574" s="44">
        <v>6.3</v>
      </c>
      <c r="H3574" s="43" t="s">
        <v>227</v>
      </c>
      <c r="I3574" s="40" t="s">
        <v>1300</v>
      </c>
    </row>
    <row r="3575" spans="1:9" x14ac:dyDescent="0.2">
      <c r="A3575" s="40" t="s">
        <v>440</v>
      </c>
      <c r="B3575" s="28">
        <v>4041</v>
      </c>
      <c r="C3575" s="28" t="s">
        <v>1103</v>
      </c>
      <c r="D3575" s="28"/>
      <c r="E3575" s="41">
        <v>46172</v>
      </c>
      <c r="F3575" s="47">
        <v>9.3784722222222228E-2</v>
      </c>
      <c r="G3575" s="44">
        <v>6.3</v>
      </c>
      <c r="H3575" s="43" t="s">
        <v>228</v>
      </c>
      <c r="I3575" s="40" t="s">
        <v>1300</v>
      </c>
    </row>
    <row r="3576" spans="1:9" x14ac:dyDescent="0.2">
      <c r="A3576" s="40" t="s">
        <v>440</v>
      </c>
      <c r="B3576" s="28">
        <v>4041</v>
      </c>
      <c r="C3576" s="28" t="s">
        <v>1104</v>
      </c>
      <c r="D3576" s="28"/>
      <c r="E3576" s="41">
        <v>46172</v>
      </c>
      <c r="F3576" s="47">
        <v>0.16142361111111111</v>
      </c>
      <c r="G3576" s="44">
        <v>6.3</v>
      </c>
      <c r="H3576" s="43" t="s">
        <v>226</v>
      </c>
      <c r="I3576" s="40" t="s">
        <v>1300</v>
      </c>
    </row>
    <row r="3577" spans="1:9" x14ac:dyDescent="0.2">
      <c r="A3577" s="40" t="s">
        <v>440</v>
      </c>
      <c r="B3577" s="28">
        <v>4041</v>
      </c>
      <c r="C3577" s="28" t="s">
        <v>1104</v>
      </c>
      <c r="D3577" s="28"/>
      <c r="E3577" s="41">
        <v>46172</v>
      </c>
      <c r="F3577" s="47">
        <v>0.16651620370370371</v>
      </c>
      <c r="G3577" s="44">
        <v>6.3</v>
      </c>
      <c r="H3577" s="43" t="s">
        <v>227</v>
      </c>
      <c r="I3577" s="40" t="s">
        <v>1300</v>
      </c>
    </row>
    <row r="3578" spans="1:9" x14ac:dyDescent="0.2">
      <c r="A3578" s="40" t="s">
        <v>440</v>
      </c>
      <c r="B3578" s="28">
        <v>4041</v>
      </c>
      <c r="C3578" s="28" t="s">
        <v>1105</v>
      </c>
      <c r="D3578" s="28"/>
      <c r="E3578" s="41">
        <v>46172</v>
      </c>
      <c r="F3578" s="47">
        <v>0.88211805555555556</v>
      </c>
      <c r="G3578" s="44">
        <v>6.3</v>
      </c>
      <c r="H3578" s="43" t="s">
        <v>228</v>
      </c>
      <c r="I3578" s="40" t="s">
        <v>1300</v>
      </c>
    </row>
    <row r="3579" spans="1:9" x14ac:dyDescent="0.2">
      <c r="A3579" s="40" t="s">
        <v>440</v>
      </c>
      <c r="B3579" s="28">
        <v>4041</v>
      </c>
      <c r="C3579" s="28" t="s">
        <v>35</v>
      </c>
      <c r="D3579" s="28" t="s">
        <v>38</v>
      </c>
      <c r="E3579" s="41">
        <v>46172</v>
      </c>
      <c r="F3579" s="47">
        <v>0.91319444444444442</v>
      </c>
      <c r="G3579" s="44">
        <v>6.3</v>
      </c>
      <c r="H3579" s="43" t="s">
        <v>227</v>
      </c>
      <c r="I3579" s="40" t="s">
        <v>1300</v>
      </c>
    </row>
    <row r="3580" spans="1:9" x14ac:dyDescent="0.2">
      <c r="A3580" s="40" t="s">
        <v>352</v>
      </c>
      <c r="B3580" s="28">
        <v>4042</v>
      </c>
      <c r="C3580" s="28" t="s">
        <v>1106</v>
      </c>
      <c r="D3580" s="28"/>
      <c r="E3580" s="41">
        <v>46167</v>
      </c>
      <c r="F3580" s="47">
        <v>0.72436342592592595</v>
      </c>
      <c r="G3580" s="44">
        <v>6.3</v>
      </c>
      <c r="H3580" s="43" t="s">
        <v>228</v>
      </c>
      <c r="I3580" s="40" t="s">
        <v>1300</v>
      </c>
    </row>
    <row r="3581" spans="1:9" x14ac:dyDescent="0.2">
      <c r="A3581" s="40" t="s">
        <v>352</v>
      </c>
      <c r="B3581" s="28">
        <v>4042</v>
      </c>
      <c r="C3581" s="28" t="s">
        <v>35</v>
      </c>
      <c r="D3581" s="28" t="s">
        <v>38</v>
      </c>
      <c r="E3581" s="41">
        <v>46167</v>
      </c>
      <c r="F3581" s="47">
        <v>0.73930555555555555</v>
      </c>
      <c r="G3581" s="44">
        <v>6.3</v>
      </c>
      <c r="H3581" s="43" t="s">
        <v>229</v>
      </c>
      <c r="I3581" s="40" t="s">
        <v>1300</v>
      </c>
    </row>
    <row r="3582" spans="1:9" x14ac:dyDescent="0.2">
      <c r="A3582" s="40" t="s">
        <v>352</v>
      </c>
      <c r="B3582" s="28">
        <v>4042</v>
      </c>
      <c r="C3582" s="28">
        <v>5691358</v>
      </c>
      <c r="D3582" s="28"/>
      <c r="E3582" s="41">
        <v>46170</v>
      </c>
      <c r="F3582" s="47">
        <v>0.8957060185185185</v>
      </c>
      <c r="G3582" s="44">
        <v>6.3</v>
      </c>
      <c r="H3582" s="43" t="s">
        <v>228</v>
      </c>
      <c r="I3582" s="40" t="s">
        <v>1300</v>
      </c>
    </row>
    <row r="3583" spans="1:9" x14ac:dyDescent="0.2">
      <c r="A3583" s="40" t="s">
        <v>352</v>
      </c>
      <c r="B3583" s="28">
        <v>4042</v>
      </c>
      <c r="C3583" s="28">
        <v>5691358</v>
      </c>
      <c r="D3583" s="28"/>
      <c r="E3583" s="41">
        <v>46170</v>
      </c>
      <c r="F3583" s="47">
        <v>0.90287037037037032</v>
      </c>
      <c r="G3583" s="44">
        <v>6.3</v>
      </c>
      <c r="H3583" s="43" t="s">
        <v>229</v>
      </c>
      <c r="I3583" s="40" t="s">
        <v>1300</v>
      </c>
    </row>
    <row r="3584" spans="1:9" x14ac:dyDescent="0.2">
      <c r="A3584" s="40" t="s">
        <v>352</v>
      </c>
      <c r="B3584" s="28">
        <v>4042</v>
      </c>
      <c r="C3584" s="28">
        <v>5695019</v>
      </c>
      <c r="D3584" s="28"/>
      <c r="E3584" s="41">
        <v>46172</v>
      </c>
      <c r="F3584" s="47">
        <v>0.90047453703703706</v>
      </c>
      <c r="G3584" s="44">
        <v>6.3</v>
      </c>
      <c r="H3584" s="43" t="s">
        <v>228</v>
      </c>
      <c r="I3584" s="40" t="s">
        <v>1300</v>
      </c>
    </row>
    <row r="3585" spans="1:9" x14ac:dyDescent="0.2">
      <c r="A3585" s="40" t="s">
        <v>352</v>
      </c>
      <c r="B3585" s="28">
        <v>4042</v>
      </c>
      <c r="C3585" s="28">
        <v>5695019</v>
      </c>
      <c r="D3585" s="28"/>
      <c r="E3585" s="41">
        <v>46172</v>
      </c>
      <c r="F3585" s="47">
        <v>0.90848379629629628</v>
      </c>
      <c r="G3585" s="44">
        <v>6.3</v>
      </c>
      <c r="H3585" s="43" t="s">
        <v>229</v>
      </c>
      <c r="I3585" s="40" t="s">
        <v>1300</v>
      </c>
    </row>
    <row r="3586" spans="1:9" x14ac:dyDescent="0.2">
      <c r="A3586" s="40" t="s">
        <v>349</v>
      </c>
      <c r="B3586" s="28">
        <v>4055</v>
      </c>
      <c r="C3586" s="28">
        <v>5684941</v>
      </c>
      <c r="D3586" s="28"/>
      <c r="E3586" s="41">
        <v>46167</v>
      </c>
      <c r="F3586" s="47">
        <v>0.15033564814814815</v>
      </c>
      <c r="G3586" s="44">
        <v>6.3</v>
      </c>
      <c r="H3586" s="43" t="s">
        <v>230</v>
      </c>
      <c r="I3586" s="40" t="s">
        <v>1300</v>
      </c>
    </row>
    <row r="3587" spans="1:9" x14ac:dyDescent="0.2">
      <c r="A3587" s="40" t="s">
        <v>349</v>
      </c>
      <c r="B3587" s="28">
        <v>4055</v>
      </c>
      <c r="C3587" s="28">
        <v>5684941</v>
      </c>
      <c r="D3587" s="28"/>
      <c r="E3587" s="41">
        <v>46167</v>
      </c>
      <c r="F3587" s="47">
        <v>0.15527777777777776</v>
      </c>
      <c r="G3587" s="44">
        <v>6.3</v>
      </c>
      <c r="H3587" s="43" t="s">
        <v>227</v>
      </c>
      <c r="I3587" s="40" t="s">
        <v>1300</v>
      </c>
    </row>
    <row r="3588" spans="1:9" x14ac:dyDescent="0.2">
      <c r="A3588" s="40" t="s">
        <v>349</v>
      </c>
      <c r="B3588" s="28">
        <v>4055</v>
      </c>
      <c r="C3588" s="28">
        <v>5690388</v>
      </c>
      <c r="D3588" s="28"/>
      <c r="E3588" s="41">
        <v>46169</v>
      </c>
      <c r="F3588" s="47">
        <v>0.82679398148148153</v>
      </c>
      <c r="G3588" s="44">
        <v>6.3</v>
      </c>
      <c r="H3588" s="43" t="s">
        <v>228</v>
      </c>
      <c r="I3588" s="40" t="s">
        <v>1300</v>
      </c>
    </row>
    <row r="3589" spans="1:9" x14ac:dyDescent="0.2">
      <c r="A3589" s="40" t="s">
        <v>349</v>
      </c>
      <c r="B3589" s="28">
        <v>4055</v>
      </c>
      <c r="C3589" s="28">
        <v>5690388</v>
      </c>
      <c r="D3589" s="28"/>
      <c r="E3589" s="41">
        <v>46169</v>
      </c>
      <c r="F3589" s="47">
        <v>0.83513888888888888</v>
      </c>
      <c r="G3589" s="44">
        <v>6.3</v>
      </c>
      <c r="H3589" s="43" t="s">
        <v>229</v>
      </c>
      <c r="I3589" s="40" t="s">
        <v>1300</v>
      </c>
    </row>
    <row r="3590" spans="1:9" x14ac:dyDescent="0.2">
      <c r="A3590" s="40" t="s">
        <v>349</v>
      </c>
      <c r="B3590" s="28">
        <v>4055</v>
      </c>
      <c r="C3590" s="28" t="s">
        <v>1107</v>
      </c>
      <c r="D3590" s="28"/>
      <c r="E3590" s="41">
        <v>46169</v>
      </c>
      <c r="F3590" s="47">
        <v>0.93413194444444447</v>
      </c>
      <c r="G3590" s="44">
        <v>6.3</v>
      </c>
      <c r="H3590" s="43" t="s">
        <v>230</v>
      </c>
      <c r="I3590" s="40" t="s">
        <v>1300</v>
      </c>
    </row>
    <row r="3591" spans="1:9" x14ac:dyDescent="0.2">
      <c r="A3591" s="40" t="s">
        <v>349</v>
      </c>
      <c r="B3591" s="28">
        <v>4055</v>
      </c>
      <c r="C3591" s="28" t="s">
        <v>1107</v>
      </c>
      <c r="D3591" s="28"/>
      <c r="E3591" s="41">
        <v>46169</v>
      </c>
      <c r="F3591" s="47">
        <v>0.94016203703703705</v>
      </c>
      <c r="G3591" s="44">
        <v>6.3</v>
      </c>
      <c r="H3591" s="43" t="s">
        <v>227</v>
      </c>
      <c r="I3591" s="40" t="s">
        <v>1300</v>
      </c>
    </row>
    <row r="3592" spans="1:9" x14ac:dyDescent="0.2">
      <c r="A3592" s="40" t="s">
        <v>349</v>
      </c>
      <c r="B3592" s="28">
        <v>4055</v>
      </c>
      <c r="C3592" s="28" t="s">
        <v>1108</v>
      </c>
      <c r="D3592" s="28"/>
      <c r="E3592" s="41">
        <v>46170</v>
      </c>
      <c r="F3592" s="47">
        <v>0.42815972222222221</v>
      </c>
      <c r="G3592" s="44">
        <v>6.3</v>
      </c>
      <c r="H3592" s="43" t="s">
        <v>228</v>
      </c>
      <c r="I3592" s="40" t="s">
        <v>1300</v>
      </c>
    </row>
    <row r="3593" spans="1:9" x14ac:dyDescent="0.2">
      <c r="A3593" s="40" t="s">
        <v>349</v>
      </c>
      <c r="B3593" s="28">
        <v>4055</v>
      </c>
      <c r="C3593" s="28" t="s">
        <v>1108</v>
      </c>
      <c r="D3593" s="28"/>
      <c r="E3593" s="41">
        <v>46170</v>
      </c>
      <c r="F3593" s="47">
        <v>0.43612268518518521</v>
      </c>
      <c r="G3593" s="44">
        <v>6.3</v>
      </c>
      <c r="H3593" s="43" t="s">
        <v>229</v>
      </c>
      <c r="I3593" s="40" t="s">
        <v>1300</v>
      </c>
    </row>
    <row r="3594" spans="1:9" x14ac:dyDescent="0.2">
      <c r="A3594" s="40" t="s">
        <v>349</v>
      </c>
      <c r="B3594" s="28">
        <v>4055</v>
      </c>
      <c r="C3594" s="28">
        <v>5691331</v>
      </c>
      <c r="D3594" s="28"/>
      <c r="E3594" s="41">
        <v>46171</v>
      </c>
      <c r="F3594" s="47">
        <v>0.5290393518518518</v>
      </c>
      <c r="G3594" s="44">
        <v>6.3</v>
      </c>
      <c r="H3594" s="43" t="s">
        <v>228</v>
      </c>
      <c r="I3594" s="40" t="s">
        <v>1300</v>
      </c>
    </row>
    <row r="3595" spans="1:9" x14ac:dyDescent="0.2">
      <c r="A3595" s="40" t="s">
        <v>349</v>
      </c>
      <c r="B3595" s="28">
        <v>4055</v>
      </c>
      <c r="C3595" s="28">
        <v>5691331</v>
      </c>
      <c r="D3595" s="28"/>
      <c r="E3595" s="41">
        <v>46171</v>
      </c>
      <c r="F3595" s="47">
        <v>0.54342592592592598</v>
      </c>
      <c r="G3595" s="44">
        <v>6.3</v>
      </c>
      <c r="H3595" s="43" t="s">
        <v>232</v>
      </c>
      <c r="I3595" s="40" t="s">
        <v>1300</v>
      </c>
    </row>
    <row r="3596" spans="1:9" x14ac:dyDescent="0.2">
      <c r="A3596" s="40" t="s">
        <v>349</v>
      </c>
      <c r="B3596" s="28">
        <v>4055</v>
      </c>
      <c r="C3596" s="28">
        <v>5694846</v>
      </c>
      <c r="D3596" s="28"/>
      <c r="E3596" s="41">
        <v>46172</v>
      </c>
      <c r="F3596" s="47">
        <v>0.65063657407407405</v>
      </c>
      <c r="G3596" s="44">
        <v>6.3</v>
      </c>
      <c r="H3596" s="43" t="s">
        <v>228</v>
      </c>
      <c r="I3596" s="40" t="s">
        <v>1300</v>
      </c>
    </row>
    <row r="3597" spans="1:9" x14ac:dyDescent="0.2">
      <c r="A3597" s="40" t="s">
        <v>349</v>
      </c>
      <c r="B3597" s="28">
        <v>4055</v>
      </c>
      <c r="C3597" s="28">
        <v>5694846</v>
      </c>
      <c r="D3597" s="28"/>
      <c r="E3597" s="41">
        <v>46172</v>
      </c>
      <c r="F3597" s="47">
        <v>0.6628356481481481</v>
      </c>
      <c r="G3597" s="44">
        <v>6.3</v>
      </c>
      <c r="H3597" s="43" t="s">
        <v>229</v>
      </c>
      <c r="I3597" s="40" t="s">
        <v>1300</v>
      </c>
    </row>
    <row r="3598" spans="1:9" x14ac:dyDescent="0.2">
      <c r="A3598" s="40" t="s">
        <v>349</v>
      </c>
      <c r="B3598" s="28">
        <v>4055</v>
      </c>
      <c r="C3598" s="28" t="s">
        <v>1109</v>
      </c>
      <c r="D3598" s="28"/>
      <c r="E3598" s="41">
        <v>46172</v>
      </c>
      <c r="F3598" s="47">
        <v>0.82369212962962968</v>
      </c>
      <c r="G3598" s="44">
        <v>6.3</v>
      </c>
      <c r="H3598" s="43" t="s">
        <v>230</v>
      </c>
      <c r="I3598" s="40" t="s">
        <v>1300</v>
      </c>
    </row>
    <row r="3599" spans="1:9" x14ac:dyDescent="0.2">
      <c r="A3599" s="40" t="s">
        <v>349</v>
      </c>
      <c r="B3599" s="28">
        <v>4055</v>
      </c>
      <c r="C3599" s="28" t="s">
        <v>1109</v>
      </c>
      <c r="D3599" s="28"/>
      <c r="E3599" s="41">
        <v>46172</v>
      </c>
      <c r="F3599" s="47">
        <v>0.8301736111111111</v>
      </c>
      <c r="G3599" s="44">
        <v>6.3</v>
      </c>
      <c r="H3599" s="43" t="s">
        <v>227</v>
      </c>
      <c r="I3599" s="40" t="s">
        <v>1300</v>
      </c>
    </row>
    <row r="3600" spans="1:9" x14ac:dyDescent="0.2">
      <c r="A3600" s="40" t="s">
        <v>349</v>
      </c>
      <c r="B3600" s="28">
        <v>4055</v>
      </c>
      <c r="C3600" s="28" t="s">
        <v>35</v>
      </c>
      <c r="D3600" s="28" t="s">
        <v>38</v>
      </c>
      <c r="E3600" s="41">
        <v>46173</v>
      </c>
      <c r="F3600" s="47">
        <v>3.0960648148148147E-2</v>
      </c>
      <c r="G3600" s="44">
        <v>6.3</v>
      </c>
      <c r="H3600" s="43" t="s">
        <v>228</v>
      </c>
      <c r="I3600" s="40" t="s">
        <v>1300</v>
      </c>
    </row>
    <row r="3601" spans="1:9" x14ac:dyDescent="0.2">
      <c r="A3601" s="40" t="s">
        <v>349</v>
      </c>
      <c r="B3601" s="28">
        <v>4055</v>
      </c>
      <c r="C3601" s="28" t="s">
        <v>35</v>
      </c>
      <c r="D3601" s="28" t="s">
        <v>38</v>
      </c>
      <c r="E3601" s="41">
        <v>46173</v>
      </c>
      <c r="F3601" s="47">
        <v>3.7997685185185183E-2</v>
      </c>
      <c r="G3601" s="44">
        <v>6.3</v>
      </c>
      <c r="H3601" s="43" t="s">
        <v>229</v>
      </c>
      <c r="I3601" s="40" t="s">
        <v>1300</v>
      </c>
    </row>
    <row r="3602" spans="1:9" x14ac:dyDescent="0.2">
      <c r="A3602" s="40" t="s">
        <v>349</v>
      </c>
      <c r="B3602" s="28">
        <v>4055</v>
      </c>
      <c r="C3602" s="28" t="s">
        <v>35</v>
      </c>
      <c r="D3602" s="28" t="s">
        <v>38</v>
      </c>
      <c r="E3602" s="41">
        <v>46173</v>
      </c>
      <c r="F3602" s="47">
        <v>0.4085185185185185</v>
      </c>
      <c r="G3602" s="44">
        <v>6.3</v>
      </c>
      <c r="H3602" s="43" t="s">
        <v>231</v>
      </c>
      <c r="I3602" s="40" t="s">
        <v>1300</v>
      </c>
    </row>
    <row r="3603" spans="1:9" x14ac:dyDescent="0.2">
      <c r="A3603" s="40" t="s">
        <v>349</v>
      </c>
      <c r="B3603" s="28">
        <v>4055</v>
      </c>
      <c r="C3603" s="28" t="s">
        <v>35</v>
      </c>
      <c r="D3603" s="28" t="s">
        <v>38</v>
      </c>
      <c r="E3603" s="41">
        <v>46173</v>
      </c>
      <c r="F3603" s="47">
        <v>0.41285879629629629</v>
      </c>
      <c r="G3603" s="44">
        <v>6.3</v>
      </c>
      <c r="H3603" s="43" t="s">
        <v>227</v>
      </c>
      <c r="I3603" s="40" t="s">
        <v>1300</v>
      </c>
    </row>
    <row r="3604" spans="1:9" x14ac:dyDescent="0.2">
      <c r="A3604" s="40" t="s">
        <v>349</v>
      </c>
      <c r="B3604" s="28">
        <v>4055</v>
      </c>
      <c r="C3604" s="28">
        <v>5692652</v>
      </c>
      <c r="D3604" s="28"/>
      <c r="E3604" s="41">
        <v>46173</v>
      </c>
      <c r="F3604" s="47">
        <v>0.49480324074074072</v>
      </c>
      <c r="G3604" s="44">
        <v>6.3</v>
      </c>
      <c r="H3604" s="43" t="s">
        <v>228</v>
      </c>
      <c r="I3604" s="40" t="s">
        <v>1300</v>
      </c>
    </row>
    <row r="3605" spans="1:9" x14ac:dyDescent="0.2">
      <c r="A3605" s="40" t="s">
        <v>349</v>
      </c>
      <c r="B3605" s="28">
        <v>4055</v>
      </c>
      <c r="C3605" s="28">
        <v>5692652</v>
      </c>
      <c r="D3605" s="28"/>
      <c r="E3605" s="41">
        <v>46173</v>
      </c>
      <c r="F3605" s="47">
        <v>0.50295138888888891</v>
      </c>
      <c r="G3605" s="44">
        <v>6.3</v>
      </c>
      <c r="H3605" s="43" t="s">
        <v>232</v>
      </c>
      <c r="I3605" s="40" t="s">
        <v>1300</v>
      </c>
    </row>
    <row r="3606" spans="1:9" x14ac:dyDescent="0.2">
      <c r="A3606" s="40" t="s">
        <v>349</v>
      </c>
      <c r="B3606" s="28">
        <v>4055</v>
      </c>
      <c r="C3606" s="28" t="s">
        <v>35</v>
      </c>
      <c r="D3606" s="28" t="s">
        <v>38</v>
      </c>
      <c r="E3606" s="41">
        <v>46173</v>
      </c>
      <c r="F3606" s="47">
        <v>0.60082175925925929</v>
      </c>
      <c r="G3606" s="44">
        <v>6.3</v>
      </c>
      <c r="H3606" s="43" t="s">
        <v>231</v>
      </c>
      <c r="I3606" s="40" t="s">
        <v>1300</v>
      </c>
    </row>
    <row r="3607" spans="1:9" x14ac:dyDescent="0.2">
      <c r="A3607" s="40" t="s">
        <v>349</v>
      </c>
      <c r="B3607" s="28">
        <v>4055</v>
      </c>
      <c r="C3607" s="28" t="s">
        <v>35</v>
      </c>
      <c r="D3607" s="28" t="s">
        <v>38</v>
      </c>
      <c r="E3607" s="41">
        <v>46173</v>
      </c>
      <c r="F3607" s="47">
        <v>0.60502314814814817</v>
      </c>
      <c r="G3607" s="44">
        <v>6.3</v>
      </c>
      <c r="H3607" s="43" t="s">
        <v>227</v>
      </c>
      <c r="I3607" s="40" t="s">
        <v>1300</v>
      </c>
    </row>
    <row r="3608" spans="1:9" x14ac:dyDescent="0.2">
      <c r="A3608" s="40" t="s">
        <v>349</v>
      </c>
      <c r="B3608" s="28">
        <v>4055</v>
      </c>
      <c r="C3608" s="28" t="s">
        <v>1110</v>
      </c>
      <c r="D3608" s="28"/>
      <c r="E3608" s="41">
        <v>46173</v>
      </c>
      <c r="F3608" s="47">
        <v>0.68877314814814816</v>
      </c>
      <c r="G3608" s="44">
        <v>6.3</v>
      </c>
      <c r="H3608" s="43" t="s">
        <v>228</v>
      </c>
      <c r="I3608" s="40" t="s">
        <v>1300</v>
      </c>
    </row>
    <row r="3609" spans="1:9" x14ac:dyDescent="0.2">
      <c r="A3609" s="40" t="s">
        <v>374</v>
      </c>
      <c r="B3609" s="28">
        <v>4070</v>
      </c>
      <c r="C3609" s="28">
        <v>5688357</v>
      </c>
      <c r="D3609" s="28" t="s">
        <v>37</v>
      </c>
      <c r="E3609" s="41">
        <v>46168</v>
      </c>
      <c r="F3609" s="47">
        <v>0.84128472222222217</v>
      </c>
      <c r="G3609" s="44">
        <v>6.3</v>
      </c>
      <c r="H3609" s="43" t="s">
        <v>228</v>
      </c>
      <c r="I3609" s="40" t="s">
        <v>1300</v>
      </c>
    </row>
    <row r="3610" spans="1:9" x14ac:dyDescent="0.2">
      <c r="A3610" s="40" t="s">
        <v>374</v>
      </c>
      <c r="B3610" s="28">
        <v>4070</v>
      </c>
      <c r="C3610" s="28">
        <v>5688357</v>
      </c>
      <c r="D3610" s="28" t="s">
        <v>37</v>
      </c>
      <c r="E3610" s="41">
        <v>46168</v>
      </c>
      <c r="F3610" s="47">
        <v>0.84930555555555554</v>
      </c>
      <c r="G3610" s="44">
        <v>6.3</v>
      </c>
      <c r="H3610" s="43" t="s">
        <v>229</v>
      </c>
      <c r="I3610" s="40" t="s">
        <v>1300</v>
      </c>
    </row>
    <row r="3611" spans="1:9" x14ac:dyDescent="0.2">
      <c r="A3611" s="40" t="s">
        <v>374</v>
      </c>
      <c r="B3611" s="28">
        <v>4070</v>
      </c>
      <c r="C3611" s="28">
        <v>5690020</v>
      </c>
      <c r="D3611" s="28"/>
      <c r="E3611" s="45">
        <v>46169</v>
      </c>
      <c r="F3611" s="48">
        <v>0.68634259259259256</v>
      </c>
      <c r="G3611" s="44">
        <v>6.3</v>
      </c>
      <c r="H3611" s="43" t="s">
        <v>228</v>
      </c>
      <c r="I3611" s="40" t="s">
        <v>1300</v>
      </c>
    </row>
    <row r="3612" spans="1:9" x14ac:dyDescent="0.2">
      <c r="A3612" s="40" t="s">
        <v>374</v>
      </c>
      <c r="B3612" s="28">
        <v>4070</v>
      </c>
      <c r="C3612" s="28">
        <v>5690020</v>
      </c>
      <c r="D3612" s="28"/>
      <c r="E3612" s="41">
        <v>46169</v>
      </c>
      <c r="F3612" s="47">
        <v>0.69693287037037033</v>
      </c>
      <c r="G3612" s="44">
        <v>6.3</v>
      </c>
      <c r="H3612" s="43" t="s">
        <v>229</v>
      </c>
      <c r="I3612" s="40" t="s">
        <v>1300</v>
      </c>
    </row>
    <row r="3613" spans="1:9" x14ac:dyDescent="0.2">
      <c r="A3613" s="40" t="s">
        <v>374</v>
      </c>
      <c r="B3613" s="28">
        <v>4070</v>
      </c>
      <c r="C3613" s="28">
        <v>5691805</v>
      </c>
      <c r="D3613" s="28"/>
      <c r="E3613" s="41">
        <v>46170</v>
      </c>
      <c r="F3613" s="47">
        <v>0.7076041666666667</v>
      </c>
      <c r="G3613" s="44">
        <v>6.3</v>
      </c>
      <c r="H3613" s="43" t="s">
        <v>228</v>
      </c>
      <c r="I3613" s="40" t="s">
        <v>1300</v>
      </c>
    </row>
    <row r="3614" spans="1:9" x14ac:dyDescent="0.2">
      <c r="A3614" s="40" t="s">
        <v>374</v>
      </c>
      <c r="B3614" s="28">
        <v>4070</v>
      </c>
      <c r="C3614" s="28">
        <v>5691805</v>
      </c>
      <c r="D3614" s="28"/>
      <c r="E3614" s="41">
        <v>46170</v>
      </c>
      <c r="F3614" s="47">
        <v>0.71984953703703702</v>
      </c>
      <c r="G3614" s="44">
        <v>6.3</v>
      </c>
      <c r="H3614" s="43" t="s">
        <v>229</v>
      </c>
      <c r="I3614" s="40" t="s">
        <v>1300</v>
      </c>
    </row>
    <row r="3615" spans="1:9" x14ac:dyDescent="0.2">
      <c r="A3615" s="40" t="s">
        <v>374</v>
      </c>
      <c r="B3615" s="28">
        <v>4070</v>
      </c>
      <c r="C3615" s="28">
        <v>5694745</v>
      </c>
      <c r="D3615" s="28"/>
      <c r="E3615" s="41">
        <v>46172</v>
      </c>
      <c r="F3615" s="47">
        <v>0.56542824074074072</v>
      </c>
      <c r="G3615" s="44">
        <v>6.3</v>
      </c>
      <c r="H3615" s="43" t="s">
        <v>228</v>
      </c>
      <c r="I3615" s="40" t="s">
        <v>1300</v>
      </c>
    </row>
    <row r="3616" spans="1:9" x14ac:dyDescent="0.2">
      <c r="A3616" s="40" t="s">
        <v>374</v>
      </c>
      <c r="B3616" s="28">
        <v>4070</v>
      </c>
      <c r="C3616" s="28">
        <v>5694745</v>
      </c>
      <c r="D3616" s="28"/>
      <c r="E3616" s="41">
        <v>46172</v>
      </c>
      <c r="F3616" s="47">
        <v>0.57527777777777778</v>
      </c>
      <c r="G3616" s="44">
        <v>6.3</v>
      </c>
      <c r="H3616" s="43" t="s">
        <v>229</v>
      </c>
      <c r="I3616" s="40" t="s">
        <v>1300</v>
      </c>
    </row>
    <row r="3617" spans="1:9" x14ac:dyDescent="0.2">
      <c r="A3617" s="40" t="s">
        <v>374</v>
      </c>
      <c r="B3617" s="28">
        <v>4070</v>
      </c>
      <c r="C3617" s="28" t="s">
        <v>1111</v>
      </c>
      <c r="D3617" s="28"/>
      <c r="E3617" s="41">
        <v>46172</v>
      </c>
      <c r="F3617" s="47">
        <v>0.86721064814814819</v>
      </c>
      <c r="G3617" s="44">
        <v>6.3</v>
      </c>
      <c r="H3617" s="43" t="s">
        <v>228</v>
      </c>
      <c r="I3617" s="40" t="s">
        <v>1300</v>
      </c>
    </row>
    <row r="3618" spans="1:9" x14ac:dyDescent="0.2">
      <c r="A3618" s="40" t="s">
        <v>374</v>
      </c>
      <c r="B3618" s="28">
        <v>4070</v>
      </c>
      <c r="C3618" s="28" t="s">
        <v>1111</v>
      </c>
      <c r="D3618" s="28"/>
      <c r="E3618" s="41">
        <v>46172</v>
      </c>
      <c r="F3618" s="47">
        <v>0.87434027777777779</v>
      </c>
      <c r="G3618" s="44">
        <v>6.3</v>
      </c>
      <c r="H3618" s="43" t="s">
        <v>229</v>
      </c>
      <c r="I3618" s="40" t="s">
        <v>1300</v>
      </c>
    </row>
    <row r="3619" spans="1:9" x14ac:dyDescent="0.2">
      <c r="A3619" s="40" t="s">
        <v>372</v>
      </c>
      <c r="B3619" s="28">
        <v>4072</v>
      </c>
      <c r="C3619" s="28" t="s">
        <v>1112</v>
      </c>
      <c r="D3619" s="28"/>
      <c r="E3619" s="45">
        <v>46169</v>
      </c>
      <c r="F3619" s="48">
        <v>0.99784722222222222</v>
      </c>
      <c r="G3619" s="42">
        <v>6.3</v>
      </c>
      <c r="H3619" s="40" t="s">
        <v>232</v>
      </c>
      <c r="I3619" s="40" t="s">
        <v>1300</v>
      </c>
    </row>
    <row r="3620" spans="1:9" x14ac:dyDescent="0.2">
      <c r="A3620" s="40" t="s">
        <v>372</v>
      </c>
      <c r="B3620" s="28">
        <v>4072</v>
      </c>
      <c r="C3620" s="28" t="s">
        <v>1112</v>
      </c>
      <c r="D3620" s="28"/>
      <c r="E3620" s="41">
        <v>46170</v>
      </c>
      <c r="F3620" s="47">
        <v>6.7592592592592591E-3</v>
      </c>
      <c r="G3620" s="42">
        <v>6.3</v>
      </c>
      <c r="H3620" s="40" t="s">
        <v>228</v>
      </c>
      <c r="I3620" s="40" t="s">
        <v>1300</v>
      </c>
    </row>
    <row r="3621" spans="1:9" x14ac:dyDescent="0.2">
      <c r="A3621" s="40" t="s">
        <v>372</v>
      </c>
      <c r="B3621" s="28">
        <v>4072</v>
      </c>
      <c r="C3621" s="28" t="s">
        <v>1112</v>
      </c>
      <c r="D3621" s="28"/>
      <c r="E3621" s="41">
        <v>46170</v>
      </c>
      <c r="F3621" s="47">
        <v>1.3229166666666667E-2</v>
      </c>
      <c r="G3621" s="44">
        <v>6.3</v>
      </c>
      <c r="H3621" s="43" t="s">
        <v>232</v>
      </c>
      <c r="I3621" s="40" t="s">
        <v>1300</v>
      </c>
    </row>
    <row r="3622" spans="1:9" x14ac:dyDescent="0.2">
      <c r="A3622" s="40" t="s">
        <v>372</v>
      </c>
      <c r="B3622" s="28">
        <v>4072</v>
      </c>
      <c r="C3622" s="28" t="s">
        <v>1113</v>
      </c>
      <c r="D3622" s="28"/>
      <c r="E3622" s="45">
        <v>46170</v>
      </c>
      <c r="F3622" s="48">
        <v>0.15983796296296296</v>
      </c>
      <c r="G3622" s="44">
        <v>6.3</v>
      </c>
      <c r="H3622" s="43" t="s">
        <v>226</v>
      </c>
      <c r="I3622" s="40" t="s">
        <v>1300</v>
      </c>
    </row>
    <row r="3623" spans="1:9" x14ac:dyDescent="0.2">
      <c r="A3623" s="40" t="s">
        <v>372</v>
      </c>
      <c r="B3623" s="28">
        <v>4072</v>
      </c>
      <c r="C3623" s="28" t="s">
        <v>1113</v>
      </c>
      <c r="D3623" s="28"/>
      <c r="E3623" s="45">
        <v>46170</v>
      </c>
      <c r="F3623" s="48">
        <v>0.16425925925925927</v>
      </c>
      <c r="G3623" s="44">
        <v>6.3</v>
      </c>
      <c r="H3623" s="43" t="s">
        <v>227</v>
      </c>
      <c r="I3623" s="40" t="s">
        <v>1300</v>
      </c>
    </row>
    <row r="3624" spans="1:9" x14ac:dyDescent="0.2">
      <c r="A3624" s="40" t="s">
        <v>372</v>
      </c>
      <c r="B3624" s="28">
        <v>4072</v>
      </c>
      <c r="C3624" s="28" t="s">
        <v>1114</v>
      </c>
      <c r="D3624" s="28"/>
      <c r="E3624" s="41">
        <v>46171</v>
      </c>
      <c r="F3624" s="47">
        <v>0.86101851851851852</v>
      </c>
      <c r="G3624" s="44">
        <v>6.3</v>
      </c>
      <c r="H3624" s="43" t="s">
        <v>228</v>
      </c>
      <c r="I3624" s="40" t="s">
        <v>1300</v>
      </c>
    </row>
    <row r="3625" spans="1:9" x14ac:dyDescent="0.2">
      <c r="A3625" s="40" t="s">
        <v>372</v>
      </c>
      <c r="B3625" s="28">
        <v>4072</v>
      </c>
      <c r="C3625" s="28" t="s">
        <v>1114</v>
      </c>
      <c r="D3625" s="28"/>
      <c r="E3625" s="41">
        <v>46171</v>
      </c>
      <c r="F3625" s="47">
        <v>0.86909722222222219</v>
      </c>
      <c r="G3625" s="44">
        <v>6.3</v>
      </c>
      <c r="H3625" s="43" t="s">
        <v>229</v>
      </c>
      <c r="I3625" s="40" t="s">
        <v>1300</v>
      </c>
    </row>
    <row r="3626" spans="1:9" x14ac:dyDescent="0.2">
      <c r="A3626" s="40" t="s">
        <v>372</v>
      </c>
      <c r="B3626" s="28">
        <v>4072</v>
      </c>
      <c r="C3626" s="28" t="s">
        <v>35</v>
      </c>
      <c r="D3626" s="28" t="s">
        <v>38</v>
      </c>
      <c r="E3626" s="41">
        <v>46171</v>
      </c>
      <c r="F3626" s="47">
        <v>0.88949074074074075</v>
      </c>
      <c r="G3626" s="44">
        <v>6.3</v>
      </c>
      <c r="H3626" s="43" t="s">
        <v>230</v>
      </c>
      <c r="I3626" s="40" t="s">
        <v>1300</v>
      </c>
    </row>
    <row r="3627" spans="1:9" x14ac:dyDescent="0.2">
      <c r="A3627" s="40" t="s">
        <v>372</v>
      </c>
      <c r="B3627" s="28">
        <v>4072</v>
      </c>
      <c r="C3627" s="28" t="s">
        <v>1115</v>
      </c>
      <c r="D3627" s="28" t="s">
        <v>36</v>
      </c>
      <c r="E3627" s="41">
        <v>46171</v>
      </c>
      <c r="F3627" s="47">
        <v>0.91422453703703699</v>
      </c>
      <c r="G3627" s="44">
        <v>6.3</v>
      </c>
      <c r="H3627" s="43" t="s">
        <v>227</v>
      </c>
      <c r="I3627" s="40" t="s">
        <v>1300</v>
      </c>
    </row>
    <row r="3628" spans="1:9" x14ac:dyDescent="0.2">
      <c r="A3628" s="40" t="s">
        <v>372</v>
      </c>
      <c r="B3628" s="28">
        <v>4072</v>
      </c>
      <c r="C3628" s="28" t="s">
        <v>1116</v>
      </c>
      <c r="D3628" s="28"/>
      <c r="E3628" s="41">
        <v>46172</v>
      </c>
      <c r="F3628" s="47">
        <v>2.3321759259259261E-2</v>
      </c>
      <c r="G3628" s="44">
        <v>6.3</v>
      </c>
      <c r="H3628" s="43" t="s">
        <v>228</v>
      </c>
      <c r="I3628" s="40" t="s">
        <v>1300</v>
      </c>
    </row>
    <row r="3629" spans="1:9" x14ac:dyDescent="0.2">
      <c r="A3629" s="40" t="s">
        <v>372</v>
      </c>
      <c r="B3629" s="28">
        <v>4072</v>
      </c>
      <c r="C3629" s="28" t="s">
        <v>1117</v>
      </c>
      <c r="D3629" s="28"/>
      <c r="E3629" s="45">
        <v>46172</v>
      </c>
      <c r="F3629" s="48">
        <v>0.13822916666666665</v>
      </c>
      <c r="G3629" s="44">
        <v>6.3</v>
      </c>
      <c r="H3629" s="43" t="s">
        <v>230</v>
      </c>
      <c r="I3629" s="40" t="s">
        <v>1300</v>
      </c>
    </row>
    <row r="3630" spans="1:9" x14ac:dyDescent="0.2">
      <c r="A3630" s="40" t="s">
        <v>372</v>
      </c>
      <c r="B3630" s="28">
        <v>4072</v>
      </c>
      <c r="C3630" s="28" t="s">
        <v>1117</v>
      </c>
      <c r="D3630" s="28"/>
      <c r="E3630" s="41">
        <v>46172</v>
      </c>
      <c r="F3630" s="47">
        <v>0.14337962962962963</v>
      </c>
      <c r="G3630" s="44">
        <v>6.3</v>
      </c>
      <c r="H3630" s="43" t="s">
        <v>227</v>
      </c>
      <c r="I3630" s="40" t="s">
        <v>1300</v>
      </c>
    </row>
    <row r="3631" spans="1:9" x14ac:dyDescent="0.2">
      <c r="A3631" s="40" t="s">
        <v>372</v>
      </c>
      <c r="B3631" s="28">
        <v>4072</v>
      </c>
      <c r="C3631" s="28" t="s">
        <v>1118</v>
      </c>
      <c r="D3631" s="28"/>
      <c r="E3631" s="41">
        <v>46172</v>
      </c>
      <c r="F3631" s="47">
        <v>0.99932870370370375</v>
      </c>
      <c r="G3631" s="44">
        <v>6.3</v>
      </c>
      <c r="H3631" s="43" t="s">
        <v>230</v>
      </c>
      <c r="I3631" s="40" t="s">
        <v>1300</v>
      </c>
    </row>
    <row r="3632" spans="1:9" x14ac:dyDescent="0.2">
      <c r="A3632" s="40" t="s">
        <v>372</v>
      </c>
      <c r="B3632" s="28">
        <v>4072</v>
      </c>
      <c r="C3632" s="28" t="s">
        <v>1118</v>
      </c>
      <c r="D3632" s="28"/>
      <c r="E3632" s="41">
        <v>46173</v>
      </c>
      <c r="F3632" s="47">
        <v>4.363425925925926E-3</v>
      </c>
      <c r="G3632" s="44">
        <v>6.3</v>
      </c>
      <c r="H3632" s="43" t="s">
        <v>227</v>
      </c>
      <c r="I3632" s="40" t="s">
        <v>1300</v>
      </c>
    </row>
    <row r="3633" spans="1:9" x14ac:dyDescent="0.2">
      <c r="A3633" s="40" t="s">
        <v>380</v>
      </c>
      <c r="B3633" s="28">
        <v>4073</v>
      </c>
      <c r="C3633" s="28" t="s">
        <v>1119</v>
      </c>
      <c r="D3633" s="28"/>
      <c r="E3633" s="45">
        <v>46167</v>
      </c>
      <c r="F3633" s="48">
        <v>0.30916666666666665</v>
      </c>
      <c r="G3633" s="44">
        <v>6.3</v>
      </c>
      <c r="H3633" s="43" t="s">
        <v>226</v>
      </c>
      <c r="I3633" s="40" t="s">
        <v>1300</v>
      </c>
    </row>
    <row r="3634" spans="1:9" x14ac:dyDescent="0.2">
      <c r="A3634" s="40" t="s">
        <v>380</v>
      </c>
      <c r="B3634" s="28">
        <v>4073</v>
      </c>
      <c r="C3634" s="28" t="s">
        <v>1119</v>
      </c>
      <c r="D3634" s="28"/>
      <c r="E3634" s="41">
        <v>46167</v>
      </c>
      <c r="F3634" s="47">
        <v>0.31572916666666667</v>
      </c>
      <c r="G3634" s="44">
        <v>6.3</v>
      </c>
      <c r="H3634" s="43" t="s">
        <v>227</v>
      </c>
      <c r="I3634" s="40" t="s">
        <v>1300</v>
      </c>
    </row>
    <row r="3635" spans="1:9" x14ac:dyDescent="0.2">
      <c r="A3635" s="40" t="s">
        <v>380</v>
      </c>
      <c r="B3635" s="28">
        <v>4073</v>
      </c>
      <c r="C3635" s="28" t="s">
        <v>1120</v>
      </c>
      <c r="D3635" s="28"/>
      <c r="E3635" s="41">
        <v>46167</v>
      </c>
      <c r="F3635" s="47">
        <v>0.65528935185185189</v>
      </c>
      <c r="G3635" s="42">
        <v>6.3</v>
      </c>
      <c r="H3635" s="40" t="s">
        <v>228</v>
      </c>
      <c r="I3635" s="40" t="s">
        <v>1300</v>
      </c>
    </row>
    <row r="3636" spans="1:9" x14ac:dyDescent="0.2">
      <c r="A3636" s="40" t="s">
        <v>380</v>
      </c>
      <c r="B3636" s="28">
        <v>4073</v>
      </c>
      <c r="C3636" s="28" t="s">
        <v>1121</v>
      </c>
      <c r="D3636" s="28"/>
      <c r="E3636" s="41">
        <v>46168</v>
      </c>
      <c r="F3636" s="47">
        <v>0.40491898148148148</v>
      </c>
      <c r="G3636" s="42">
        <v>6.3</v>
      </c>
      <c r="H3636" s="40" t="s">
        <v>230</v>
      </c>
      <c r="I3636" s="40" t="s">
        <v>1300</v>
      </c>
    </row>
    <row r="3637" spans="1:9" x14ac:dyDescent="0.2">
      <c r="A3637" s="40" t="s">
        <v>380</v>
      </c>
      <c r="B3637" s="28">
        <v>4073</v>
      </c>
      <c r="C3637" s="28" t="s">
        <v>1121</v>
      </c>
      <c r="D3637" s="28"/>
      <c r="E3637" s="41">
        <v>46168</v>
      </c>
      <c r="F3637" s="47">
        <v>0.41122685185185187</v>
      </c>
      <c r="G3637" s="42">
        <v>6.3</v>
      </c>
      <c r="H3637" s="40" t="s">
        <v>227</v>
      </c>
      <c r="I3637" s="40" t="s">
        <v>1300</v>
      </c>
    </row>
    <row r="3638" spans="1:9" x14ac:dyDescent="0.2">
      <c r="A3638" s="40" t="s">
        <v>380</v>
      </c>
      <c r="B3638" s="28">
        <v>4073</v>
      </c>
      <c r="C3638" s="28" t="s">
        <v>1122</v>
      </c>
      <c r="D3638" s="28"/>
      <c r="E3638" s="41">
        <v>46169</v>
      </c>
      <c r="F3638" s="47">
        <v>0.25047453703703704</v>
      </c>
      <c r="G3638" s="42">
        <v>6.3</v>
      </c>
      <c r="H3638" s="40" t="s">
        <v>230</v>
      </c>
      <c r="I3638" s="40" t="s">
        <v>1300</v>
      </c>
    </row>
    <row r="3639" spans="1:9" x14ac:dyDescent="0.2">
      <c r="A3639" s="40" t="s">
        <v>380</v>
      </c>
      <c r="B3639" s="28">
        <v>4073</v>
      </c>
      <c r="C3639" s="28" t="s">
        <v>1122</v>
      </c>
      <c r="D3639" s="28"/>
      <c r="E3639" s="45">
        <v>46169</v>
      </c>
      <c r="F3639" s="48">
        <v>0.25601851851851853</v>
      </c>
      <c r="G3639" s="44">
        <v>6.3</v>
      </c>
      <c r="H3639" s="43" t="s">
        <v>227</v>
      </c>
      <c r="I3639" s="40" t="s">
        <v>1300</v>
      </c>
    </row>
    <row r="3640" spans="1:9" x14ac:dyDescent="0.2">
      <c r="A3640" s="40" t="s">
        <v>380</v>
      </c>
      <c r="B3640" s="28">
        <v>4073</v>
      </c>
      <c r="C3640" s="28" t="s">
        <v>1123</v>
      </c>
      <c r="D3640" s="28"/>
      <c r="E3640" s="41">
        <v>46169</v>
      </c>
      <c r="F3640" s="47">
        <v>0.42379629629629628</v>
      </c>
      <c r="G3640" s="44">
        <v>6.3</v>
      </c>
      <c r="H3640" s="43" t="s">
        <v>230</v>
      </c>
      <c r="I3640" s="40" t="s">
        <v>1300</v>
      </c>
    </row>
    <row r="3641" spans="1:9" x14ac:dyDescent="0.2">
      <c r="A3641" s="40" t="s">
        <v>380</v>
      </c>
      <c r="B3641" s="28">
        <v>4073</v>
      </c>
      <c r="C3641" s="28" t="s">
        <v>1123</v>
      </c>
      <c r="D3641" s="28"/>
      <c r="E3641" s="41">
        <v>46169</v>
      </c>
      <c r="F3641" s="47">
        <v>0.42976851851851849</v>
      </c>
      <c r="G3641" s="44">
        <v>6.3</v>
      </c>
      <c r="H3641" s="43" t="s">
        <v>227</v>
      </c>
      <c r="I3641" s="40" t="s">
        <v>1300</v>
      </c>
    </row>
    <row r="3642" spans="1:9" x14ac:dyDescent="0.2">
      <c r="A3642" s="40" t="s">
        <v>380</v>
      </c>
      <c r="B3642" s="28">
        <v>4073</v>
      </c>
      <c r="C3642" s="28" t="s">
        <v>35</v>
      </c>
      <c r="D3642" s="28" t="s">
        <v>38</v>
      </c>
      <c r="E3642" s="41">
        <v>46169</v>
      </c>
      <c r="F3642" s="47">
        <v>0.59628472222222217</v>
      </c>
      <c r="G3642" s="44">
        <v>6.3</v>
      </c>
      <c r="H3642" s="43" t="s">
        <v>228</v>
      </c>
      <c r="I3642" s="40" t="s">
        <v>1300</v>
      </c>
    </row>
    <row r="3643" spans="1:9" x14ac:dyDescent="0.2">
      <c r="A3643" s="40" t="s">
        <v>380</v>
      </c>
      <c r="B3643" s="28">
        <v>4073</v>
      </c>
      <c r="C3643" s="28" t="s">
        <v>35</v>
      </c>
      <c r="D3643" s="28" t="s">
        <v>38</v>
      </c>
      <c r="E3643" s="41">
        <v>46169</v>
      </c>
      <c r="F3643" s="47">
        <v>0.60130787037037037</v>
      </c>
      <c r="G3643" s="44">
        <v>6.3</v>
      </c>
      <c r="H3643" s="43" t="s">
        <v>233</v>
      </c>
      <c r="I3643" s="40" t="s">
        <v>1300</v>
      </c>
    </row>
    <row r="3644" spans="1:9" x14ac:dyDescent="0.2">
      <c r="A3644" s="40" t="s">
        <v>380</v>
      </c>
      <c r="B3644" s="28">
        <v>4073</v>
      </c>
      <c r="C3644" s="28" t="s">
        <v>1124</v>
      </c>
      <c r="D3644" s="28"/>
      <c r="E3644" s="41">
        <v>46170</v>
      </c>
      <c r="F3644" s="47">
        <v>0.39105324074074072</v>
      </c>
      <c r="G3644" s="44">
        <v>6.3</v>
      </c>
      <c r="H3644" s="43" t="s">
        <v>230</v>
      </c>
      <c r="I3644" s="40" t="s">
        <v>1300</v>
      </c>
    </row>
    <row r="3645" spans="1:9" x14ac:dyDescent="0.2">
      <c r="A3645" s="40" t="s">
        <v>380</v>
      </c>
      <c r="B3645" s="28">
        <v>4073</v>
      </c>
      <c r="C3645" s="28" t="s">
        <v>1124</v>
      </c>
      <c r="D3645" s="28"/>
      <c r="E3645" s="41">
        <v>46170</v>
      </c>
      <c r="F3645" s="47">
        <v>0.39804398148148146</v>
      </c>
      <c r="G3645" s="44">
        <v>6.3</v>
      </c>
      <c r="H3645" s="43" t="s">
        <v>227</v>
      </c>
      <c r="I3645" s="40" t="s">
        <v>1300</v>
      </c>
    </row>
    <row r="3646" spans="1:9" x14ac:dyDescent="0.2">
      <c r="A3646" s="40" t="s">
        <v>380</v>
      </c>
      <c r="B3646" s="28">
        <v>4073</v>
      </c>
      <c r="C3646" s="28" t="s">
        <v>35</v>
      </c>
      <c r="D3646" s="28" t="s">
        <v>38</v>
      </c>
      <c r="E3646" s="41">
        <v>46170</v>
      </c>
      <c r="F3646" s="47">
        <v>0.58120370370370367</v>
      </c>
      <c r="G3646" s="44">
        <v>6.3</v>
      </c>
      <c r="H3646" s="43" t="s">
        <v>228</v>
      </c>
      <c r="I3646" s="40" t="s">
        <v>1300</v>
      </c>
    </row>
    <row r="3647" spans="1:9" x14ac:dyDescent="0.2">
      <c r="A3647" s="40" t="s">
        <v>441</v>
      </c>
      <c r="B3647" s="28">
        <v>4078</v>
      </c>
      <c r="C3647" s="28" t="s">
        <v>35</v>
      </c>
      <c r="D3647" s="28" t="s">
        <v>38</v>
      </c>
      <c r="E3647" s="41">
        <v>46167</v>
      </c>
      <c r="F3647" s="47">
        <v>0.64543981481481483</v>
      </c>
      <c r="G3647" s="44">
        <v>6.3</v>
      </c>
      <c r="H3647" s="43" t="s">
        <v>230</v>
      </c>
      <c r="I3647" s="40" t="s">
        <v>1300</v>
      </c>
    </row>
    <row r="3648" spans="1:9" x14ac:dyDescent="0.2">
      <c r="A3648" s="40" t="s">
        <v>441</v>
      </c>
      <c r="B3648" s="28">
        <v>4078</v>
      </c>
      <c r="C3648" s="28" t="s">
        <v>35</v>
      </c>
      <c r="D3648" s="28" t="s">
        <v>38</v>
      </c>
      <c r="E3648" s="41">
        <v>46167</v>
      </c>
      <c r="F3648" s="47">
        <v>0.65129629629629626</v>
      </c>
      <c r="G3648" s="44">
        <v>6.3</v>
      </c>
      <c r="H3648" s="43" t="s">
        <v>227</v>
      </c>
      <c r="I3648" s="40" t="s">
        <v>1300</v>
      </c>
    </row>
    <row r="3649" spans="1:9" x14ac:dyDescent="0.2">
      <c r="A3649" s="40" t="s">
        <v>441</v>
      </c>
      <c r="B3649" s="28">
        <v>4078</v>
      </c>
      <c r="C3649" s="28">
        <v>5686427</v>
      </c>
      <c r="D3649" s="28"/>
      <c r="E3649" s="41">
        <v>46167</v>
      </c>
      <c r="F3649" s="47">
        <v>0.76298611111111114</v>
      </c>
      <c r="G3649" s="42">
        <v>6.3</v>
      </c>
      <c r="H3649" s="40" t="s">
        <v>228</v>
      </c>
      <c r="I3649" s="40" t="s">
        <v>1300</v>
      </c>
    </row>
    <row r="3650" spans="1:9" x14ac:dyDescent="0.2">
      <c r="A3650" s="40" t="s">
        <v>441</v>
      </c>
      <c r="B3650" s="28">
        <v>4078</v>
      </c>
      <c r="C3650" s="28">
        <v>5686427</v>
      </c>
      <c r="D3650" s="28"/>
      <c r="E3650" s="41">
        <v>46167</v>
      </c>
      <c r="F3650" s="47">
        <v>0.77447916666666672</v>
      </c>
      <c r="G3650" s="42">
        <v>6.3</v>
      </c>
      <c r="H3650" s="40" t="s">
        <v>229</v>
      </c>
      <c r="I3650" s="40" t="s">
        <v>1300</v>
      </c>
    </row>
    <row r="3651" spans="1:9" x14ac:dyDescent="0.2">
      <c r="A3651" s="40" t="s">
        <v>441</v>
      </c>
      <c r="B3651" s="28">
        <v>4078</v>
      </c>
      <c r="C3651" s="28">
        <v>5691572</v>
      </c>
      <c r="D3651" s="28"/>
      <c r="E3651" s="41">
        <v>46170</v>
      </c>
      <c r="F3651" s="47">
        <v>0.68917824074074074</v>
      </c>
      <c r="G3651" s="44">
        <v>6.3</v>
      </c>
      <c r="H3651" s="43" t="s">
        <v>230</v>
      </c>
      <c r="I3651" s="40" t="s">
        <v>1300</v>
      </c>
    </row>
    <row r="3652" spans="1:9" x14ac:dyDescent="0.2">
      <c r="A3652" s="40" t="s">
        <v>441</v>
      </c>
      <c r="B3652" s="28">
        <v>4078</v>
      </c>
      <c r="C3652" s="28">
        <v>5691572</v>
      </c>
      <c r="D3652" s="28"/>
      <c r="E3652" s="41">
        <v>46170</v>
      </c>
      <c r="F3652" s="47">
        <v>0.70119212962962962</v>
      </c>
      <c r="G3652" s="44">
        <v>6.3</v>
      </c>
      <c r="H3652" s="43" t="s">
        <v>227</v>
      </c>
      <c r="I3652" s="40" t="s">
        <v>1300</v>
      </c>
    </row>
    <row r="3653" spans="1:9" x14ac:dyDescent="0.2">
      <c r="A3653" s="40" t="s">
        <v>441</v>
      </c>
      <c r="B3653" s="28">
        <v>4078</v>
      </c>
      <c r="C3653" s="28" t="s">
        <v>35</v>
      </c>
      <c r="D3653" s="28" t="s">
        <v>38</v>
      </c>
      <c r="E3653" s="41">
        <v>46171</v>
      </c>
      <c r="F3653" s="47">
        <v>0.36358796296296297</v>
      </c>
      <c r="G3653" s="44">
        <v>6.3</v>
      </c>
      <c r="H3653" s="43" t="s">
        <v>226</v>
      </c>
      <c r="I3653" s="40" t="s">
        <v>1300</v>
      </c>
    </row>
    <row r="3654" spans="1:9" x14ac:dyDescent="0.2">
      <c r="A3654" s="40" t="s">
        <v>441</v>
      </c>
      <c r="B3654" s="28">
        <v>4078</v>
      </c>
      <c r="C3654" s="28" t="s">
        <v>35</v>
      </c>
      <c r="D3654" s="28" t="s">
        <v>38</v>
      </c>
      <c r="E3654" s="41">
        <v>46171</v>
      </c>
      <c r="F3654" s="47">
        <v>0.50609953703703703</v>
      </c>
      <c r="G3654" s="44">
        <v>6.3</v>
      </c>
      <c r="H3654" s="43" t="s">
        <v>230</v>
      </c>
      <c r="I3654" s="40" t="s">
        <v>1300</v>
      </c>
    </row>
    <row r="3655" spans="1:9" x14ac:dyDescent="0.2">
      <c r="A3655" s="40" t="s">
        <v>441</v>
      </c>
      <c r="B3655" s="28">
        <v>4078</v>
      </c>
      <c r="C3655" s="28" t="s">
        <v>35</v>
      </c>
      <c r="D3655" s="28" t="s">
        <v>38</v>
      </c>
      <c r="E3655" s="41">
        <v>46171</v>
      </c>
      <c r="F3655" s="47">
        <v>0.55496527777777782</v>
      </c>
      <c r="G3655" s="44">
        <v>6.3</v>
      </c>
      <c r="H3655" s="43" t="s">
        <v>229</v>
      </c>
      <c r="I3655" s="40" t="s">
        <v>1300</v>
      </c>
    </row>
    <row r="3656" spans="1:9" x14ac:dyDescent="0.2">
      <c r="A3656" s="40" t="s">
        <v>442</v>
      </c>
      <c r="B3656" s="28">
        <v>4099</v>
      </c>
      <c r="C3656" s="28">
        <v>5688262</v>
      </c>
      <c r="D3656" s="28"/>
      <c r="E3656" s="41">
        <v>46168</v>
      </c>
      <c r="F3656" s="47">
        <v>0.75898148148148148</v>
      </c>
      <c r="G3656" s="44">
        <v>6.3</v>
      </c>
      <c r="H3656" s="43" t="s">
        <v>228</v>
      </c>
      <c r="I3656" s="40" t="s">
        <v>1300</v>
      </c>
    </row>
    <row r="3657" spans="1:9" x14ac:dyDescent="0.2">
      <c r="A3657" s="40" t="s">
        <v>442</v>
      </c>
      <c r="B3657" s="28">
        <v>4099</v>
      </c>
      <c r="C3657" s="28">
        <v>5688262</v>
      </c>
      <c r="D3657" s="28"/>
      <c r="E3657" s="41">
        <v>46168</v>
      </c>
      <c r="F3657" s="47">
        <v>0.77501157407407406</v>
      </c>
      <c r="G3657" s="44">
        <v>6.3</v>
      </c>
      <c r="H3657" s="43" t="s">
        <v>229</v>
      </c>
      <c r="I3657" s="40" t="s">
        <v>1300</v>
      </c>
    </row>
    <row r="3658" spans="1:9" x14ac:dyDescent="0.2">
      <c r="A3658" s="40" t="s">
        <v>442</v>
      </c>
      <c r="B3658" s="28">
        <v>4099</v>
      </c>
      <c r="C3658" s="28" t="s">
        <v>35</v>
      </c>
      <c r="D3658" s="28" t="s">
        <v>38</v>
      </c>
      <c r="E3658" s="41">
        <v>46168</v>
      </c>
      <c r="F3658" s="47">
        <v>0.82376157407407402</v>
      </c>
      <c r="G3658" s="44">
        <v>6.3</v>
      </c>
      <c r="H3658" s="43" t="s">
        <v>230</v>
      </c>
      <c r="I3658" s="40" t="s">
        <v>1300</v>
      </c>
    </row>
    <row r="3659" spans="1:9" x14ac:dyDescent="0.2">
      <c r="A3659" s="40" t="s">
        <v>442</v>
      </c>
      <c r="B3659" s="28">
        <v>4099</v>
      </c>
      <c r="C3659" s="28" t="s">
        <v>35</v>
      </c>
      <c r="D3659" s="28" t="s">
        <v>38</v>
      </c>
      <c r="E3659" s="41">
        <v>46168</v>
      </c>
      <c r="F3659" s="47">
        <v>0.83562499999999995</v>
      </c>
      <c r="G3659" s="44">
        <v>6.3</v>
      </c>
      <c r="H3659" s="43" t="s">
        <v>227</v>
      </c>
      <c r="I3659" s="40" t="s">
        <v>1300</v>
      </c>
    </row>
    <row r="3660" spans="1:9" x14ac:dyDescent="0.2">
      <c r="A3660" s="40" t="s">
        <v>442</v>
      </c>
      <c r="B3660" s="28">
        <v>4099</v>
      </c>
      <c r="C3660" s="28" t="s">
        <v>35</v>
      </c>
      <c r="D3660" s="28" t="s">
        <v>38</v>
      </c>
      <c r="E3660" s="41">
        <v>46169</v>
      </c>
      <c r="F3660" s="47">
        <v>0.66800925925925925</v>
      </c>
      <c r="G3660" s="44">
        <v>6.3</v>
      </c>
      <c r="H3660" s="43" t="s">
        <v>226</v>
      </c>
      <c r="I3660" s="40" t="s">
        <v>1300</v>
      </c>
    </row>
    <row r="3661" spans="1:9" x14ac:dyDescent="0.2">
      <c r="A3661" s="40" t="s">
        <v>442</v>
      </c>
      <c r="B3661" s="28">
        <v>4099</v>
      </c>
      <c r="C3661" s="28" t="s">
        <v>35</v>
      </c>
      <c r="D3661" s="28" t="s">
        <v>38</v>
      </c>
      <c r="E3661" s="41">
        <v>46169</v>
      </c>
      <c r="F3661" s="47">
        <v>0.67462962962962958</v>
      </c>
      <c r="G3661" s="44">
        <v>6.3</v>
      </c>
      <c r="H3661" s="43" t="s">
        <v>227</v>
      </c>
      <c r="I3661" s="40" t="s">
        <v>1300</v>
      </c>
    </row>
    <row r="3662" spans="1:9" x14ac:dyDescent="0.2">
      <c r="A3662" s="40" t="s">
        <v>442</v>
      </c>
      <c r="B3662" s="28">
        <v>4099</v>
      </c>
      <c r="C3662" s="28">
        <v>5690092</v>
      </c>
      <c r="D3662" s="28"/>
      <c r="E3662" s="45">
        <v>46169</v>
      </c>
      <c r="F3662" s="48">
        <v>0.73015046296296293</v>
      </c>
      <c r="G3662" s="42">
        <v>6.3</v>
      </c>
      <c r="H3662" s="40" t="s">
        <v>228</v>
      </c>
      <c r="I3662" s="40" t="s">
        <v>1300</v>
      </c>
    </row>
    <row r="3663" spans="1:9" x14ac:dyDescent="0.2">
      <c r="A3663" s="40" t="s">
        <v>442</v>
      </c>
      <c r="B3663" s="28">
        <v>4099</v>
      </c>
      <c r="C3663" s="28">
        <v>5690651</v>
      </c>
      <c r="D3663" s="28"/>
      <c r="E3663" s="41">
        <v>46169</v>
      </c>
      <c r="F3663" s="47">
        <v>0.9294675925925926</v>
      </c>
      <c r="G3663" s="42">
        <v>6.3</v>
      </c>
      <c r="H3663" s="40" t="s">
        <v>228</v>
      </c>
      <c r="I3663" s="40" t="s">
        <v>1300</v>
      </c>
    </row>
    <row r="3664" spans="1:9" x14ac:dyDescent="0.2">
      <c r="A3664" s="40" t="s">
        <v>442</v>
      </c>
      <c r="B3664" s="28">
        <v>4099</v>
      </c>
      <c r="C3664" s="28">
        <v>5690651</v>
      </c>
      <c r="D3664" s="28"/>
      <c r="E3664" s="41">
        <v>46169</v>
      </c>
      <c r="F3664" s="47">
        <v>0.93694444444444447</v>
      </c>
      <c r="G3664" s="42">
        <v>6.3</v>
      </c>
      <c r="H3664" s="40" t="s">
        <v>229</v>
      </c>
      <c r="I3664" s="40" t="s">
        <v>1300</v>
      </c>
    </row>
    <row r="3665" spans="1:9" x14ac:dyDescent="0.2">
      <c r="A3665" s="40" t="s">
        <v>442</v>
      </c>
      <c r="B3665" s="28">
        <v>4099</v>
      </c>
      <c r="C3665" s="28" t="s">
        <v>35</v>
      </c>
      <c r="D3665" s="28" t="s">
        <v>38</v>
      </c>
      <c r="E3665" s="41">
        <v>46170</v>
      </c>
      <c r="F3665" s="47">
        <v>0.6469907407407407</v>
      </c>
      <c r="G3665" s="42">
        <v>6.3</v>
      </c>
      <c r="H3665" s="40" t="s">
        <v>230</v>
      </c>
      <c r="I3665" s="40" t="s">
        <v>1300</v>
      </c>
    </row>
    <row r="3666" spans="1:9" x14ac:dyDescent="0.2">
      <c r="A3666" s="40" t="s">
        <v>442</v>
      </c>
      <c r="B3666" s="28">
        <v>4099</v>
      </c>
      <c r="C3666" s="28" t="s">
        <v>35</v>
      </c>
      <c r="D3666" s="28" t="s">
        <v>38</v>
      </c>
      <c r="E3666" s="41">
        <v>46170</v>
      </c>
      <c r="F3666" s="47">
        <v>0.65322916666666664</v>
      </c>
      <c r="G3666" s="44">
        <v>6.3</v>
      </c>
      <c r="H3666" s="43" t="s">
        <v>227</v>
      </c>
      <c r="I3666" s="40" t="s">
        <v>1300</v>
      </c>
    </row>
    <row r="3667" spans="1:9" x14ac:dyDescent="0.2">
      <c r="A3667" s="40" t="s">
        <v>442</v>
      </c>
      <c r="B3667" s="28">
        <v>4099</v>
      </c>
      <c r="C3667" s="28">
        <v>5691914</v>
      </c>
      <c r="D3667" s="28"/>
      <c r="E3667" s="45">
        <v>46170</v>
      </c>
      <c r="F3667" s="48">
        <v>0.86079861111111111</v>
      </c>
      <c r="G3667" s="44">
        <v>6.3</v>
      </c>
      <c r="H3667" s="43" t="s">
        <v>228</v>
      </c>
      <c r="I3667" s="40" t="s">
        <v>1300</v>
      </c>
    </row>
    <row r="3668" spans="1:9" x14ac:dyDescent="0.2">
      <c r="A3668" s="40" t="s">
        <v>442</v>
      </c>
      <c r="B3668" s="28">
        <v>4099</v>
      </c>
      <c r="C3668" s="28">
        <v>5691914</v>
      </c>
      <c r="D3668" s="28"/>
      <c r="E3668" s="41">
        <v>46170</v>
      </c>
      <c r="F3668" s="47">
        <v>0.86872685185185183</v>
      </c>
      <c r="G3668" s="44">
        <v>6.3</v>
      </c>
      <c r="H3668" s="43" t="s">
        <v>229</v>
      </c>
      <c r="I3668" s="40" t="s">
        <v>1300</v>
      </c>
    </row>
    <row r="3669" spans="1:9" x14ac:dyDescent="0.2">
      <c r="A3669" s="40" t="s">
        <v>442</v>
      </c>
      <c r="B3669" s="28">
        <v>4099</v>
      </c>
      <c r="C3669" s="28">
        <v>5692286</v>
      </c>
      <c r="D3669" s="28"/>
      <c r="E3669" s="41">
        <v>46170</v>
      </c>
      <c r="F3669" s="47">
        <v>0.89523148148148146</v>
      </c>
      <c r="G3669" s="44">
        <v>6.3</v>
      </c>
      <c r="H3669" s="43" t="s">
        <v>230</v>
      </c>
      <c r="I3669" s="40" t="s">
        <v>1300</v>
      </c>
    </row>
    <row r="3670" spans="1:9" x14ac:dyDescent="0.2">
      <c r="A3670" s="40" t="s">
        <v>442</v>
      </c>
      <c r="B3670" s="28">
        <v>4099</v>
      </c>
      <c r="C3670" s="28">
        <v>5692286</v>
      </c>
      <c r="D3670" s="28"/>
      <c r="E3670" s="41">
        <v>46170</v>
      </c>
      <c r="F3670" s="47">
        <v>0.9006481481481482</v>
      </c>
      <c r="G3670" s="44">
        <v>6.3</v>
      </c>
      <c r="H3670" s="43" t="s">
        <v>227</v>
      </c>
      <c r="I3670" s="40" t="s">
        <v>1300</v>
      </c>
    </row>
    <row r="3671" spans="1:9" x14ac:dyDescent="0.2">
      <c r="A3671" s="40" t="s">
        <v>442</v>
      </c>
      <c r="B3671" s="28">
        <v>4099</v>
      </c>
      <c r="C3671" s="28">
        <v>5692275</v>
      </c>
      <c r="D3671" s="28"/>
      <c r="E3671" s="41">
        <v>46171</v>
      </c>
      <c r="F3671" s="47">
        <v>0.16856481481481481</v>
      </c>
      <c r="G3671" s="44">
        <v>6.3</v>
      </c>
      <c r="H3671" s="43" t="s">
        <v>230</v>
      </c>
      <c r="I3671" s="40" t="s">
        <v>1300</v>
      </c>
    </row>
    <row r="3672" spans="1:9" x14ac:dyDescent="0.2">
      <c r="A3672" s="40" t="s">
        <v>442</v>
      </c>
      <c r="B3672" s="28">
        <v>4099</v>
      </c>
      <c r="C3672" s="28">
        <v>5692275</v>
      </c>
      <c r="D3672" s="28"/>
      <c r="E3672" s="41">
        <v>46171</v>
      </c>
      <c r="F3672" s="47">
        <v>0.1741087962962963</v>
      </c>
      <c r="G3672" s="44">
        <v>6.3</v>
      </c>
      <c r="H3672" s="43" t="s">
        <v>227</v>
      </c>
      <c r="I3672" s="40" t="s">
        <v>1300</v>
      </c>
    </row>
    <row r="3673" spans="1:9" x14ac:dyDescent="0.2">
      <c r="A3673" s="40" t="s">
        <v>442</v>
      </c>
      <c r="B3673" s="28">
        <v>4099</v>
      </c>
      <c r="C3673" s="28" t="s">
        <v>35</v>
      </c>
      <c r="D3673" s="28" t="s">
        <v>38</v>
      </c>
      <c r="E3673" s="45">
        <v>46171</v>
      </c>
      <c r="F3673" s="48">
        <v>0.66253472222222221</v>
      </c>
      <c r="G3673" s="44">
        <v>6.3</v>
      </c>
      <c r="H3673" s="43" t="s">
        <v>226</v>
      </c>
      <c r="I3673" s="40" t="s">
        <v>1300</v>
      </c>
    </row>
    <row r="3674" spans="1:9" x14ac:dyDescent="0.2">
      <c r="A3674" s="40" t="s">
        <v>442</v>
      </c>
      <c r="B3674" s="28">
        <v>4099</v>
      </c>
      <c r="C3674" s="28" t="s">
        <v>35</v>
      </c>
      <c r="D3674" s="28" t="s">
        <v>38</v>
      </c>
      <c r="E3674" s="41">
        <v>46171</v>
      </c>
      <c r="F3674" s="47">
        <v>0.68628472222222225</v>
      </c>
      <c r="G3674" s="44">
        <v>6.3</v>
      </c>
      <c r="H3674" s="43" t="s">
        <v>227</v>
      </c>
      <c r="I3674" s="40" t="s">
        <v>1300</v>
      </c>
    </row>
    <row r="3675" spans="1:9" x14ac:dyDescent="0.2">
      <c r="A3675" s="40" t="s">
        <v>442</v>
      </c>
      <c r="B3675" s="28">
        <v>4099</v>
      </c>
      <c r="C3675" s="28">
        <v>5694099</v>
      </c>
      <c r="D3675" s="28"/>
      <c r="E3675" s="41">
        <v>46171</v>
      </c>
      <c r="F3675" s="47">
        <v>0.91965277777777776</v>
      </c>
      <c r="G3675" s="44">
        <v>6.3</v>
      </c>
      <c r="H3675" s="43" t="s">
        <v>228</v>
      </c>
      <c r="I3675" s="40" t="s">
        <v>1300</v>
      </c>
    </row>
    <row r="3676" spans="1:9" x14ac:dyDescent="0.2">
      <c r="A3676" s="40" t="s">
        <v>442</v>
      </c>
      <c r="B3676" s="28">
        <v>4099</v>
      </c>
      <c r="C3676" s="28">
        <v>5694099</v>
      </c>
      <c r="D3676" s="28"/>
      <c r="E3676" s="45">
        <v>46171</v>
      </c>
      <c r="F3676" s="48">
        <v>0.92758101851851849</v>
      </c>
      <c r="G3676" s="44">
        <v>6.3</v>
      </c>
      <c r="H3676" s="43" t="s">
        <v>229</v>
      </c>
      <c r="I3676" s="40" t="s">
        <v>1300</v>
      </c>
    </row>
    <row r="3677" spans="1:9" x14ac:dyDescent="0.2">
      <c r="A3677" s="40" t="s">
        <v>443</v>
      </c>
      <c r="B3677" s="28">
        <v>4100</v>
      </c>
      <c r="C3677" s="28">
        <v>5684747</v>
      </c>
      <c r="D3677" s="28"/>
      <c r="E3677" s="41">
        <v>46167</v>
      </c>
      <c r="F3677" s="47">
        <v>0.15585648148148148</v>
      </c>
      <c r="G3677" s="44">
        <v>6.3</v>
      </c>
      <c r="H3677" s="43" t="s">
        <v>230</v>
      </c>
      <c r="I3677" s="40" t="s">
        <v>1300</v>
      </c>
    </row>
    <row r="3678" spans="1:9" x14ac:dyDescent="0.2">
      <c r="A3678" s="40" t="s">
        <v>443</v>
      </c>
      <c r="B3678" s="28">
        <v>4100</v>
      </c>
      <c r="C3678" s="28">
        <v>5684747</v>
      </c>
      <c r="D3678" s="28"/>
      <c r="E3678" s="41">
        <v>46167</v>
      </c>
      <c r="F3678" s="47">
        <v>0.16078703703703703</v>
      </c>
      <c r="G3678" s="44">
        <v>6.3</v>
      </c>
      <c r="H3678" s="43" t="s">
        <v>227</v>
      </c>
      <c r="I3678" s="40" t="s">
        <v>1300</v>
      </c>
    </row>
    <row r="3679" spans="1:9" x14ac:dyDescent="0.2">
      <c r="A3679" s="40" t="s">
        <v>367</v>
      </c>
      <c r="B3679" s="28">
        <v>4103</v>
      </c>
      <c r="C3679" s="28" t="s">
        <v>35</v>
      </c>
      <c r="D3679" s="28" t="s">
        <v>38</v>
      </c>
      <c r="E3679" s="41">
        <v>46167</v>
      </c>
      <c r="F3679" s="47">
        <v>0.14258101851851851</v>
      </c>
      <c r="G3679" s="44">
        <v>6.3</v>
      </c>
      <c r="H3679" s="43" t="s">
        <v>234</v>
      </c>
      <c r="I3679" s="40" t="s">
        <v>1300</v>
      </c>
    </row>
    <row r="3680" spans="1:9" x14ac:dyDescent="0.2">
      <c r="A3680" s="40" t="s">
        <v>367</v>
      </c>
      <c r="B3680" s="28">
        <v>4103</v>
      </c>
      <c r="C3680" s="28" t="s">
        <v>35</v>
      </c>
      <c r="D3680" s="28" t="s">
        <v>38</v>
      </c>
      <c r="E3680" s="41">
        <v>46167</v>
      </c>
      <c r="F3680" s="47">
        <v>0.14571759259259259</v>
      </c>
      <c r="G3680" s="44">
        <v>6.3</v>
      </c>
      <c r="H3680" s="43" t="s">
        <v>227</v>
      </c>
      <c r="I3680" s="40" t="s">
        <v>1300</v>
      </c>
    </row>
    <row r="3681" spans="1:9" x14ac:dyDescent="0.2">
      <c r="A3681" s="40" t="s">
        <v>367</v>
      </c>
      <c r="B3681" s="28">
        <v>4103</v>
      </c>
      <c r="C3681" s="28">
        <v>5688097</v>
      </c>
      <c r="D3681" s="28"/>
      <c r="E3681" s="41">
        <v>46168</v>
      </c>
      <c r="F3681" s="47">
        <v>0.65447916666666661</v>
      </c>
      <c r="G3681" s="44">
        <v>6.3</v>
      </c>
      <c r="H3681" s="43" t="s">
        <v>228</v>
      </c>
      <c r="I3681" s="40" t="s">
        <v>1300</v>
      </c>
    </row>
    <row r="3682" spans="1:9" x14ac:dyDescent="0.2">
      <c r="A3682" s="40" t="s">
        <v>367</v>
      </c>
      <c r="B3682" s="28">
        <v>4103</v>
      </c>
      <c r="C3682" s="28">
        <v>5688097</v>
      </c>
      <c r="D3682" s="28"/>
      <c r="E3682" s="41">
        <v>46168</v>
      </c>
      <c r="F3682" s="47">
        <v>0.66488425925925931</v>
      </c>
      <c r="G3682" s="44">
        <v>6.3</v>
      </c>
      <c r="H3682" s="43" t="s">
        <v>229</v>
      </c>
      <c r="I3682" s="40" t="s">
        <v>1300</v>
      </c>
    </row>
    <row r="3683" spans="1:9" x14ac:dyDescent="0.2">
      <c r="A3683" s="40" t="s">
        <v>367</v>
      </c>
      <c r="B3683" s="28">
        <v>4103</v>
      </c>
      <c r="C3683" s="28" t="s">
        <v>35</v>
      </c>
      <c r="D3683" s="28" t="s">
        <v>38</v>
      </c>
      <c r="E3683" s="41">
        <v>46168</v>
      </c>
      <c r="F3683" s="47">
        <v>0.69518518518518524</v>
      </c>
      <c r="G3683" s="44">
        <v>6.3</v>
      </c>
      <c r="H3683" s="43" t="s">
        <v>226</v>
      </c>
      <c r="I3683" s="40" t="s">
        <v>1300</v>
      </c>
    </row>
    <row r="3684" spans="1:9" x14ac:dyDescent="0.2">
      <c r="A3684" s="40" t="s">
        <v>367</v>
      </c>
      <c r="B3684" s="28">
        <v>4103</v>
      </c>
      <c r="C3684" s="28" t="s">
        <v>35</v>
      </c>
      <c r="D3684" s="28" t="s">
        <v>38</v>
      </c>
      <c r="E3684" s="41">
        <v>46168</v>
      </c>
      <c r="F3684" s="47">
        <v>0.70146990740740744</v>
      </c>
      <c r="G3684" s="44">
        <v>6.3</v>
      </c>
      <c r="H3684" s="43" t="s">
        <v>227</v>
      </c>
      <c r="I3684" s="40" t="s">
        <v>1300</v>
      </c>
    </row>
    <row r="3685" spans="1:9" x14ac:dyDescent="0.2">
      <c r="A3685" s="40" t="s">
        <v>367</v>
      </c>
      <c r="B3685" s="28">
        <v>4103</v>
      </c>
      <c r="C3685" s="28" t="s">
        <v>35</v>
      </c>
      <c r="D3685" s="28" t="s">
        <v>38</v>
      </c>
      <c r="E3685" s="41">
        <v>46168</v>
      </c>
      <c r="F3685" s="47">
        <v>0.98637731481481483</v>
      </c>
      <c r="G3685" s="44">
        <v>6.3</v>
      </c>
      <c r="H3685" s="43" t="s">
        <v>230</v>
      </c>
      <c r="I3685" s="40" t="s">
        <v>1300</v>
      </c>
    </row>
    <row r="3686" spans="1:9" x14ac:dyDescent="0.2">
      <c r="A3686" s="40" t="s">
        <v>367</v>
      </c>
      <c r="B3686" s="28">
        <v>4103</v>
      </c>
      <c r="C3686" s="28" t="s">
        <v>35</v>
      </c>
      <c r="D3686" s="28" t="s">
        <v>38</v>
      </c>
      <c r="E3686" s="41">
        <v>46168</v>
      </c>
      <c r="F3686" s="47">
        <v>0.99190972222222218</v>
      </c>
      <c r="G3686" s="44">
        <v>6.3</v>
      </c>
      <c r="H3686" s="43" t="s">
        <v>227</v>
      </c>
      <c r="I3686" s="40" t="s">
        <v>1300</v>
      </c>
    </row>
    <row r="3687" spans="1:9" x14ac:dyDescent="0.2">
      <c r="A3687" s="40" t="s">
        <v>367</v>
      </c>
      <c r="B3687" s="28">
        <v>4103</v>
      </c>
      <c r="C3687" s="28" t="s">
        <v>35</v>
      </c>
      <c r="D3687" s="28" t="s">
        <v>38</v>
      </c>
      <c r="E3687" s="41">
        <v>46169</v>
      </c>
      <c r="F3687" s="47">
        <v>0.71340277777777783</v>
      </c>
      <c r="G3687" s="44">
        <v>6.3</v>
      </c>
      <c r="H3687" s="43" t="s">
        <v>228</v>
      </c>
      <c r="I3687" s="40" t="s">
        <v>1300</v>
      </c>
    </row>
    <row r="3688" spans="1:9" x14ac:dyDescent="0.2">
      <c r="A3688" s="40" t="s">
        <v>367</v>
      </c>
      <c r="B3688" s="28">
        <v>4103</v>
      </c>
      <c r="C3688" s="28" t="s">
        <v>35</v>
      </c>
      <c r="D3688" s="28" t="s">
        <v>38</v>
      </c>
      <c r="E3688" s="41">
        <v>46169</v>
      </c>
      <c r="F3688" s="47">
        <v>0.75361111111111112</v>
      </c>
      <c r="G3688" s="44">
        <v>6.3</v>
      </c>
      <c r="H3688" s="43" t="s">
        <v>231</v>
      </c>
      <c r="I3688" s="40" t="s">
        <v>1300</v>
      </c>
    </row>
    <row r="3689" spans="1:9" x14ac:dyDescent="0.2">
      <c r="A3689" s="40" t="s">
        <v>367</v>
      </c>
      <c r="B3689" s="28">
        <v>4103</v>
      </c>
      <c r="C3689" s="28" t="s">
        <v>35</v>
      </c>
      <c r="D3689" s="28" t="s">
        <v>38</v>
      </c>
      <c r="E3689" s="41">
        <v>46169</v>
      </c>
      <c r="F3689" s="47">
        <v>0.77273148148148152</v>
      </c>
      <c r="G3689" s="44">
        <v>6.3</v>
      </c>
      <c r="H3689" s="43" t="s">
        <v>227</v>
      </c>
      <c r="I3689" s="40" t="s">
        <v>1300</v>
      </c>
    </row>
    <row r="3690" spans="1:9" x14ac:dyDescent="0.2">
      <c r="A3690" s="40" t="s">
        <v>367</v>
      </c>
      <c r="B3690" s="28">
        <v>4103</v>
      </c>
      <c r="C3690" s="28">
        <v>5691760</v>
      </c>
      <c r="D3690" s="28"/>
      <c r="E3690" s="41">
        <v>46170</v>
      </c>
      <c r="F3690" s="47">
        <v>0.82458333333333333</v>
      </c>
      <c r="G3690" s="44">
        <v>6.3</v>
      </c>
      <c r="H3690" s="43" t="s">
        <v>228</v>
      </c>
      <c r="I3690" s="40" t="s">
        <v>1300</v>
      </c>
    </row>
    <row r="3691" spans="1:9" x14ac:dyDescent="0.2">
      <c r="A3691" s="40" t="s">
        <v>367</v>
      </c>
      <c r="B3691" s="28">
        <v>4103</v>
      </c>
      <c r="C3691" s="28">
        <v>5691760</v>
      </c>
      <c r="D3691" s="28"/>
      <c r="E3691" s="41">
        <v>46170</v>
      </c>
      <c r="F3691" s="47">
        <v>0.83376157407407403</v>
      </c>
      <c r="G3691" s="44">
        <v>6.3</v>
      </c>
      <c r="H3691" s="43" t="s">
        <v>229</v>
      </c>
      <c r="I3691" s="40" t="s">
        <v>1300</v>
      </c>
    </row>
    <row r="3692" spans="1:9" x14ac:dyDescent="0.2">
      <c r="A3692" s="40" t="s">
        <v>367</v>
      </c>
      <c r="B3692" s="28">
        <v>4103</v>
      </c>
      <c r="C3692" s="28" t="s">
        <v>35</v>
      </c>
      <c r="D3692" s="28" t="s">
        <v>38</v>
      </c>
      <c r="E3692" s="41">
        <v>46170</v>
      </c>
      <c r="F3692" s="47">
        <v>0.85569444444444442</v>
      </c>
      <c r="G3692" s="44">
        <v>6.3</v>
      </c>
      <c r="H3692" s="43" t="s">
        <v>230</v>
      </c>
      <c r="I3692" s="40" t="s">
        <v>1300</v>
      </c>
    </row>
    <row r="3693" spans="1:9" x14ac:dyDescent="0.2">
      <c r="A3693" s="40" t="s">
        <v>367</v>
      </c>
      <c r="B3693" s="28">
        <v>4103</v>
      </c>
      <c r="C3693" s="28" t="s">
        <v>35</v>
      </c>
      <c r="D3693" s="28" t="s">
        <v>38</v>
      </c>
      <c r="E3693" s="41">
        <v>46170</v>
      </c>
      <c r="F3693" s="47">
        <v>0.86329861111111106</v>
      </c>
      <c r="G3693" s="44">
        <v>6.3</v>
      </c>
      <c r="H3693" s="43" t="s">
        <v>227</v>
      </c>
      <c r="I3693" s="40" t="s">
        <v>1300</v>
      </c>
    </row>
    <row r="3694" spans="1:9" x14ac:dyDescent="0.2">
      <c r="A3694" s="40" t="s">
        <v>367</v>
      </c>
      <c r="B3694" s="28">
        <v>4103</v>
      </c>
      <c r="C3694" s="28">
        <v>5693132</v>
      </c>
      <c r="D3694" s="28"/>
      <c r="E3694" s="45">
        <v>46172</v>
      </c>
      <c r="F3694" s="48">
        <v>0.95777777777777773</v>
      </c>
      <c r="G3694" s="44">
        <v>6.3</v>
      </c>
      <c r="H3694" s="43" t="s">
        <v>228</v>
      </c>
      <c r="I3694" s="40" t="s">
        <v>1300</v>
      </c>
    </row>
    <row r="3695" spans="1:9" x14ac:dyDescent="0.2">
      <c r="A3695" s="40" t="s">
        <v>367</v>
      </c>
      <c r="B3695" s="28">
        <v>4103</v>
      </c>
      <c r="C3695" s="28">
        <v>5693132</v>
      </c>
      <c r="D3695" s="28"/>
      <c r="E3695" s="41">
        <v>46172</v>
      </c>
      <c r="F3695" s="47">
        <v>0.9657175925925926</v>
      </c>
      <c r="G3695" s="42">
        <v>6.3</v>
      </c>
      <c r="H3695" s="40" t="s">
        <v>232</v>
      </c>
      <c r="I3695" s="40" t="s">
        <v>1300</v>
      </c>
    </row>
    <row r="3696" spans="1:9" x14ac:dyDescent="0.2">
      <c r="A3696" s="40" t="s">
        <v>367</v>
      </c>
      <c r="B3696" s="28">
        <v>4103</v>
      </c>
      <c r="C3696" s="28" t="s">
        <v>35</v>
      </c>
      <c r="D3696" s="28" t="s">
        <v>38</v>
      </c>
      <c r="E3696" s="41">
        <v>46172</v>
      </c>
      <c r="F3696" s="47">
        <v>0.99318287037037034</v>
      </c>
      <c r="G3696" s="42">
        <v>6.3</v>
      </c>
      <c r="H3696" s="40" t="s">
        <v>231</v>
      </c>
      <c r="I3696" s="40" t="s">
        <v>1300</v>
      </c>
    </row>
    <row r="3697" spans="1:9" x14ac:dyDescent="0.2">
      <c r="A3697" s="40" t="s">
        <v>367</v>
      </c>
      <c r="B3697" s="28">
        <v>4103</v>
      </c>
      <c r="C3697" s="28" t="s">
        <v>35</v>
      </c>
      <c r="D3697" s="28" t="s">
        <v>38</v>
      </c>
      <c r="E3697" s="45">
        <v>46172</v>
      </c>
      <c r="F3697" s="48">
        <v>0.99768518518518523</v>
      </c>
      <c r="G3697" s="44">
        <v>6.3</v>
      </c>
      <c r="H3697" s="43" t="s">
        <v>227</v>
      </c>
      <c r="I3697" s="40" t="s">
        <v>1300</v>
      </c>
    </row>
    <row r="3698" spans="1:9" x14ac:dyDescent="0.2">
      <c r="A3698" s="40" t="s">
        <v>367</v>
      </c>
      <c r="B3698" s="28">
        <v>4103</v>
      </c>
      <c r="C3698" s="28" t="s">
        <v>1125</v>
      </c>
      <c r="D3698" s="28"/>
      <c r="E3698" s="41">
        <v>46173</v>
      </c>
      <c r="F3698" s="47">
        <v>0.74780092592592595</v>
      </c>
      <c r="G3698" s="44">
        <v>6.3</v>
      </c>
      <c r="H3698" s="43" t="s">
        <v>228</v>
      </c>
      <c r="I3698" s="40" t="s">
        <v>1300</v>
      </c>
    </row>
    <row r="3699" spans="1:9" x14ac:dyDescent="0.2">
      <c r="A3699" s="40" t="s">
        <v>367</v>
      </c>
      <c r="B3699" s="28">
        <v>4103</v>
      </c>
      <c r="C3699" s="28" t="s">
        <v>35</v>
      </c>
      <c r="D3699" s="28" t="s">
        <v>38</v>
      </c>
      <c r="E3699" s="41">
        <v>46173</v>
      </c>
      <c r="F3699" s="47">
        <v>0.7876967592592593</v>
      </c>
      <c r="G3699" s="44">
        <v>6.3</v>
      </c>
      <c r="H3699" s="43" t="s">
        <v>226</v>
      </c>
      <c r="I3699" s="40" t="s">
        <v>1300</v>
      </c>
    </row>
    <row r="3700" spans="1:9" x14ac:dyDescent="0.2">
      <c r="A3700" s="40" t="s">
        <v>367</v>
      </c>
      <c r="B3700" s="28">
        <v>4103</v>
      </c>
      <c r="C3700" s="28" t="s">
        <v>35</v>
      </c>
      <c r="D3700" s="28" t="s">
        <v>38</v>
      </c>
      <c r="E3700" s="45">
        <v>46173</v>
      </c>
      <c r="F3700" s="48">
        <v>0.79302083333333329</v>
      </c>
      <c r="G3700" s="42">
        <v>6.3</v>
      </c>
      <c r="H3700" s="40" t="s">
        <v>227</v>
      </c>
      <c r="I3700" s="40" t="s">
        <v>1300</v>
      </c>
    </row>
    <row r="3701" spans="1:9" x14ac:dyDescent="0.2">
      <c r="A3701" s="40" t="s">
        <v>444</v>
      </c>
      <c r="B3701" s="28">
        <v>4121</v>
      </c>
      <c r="C3701" s="28" t="s">
        <v>35</v>
      </c>
      <c r="D3701" s="28" t="s">
        <v>38</v>
      </c>
      <c r="E3701" s="41">
        <v>46167</v>
      </c>
      <c r="F3701" s="47">
        <v>0.79567129629629629</v>
      </c>
      <c r="G3701" s="42">
        <v>6.3</v>
      </c>
      <c r="H3701" s="40" t="s">
        <v>227</v>
      </c>
      <c r="I3701" s="40" t="s">
        <v>1300</v>
      </c>
    </row>
    <row r="3702" spans="1:9" x14ac:dyDescent="0.2">
      <c r="A3702" s="40" t="s">
        <v>444</v>
      </c>
      <c r="B3702" s="28">
        <v>4121</v>
      </c>
      <c r="C3702" s="28">
        <v>5686580</v>
      </c>
      <c r="D3702" s="28" t="s">
        <v>36</v>
      </c>
      <c r="E3702" s="41">
        <v>46167</v>
      </c>
      <c r="F3702" s="47">
        <v>0.95432870370370371</v>
      </c>
      <c r="G3702" s="44">
        <v>6.3</v>
      </c>
      <c r="H3702" s="43" t="s">
        <v>228</v>
      </c>
      <c r="I3702" s="40" t="s">
        <v>1300</v>
      </c>
    </row>
    <row r="3703" spans="1:9" x14ac:dyDescent="0.2">
      <c r="A3703" s="40" t="s">
        <v>444</v>
      </c>
      <c r="B3703" s="28">
        <v>4121</v>
      </c>
      <c r="C3703" s="28">
        <v>5686580</v>
      </c>
      <c r="D3703" s="28" t="s">
        <v>36</v>
      </c>
      <c r="E3703" s="45">
        <v>46167</v>
      </c>
      <c r="F3703" s="48">
        <v>0.96243055555555557</v>
      </c>
      <c r="G3703" s="44">
        <v>6.3</v>
      </c>
      <c r="H3703" s="43" t="s">
        <v>229</v>
      </c>
      <c r="I3703" s="40" t="s">
        <v>1300</v>
      </c>
    </row>
    <row r="3704" spans="1:9" x14ac:dyDescent="0.2">
      <c r="A3704" s="40" t="s">
        <v>444</v>
      </c>
      <c r="B3704" s="28">
        <v>4121</v>
      </c>
      <c r="C3704" s="28">
        <v>5688528</v>
      </c>
      <c r="D3704" s="28" t="s">
        <v>36</v>
      </c>
      <c r="E3704" s="41">
        <v>46168</v>
      </c>
      <c r="F3704" s="47">
        <v>0.83434027777777775</v>
      </c>
      <c r="G3704" s="44">
        <v>6.3</v>
      </c>
      <c r="H3704" s="43" t="s">
        <v>228</v>
      </c>
      <c r="I3704" s="40" t="s">
        <v>1300</v>
      </c>
    </row>
    <row r="3705" spans="1:9" x14ac:dyDescent="0.2">
      <c r="A3705" s="40" t="s">
        <v>444</v>
      </c>
      <c r="B3705" s="28">
        <v>4121</v>
      </c>
      <c r="C3705" s="28">
        <v>5688528</v>
      </c>
      <c r="D3705" s="28" t="s">
        <v>36</v>
      </c>
      <c r="E3705" s="41">
        <v>46168</v>
      </c>
      <c r="F3705" s="47">
        <v>0.84193287037037035</v>
      </c>
      <c r="G3705" s="44">
        <v>6.3</v>
      </c>
      <c r="H3705" s="43" t="s">
        <v>232</v>
      </c>
      <c r="I3705" s="40" t="s">
        <v>1300</v>
      </c>
    </row>
    <row r="3706" spans="1:9" x14ac:dyDescent="0.2">
      <c r="A3706" s="40" t="s">
        <v>444</v>
      </c>
      <c r="B3706" s="28">
        <v>4121</v>
      </c>
      <c r="C3706" s="28" t="s">
        <v>1126</v>
      </c>
      <c r="D3706" s="28"/>
      <c r="E3706" s="41">
        <v>46169</v>
      </c>
      <c r="F3706" s="47">
        <v>0.86396990740740742</v>
      </c>
      <c r="G3706" s="44">
        <v>6.3</v>
      </c>
      <c r="H3706" s="43" t="s">
        <v>230</v>
      </c>
      <c r="I3706" s="40" t="s">
        <v>1300</v>
      </c>
    </row>
    <row r="3707" spans="1:9" x14ac:dyDescent="0.2">
      <c r="A3707" s="40" t="s">
        <v>444</v>
      </c>
      <c r="B3707" s="28">
        <v>4121</v>
      </c>
      <c r="C3707" s="28" t="s">
        <v>1126</v>
      </c>
      <c r="D3707" s="28"/>
      <c r="E3707" s="45">
        <v>46169</v>
      </c>
      <c r="F3707" s="48">
        <v>0.87</v>
      </c>
      <c r="G3707" s="44">
        <v>6.3</v>
      </c>
      <c r="H3707" s="43" t="s">
        <v>227</v>
      </c>
      <c r="I3707" s="40" t="s">
        <v>1300</v>
      </c>
    </row>
    <row r="3708" spans="1:9" x14ac:dyDescent="0.2">
      <c r="A3708" s="40" t="s">
        <v>444</v>
      </c>
      <c r="B3708" s="28">
        <v>4121</v>
      </c>
      <c r="C3708" s="28">
        <v>5691962</v>
      </c>
      <c r="D3708" s="28" t="s">
        <v>36</v>
      </c>
      <c r="E3708" s="41">
        <v>46170</v>
      </c>
      <c r="F3708" s="47">
        <v>0.81200231481481477</v>
      </c>
      <c r="G3708" s="44">
        <v>6.3</v>
      </c>
      <c r="H3708" s="43" t="s">
        <v>230</v>
      </c>
      <c r="I3708" s="40" t="s">
        <v>1300</v>
      </c>
    </row>
    <row r="3709" spans="1:9" x14ac:dyDescent="0.2">
      <c r="A3709" s="40" t="s">
        <v>444</v>
      </c>
      <c r="B3709" s="28">
        <v>4121</v>
      </c>
      <c r="C3709" s="28">
        <v>5691962</v>
      </c>
      <c r="D3709" s="28" t="s">
        <v>36</v>
      </c>
      <c r="E3709" s="41">
        <v>46170</v>
      </c>
      <c r="F3709" s="47">
        <v>0.83224537037037039</v>
      </c>
      <c r="G3709" s="44">
        <v>6.3</v>
      </c>
      <c r="H3709" s="43" t="s">
        <v>227</v>
      </c>
      <c r="I3709" s="40" t="s">
        <v>1300</v>
      </c>
    </row>
    <row r="3710" spans="1:9" x14ac:dyDescent="0.2">
      <c r="A3710" s="40" t="s">
        <v>444</v>
      </c>
      <c r="B3710" s="28">
        <v>4121</v>
      </c>
      <c r="C3710" s="28">
        <v>5692342</v>
      </c>
      <c r="D3710" s="28" t="s">
        <v>36</v>
      </c>
      <c r="E3710" s="41">
        <v>46170</v>
      </c>
      <c r="F3710" s="47">
        <v>0.92186342592592596</v>
      </c>
      <c r="G3710" s="44">
        <v>6.3</v>
      </c>
      <c r="H3710" s="43" t="s">
        <v>228</v>
      </c>
      <c r="I3710" s="40" t="s">
        <v>1300</v>
      </c>
    </row>
    <row r="3711" spans="1:9" x14ac:dyDescent="0.2">
      <c r="A3711" s="40" t="s">
        <v>444</v>
      </c>
      <c r="B3711" s="28">
        <v>4121</v>
      </c>
      <c r="C3711" s="28">
        <v>5692342</v>
      </c>
      <c r="D3711" s="28" t="s">
        <v>36</v>
      </c>
      <c r="E3711" s="41">
        <v>46170</v>
      </c>
      <c r="F3711" s="47">
        <v>0.92914351851851851</v>
      </c>
      <c r="G3711" s="44">
        <v>6.3</v>
      </c>
      <c r="H3711" s="43" t="s">
        <v>229</v>
      </c>
      <c r="I3711" s="40" t="s">
        <v>1300</v>
      </c>
    </row>
    <row r="3712" spans="1:9" x14ac:dyDescent="0.2">
      <c r="A3712" s="40" t="s">
        <v>444</v>
      </c>
      <c r="B3712" s="28">
        <v>4121</v>
      </c>
      <c r="C3712" s="28">
        <v>5692300</v>
      </c>
      <c r="D3712" s="28" t="s">
        <v>36</v>
      </c>
      <c r="E3712" s="45">
        <v>46171</v>
      </c>
      <c r="F3712" s="48">
        <v>3.363425925925926E-2</v>
      </c>
      <c r="G3712" s="44">
        <v>6.3</v>
      </c>
      <c r="H3712" s="43" t="s">
        <v>228</v>
      </c>
      <c r="I3712" s="40" t="s">
        <v>1300</v>
      </c>
    </row>
    <row r="3713" spans="1:9" x14ac:dyDescent="0.2">
      <c r="A3713" s="40" t="s">
        <v>444</v>
      </c>
      <c r="B3713" s="28">
        <v>4121</v>
      </c>
      <c r="C3713" s="28" t="s">
        <v>1127</v>
      </c>
      <c r="D3713" s="28" t="s">
        <v>36</v>
      </c>
      <c r="E3713" s="41">
        <v>46171</v>
      </c>
      <c r="F3713" s="47">
        <v>0.66374999999999995</v>
      </c>
      <c r="G3713" s="44">
        <v>6.3</v>
      </c>
      <c r="H3713" s="43" t="s">
        <v>228</v>
      </c>
      <c r="I3713" s="40" t="s">
        <v>1300</v>
      </c>
    </row>
    <row r="3714" spans="1:9" x14ac:dyDescent="0.2">
      <c r="A3714" s="40" t="s">
        <v>444</v>
      </c>
      <c r="B3714" s="28">
        <v>4121</v>
      </c>
      <c r="C3714" s="28" t="s">
        <v>1127</v>
      </c>
      <c r="D3714" s="28" t="s">
        <v>36</v>
      </c>
      <c r="E3714" s="41">
        <v>46171</v>
      </c>
      <c r="F3714" s="47">
        <v>0.67766203703703709</v>
      </c>
      <c r="G3714" s="44">
        <v>6.3</v>
      </c>
      <c r="H3714" s="43" t="s">
        <v>229</v>
      </c>
      <c r="I3714" s="40" t="s">
        <v>1300</v>
      </c>
    </row>
    <row r="3715" spans="1:9" x14ac:dyDescent="0.2">
      <c r="A3715" s="40" t="s">
        <v>444</v>
      </c>
      <c r="B3715" s="28">
        <v>4121</v>
      </c>
      <c r="C3715" s="28" t="s">
        <v>35</v>
      </c>
      <c r="D3715" s="28" t="s">
        <v>38</v>
      </c>
      <c r="E3715" s="41">
        <v>46171</v>
      </c>
      <c r="F3715" s="47">
        <v>0.98767361111111107</v>
      </c>
      <c r="G3715" s="44">
        <v>6.3</v>
      </c>
      <c r="H3715" s="43" t="s">
        <v>228</v>
      </c>
      <c r="I3715" s="40" t="s">
        <v>1300</v>
      </c>
    </row>
    <row r="3716" spans="1:9" x14ac:dyDescent="0.2">
      <c r="A3716" s="40" t="s">
        <v>444</v>
      </c>
      <c r="B3716" s="28">
        <v>4121</v>
      </c>
      <c r="C3716" s="28" t="s">
        <v>35</v>
      </c>
      <c r="D3716" s="28" t="s">
        <v>38</v>
      </c>
      <c r="E3716" s="41">
        <v>46171</v>
      </c>
      <c r="F3716" s="47">
        <v>0.99518518518518517</v>
      </c>
      <c r="G3716" s="44">
        <v>6.3</v>
      </c>
      <c r="H3716" s="43" t="s">
        <v>229</v>
      </c>
      <c r="I3716" s="40" t="s">
        <v>1300</v>
      </c>
    </row>
    <row r="3717" spans="1:9" x14ac:dyDescent="0.2">
      <c r="A3717" s="40" t="s">
        <v>444</v>
      </c>
      <c r="B3717" s="28">
        <v>4121</v>
      </c>
      <c r="C3717" s="28">
        <v>5695016</v>
      </c>
      <c r="D3717" s="28" t="s">
        <v>36</v>
      </c>
      <c r="E3717" s="45">
        <v>46172</v>
      </c>
      <c r="F3717" s="48">
        <v>0.87159722222222225</v>
      </c>
      <c r="G3717" s="44">
        <v>6.3</v>
      </c>
      <c r="H3717" s="43" t="s">
        <v>228</v>
      </c>
      <c r="I3717" s="40" t="s">
        <v>1300</v>
      </c>
    </row>
    <row r="3718" spans="1:9" x14ac:dyDescent="0.2">
      <c r="A3718" s="40" t="s">
        <v>444</v>
      </c>
      <c r="B3718" s="28">
        <v>4121</v>
      </c>
      <c r="C3718" s="28">
        <v>5695016</v>
      </c>
      <c r="D3718" s="28" t="s">
        <v>36</v>
      </c>
      <c r="E3718" s="41">
        <v>46172</v>
      </c>
      <c r="F3718" s="47">
        <v>0.87903935185185189</v>
      </c>
      <c r="G3718" s="44">
        <v>6.3</v>
      </c>
      <c r="H3718" s="43" t="s">
        <v>229</v>
      </c>
      <c r="I3718" s="40" t="s">
        <v>1300</v>
      </c>
    </row>
    <row r="3719" spans="1:9" x14ac:dyDescent="0.2">
      <c r="A3719" s="40" t="s">
        <v>444</v>
      </c>
      <c r="B3719" s="28">
        <v>4121</v>
      </c>
      <c r="C3719" s="28">
        <v>5695028</v>
      </c>
      <c r="D3719" s="28" t="s">
        <v>36</v>
      </c>
      <c r="E3719" s="41">
        <v>46172</v>
      </c>
      <c r="F3719" s="47">
        <v>0.95181712962962961</v>
      </c>
      <c r="G3719" s="42">
        <v>6.3</v>
      </c>
      <c r="H3719" s="40" t="s">
        <v>228</v>
      </c>
      <c r="I3719" s="40" t="s">
        <v>1300</v>
      </c>
    </row>
    <row r="3720" spans="1:9" x14ac:dyDescent="0.2">
      <c r="A3720" s="40" t="s">
        <v>444</v>
      </c>
      <c r="B3720" s="28">
        <v>4121</v>
      </c>
      <c r="C3720" s="28">
        <v>5695028</v>
      </c>
      <c r="D3720" s="28" t="s">
        <v>36</v>
      </c>
      <c r="E3720" s="45">
        <v>46172</v>
      </c>
      <c r="F3720" s="48">
        <v>0.95910879629629631</v>
      </c>
      <c r="G3720" s="42">
        <v>6.3</v>
      </c>
      <c r="H3720" s="40" t="s">
        <v>229</v>
      </c>
      <c r="I3720" s="40" t="s">
        <v>1300</v>
      </c>
    </row>
    <row r="3721" spans="1:9" x14ac:dyDescent="0.2">
      <c r="A3721" s="40" t="s">
        <v>444</v>
      </c>
      <c r="B3721" s="28">
        <v>4121</v>
      </c>
      <c r="C3721" s="28">
        <v>5695989</v>
      </c>
      <c r="D3721" s="28"/>
      <c r="E3721" s="41">
        <v>46173</v>
      </c>
      <c r="F3721" s="47">
        <v>0.72223379629629625</v>
      </c>
      <c r="G3721" s="44">
        <v>6.3</v>
      </c>
      <c r="H3721" s="43" t="s">
        <v>228</v>
      </c>
      <c r="I3721" s="40" t="s">
        <v>1300</v>
      </c>
    </row>
    <row r="3722" spans="1:9" x14ac:dyDescent="0.2">
      <c r="A3722" s="40" t="s">
        <v>445</v>
      </c>
      <c r="B3722" s="28">
        <v>4135</v>
      </c>
      <c r="C3722" s="28" t="s">
        <v>1128</v>
      </c>
      <c r="D3722" s="28"/>
      <c r="E3722" s="41">
        <v>46170</v>
      </c>
      <c r="F3722" s="47">
        <v>0.43063657407407407</v>
      </c>
      <c r="G3722" s="44">
        <v>6.3</v>
      </c>
      <c r="H3722" s="43" t="s">
        <v>228</v>
      </c>
      <c r="I3722" s="40" t="s">
        <v>1300</v>
      </c>
    </row>
    <row r="3723" spans="1:9" x14ac:dyDescent="0.2">
      <c r="A3723" s="40" t="s">
        <v>445</v>
      </c>
      <c r="B3723" s="28">
        <v>4135</v>
      </c>
      <c r="C3723" s="28" t="s">
        <v>1128</v>
      </c>
      <c r="D3723" s="28"/>
      <c r="E3723" s="41">
        <v>46170</v>
      </c>
      <c r="F3723" s="47">
        <v>0.43935185185185183</v>
      </c>
      <c r="G3723" s="44">
        <v>6.3</v>
      </c>
      <c r="H3723" s="43" t="s">
        <v>229</v>
      </c>
      <c r="I3723" s="40" t="s">
        <v>1300</v>
      </c>
    </row>
    <row r="3724" spans="1:9" x14ac:dyDescent="0.2">
      <c r="A3724" s="40" t="s">
        <v>445</v>
      </c>
      <c r="B3724" s="28">
        <v>4135</v>
      </c>
      <c r="C3724" s="28" t="s">
        <v>1129</v>
      </c>
      <c r="D3724" s="28"/>
      <c r="E3724" s="41">
        <v>46170</v>
      </c>
      <c r="F3724" s="47">
        <v>0.50212962962962959</v>
      </c>
      <c r="G3724" s="44">
        <v>6.3</v>
      </c>
      <c r="H3724" s="43" t="s">
        <v>230</v>
      </c>
      <c r="I3724" s="40" t="s">
        <v>1300</v>
      </c>
    </row>
    <row r="3725" spans="1:9" x14ac:dyDescent="0.2">
      <c r="A3725" s="40" t="s">
        <v>445</v>
      </c>
      <c r="B3725" s="28">
        <v>4135</v>
      </c>
      <c r="C3725" s="28" t="s">
        <v>1129</v>
      </c>
      <c r="D3725" s="28"/>
      <c r="E3725" s="41">
        <v>46170</v>
      </c>
      <c r="F3725" s="47">
        <v>0.50850694444444444</v>
      </c>
      <c r="G3725" s="44">
        <v>6.3</v>
      </c>
      <c r="H3725" s="43" t="s">
        <v>227</v>
      </c>
      <c r="I3725" s="40" t="s">
        <v>1300</v>
      </c>
    </row>
    <row r="3726" spans="1:9" x14ac:dyDescent="0.2">
      <c r="A3726" s="40" t="s">
        <v>445</v>
      </c>
      <c r="B3726" s="28">
        <v>4135</v>
      </c>
      <c r="C3726" s="28">
        <v>10772545</v>
      </c>
      <c r="D3726" s="28" t="s">
        <v>36</v>
      </c>
      <c r="E3726" s="41">
        <v>46172</v>
      </c>
      <c r="F3726" s="47">
        <v>0.5784259259259259</v>
      </c>
      <c r="G3726" s="44">
        <v>6.3</v>
      </c>
      <c r="H3726" s="43" t="s">
        <v>228</v>
      </c>
      <c r="I3726" s="40" t="s">
        <v>1300</v>
      </c>
    </row>
    <row r="3727" spans="1:9" x14ac:dyDescent="0.2">
      <c r="A3727" s="40" t="s">
        <v>445</v>
      </c>
      <c r="B3727" s="28">
        <v>4135</v>
      </c>
      <c r="C3727" s="28">
        <v>10772545</v>
      </c>
      <c r="D3727" s="28" t="s">
        <v>36</v>
      </c>
      <c r="E3727" s="41">
        <v>46172</v>
      </c>
      <c r="F3727" s="47">
        <v>0.58771990740740743</v>
      </c>
      <c r="G3727" s="44">
        <v>6.3</v>
      </c>
      <c r="H3727" s="43" t="s">
        <v>229</v>
      </c>
      <c r="I3727" s="40" t="s">
        <v>1300</v>
      </c>
    </row>
    <row r="3728" spans="1:9" x14ac:dyDescent="0.2">
      <c r="A3728" s="40" t="s">
        <v>446</v>
      </c>
      <c r="B3728" s="28">
        <v>4138</v>
      </c>
      <c r="C3728" s="28" t="s">
        <v>35</v>
      </c>
      <c r="D3728" s="28" t="s">
        <v>38</v>
      </c>
      <c r="E3728" s="41">
        <v>46168</v>
      </c>
      <c r="F3728" s="47">
        <v>0.4926388888888889</v>
      </c>
      <c r="G3728" s="44">
        <v>6.3</v>
      </c>
      <c r="H3728" s="43" t="s">
        <v>227</v>
      </c>
      <c r="I3728" s="40" t="s">
        <v>1300</v>
      </c>
    </row>
    <row r="3729" spans="1:9" x14ac:dyDescent="0.2">
      <c r="A3729" s="40" t="s">
        <v>446</v>
      </c>
      <c r="B3729" s="28">
        <v>4138</v>
      </c>
      <c r="C3729" s="28" t="s">
        <v>35</v>
      </c>
      <c r="D3729" s="28" t="s">
        <v>38</v>
      </c>
      <c r="E3729" s="41">
        <v>46170</v>
      </c>
      <c r="F3729" s="47">
        <v>0.46124999999999999</v>
      </c>
      <c r="G3729" s="44">
        <v>6.3</v>
      </c>
      <c r="H3729" s="43" t="s">
        <v>227</v>
      </c>
      <c r="I3729" s="40" t="s">
        <v>1300</v>
      </c>
    </row>
    <row r="3730" spans="1:9" x14ac:dyDescent="0.2">
      <c r="A3730" s="40" t="s">
        <v>446</v>
      </c>
      <c r="B3730" s="28">
        <v>4138</v>
      </c>
      <c r="C3730" s="28" t="s">
        <v>35</v>
      </c>
      <c r="D3730" s="28" t="s">
        <v>38</v>
      </c>
      <c r="E3730" s="45">
        <v>46173</v>
      </c>
      <c r="F3730" s="48">
        <v>0.8464814814814815</v>
      </c>
      <c r="G3730" s="44">
        <v>6.3</v>
      </c>
      <c r="H3730" s="43" t="s">
        <v>226</v>
      </c>
      <c r="I3730" s="40" t="s">
        <v>1300</v>
      </c>
    </row>
    <row r="3731" spans="1:9" x14ac:dyDescent="0.2">
      <c r="A3731" s="40" t="s">
        <v>446</v>
      </c>
      <c r="B3731" s="28">
        <v>4138</v>
      </c>
      <c r="C3731" s="28" t="s">
        <v>35</v>
      </c>
      <c r="D3731" s="28" t="s">
        <v>38</v>
      </c>
      <c r="E3731" s="41">
        <v>46173</v>
      </c>
      <c r="F3731" s="47">
        <v>0.85209490740740745</v>
      </c>
      <c r="G3731" s="44">
        <v>6.3</v>
      </c>
      <c r="H3731" s="43" t="s">
        <v>227</v>
      </c>
      <c r="I3731" s="40" t="s">
        <v>1300</v>
      </c>
    </row>
    <row r="3732" spans="1:9" x14ac:dyDescent="0.2">
      <c r="A3732" s="40" t="s">
        <v>383</v>
      </c>
      <c r="B3732" s="28">
        <v>4145</v>
      </c>
      <c r="C3732" s="28">
        <v>5685406</v>
      </c>
      <c r="D3732" s="28"/>
      <c r="E3732" s="41">
        <v>46167</v>
      </c>
      <c r="F3732" s="47">
        <v>0.14825231481481482</v>
      </c>
      <c r="G3732" s="44">
        <v>6.3</v>
      </c>
      <c r="H3732" s="43" t="s">
        <v>228</v>
      </c>
      <c r="I3732" s="40" t="s">
        <v>1300</v>
      </c>
    </row>
    <row r="3733" spans="1:9" x14ac:dyDescent="0.2">
      <c r="A3733" s="40" t="s">
        <v>383</v>
      </c>
      <c r="B3733" s="28">
        <v>4145</v>
      </c>
      <c r="C3733" s="28">
        <v>5685406</v>
      </c>
      <c r="D3733" s="28"/>
      <c r="E3733" s="41">
        <v>46167</v>
      </c>
      <c r="F3733" s="47">
        <v>0.15469907407407407</v>
      </c>
      <c r="G3733" s="44">
        <v>6.3</v>
      </c>
      <c r="H3733" s="43" t="s">
        <v>229</v>
      </c>
      <c r="I3733" s="40" t="s">
        <v>1300</v>
      </c>
    </row>
    <row r="3734" spans="1:9" x14ac:dyDescent="0.2">
      <c r="A3734" s="40" t="s">
        <v>383</v>
      </c>
      <c r="B3734" s="28">
        <v>4145</v>
      </c>
      <c r="C3734" s="28">
        <v>5685000</v>
      </c>
      <c r="D3734" s="28"/>
      <c r="E3734" s="41">
        <v>46167</v>
      </c>
      <c r="F3734" s="47">
        <v>0.18708333333333332</v>
      </c>
      <c r="G3734" s="42">
        <v>6.3</v>
      </c>
      <c r="H3734" s="40" t="s">
        <v>230</v>
      </c>
      <c r="I3734" s="40" t="s">
        <v>1300</v>
      </c>
    </row>
    <row r="3735" spans="1:9" x14ac:dyDescent="0.2">
      <c r="A3735" s="40" t="s">
        <v>383</v>
      </c>
      <c r="B3735" s="28">
        <v>4145</v>
      </c>
      <c r="C3735" s="28">
        <v>5685000</v>
      </c>
      <c r="D3735" s="28"/>
      <c r="E3735" s="45">
        <v>46167</v>
      </c>
      <c r="F3735" s="48">
        <v>0.19153935185185186</v>
      </c>
      <c r="G3735" s="44">
        <v>6.3</v>
      </c>
      <c r="H3735" s="43" t="s">
        <v>227</v>
      </c>
      <c r="I3735" s="40" t="s">
        <v>1300</v>
      </c>
    </row>
    <row r="3736" spans="1:9" x14ac:dyDescent="0.2">
      <c r="A3736" s="40" t="s">
        <v>383</v>
      </c>
      <c r="B3736" s="28">
        <v>4145</v>
      </c>
      <c r="C3736" s="28">
        <v>5689347</v>
      </c>
      <c r="D3736" s="28"/>
      <c r="E3736" s="41">
        <v>46169</v>
      </c>
      <c r="F3736" s="47">
        <v>0.42351851851851852</v>
      </c>
      <c r="G3736" s="44">
        <v>6.3</v>
      </c>
      <c r="H3736" s="43" t="s">
        <v>228</v>
      </c>
      <c r="I3736" s="40" t="s">
        <v>1300</v>
      </c>
    </row>
    <row r="3737" spans="1:9" x14ac:dyDescent="0.2">
      <c r="A3737" s="40" t="s">
        <v>383</v>
      </c>
      <c r="B3737" s="28">
        <v>4145</v>
      </c>
      <c r="C3737" s="28" t="s">
        <v>35</v>
      </c>
      <c r="D3737" s="28" t="s">
        <v>38</v>
      </c>
      <c r="E3737" s="41">
        <v>46169</v>
      </c>
      <c r="F3737" s="47">
        <v>0.44884259259259257</v>
      </c>
      <c r="G3737" s="42">
        <v>6.3</v>
      </c>
      <c r="H3737" s="40" t="s">
        <v>227</v>
      </c>
      <c r="I3737" s="40" t="s">
        <v>1300</v>
      </c>
    </row>
    <row r="3738" spans="1:9" x14ac:dyDescent="0.2">
      <c r="A3738" s="40" t="s">
        <v>383</v>
      </c>
      <c r="B3738" s="28">
        <v>4145</v>
      </c>
      <c r="C3738" s="28" t="s">
        <v>35</v>
      </c>
      <c r="D3738" s="28" t="s">
        <v>38</v>
      </c>
      <c r="E3738" s="41">
        <v>46170</v>
      </c>
      <c r="F3738" s="47">
        <v>0.70781249999999996</v>
      </c>
      <c r="G3738" s="42">
        <v>6.3</v>
      </c>
      <c r="H3738" s="40" t="s">
        <v>227</v>
      </c>
      <c r="I3738" s="40" t="s">
        <v>1300</v>
      </c>
    </row>
    <row r="3739" spans="1:9" x14ac:dyDescent="0.2">
      <c r="A3739" s="40" t="s">
        <v>383</v>
      </c>
      <c r="B3739" s="28">
        <v>4145</v>
      </c>
      <c r="C3739" s="28" t="s">
        <v>1130</v>
      </c>
      <c r="D3739" s="28"/>
      <c r="E3739" s="41">
        <v>46170</v>
      </c>
      <c r="F3739" s="47">
        <v>0.81052083333333336</v>
      </c>
      <c r="G3739" s="44">
        <v>6.3</v>
      </c>
      <c r="H3739" s="43" t="s">
        <v>228</v>
      </c>
      <c r="I3739" s="40" t="s">
        <v>1300</v>
      </c>
    </row>
    <row r="3740" spans="1:9" x14ac:dyDescent="0.2">
      <c r="A3740" s="40" t="s">
        <v>383</v>
      </c>
      <c r="B3740" s="28">
        <v>4145</v>
      </c>
      <c r="C3740" s="28" t="s">
        <v>1130</v>
      </c>
      <c r="D3740" s="28"/>
      <c r="E3740" s="41">
        <v>46170</v>
      </c>
      <c r="F3740" s="47">
        <v>0.81957175925925929</v>
      </c>
      <c r="G3740" s="44">
        <v>6.3</v>
      </c>
      <c r="H3740" s="43" t="s">
        <v>229</v>
      </c>
      <c r="I3740" s="40" t="s">
        <v>1300</v>
      </c>
    </row>
    <row r="3741" spans="1:9" x14ac:dyDescent="0.2">
      <c r="A3741" s="40" t="s">
        <v>383</v>
      </c>
      <c r="B3741" s="28">
        <v>4145</v>
      </c>
      <c r="C3741" s="28" t="s">
        <v>35</v>
      </c>
      <c r="D3741" s="28" t="s">
        <v>38</v>
      </c>
      <c r="E3741" s="41">
        <v>46170</v>
      </c>
      <c r="F3741" s="47">
        <v>0.83980324074074075</v>
      </c>
      <c r="G3741" s="44">
        <v>6.3</v>
      </c>
      <c r="H3741" s="43" t="s">
        <v>230</v>
      </c>
      <c r="I3741" s="40" t="s">
        <v>1300</v>
      </c>
    </row>
    <row r="3742" spans="1:9" x14ac:dyDescent="0.2">
      <c r="A3742" s="40" t="s">
        <v>383</v>
      </c>
      <c r="B3742" s="28">
        <v>4145</v>
      </c>
      <c r="C3742" s="28" t="s">
        <v>35</v>
      </c>
      <c r="D3742" s="28" t="s">
        <v>38</v>
      </c>
      <c r="E3742" s="45">
        <v>46171</v>
      </c>
      <c r="F3742" s="48">
        <v>0.39493055555555556</v>
      </c>
      <c r="G3742" s="44">
        <v>6.3</v>
      </c>
      <c r="H3742" s="43" t="s">
        <v>227</v>
      </c>
      <c r="I3742" s="40" t="s">
        <v>1300</v>
      </c>
    </row>
    <row r="3743" spans="1:9" x14ac:dyDescent="0.2">
      <c r="A3743" s="40" t="s">
        <v>447</v>
      </c>
      <c r="B3743" s="28">
        <v>4154</v>
      </c>
      <c r="C3743" s="28">
        <v>5685716</v>
      </c>
      <c r="D3743" s="28" t="s">
        <v>36</v>
      </c>
      <c r="E3743" s="41">
        <v>46167</v>
      </c>
      <c r="F3743" s="47">
        <v>0.48105324074074074</v>
      </c>
      <c r="G3743" s="44">
        <v>6.3</v>
      </c>
      <c r="H3743" s="43" t="s">
        <v>228</v>
      </c>
      <c r="I3743" s="40" t="s">
        <v>1300</v>
      </c>
    </row>
    <row r="3744" spans="1:9" x14ac:dyDescent="0.2">
      <c r="A3744" s="40" t="s">
        <v>447</v>
      </c>
      <c r="B3744" s="28">
        <v>4154</v>
      </c>
      <c r="C3744" s="28" t="s">
        <v>35</v>
      </c>
      <c r="D3744" s="28" t="s">
        <v>38</v>
      </c>
      <c r="E3744" s="41">
        <v>46167</v>
      </c>
      <c r="F3744" s="47">
        <v>0.51531249999999995</v>
      </c>
      <c r="G3744" s="44">
        <v>6.3</v>
      </c>
      <c r="H3744" s="43" t="s">
        <v>227</v>
      </c>
      <c r="I3744" s="40" t="s">
        <v>1300</v>
      </c>
    </row>
    <row r="3745" spans="1:9" x14ac:dyDescent="0.2">
      <c r="A3745" s="40" t="s">
        <v>447</v>
      </c>
      <c r="B3745" s="28">
        <v>4154</v>
      </c>
      <c r="C3745" s="28">
        <v>10751435</v>
      </c>
      <c r="D3745" s="28"/>
      <c r="E3745" s="41">
        <v>46168</v>
      </c>
      <c r="F3745" s="47">
        <v>0.56847222222222227</v>
      </c>
      <c r="G3745" s="44">
        <v>6.3</v>
      </c>
      <c r="H3745" s="43" t="s">
        <v>230</v>
      </c>
      <c r="I3745" s="40" t="s">
        <v>1300</v>
      </c>
    </row>
    <row r="3746" spans="1:9" x14ac:dyDescent="0.2">
      <c r="A3746" s="40" t="s">
        <v>447</v>
      </c>
      <c r="B3746" s="28">
        <v>4154</v>
      </c>
      <c r="C3746" s="28">
        <v>10751435</v>
      </c>
      <c r="D3746" s="28"/>
      <c r="E3746" s="41">
        <v>46168</v>
      </c>
      <c r="F3746" s="47">
        <v>0.5744097222222222</v>
      </c>
      <c r="G3746" s="44">
        <v>6.3</v>
      </c>
      <c r="H3746" s="43" t="s">
        <v>227</v>
      </c>
      <c r="I3746" s="40" t="s">
        <v>1300</v>
      </c>
    </row>
    <row r="3747" spans="1:9" x14ac:dyDescent="0.2">
      <c r="A3747" s="40" t="s">
        <v>447</v>
      </c>
      <c r="B3747" s="28">
        <v>4154</v>
      </c>
      <c r="C3747" s="28">
        <v>10751730</v>
      </c>
      <c r="D3747" s="28" t="s">
        <v>36</v>
      </c>
      <c r="E3747" s="41">
        <v>46169</v>
      </c>
      <c r="F3747" s="47">
        <v>0.32793981481481482</v>
      </c>
      <c r="G3747" s="44">
        <v>6.3</v>
      </c>
      <c r="H3747" s="43" t="s">
        <v>228</v>
      </c>
      <c r="I3747" s="40" t="s">
        <v>1300</v>
      </c>
    </row>
    <row r="3748" spans="1:9" x14ac:dyDescent="0.2">
      <c r="A3748" s="40" t="s">
        <v>447</v>
      </c>
      <c r="B3748" s="28">
        <v>4154</v>
      </c>
      <c r="C3748" s="28">
        <v>10751730</v>
      </c>
      <c r="D3748" s="28" t="s">
        <v>36</v>
      </c>
      <c r="E3748" s="45">
        <v>46169</v>
      </c>
      <c r="F3748" s="48">
        <v>0.34380787037037036</v>
      </c>
      <c r="G3748" s="44">
        <v>6.3</v>
      </c>
      <c r="H3748" s="43" t="s">
        <v>229</v>
      </c>
      <c r="I3748" s="40" t="s">
        <v>1300</v>
      </c>
    </row>
    <row r="3749" spans="1:9" x14ac:dyDescent="0.2">
      <c r="A3749" s="40" t="s">
        <v>447</v>
      </c>
      <c r="B3749" s="28">
        <v>4154</v>
      </c>
      <c r="C3749" s="28" t="s">
        <v>35</v>
      </c>
      <c r="D3749" s="28" t="s">
        <v>38</v>
      </c>
      <c r="E3749" s="41">
        <v>46170</v>
      </c>
      <c r="F3749" s="47">
        <v>0.48031249999999998</v>
      </c>
      <c r="G3749" s="44">
        <v>6.3</v>
      </c>
      <c r="H3749" s="43" t="s">
        <v>232</v>
      </c>
      <c r="I3749" s="40" t="s">
        <v>1300</v>
      </c>
    </row>
    <row r="3750" spans="1:9" x14ac:dyDescent="0.2">
      <c r="A3750" s="40" t="s">
        <v>447</v>
      </c>
      <c r="B3750" s="28">
        <v>4154</v>
      </c>
      <c r="C3750" s="28" t="s">
        <v>35</v>
      </c>
      <c r="D3750" s="28" t="s">
        <v>38</v>
      </c>
      <c r="E3750" s="41">
        <v>46170</v>
      </c>
      <c r="F3750" s="47">
        <v>0.59091435185185182</v>
      </c>
      <c r="G3750" s="44">
        <v>6.3</v>
      </c>
      <c r="H3750" s="43" t="s">
        <v>226</v>
      </c>
      <c r="I3750" s="40" t="s">
        <v>1300</v>
      </c>
    </row>
    <row r="3751" spans="1:9" x14ac:dyDescent="0.2">
      <c r="A3751" s="40" t="s">
        <v>447</v>
      </c>
      <c r="B3751" s="28">
        <v>4154</v>
      </c>
      <c r="C3751" s="28" t="s">
        <v>35</v>
      </c>
      <c r="D3751" s="28" t="s">
        <v>38</v>
      </c>
      <c r="E3751" s="41">
        <v>46170</v>
      </c>
      <c r="F3751" s="47">
        <v>0.59728009259259263</v>
      </c>
      <c r="G3751" s="44">
        <v>6.3</v>
      </c>
      <c r="H3751" s="43" t="s">
        <v>227</v>
      </c>
      <c r="I3751" s="40" t="s">
        <v>1300</v>
      </c>
    </row>
    <row r="3752" spans="1:9" x14ac:dyDescent="0.2">
      <c r="A3752" s="40" t="s">
        <v>448</v>
      </c>
      <c r="B3752" s="28">
        <v>4163</v>
      </c>
      <c r="C3752" s="28">
        <v>5687456</v>
      </c>
      <c r="D3752" s="28"/>
      <c r="E3752" s="41">
        <v>46169</v>
      </c>
      <c r="F3752" s="47">
        <v>0.22614583333333332</v>
      </c>
      <c r="G3752" s="44">
        <v>6.3</v>
      </c>
      <c r="H3752" s="43" t="s">
        <v>227</v>
      </c>
      <c r="I3752" s="40" t="s">
        <v>1300</v>
      </c>
    </row>
    <row r="3753" spans="1:9" x14ac:dyDescent="0.2">
      <c r="A3753" s="40" t="s">
        <v>448</v>
      </c>
      <c r="B3753" s="28">
        <v>4163</v>
      </c>
      <c r="C3753" s="28">
        <v>5687919</v>
      </c>
      <c r="D3753" s="28"/>
      <c r="E3753" s="45">
        <v>46169</v>
      </c>
      <c r="F3753" s="48">
        <v>0.55032407407407402</v>
      </c>
      <c r="G3753" s="44">
        <v>6.3</v>
      </c>
      <c r="H3753" s="43" t="s">
        <v>230</v>
      </c>
      <c r="I3753" s="40" t="s">
        <v>1300</v>
      </c>
    </row>
    <row r="3754" spans="1:9" x14ac:dyDescent="0.2">
      <c r="A3754" s="40" t="s">
        <v>448</v>
      </c>
      <c r="B3754" s="28">
        <v>4163</v>
      </c>
      <c r="C3754" s="28">
        <v>5687919</v>
      </c>
      <c r="D3754" s="28"/>
      <c r="E3754" s="41">
        <v>46169</v>
      </c>
      <c r="F3754" s="47">
        <v>0.55722222222222217</v>
      </c>
      <c r="G3754" s="44">
        <v>6.3</v>
      </c>
      <c r="H3754" s="43" t="s">
        <v>227</v>
      </c>
      <c r="I3754" s="40" t="s">
        <v>1300</v>
      </c>
    </row>
    <row r="3755" spans="1:9" x14ac:dyDescent="0.2">
      <c r="A3755" s="40" t="s">
        <v>1131</v>
      </c>
      <c r="B3755" s="28">
        <v>4172</v>
      </c>
      <c r="C3755" s="28" t="s">
        <v>35</v>
      </c>
      <c r="D3755" s="28" t="s">
        <v>38</v>
      </c>
      <c r="E3755" s="41">
        <v>46170</v>
      </c>
      <c r="F3755" s="47">
        <v>0.14726851851851852</v>
      </c>
      <c r="G3755" s="44">
        <v>6.3</v>
      </c>
      <c r="H3755" s="43" t="s">
        <v>230</v>
      </c>
      <c r="I3755" s="40" t="s">
        <v>1300</v>
      </c>
    </row>
    <row r="3756" spans="1:9" x14ac:dyDescent="0.2">
      <c r="A3756" s="40" t="s">
        <v>1131</v>
      </c>
      <c r="B3756" s="28">
        <v>4172</v>
      </c>
      <c r="C3756" s="28" t="s">
        <v>35</v>
      </c>
      <c r="D3756" s="28" t="s">
        <v>38</v>
      </c>
      <c r="E3756" s="41">
        <v>46170</v>
      </c>
      <c r="F3756" s="47">
        <v>0.15289351851851851</v>
      </c>
      <c r="G3756" s="44">
        <v>6.3</v>
      </c>
      <c r="H3756" s="43" t="s">
        <v>227</v>
      </c>
      <c r="I3756" s="40" t="s">
        <v>1300</v>
      </c>
    </row>
    <row r="3757" spans="1:9" x14ac:dyDescent="0.2">
      <c r="A3757" s="40" t="s">
        <v>1131</v>
      </c>
      <c r="B3757" s="28">
        <v>4172</v>
      </c>
      <c r="C3757" s="28" t="s">
        <v>35</v>
      </c>
      <c r="D3757" s="28" t="s">
        <v>38</v>
      </c>
      <c r="E3757" s="41">
        <v>46170</v>
      </c>
      <c r="F3757" s="47">
        <v>0.25387731481481479</v>
      </c>
      <c r="G3757" s="44">
        <v>6.3</v>
      </c>
      <c r="H3757" s="43" t="s">
        <v>230</v>
      </c>
      <c r="I3757" s="40" t="s">
        <v>1300</v>
      </c>
    </row>
    <row r="3758" spans="1:9" x14ac:dyDescent="0.2">
      <c r="A3758" s="40" t="s">
        <v>1131</v>
      </c>
      <c r="B3758" s="28">
        <v>4172</v>
      </c>
      <c r="C3758" s="28" t="s">
        <v>35</v>
      </c>
      <c r="D3758" s="28" t="s">
        <v>38</v>
      </c>
      <c r="E3758" s="41">
        <v>46170</v>
      </c>
      <c r="F3758" s="47">
        <v>0.25998842592592591</v>
      </c>
      <c r="G3758" s="44">
        <v>6.3</v>
      </c>
      <c r="H3758" s="43" t="s">
        <v>227</v>
      </c>
      <c r="I3758" s="40" t="s">
        <v>1300</v>
      </c>
    </row>
    <row r="3759" spans="1:9" x14ac:dyDescent="0.2">
      <c r="A3759" s="40" t="s">
        <v>1131</v>
      </c>
      <c r="B3759" s="28">
        <v>4172</v>
      </c>
      <c r="C3759" s="28" t="s">
        <v>35</v>
      </c>
      <c r="D3759" s="28" t="s">
        <v>38</v>
      </c>
      <c r="E3759" s="41">
        <v>46171</v>
      </c>
      <c r="F3759" s="47">
        <v>2.1296296296296298E-3</v>
      </c>
      <c r="G3759" s="44">
        <v>6.3</v>
      </c>
      <c r="H3759" s="43" t="s">
        <v>228</v>
      </c>
      <c r="I3759" s="40" t="s">
        <v>1300</v>
      </c>
    </row>
    <row r="3760" spans="1:9" x14ac:dyDescent="0.2">
      <c r="A3760" s="40" t="s">
        <v>1131</v>
      </c>
      <c r="B3760" s="28">
        <v>4172</v>
      </c>
      <c r="C3760" s="28" t="s">
        <v>35</v>
      </c>
      <c r="D3760" s="28" t="s">
        <v>38</v>
      </c>
      <c r="E3760" s="41">
        <v>46171</v>
      </c>
      <c r="F3760" s="47">
        <v>1.1840277777777778E-2</v>
      </c>
      <c r="G3760" s="44">
        <v>6.3</v>
      </c>
      <c r="H3760" s="43" t="s">
        <v>229</v>
      </c>
      <c r="I3760" s="40" t="s">
        <v>1300</v>
      </c>
    </row>
    <row r="3761" spans="1:9" x14ac:dyDescent="0.2">
      <c r="A3761" s="40" t="s">
        <v>1131</v>
      </c>
      <c r="B3761" s="28">
        <v>4172</v>
      </c>
      <c r="C3761" s="28" t="s">
        <v>35</v>
      </c>
      <c r="D3761" s="28" t="s">
        <v>38</v>
      </c>
      <c r="E3761" s="41">
        <v>46171</v>
      </c>
      <c r="F3761" s="47">
        <v>0.26548611111111109</v>
      </c>
      <c r="G3761" s="44">
        <v>6.3</v>
      </c>
      <c r="H3761" s="43" t="s">
        <v>230</v>
      </c>
      <c r="I3761" s="40" t="s">
        <v>1300</v>
      </c>
    </row>
    <row r="3762" spans="1:9" x14ac:dyDescent="0.2">
      <c r="A3762" s="40" t="s">
        <v>251</v>
      </c>
      <c r="B3762" s="28">
        <v>4175</v>
      </c>
      <c r="C3762" s="28">
        <v>5684987</v>
      </c>
      <c r="D3762" s="28"/>
      <c r="E3762" s="41">
        <v>46167</v>
      </c>
      <c r="F3762" s="47">
        <v>0.12599537037037037</v>
      </c>
      <c r="G3762" s="44">
        <v>6.3</v>
      </c>
      <c r="H3762" s="43" t="s">
        <v>230</v>
      </c>
      <c r="I3762" s="40" t="s">
        <v>1300</v>
      </c>
    </row>
    <row r="3763" spans="1:9" x14ac:dyDescent="0.2">
      <c r="A3763" s="40" t="s">
        <v>251</v>
      </c>
      <c r="B3763" s="28">
        <v>4175</v>
      </c>
      <c r="C3763" s="28">
        <v>5684987</v>
      </c>
      <c r="D3763" s="28"/>
      <c r="E3763" s="41">
        <v>46167</v>
      </c>
      <c r="F3763" s="47">
        <v>0.13097222222222221</v>
      </c>
      <c r="G3763" s="44">
        <v>6.3</v>
      </c>
      <c r="H3763" s="43" t="s">
        <v>227</v>
      </c>
      <c r="I3763" s="40" t="s">
        <v>1300</v>
      </c>
    </row>
    <row r="3764" spans="1:9" x14ac:dyDescent="0.2">
      <c r="A3764" s="40" t="s">
        <v>251</v>
      </c>
      <c r="B3764" s="28">
        <v>4175</v>
      </c>
      <c r="C3764" s="28">
        <v>5684380</v>
      </c>
      <c r="D3764" s="28" t="s">
        <v>37</v>
      </c>
      <c r="E3764" s="45">
        <v>46167</v>
      </c>
      <c r="F3764" s="48">
        <v>0.22775462962962964</v>
      </c>
      <c r="G3764" s="44">
        <v>6.3</v>
      </c>
      <c r="H3764" s="43" t="s">
        <v>230</v>
      </c>
      <c r="I3764" s="40" t="s">
        <v>1300</v>
      </c>
    </row>
    <row r="3765" spans="1:9" x14ac:dyDescent="0.2">
      <c r="A3765" s="40" t="s">
        <v>251</v>
      </c>
      <c r="B3765" s="28">
        <v>4175</v>
      </c>
      <c r="C3765" s="28">
        <v>5684380</v>
      </c>
      <c r="D3765" s="28" t="s">
        <v>37</v>
      </c>
      <c r="E3765" s="41">
        <v>46167</v>
      </c>
      <c r="F3765" s="47">
        <v>0.23324074074074075</v>
      </c>
      <c r="G3765" s="44">
        <v>6.3</v>
      </c>
      <c r="H3765" s="43" t="s">
        <v>227</v>
      </c>
      <c r="I3765" s="40" t="s">
        <v>1300</v>
      </c>
    </row>
    <row r="3766" spans="1:9" x14ac:dyDescent="0.2">
      <c r="A3766" s="40" t="s">
        <v>251</v>
      </c>
      <c r="B3766" s="28">
        <v>4323</v>
      </c>
      <c r="C3766" s="28">
        <v>5686222</v>
      </c>
      <c r="D3766" s="28"/>
      <c r="E3766" s="41">
        <v>46167</v>
      </c>
      <c r="F3766" s="47">
        <v>0.82884259259259263</v>
      </c>
      <c r="G3766" s="44">
        <v>6.3</v>
      </c>
      <c r="H3766" s="43" t="s">
        <v>227</v>
      </c>
      <c r="I3766" s="40" t="s">
        <v>1300</v>
      </c>
    </row>
    <row r="3767" spans="1:9" x14ac:dyDescent="0.2">
      <c r="A3767" s="40" t="s">
        <v>251</v>
      </c>
      <c r="B3767" s="28">
        <v>4175</v>
      </c>
      <c r="C3767" s="28">
        <v>5687054</v>
      </c>
      <c r="D3767" s="28"/>
      <c r="E3767" s="45">
        <v>46167</v>
      </c>
      <c r="F3767" s="48">
        <v>0.95625000000000004</v>
      </c>
      <c r="G3767" s="44">
        <v>6.3</v>
      </c>
      <c r="H3767" s="43" t="s">
        <v>228</v>
      </c>
      <c r="I3767" s="40" t="s">
        <v>1300</v>
      </c>
    </row>
    <row r="3768" spans="1:9" x14ac:dyDescent="0.2">
      <c r="A3768" s="40" t="s">
        <v>251</v>
      </c>
      <c r="B3768" s="28">
        <v>4175</v>
      </c>
      <c r="C3768" s="28">
        <v>5687054</v>
      </c>
      <c r="D3768" s="28"/>
      <c r="E3768" s="41">
        <v>46167</v>
      </c>
      <c r="F3768" s="47">
        <v>0.96256944444444448</v>
      </c>
      <c r="G3768" s="44">
        <v>6.3</v>
      </c>
      <c r="H3768" s="43" t="s">
        <v>229</v>
      </c>
      <c r="I3768" s="40" t="s">
        <v>1300</v>
      </c>
    </row>
    <row r="3769" spans="1:9" x14ac:dyDescent="0.2">
      <c r="A3769" s="40" t="s">
        <v>251</v>
      </c>
      <c r="B3769" s="28">
        <v>4175</v>
      </c>
      <c r="C3769" s="28">
        <v>5686749</v>
      </c>
      <c r="D3769" s="28"/>
      <c r="E3769" s="41">
        <v>46168</v>
      </c>
      <c r="F3769" s="47">
        <v>0.30486111111111114</v>
      </c>
      <c r="G3769" s="42">
        <v>6.3</v>
      </c>
      <c r="H3769" s="40" t="s">
        <v>230</v>
      </c>
      <c r="I3769" s="40" t="s">
        <v>1300</v>
      </c>
    </row>
    <row r="3770" spans="1:9" x14ac:dyDescent="0.2">
      <c r="A3770" s="40" t="s">
        <v>251</v>
      </c>
      <c r="B3770" s="28">
        <v>4175</v>
      </c>
      <c r="C3770" s="28">
        <v>5686749</v>
      </c>
      <c r="D3770" s="28"/>
      <c r="E3770" s="41">
        <v>46168</v>
      </c>
      <c r="F3770" s="47">
        <v>0.31184027777777779</v>
      </c>
      <c r="G3770" s="44">
        <v>6.3</v>
      </c>
      <c r="H3770" s="43" t="s">
        <v>227</v>
      </c>
      <c r="I3770" s="40" t="s">
        <v>1300</v>
      </c>
    </row>
    <row r="3771" spans="1:9" x14ac:dyDescent="0.2">
      <c r="A3771" s="40" t="s">
        <v>251</v>
      </c>
      <c r="B3771" s="28">
        <v>4323</v>
      </c>
      <c r="C3771" s="28">
        <v>5690992</v>
      </c>
      <c r="D3771" s="28"/>
      <c r="E3771" s="45">
        <v>46170</v>
      </c>
      <c r="F3771" s="48">
        <v>0.43466435185185187</v>
      </c>
      <c r="G3771" s="44">
        <v>6.3</v>
      </c>
      <c r="H3771" s="43" t="s">
        <v>228</v>
      </c>
      <c r="I3771" s="40" t="s">
        <v>1300</v>
      </c>
    </row>
    <row r="3772" spans="1:9" x14ac:dyDescent="0.2">
      <c r="A3772" s="40" t="s">
        <v>251</v>
      </c>
      <c r="B3772" s="28">
        <v>4323</v>
      </c>
      <c r="C3772" s="28">
        <v>5690789</v>
      </c>
      <c r="D3772" s="28"/>
      <c r="E3772" s="41">
        <v>46170</v>
      </c>
      <c r="F3772" s="47">
        <v>0.5279166666666667</v>
      </c>
      <c r="G3772" s="44">
        <v>6.3</v>
      </c>
      <c r="H3772" s="43" t="s">
        <v>227</v>
      </c>
      <c r="I3772" s="40" t="s">
        <v>1300</v>
      </c>
    </row>
    <row r="3773" spans="1:9" x14ac:dyDescent="0.2">
      <c r="A3773" s="40" t="s">
        <v>251</v>
      </c>
      <c r="B3773" s="28">
        <v>4323</v>
      </c>
      <c r="C3773" s="28">
        <v>5691133</v>
      </c>
      <c r="D3773" s="28"/>
      <c r="E3773" s="41">
        <v>46170</v>
      </c>
      <c r="F3773" s="47">
        <v>0.5803356481481482</v>
      </c>
      <c r="G3773" s="44">
        <v>6.3</v>
      </c>
      <c r="H3773" s="43" t="s">
        <v>228</v>
      </c>
      <c r="I3773" s="40" t="s">
        <v>1300</v>
      </c>
    </row>
    <row r="3774" spans="1:9" x14ac:dyDescent="0.2">
      <c r="A3774" s="40" t="s">
        <v>251</v>
      </c>
      <c r="B3774" s="28">
        <v>4323</v>
      </c>
      <c r="C3774" s="28" t="s">
        <v>35</v>
      </c>
      <c r="D3774" s="28" t="s">
        <v>38</v>
      </c>
      <c r="E3774" s="45">
        <v>46170</v>
      </c>
      <c r="F3774" s="48">
        <v>0.6184722222222222</v>
      </c>
      <c r="G3774" s="44">
        <v>6.3</v>
      </c>
      <c r="H3774" s="43" t="s">
        <v>229</v>
      </c>
      <c r="I3774" s="40" t="s">
        <v>1300</v>
      </c>
    </row>
    <row r="3775" spans="1:9" x14ac:dyDescent="0.2">
      <c r="A3775" s="40" t="s">
        <v>251</v>
      </c>
      <c r="B3775" s="28">
        <v>4323</v>
      </c>
      <c r="C3775" s="28">
        <v>5691198</v>
      </c>
      <c r="D3775" s="28" t="s">
        <v>37</v>
      </c>
      <c r="E3775" s="41">
        <v>46170</v>
      </c>
      <c r="F3775" s="47">
        <v>0.65660879629629632</v>
      </c>
      <c r="G3775" s="44">
        <v>6.3</v>
      </c>
      <c r="H3775" s="43" t="s">
        <v>230</v>
      </c>
      <c r="I3775" s="40" t="s">
        <v>1300</v>
      </c>
    </row>
    <row r="3776" spans="1:9" x14ac:dyDescent="0.2">
      <c r="A3776" s="40" t="s">
        <v>251</v>
      </c>
      <c r="B3776" s="28">
        <v>4323</v>
      </c>
      <c r="C3776" s="28">
        <v>5691198</v>
      </c>
      <c r="D3776" s="28" t="s">
        <v>37</v>
      </c>
      <c r="E3776" s="41">
        <v>46170</v>
      </c>
      <c r="F3776" s="47">
        <v>0.6700694444444445</v>
      </c>
      <c r="G3776" s="44">
        <v>6.3</v>
      </c>
      <c r="H3776" s="43" t="s">
        <v>227</v>
      </c>
      <c r="I3776" s="40" t="s">
        <v>1300</v>
      </c>
    </row>
    <row r="3777" spans="1:9" x14ac:dyDescent="0.2">
      <c r="A3777" s="40" t="s">
        <v>251</v>
      </c>
      <c r="B3777" s="28">
        <v>4323</v>
      </c>
      <c r="C3777" s="28">
        <v>5691324</v>
      </c>
      <c r="D3777" s="28"/>
      <c r="E3777" s="41">
        <v>46170</v>
      </c>
      <c r="F3777" s="47">
        <v>0.79910879629629628</v>
      </c>
      <c r="G3777" s="44">
        <v>6.3</v>
      </c>
      <c r="H3777" s="43" t="s">
        <v>235</v>
      </c>
      <c r="I3777" s="40" t="s">
        <v>1300</v>
      </c>
    </row>
    <row r="3778" spans="1:9" x14ac:dyDescent="0.2">
      <c r="A3778" s="40" t="s">
        <v>251</v>
      </c>
      <c r="B3778" s="28">
        <v>4323</v>
      </c>
      <c r="C3778" s="28">
        <v>5691324</v>
      </c>
      <c r="D3778" s="28"/>
      <c r="E3778" s="41">
        <v>46170</v>
      </c>
      <c r="F3778" s="47">
        <v>0.80913194444444447</v>
      </c>
      <c r="G3778" s="44">
        <v>6.3</v>
      </c>
      <c r="H3778" s="43" t="s">
        <v>229</v>
      </c>
      <c r="I3778" s="40" t="s">
        <v>1300</v>
      </c>
    </row>
    <row r="3779" spans="1:9" x14ac:dyDescent="0.2">
      <c r="A3779" s="40" t="s">
        <v>251</v>
      </c>
      <c r="B3779" s="28">
        <v>4323</v>
      </c>
      <c r="C3779" s="28" t="s">
        <v>35</v>
      </c>
      <c r="D3779" s="28" t="s">
        <v>38</v>
      </c>
      <c r="E3779" s="41">
        <v>46170</v>
      </c>
      <c r="F3779" s="47">
        <v>0.83890046296296295</v>
      </c>
      <c r="G3779" s="44">
        <v>6.3</v>
      </c>
      <c r="H3779" s="43" t="s">
        <v>226</v>
      </c>
      <c r="I3779" s="40" t="s">
        <v>1300</v>
      </c>
    </row>
    <row r="3780" spans="1:9" x14ac:dyDescent="0.2">
      <c r="A3780" s="40" t="s">
        <v>251</v>
      </c>
      <c r="B3780" s="28">
        <v>4323</v>
      </c>
      <c r="C3780" s="28" t="s">
        <v>35</v>
      </c>
      <c r="D3780" s="28" t="s">
        <v>38</v>
      </c>
      <c r="E3780" s="45">
        <v>46170</v>
      </c>
      <c r="F3780" s="48">
        <v>0.86708333333333332</v>
      </c>
      <c r="G3780" s="44">
        <v>6.3</v>
      </c>
      <c r="H3780" s="43" t="s">
        <v>227</v>
      </c>
      <c r="I3780" s="40" t="s">
        <v>1300</v>
      </c>
    </row>
    <row r="3781" spans="1:9" x14ac:dyDescent="0.2">
      <c r="A3781" s="40" t="s">
        <v>251</v>
      </c>
      <c r="B3781" s="28">
        <v>4323</v>
      </c>
      <c r="C3781" s="28">
        <v>5695955</v>
      </c>
      <c r="D3781" s="28"/>
      <c r="E3781" s="41">
        <v>46173</v>
      </c>
      <c r="F3781" s="47">
        <v>0.63373842592592589</v>
      </c>
      <c r="G3781" s="42">
        <v>6.3</v>
      </c>
      <c r="H3781" s="40" t="s">
        <v>228</v>
      </c>
      <c r="I3781" s="40" t="s">
        <v>1300</v>
      </c>
    </row>
    <row r="3782" spans="1:9" x14ac:dyDescent="0.2">
      <c r="A3782" s="40" t="s">
        <v>344</v>
      </c>
      <c r="B3782" s="28">
        <v>4176</v>
      </c>
      <c r="C3782" s="28">
        <v>5685220</v>
      </c>
      <c r="D3782" s="28"/>
      <c r="E3782" s="41">
        <v>46167</v>
      </c>
      <c r="F3782" s="47">
        <v>5.1041666666666666E-3</v>
      </c>
      <c r="G3782" s="42">
        <v>6.3</v>
      </c>
      <c r="H3782" s="40" t="s">
        <v>229</v>
      </c>
      <c r="I3782" s="40" t="s">
        <v>1300</v>
      </c>
    </row>
    <row r="3783" spans="1:9" x14ac:dyDescent="0.2">
      <c r="A3783" s="40" t="s">
        <v>344</v>
      </c>
      <c r="B3783" s="28">
        <v>4176</v>
      </c>
      <c r="C3783" s="28" t="s">
        <v>35</v>
      </c>
      <c r="D3783" s="28" t="s">
        <v>38</v>
      </c>
      <c r="E3783" s="41">
        <v>46167</v>
      </c>
      <c r="F3783" s="47">
        <v>2.8993055555555557E-2</v>
      </c>
      <c r="G3783" s="42">
        <v>6.3</v>
      </c>
      <c r="H3783" s="40" t="s">
        <v>230</v>
      </c>
      <c r="I3783" s="40" t="s">
        <v>1300</v>
      </c>
    </row>
    <row r="3784" spans="1:9" x14ac:dyDescent="0.2">
      <c r="A3784" s="40" t="s">
        <v>344</v>
      </c>
      <c r="B3784" s="28">
        <v>4176</v>
      </c>
      <c r="C3784" s="28" t="s">
        <v>35</v>
      </c>
      <c r="D3784" s="28" t="s">
        <v>38</v>
      </c>
      <c r="E3784" s="41">
        <v>46167</v>
      </c>
      <c r="F3784" s="47">
        <v>3.4375000000000003E-2</v>
      </c>
      <c r="G3784" s="42">
        <v>6.3</v>
      </c>
      <c r="H3784" s="40" t="s">
        <v>227</v>
      </c>
      <c r="I3784" s="40" t="s">
        <v>1300</v>
      </c>
    </row>
    <row r="3785" spans="1:9" x14ac:dyDescent="0.2">
      <c r="A3785" s="40" t="s">
        <v>344</v>
      </c>
      <c r="B3785" s="28">
        <v>4176</v>
      </c>
      <c r="C3785" s="28">
        <v>5683932</v>
      </c>
      <c r="D3785" s="28"/>
      <c r="E3785" s="41">
        <v>46167</v>
      </c>
      <c r="F3785" s="47">
        <v>0.22570601851851851</v>
      </c>
      <c r="G3785" s="44">
        <v>6.3</v>
      </c>
      <c r="H3785" s="43" t="s">
        <v>230</v>
      </c>
      <c r="I3785" s="40" t="s">
        <v>1300</v>
      </c>
    </row>
    <row r="3786" spans="1:9" x14ac:dyDescent="0.2">
      <c r="A3786" s="40" t="s">
        <v>344</v>
      </c>
      <c r="B3786" s="28">
        <v>4176</v>
      </c>
      <c r="C3786" s="28">
        <v>5683932</v>
      </c>
      <c r="D3786" s="28"/>
      <c r="E3786" s="41">
        <v>46167</v>
      </c>
      <c r="F3786" s="47">
        <v>0.2313425925925926</v>
      </c>
      <c r="G3786" s="44">
        <v>6.3</v>
      </c>
      <c r="H3786" s="43" t="s">
        <v>227</v>
      </c>
      <c r="I3786" s="40" t="s">
        <v>1300</v>
      </c>
    </row>
    <row r="3787" spans="1:9" x14ac:dyDescent="0.2">
      <c r="A3787" s="40" t="s">
        <v>344</v>
      </c>
      <c r="B3787" s="28">
        <v>4176</v>
      </c>
      <c r="C3787" s="28">
        <v>5682401</v>
      </c>
      <c r="D3787" s="28"/>
      <c r="E3787" s="45">
        <v>46167</v>
      </c>
      <c r="F3787" s="48">
        <v>0.32415509259259262</v>
      </c>
      <c r="G3787" s="44">
        <v>6.3</v>
      </c>
      <c r="H3787" s="43" t="s">
        <v>230</v>
      </c>
      <c r="I3787" s="40" t="s">
        <v>1300</v>
      </c>
    </row>
    <row r="3788" spans="1:9" x14ac:dyDescent="0.2">
      <c r="A3788" s="40" t="s">
        <v>344</v>
      </c>
      <c r="B3788" s="28">
        <v>4176</v>
      </c>
      <c r="C3788" s="28">
        <v>5682401</v>
      </c>
      <c r="D3788" s="28"/>
      <c r="E3788" s="45">
        <v>46167</v>
      </c>
      <c r="F3788" s="48">
        <v>0.33049768518518519</v>
      </c>
      <c r="G3788" s="44">
        <v>6.3</v>
      </c>
      <c r="H3788" s="43" t="s">
        <v>227</v>
      </c>
      <c r="I3788" s="40" t="s">
        <v>1300</v>
      </c>
    </row>
    <row r="3789" spans="1:9" x14ac:dyDescent="0.2">
      <c r="A3789" s="40" t="s">
        <v>344</v>
      </c>
      <c r="B3789" s="28">
        <v>4176</v>
      </c>
      <c r="C3789" s="28">
        <v>5687007</v>
      </c>
      <c r="D3789" s="28"/>
      <c r="E3789" s="41">
        <v>46167</v>
      </c>
      <c r="F3789" s="47">
        <v>0.94174768518518515</v>
      </c>
      <c r="G3789" s="44">
        <v>6.3</v>
      </c>
      <c r="H3789" s="43" t="s">
        <v>228</v>
      </c>
      <c r="I3789" s="40" t="s">
        <v>1300</v>
      </c>
    </row>
    <row r="3790" spans="1:9" x14ac:dyDescent="0.2">
      <c r="A3790" s="40" t="s">
        <v>344</v>
      </c>
      <c r="B3790" s="28">
        <v>4176</v>
      </c>
      <c r="C3790" s="28">
        <v>5687007</v>
      </c>
      <c r="D3790" s="28"/>
      <c r="E3790" s="41">
        <v>46167</v>
      </c>
      <c r="F3790" s="47">
        <v>0.94968750000000002</v>
      </c>
      <c r="G3790" s="44">
        <v>6.3</v>
      </c>
      <c r="H3790" s="43" t="s">
        <v>229</v>
      </c>
      <c r="I3790" s="40" t="s">
        <v>1300</v>
      </c>
    </row>
    <row r="3791" spans="1:9" x14ac:dyDescent="0.2">
      <c r="A3791" s="40" t="s">
        <v>344</v>
      </c>
      <c r="B3791" s="28">
        <v>4176</v>
      </c>
      <c r="C3791" s="28" t="s">
        <v>35</v>
      </c>
      <c r="D3791" s="28" t="s">
        <v>38</v>
      </c>
      <c r="E3791" s="41">
        <v>46168</v>
      </c>
      <c r="F3791" s="47">
        <v>9.1215277777777784E-2</v>
      </c>
      <c r="G3791" s="44">
        <v>6.3</v>
      </c>
      <c r="H3791" s="43" t="s">
        <v>232</v>
      </c>
      <c r="I3791" s="40" t="s">
        <v>1300</v>
      </c>
    </row>
    <row r="3792" spans="1:9" x14ac:dyDescent="0.2">
      <c r="A3792" s="40" t="s">
        <v>344</v>
      </c>
      <c r="B3792" s="28">
        <v>4176</v>
      </c>
      <c r="C3792" s="28">
        <v>5685699</v>
      </c>
      <c r="D3792" s="28"/>
      <c r="E3792" s="41">
        <v>46168</v>
      </c>
      <c r="F3792" s="47">
        <v>0.12756944444444446</v>
      </c>
      <c r="G3792" s="44">
        <v>6.3</v>
      </c>
      <c r="H3792" s="43" t="s">
        <v>226</v>
      </c>
      <c r="I3792" s="40" t="s">
        <v>1300</v>
      </c>
    </row>
    <row r="3793" spans="1:9" x14ac:dyDescent="0.2">
      <c r="A3793" s="40" t="s">
        <v>344</v>
      </c>
      <c r="B3793" s="28">
        <v>4176</v>
      </c>
      <c r="C3793" s="28">
        <v>5685699</v>
      </c>
      <c r="D3793" s="28"/>
      <c r="E3793" s="41">
        <v>46168</v>
      </c>
      <c r="F3793" s="47">
        <v>0.13321759259259258</v>
      </c>
      <c r="G3793" s="44">
        <v>6.3</v>
      </c>
      <c r="H3793" s="43" t="s">
        <v>227</v>
      </c>
      <c r="I3793" s="40" t="s">
        <v>1300</v>
      </c>
    </row>
    <row r="3794" spans="1:9" x14ac:dyDescent="0.2">
      <c r="A3794" s="40" t="s">
        <v>344</v>
      </c>
      <c r="B3794" s="28">
        <v>4176</v>
      </c>
      <c r="C3794" s="28">
        <v>5685685</v>
      </c>
      <c r="D3794" s="28" t="s">
        <v>37</v>
      </c>
      <c r="E3794" s="41">
        <v>46168</v>
      </c>
      <c r="F3794" s="47">
        <v>0.31686342592592592</v>
      </c>
      <c r="G3794" s="44">
        <v>6.3</v>
      </c>
      <c r="H3794" s="43" t="s">
        <v>231</v>
      </c>
      <c r="I3794" s="40" t="s">
        <v>1300</v>
      </c>
    </row>
    <row r="3795" spans="1:9" x14ac:dyDescent="0.2">
      <c r="A3795" s="40" t="s">
        <v>344</v>
      </c>
      <c r="B3795" s="28">
        <v>4176</v>
      </c>
      <c r="C3795" s="28">
        <v>5685685</v>
      </c>
      <c r="D3795" s="28" t="s">
        <v>37</v>
      </c>
      <c r="E3795" s="41">
        <v>46168</v>
      </c>
      <c r="F3795" s="47">
        <v>0.3230439814814815</v>
      </c>
      <c r="G3795" s="44">
        <v>6.3</v>
      </c>
      <c r="H3795" s="43" t="s">
        <v>227</v>
      </c>
      <c r="I3795" s="40" t="s">
        <v>1300</v>
      </c>
    </row>
    <row r="3796" spans="1:9" x14ac:dyDescent="0.2">
      <c r="A3796" s="40" t="s">
        <v>344</v>
      </c>
      <c r="B3796" s="28">
        <v>4176</v>
      </c>
      <c r="C3796" s="28">
        <v>5688815</v>
      </c>
      <c r="D3796" s="28"/>
      <c r="E3796" s="41">
        <v>46169</v>
      </c>
      <c r="F3796" s="47">
        <v>0.21483796296296295</v>
      </c>
      <c r="G3796" s="44">
        <v>6.3</v>
      </c>
      <c r="H3796" s="43" t="s">
        <v>230</v>
      </c>
      <c r="I3796" s="40" t="s">
        <v>1300</v>
      </c>
    </row>
    <row r="3797" spans="1:9" x14ac:dyDescent="0.2">
      <c r="A3797" s="40" t="s">
        <v>344</v>
      </c>
      <c r="B3797" s="28">
        <v>4176</v>
      </c>
      <c r="C3797" s="28">
        <v>5688815</v>
      </c>
      <c r="D3797" s="28"/>
      <c r="E3797" s="41">
        <v>46169</v>
      </c>
      <c r="F3797" s="47">
        <v>0.22050925925925927</v>
      </c>
      <c r="G3797" s="44">
        <v>6.3</v>
      </c>
      <c r="H3797" s="43" t="s">
        <v>227</v>
      </c>
      <c r="I3797" s="40" t="s">
        <v>1300</v>
      </c>
    </row>
    <row r="3798" spans="1:9" x14ac:dyDescent="0.2">
      <c r="A3798" s="40" t="s">
        <v>344</v>
      </c>
      <c r="B3798" s="28">
        <v>4176</v>
      </c>
      <c r="C3798" s="28">
        <v>5689004</v>
      </c>
      <c r="D3798" s="28"/>
      <c r="E3798" s="41">
        <v>46169</v>
      </c>
      <c r="F3798" s="47">
        <v>0.32629629629629631</v>
      </c>
      <c r="G3798" s="44">
        <v>6.3</v>
      </c>
      <c r="H3798" s="43" t="s">
        <v>227</v>
      </c>
      <c r="I3798" s="40" t="s">
        <v>1300</v>
      </c>
    </row>
    <row r="3799" spans="1:9" x14ac:dyDescent="0.2">
      <c r="A3799" s="40" t="s">
        <v>344</v>
      </c>
      <c r="B3799" s="28">
        <v>4176</v>
      </c>
      <c r="C3799" s="28">
        <v>5690778</v>
      </c>
      <c r="D3799" s="28"/>
      <c r="E3799" s="41">
        <v>46170</v>
      </c>
      <c r="F3799" s="47">
        <v>8.4953703703703701E-3</v>
      </c>
      <c r="G3799" s="44">
        <v>6.3</v>
      </c>
      <c r="H3799" s="43" t="s">
        <v>228</v>
      </c>
      <c r="I3799" s="40" t="s">
        <v>1300</v>
      </c>
    </row>
    <row r="3800" spans="1:9" x14ac:dyDescent="0.2">
      <c r="A3800" s="40" t="s">
        <v>344</v>
      </c>
      <c r="B3800" s="28">
        <v>4176</v>
      </c>
      <c r="C3800" s="28">
        <v>5690778</v>
      </c>
      <c r="D3800" s="28"/>
      <c r="E3800" s="41">
        <v>46170</v>
      </c>
      <c r="F3800" s="47">
        <v>1.6446759259259258E-2</v>
      </c>
      <c r="G3800" s="44">
        <v>6.3</v>
      </c>
      <c r="H3800" s="43" t="s">
        <v>229</v>
      </c>
      <c r="I3800" s="40" t="s">
        <v>1300</v>
      </c>
    </row>
    <row r="3801" spans="1:9" x14ac:dyDescent="0.2">
      <c r="A3801" s="40" t="s">
        <v>344</v>
      </c>
      <c r="B3801" s="28">
        <v>4176</v>
      </c>
      <c r="C3801" s="28" t="s">
        <v>35</v>
      </c>
      <c r="D3801" s="28" t="s">
        <v>38</v>
      </c>
      <c r="E3801" s="41">
        <v>46170</v>
      </c>
      <c r="F3801" s="47">
        <v>3.8460648148148147E-2</v>
      </c>
      <c r="G3801" s="44">
        <v>6.3</v>
      </c>
      <c r="H3801" s="43" t="s">
        <v>230</v>
      </c>
      <c r="I3801" s="40" t="s">
        <v>1300</v>
      </c>
    </row>
    <row r="3802" spans="1:9" x14ac:dyDescent="0.2">
      <c r="A3802" s="40" t="s">
        <v>344</v>
      </c>
      <c r="B3802" s="28">
        <v>4176</v>
      </c>
      <c r="C3802" s="28" t="s">
        <v>35</v>
      </c>
      <c r="D3802" s="28" t="s">
        <v>38</v>
      </c>
      <c r="E3802" s="41">
        <v>46170</v>
      </c>
      <c r="F3802" s="47">
        <v>4.4259259259259262E-2</v>
      </c>
      <c r="G3802" s="44">
        <v>6.3</v>
      </c>
      <c r="H3802" s="43" t="s">
        <v>227</v>
      </c>
      <c r="I3802" s="40" t="s">
        <v>1300</v>
      </c>
    </row>
    <row r="3803" spans="1:9" x14ac:dyDescent="0.2">
      <c r="A3803" s="40" t="s">
        <v>344</v>
      </c>
      <c r="B3803" s="28">
        <v>4176</v>
      </c>
      <c r="C3803" s="28" t="s">
        <v>35</v>
      </c>
      <c r="D3803" s="28" t="s">
        <v>38</v>
      </c>
      <c r="E3803" s="41">
        <v>46170</v>
      </c>
      <c r="F3803" s="47">
        <v>0.26787037037037037</v>
      </c>
      <c r="G3803" s="44">
        <v>6.3</v>
      </c>
      <c r="H3803" s="43" t="s">
        <v>228</v>
      </c>
      <c r="I3803" s="40" t="s">
        <v>1300</v>
      </c>
    </row>
    <row r="3804" spans="1:9" x14ac:dyDescent="0.2">
      <c r="A3804" s="40" t="s">
        <v>344</v>
      </c>
      <c r="B3804" s="28">
        <v>4176</v>
      </c>
      <c r="C3804" s="28" t="s">
        <v>35</v>
      </c>
      <c r="D3804" s="28" t="s">
        <v>38</v>
      </c>
      <c r="E3804" s="41">
        <v>46170</v>
      </c>
      <c r="F3804" s="47">
        <v>0.27936342592592595</v>
      </c>
      <c r="G3804" s="44">
        <v>6.3</v>
      </c>
      <c r="H3804" s="43" t="s">
        <v>232</v>
      </c>
      <c r="I3804" s="40" t="s">
        <v>1300</v>
      </c>
    </row>
    <row r="3805" spans="1:9" x14ac:dyDescent="0.2">
      <c r="A3805" s="40" t="s">
        <v>344</v>
      </c>
      <c r="B3805" s="28">
        <v>4176</v>
      </c>
      <c r="C3805" s="28">
        <v>5690852</v>
      </c>
      <c r="D3805" s="28"/>
      <c r="E3805" s="41">
        <v>46170</v>
      </c>
      <c r="F3805" s="47">
        <v>0.34225694444444443</v>
      </c>
      <c r="G3805" s="44">
        <v>6.3</v>
      </c>
      <c r="H3805" s="43" t="s">
        <v>226</v>
      </c>
      <c r="I3805" s="40" t="s">
        <v>1300</v>
      </c>
    </row>
    <row r="3806" spans="1:9" x14ac:dyDescent="0.2">
      <c r="A3806" s="40" t="s">
        <v>344</v>
      </c>
      <c r="B3806" s="28">
        <v>4176</v>
      </c>
      <c r="C3806" s="28">
        <v>5690852</v>
      </c>
      <c r="D3806" s="28"/>
      <c r="E3806" s="41">
        <v>46170</v>
      </c>
      <c r="F3806" s="47">
        <v>0.35271990740740738</v>
      </c>
      <c r="G3806" s="44">
        <v>6.3</v>
      </c>
      <c r="H3806" s="43" t="s">
        <v>227</v>
      </c>
      <c r="I3806" s="40" t="s">
        <v>1300</v>
      </c>
    </row>
    <row r="3807" spans="1:9" x14ac:dyDescent="0.2">
      <c r="A3807" s="40" t="s">
        <v>344</v>
      </c>
      <c r="B3807" s="28">
        <v>4176</v>
      </c>
      <c r="C3807" s="28">
        <v>5681639</v>
      </c>
      <c r="D3807" s="28"/>
      <c r="E3807" s="41">
        <v>46171</v>
      </c>
      <c r="F3807" s="47">
        <v>1.3819444444444445E-2</v>
      </c>
      <c r="G3807" s="44">
        <v>6.3</v>
      </c>
      <c r="H3807" s="43" t="s">
        <v>228</v>
      </c>
      <c r="I3807" s="40" t="s">
        <v>1300</v>
      </c>
    </row>
    <row r="3808" spans="1:9" x14ac:dyDescent="0.2">
      <c r="A3808" s="40" t="s">
        <v>344</v>
      </c>
      <c r="B3808" s="28">
        <v>4176</v>
      </c>
      <c r="C3808" s="28">
        <v>5681639</v>
      </c>
      <c r="D3808" s="28"/>
      <c r="E3808" s="41">
        <v>46171</v>
      </c>
      <c r="F3808" s="47">
        <v>2.5104166666666667E-2</v>
      </c>
      <c r="G3808" s="44">
        <v>6.3</v>
      </c>
      <c r="H3808" s="43" t="s">
        <v>229</v>
      </c>
      <c r="I3808" s="40" t="s">
        <v>1300</v>
      </c>
    </row>
    <row r="3809" spans="1:9" x14ac:dyDescent="0.2">
      <c r="A3809" s="40" t="s">
        <v>344</v>
      </c>
      <c r="B3809" s="28">
        <v>4176</v>
      </c>
      <c r="C3809" s="28" t="s">
        <v>35</v>
      </c>
      <c r="D3809" s="28" t="s">
        <v>38</v>
      </c>
      <c r="E3809" s="41">
        <v>46171</v>
      </c>
      <c r="F3809" s="47">
        <v>5.6817129629629627E-2</v>
      </c>
      <c r="G3809" s="44">
        <v>6.3</v>
      </c>
      <c r="H3809" s="43" t="s">
        <v>230</v>
      </c>
      <c r="I3809" s="40" t="s">
        <v>1300</v>
      </c>
    </row>
    <row r="3810" spans="1:9" x14ac:dyDescent="0.2">
      <c r="A3810" s="40" t="s">
        <v>344</v>
      </c>
      <c r="B3810" s="28">
        <v>4176</v>
      </c>
      <c r="C3810" s="28" t="s">
        <v>35</v>
      </c>
      <c r="D3810" s="28" t="s">
        <v>38</v>
      </c>
      <c r="E3810" s="41">
        <v>46171</v>
      </c>
      <c r="F3810" s="47">
        <v>6.2719907407407405E-2</v>
      </c>
      <c r="G3810" s="44">
        <v>6.3</v>
      </c>
      <c r="H3810" s="43" t="s">
        <v>227</v>
      </c>
      <c r="I3810" s="40" t="s">
        <v>1300</v>
      </c>
    </row>
    <row r="3811" spans="1:9" x14ac:dyDescent="0.2">
      <c r="A3811" s="40" t="s">
        <v>449</v>
      </c>
      <c r="B3811" s="28">
        <v>4181</v>
      </c>
      <c r="C3811" s="28">
        <v>5684782</v>
      </c>
      <c r="D3811" s="28"/>
      <c r="E3811" s="45">
        <v>46167</v>
      </c>
      <c r="F3811" s="48">
        <v>0.17701388888888889</v>
      </c>
      <c r="G3811" s="44">
        <v>6.3</v>
      </c>
      <c r="H3811" s="43" t="s">
        <v>230</v>
      </c>
      <c r="I3811" s="40" t="s">
        <v>1300</v>
      </c>
    </row>
    <row r="3812" spans="1:9" x14ac:dyDescent="0.2">
      <c r="A3812" s="40" t="s">
        <v>449</v>
      </c>
      <c r="B3812" s="28">
        <v>4181</v>
      </c>
      <c r="C3812" s="28">
        <v>5684782</v>
      </c>
      <c r="D3812" s="28"/>
      <c r="E3812" s="41">
        <v>46167</v>
      </c>
      <c r="F3812" s="47">
        <v>0.1821875</v>
      </c>
      <c r="G3812" s="44">
        <v>6.3</v>
      </c>
      <c r="H3812" s="43" t="s">
        <v>227</v>
      </c>
      <c r="I3812" s="40" t="s">
        <v>1300</v>
      </c>
    </row>
    <row r="3813" spans="1:9" x14ac:dyDescent="0.2">
      <c r="A3813" s="40" t="s">
        <v>449</v>
      </c>
      <c r="B3813" s="28">
        <v>4181</v>
      </c>
      <c r="C3813" s="28" t="s">
        <v>35</v>
      </c>
      <c r="D3813" s="28" t="s">
        <v>38</v>
      </c>
      <c r="E3813" s="41">
        <v>46168</v>
      </c>
      <c r="F3813" s="47">
        <v>0.81002314814814813</v>
      </c>
      <c r="G3813" s="44">
        <v>6.3</v>
      </c>
      <c r="H3813" s="43" t="s">
        <v>230</v>
      </c>
      <c r="I3813" s="40" t="s">
        <v>1300</v>
      </c>
    </row>
    <row r="3814" spans="1:9" x14ac:dyDescent="0.2">
      <c r="A3814" s="40" t="s">
        <v>449</v>
      </c>
      <c r="B3814" s="28">
        <v>4181</v>
      </c>
      <c r="C3814" s="28" t="s">
        <v>35</v>
      </c>
      <c r="D3814" s="28" t="s">
        <v>38</v>
      </c>
      <c r="E3814" s="45">
        <v>46171</v>
      </c>
      <c r="F3814" s="48">
        <v>0.12885416666666666</v>
      </c>
      <c r="G3814" s="44">
        <v>6.3</v>
      </c>
      <c r="H3814" s="43" t="s">
        <v>229</v>
      </c>
      <c r="I3814" s="40" t="s">
        <v>1300</v>
      </c>
    </row>
    <row r="3815" spans="1:9" x14ac:dyDescent="0.2">
      <c r="A3815" s="40" t="s">
        <v>449</v>
      </c>
      <c r="B3815" s="28">
        <v>4181</v>
      </c>
      <c r="C3815" s="28" t="s">
        <v>35</v>
      </c>
      <c r="D3815" s="28" t="s">
        <v>38</v>
      </c>
      <c r="E3815" s="41">
        <v>46173</v>
      </c>
      <c r="F3815" s="47">
        <v>0.50601851851851853</v>
      </c>
      <c r="G3815" s="44">
        <v>6.3</v>
      </c>
      <c r="H3815" s="43" t="s">
        <v>231</v>
      </c>
      <c r="I3815" s="40" t="s">
        <v>1300</v>
      </c>
    </row>
    <row r="3816" spans="1:9" x14ac:dyDescent="0.2">
      <c r="A3816" s="40" t="s">
        <v>449</v>
      </c>
      <c r="B3816" s="28">
        <v>4181</v>
      </c>
      <c r="C3816" s="28" t="s">
        <v>35</v>
      </c>
      <c r="D3816" s="28" t="s">
        <v>38</v>
      </c>
      <c r="E3816" s="45">
        <v>46173</v>
      </c>
      <c r="F3816" s="48">
        <v>0.51040509259259259</v>
      </c>
      <c r="G3816" s="42">
        <v>6.3</v>
      </c>
      <c r="H3816" s="40" t="s">
        <v>227</v>
      </c>
      <c r="I3816" s="40" t="s">
        <v>1300</v>
      </c>
    </row>
    <row r="3817" spans="1:9" x14ac:dyDescent="0.2">
      <c r="A3817" s="40" t="s">
        <v>450</v>
      </c>
      <c r="B3817" s="28">
        <v>4183</v>
      </c>
      <c r="C3817" s="28" t="s">
        <v>35</v>
      </c>
      <c r="D3817" s="28" t="s">
        <v>38</v>
      </c>
      <c r="E3817" s="41">
        <v>46167</v>
      </c>
      <c r="F3817" s="47">
        <v>0.33510416666666665</v>
      </c>
      <c r="G3817" s="44">
        <v>6.3</v>
      </c>
      <c r="H3817" s="43" t="s">
        <v>228</v>
      </c>
      <c r="I3817" s="40" t="s">
        <v>1300</v>
      </c>
    </row>
    <row r="3818" spans="1:9" x14ac:dyDescent="0.2">
      <c r="A3818" s="40" t="s">
        <v>450</v>
      </c>
      <c r="B3818" s="28">
        <v>4183</v>
      </c>
      <c r="C3818" s="28">
        <v>5696241</v>
      </c>
      <c r="D3818" s="28"/>
      <c r="E3818" s="41">
        <v>46173</v>
      </c>
      <c r="F3818" s="47">
        <v>0.85070601851851857</v>
      </c>
      <c r="G3818" s="44">
        <v>6.3</v>
      </c>
      <c r="H3818" s="43" t="s">
        <v>230</v>
      </c>
      <c r="I3818" s="40" t="s">
        <v>1300</v>
      </c>
    </row>
    <row r="3819" spans="1:9" x14ac:dyDescent="0.2">
      <c r="A3819" s="40" t="s">
        <v>450</v>
      </c>
      <c r="B3819" s="28">
        <v>4183</v>
      </c>
      <c r="C3819" s="28">
        <v>5696241</v>
      </c>
      <c r="D3819" s="28"/>
      <c r="E3819" s="41">
        <v>46173</v>
      </c>
      <c r="F3819" s="47">
        <v>0.8560416666666667</v>
      </c>
      <c r="G3819" s="44">
        <v>6.3</v>
      </c>
      <c r="H3819" s="43" t="s">
        <v>227</v>
      </c>
      <c r="I3819" s="40" t="s">
        <v>1300</v>
      </c>
    </row>
    <row r="3820" spans="1:9" x14ac:dyDescent="0.2">
      <c r="A3820" s="40" t="s">
        <v>451</v>
      </c>
      <c r="B3820" s="28">
        <v>4186</v>
      </c>
      <c r="C3820" s="28">
        <v>5685731</v>
      </c>
      <c r="D3820" s="28"/>
      <c r="E3820" s="41">
        <v>46167</v>
      </c>
      <c r="F3820" s="47">
        <v>0.44114583333333335</v>
      </c>
      <c r="G3820" s="44">
        <v>6.3</v>
      </c>
      <c r="H3820" s="43" t="s">
        <v>232</v>
      </c>
      <c r="I3820" s="40" t="s">
        <v>1300</v>
      </c>
    </row>
    <row r="3821" spans="1:9" x14ac:dyDescent="0.2">
      <c r="A3821" s="40" t="s">
        <v>451</v>
      </c>
      <c r="B3821" s="28">
        <v>4186</v>
      </c>
      <c r="C3821" s="28">
        <v>5685792</v>
      </c>
      <c r="D3821" s="28"/>
      <c r="E3821" s="41">
        <v>46167</v>
      </c>
      <c r="F3821" s="47">
        <v>0.50329861111111107</v>
      </c>
      <c r="G3821" s="44">
        <v>6.3</v>
      </c>
      <c r="H3821" s="43" t="s">
        <v>230</v>
      </c>
      <c r="I3821" s="40" t="s">
        <v>1300</v>
      </c>
    </row>
    <row r="3822" spans="1:9" x14ac:dyDescent="0.2">
      <c r="A3822" s="40" t="s">
        <v>451</v>
      </c>
      <c r="B3822" s="28">
        <v>4186</v>
      </c>
      <c r="C3822" s="28">
        <v>5684374</v>
      </c>
      <c r="D3822" s="28"/>
      <c r="E3822" s="41">
        <v>46168</v>
      </c>
      <c r="F3822" s="47">
        <v>0.36178240740740741</v>
      </c>
      <c r="G3822" s="44">
        <v>6.3</v>
      </c>
      <c r="H3822" s="43" t="s">
        <v>229</v>
      </c>
      <c r="I3822" s="40" t="s">
        <v>1300</v>
      </c>
    </row>
    <row r="3823" spans="1:9" x14ac:dyDescent="0.2">
      <c r="A3823" s="40" t="s">
        <v>451</v>
      </c>
      <c r="B3823" s="28">
        <v>4186</v>
      </c>
      <c r="C3823" s="28">
        <v>5692343</v>
      </c>
      <c r="D3823" s="28" t="s">
        <v>36</v>
      </c>
      <c r="E3823" s="41">
        <v>46171</v>
      </c>
      <c r="F3823" s="47">
        <v>0.46537037037037038</v>
      </c>
      <c r="G3823" s="42">
        <v>6.3</v>
      </c>
      <c r="H3823" s="40" t="s">
        <v>229</v>
      </c>
      <c r="I3823" s="40" t="s">
        <v>1300</v>
      </c>
    </row>
    <row r="3824" spans="1:9" x14ac:dyDescent="0.2">
      <c r="A3824" s="40" t="s">
        <v>451</v>
      </c>
      <c r="B3824" s="28">
        <v>4186</v>
      </c>
      <c r="C3824" s="28">
        <v>5691235</v>
      </c>
      <c r="D3824" s="28"/>
      <c r="E3824" s="41">
        <v>46171</v>
      </c>
      <c r="F3824" s="47">
        <v>0.54280092592592588</v>
      </c>
      <c r="G3824" s="42">
        <v>6.3</v>
      </c>
      <c r="H3824" s="40" t="s">
        <v>231</v>
      </c>
      <c r="I3824" s="40" t="s">
        <v>1300</v>
      </c>
    </row>
    <row r="3825" spans="1:9" x14ac:dyDescent="0.2">
      <c r="A3825" s="40" t="s">
        <v>451</v>
      </c>
      <c r="B3825" s="28">
        <v>4186</v>
      </c>
      <c r="C3825" s="28">
        <v>5693077</v>
      </c>
      <c r="D3825" s="28"/>
      <c r="E3825" s="41">
        <v>46172</v>
      </c>
      <c r="F3825" s="47">
        <v>0.2784490740740741</v>
      </c>
      <c r="G3825" s="42">
        <v>6.3</v>
      </c>
      <c r="H3825" s="40" t="s">
        <v>229</v>
      </c>
      <c r="I3825" s="40" t="s">
        <v>1300</v>
      </c>
    </row>
    <row r="3826" spans="1:9" x14ac:dyDescent="0.2">
      <c r="A3826" s="40" t="s">
        <v>343</v>
      </c>
      <c r="B3826" s="28">
        <v>4201</v>
      </c>
      <c r="C3826" s="28">
        <v>5679911</v>
      </c>
      <c r="D3826" s="28" t="s">
        <v>36</v>
      </c>
      <c r="E3826" s="41">
        <v>46167</v>
      </c>
      <c r="F3826" s="47">
        <v>2.5034722222222222E-2</v>
      </c>
      <c r="G3826" s="42">
        <v>6.3</v>
      </c>
      <c r="H3826" s="40" t="s">
        <v>228</v>
      </c>
      <c r="I3826" s="40" t="s">
        <v>1300</v>
      </c>
    </row>
    <row r="3827" spans="1:9" x14ac:dyDescent="0.2">
      <c r="A3827" s="40" t="s">
        <v>343</v>
      </c>
      <c r="B3827" s="28">
        <v>4201</v>
      </c>
      <c r="C3827" s="28">
        <v>5679911</v>
      </c>
      <c r="D3827" s="28" t="s">
        <v>36</v>
      </c>
      <c r="E3827" s="45">
        <v>46167</v>
      </c>
      <c r="F3827" s="48">
        <v>3.2870370370370369E-2</v>
      </c>
      <c r="G3827" s="42">
        <v>6.3</v>
      </c>
      <c r="H3827" s="40" t="s">
        <v>229</v>
      </c>
      <c r="I3827" s="40" t="s">
        <v>1300</v>
      </c>
    </row>
    <row r="3828" spans="1:9" x14ac:dyDescent="0.2">
      <c r="A3828" s="40" t="s">
        <v>343</v>
      </c>
      <c r="B3828" s="28">
        <v>4201</v>
      </c>
      <c r="C3828" s="28">
        <v>5684890</v>
      </c>
      <c r="D3828" s="28"/>
      <c r="E3828" s="45">
        <v>46167</v>
      </c>
      <c r="F3828" s="48">
        <v>0.12990740740740742</v>
      </c>
      <c r="G3828" s="42">
        <v>6.3</v>
      </c>
      <c r="H3828" s="40" t="s">
        <v>230</v>
      </c>
      <c r="I3828" s="40" t="s">
        <v>1300</v>
      </c>
    </row>
    <row r="3829" spans="1:9" x14ac:dyDescent="0.2">
      <c r="A3829" s="40" t="s">
        <v>343</v>
      </c>
      <c r="B3829" s="28">
        <v>4201</v>
      </c>
      <c r="C3829" s="28">
        <v>5684890</v>
      </c>
      <c r="D3829" s="28"/>
      <c r="E3829" s="41">
        <v>46167</v>
      </c>
      <c r="F3829" s="47">
        <v>0.13547453703703705</v>
      </c>
      <c r="G3829" s="44">
        <v>6.3</v>
      </c>
      <c r="H3829" s="43" t="s">
        <v>227</v>
      </c>
      <c r="I3829" s="40" t="s">
        <v>1300</v>
      </c>
    </row>
    <row r="3830" spans="1:9" x14ac:dyDescent="0.2">
      <c r="A3830" s="40" t="s">
        <v>343</v>
      </c>
      <c r="B3830" s="28">
        <v>4201</v>
      </c>
      <c r="C3830" s="28">
        <v>5686891</v>
      </c>
      <c r="D3830" s="28"/>
      <c r="E3830" s="41">
        <v>46167</v>
      </c>
      <c r="F3830" s="47">
        <v>0.89451388888888894</v>
      </c>
      <c r="G3830" s="44">
        <v>6.3</v>
      </c>
      <c r="H3830" s="43" t="s">
        <v>228</v>
      </c>
      <c r="I3830" s="40" t="s">
        <v>1300</v>
      </c>
    </row>
    <row r="3831" spans="1:9" x14ac:dyDescent="0.2">
      <c r="A3831" s="40" t="s">
        <v>343</v>
      </c>
      <c r="B3831" s="28">
        <v>4201</v>
      </c>
      <c r="C3831" s="28">
        <v>5686891</v>
      </c>
      <c r="D3831" s="28"/>
      <c r="E3831" s="41">
        <v>46167</v>
      </c>
      <c r="F3831" s="47">
        <v>0.90238425925925925</v>
      </c>
      <c r="G3831" s="44">
        <v>6.3</v>
      </c>
      <c r="H3831" s="43" t="s">
        <v>229</v>
      </c>
      <c r="I3831" s="40" t="s">
        <v>1300</v>
      </c>
    </row>
    <row r="3832" spans="1:9" x14ac:dyDescent="0.2">
      <c r="A3832" s="40" t="s">
        <v>343</v>
      </c>
      <c r="B3832" s="28">
        <v>4201</v>
      </c>
      <c r="C3832" s="28">
        <v>5687151</v>
      </c>
      <c r="D3832" s="28"/>
      <c r="E3832" s="45">
        <v>46167</v>
      </c>
      <c r="F3832" s="48">
        <v>0.99215277777777777</v>
      </c>
      <c r="G3832" s="44">
        <v>6.3</v>
      </c>
      <c r="H3832" s="43" t="s">
        <v>228</v>
      </c>
      <c r="I3832" s="40" t="s">
        <v>1300</v>
      </c>
    </row>
    <row r="3833" spans="1:9" x14ac:dyDescent="0.2">
      <c r="A3833" s="40" t="s">
        <v>343</v>
      </c>
      <c r="B3833" s="28">
        <v>4201</v>
      </c>
      <c r="C3833" s="28">
        <v>5687151</v>
      </c>
      <c r="D3833" s="28"/>
      <c r="E3833" s="41">
        <v>46167</v>
      </c>
      <c r="F3833" s="47">
        <v>0.99981481481481482</v>
      </c>
      <c r="G3833" s="44">
        <v>6.3</v>
      </c>
      <c r="H3833" s="43" t="s">
        <v>229</v>
      </c>
      <c r="I3833" s="40" t="s">
        <v>1300</v>
      </c>
    </row>
    <row r="3834" spans="1:9" x14ac:dyDescent="0.2">
      <c r="A3834" s="40" t="s">
        <v>343</v>
      </c>
      <c r="B3834" s="28">
        <v>4201</v>
      </c>
      <c r="C3834" s="28">
        <v>5685612</v>
      </c>
      <c r="D3834" s="28" t="s">
        <v>37</v>
      </c>
      <c r="E3834" s="45">
        <v>46168</v>
      </c>
      <c r="F3834" s="48">
        <v>9.3252314814814816E-2</v>
      </c>
      <c r="G3834" s="44">
        <v>6.3</v>
      </c>
      <c r="H3834" s="43" t="s">
        <v>226</v>
      </c>
      <c r="I3834" s="40" t="s">
        <v>1300</v>
      </c>
    </row>
    <row r="3835" spans="1:9" x14ac:dyDescent="0.2">
      <c r="A3835" s="40" t="s">
        <v>343</v>
      </c>
      <c r="B3835" s="28">
        <v>4201</v>
      </c>
      <c r="C3835" s="28">
        <v>5685612</v>
      </c>
      <c r="D3835" s="28" t="s">
        <v>37</v>
      </c>
      <c r="E3835" s="41">
        <v>46168</v>
      </c>
      <c r="F3835" s="47">
        <v>9.8530092592592586E-2</v>
      </c>
      <c r="G3835" s="44">
        <v>6.3</v>
      </c>
      <c r="H3835" s="43" t="s">
        <v>227</v>
      </c>
      <c r="I3835" s="40" t="s">
        <v>1300</v>
      </c>
    </row>
    <row r="3836" spans="1:9" x14ac:dyDescent="0.2">
      <c r="A3836" s="40" t="s">
        <v>343</v>
      </c>
      <c r="B3836" s="28">
        <v>4201</v>
      </c>
      <c r="C3836" s="28">
        <v>5687113</v>
      </c>
      <c r="D3836" s="28"/>
      <c r="E3836" s="41">
        <v>46168</v>
      </c>
      <c r="F3836" s="47">
        <v>0.18518518518518517</v>
      </c>
      <c r="G3836" s="44">
        <v>6.3</v>
      </c>
      <c r="H3836" s="43" t="s">
        <v>230</v>
      </c>
      <c r="I3836" s="40" t="s">
        <v>1300</v>
      </c>
    </row>
    <row r="3837" spans="1:9" x14ac:dyDescent="0.2">
      <c r="A3837" s="40" t="s">
        <v>343</v>
      </c>
      <c r="B3837" s="28">
        <v>4201</v>
      </c>
      <c r="C3837" s="28">
        <v>5687113</v>
      </c>
      <c r="D3837" s="28"/>
      <c r="E3837" s="45">
        <v>46168</v>
      </c>
      <c r="F3837" s="48">
        <v>0.19091435185185185</v>
      </c>
      <c r="G3837" s="44">
        <v>6.3</v>
      </c>
      <c r="H3837" s="43" t="s">
        <v>227</v>
      </c>
      <c r="I3837" s="40" t="s">
        <v>1300</v>
      </c>
    </row>
    <row r="3838" spans="1:9" x14ac:dyDescent="0.2">
      <c r="A3838" s="40" t="s">
        <v>343</v>
      </c>
      <c r="B3838" s="28">
        <v>4201</v>
      </c>
      <c r="C3838" s="28">
        <v>5687417</v>
      </c>
      <c r="D3838" s="28" t="s">
        <v>36</v>
      </c>
      <c r="E3838" s="41">
        <v>46169</v>
      </c>
      <c r="F3838" s="47">
        <v>0.33116898148148149</v>
      </c>
      <c r="G3838" s="44">
        <v>6.3</v>
      </c>
      <c r="H3838" s="43" t="s">
        <v>228</v>
      </c>
      <c r="I3838" s="40" t="s">
        <v>1300</v>
      </c>
    </row>
    <row r="3839" spans="1:9" x14ac:dyDescent="0.2">
      <c r="A3839" s="40" t="s">
        <v>343</v>
      </c>
      <c r="B3839" s="28">
        <v>4201</v>
      </c>
      <c r="C3839" s="28">
        <v>5687417</v>
      </c>
      <c r="D3839" s="28" t="s">
        <v>36</v>
      </c>
      <c r="E3839" s="41">
        <v>46169</v>
      </c>
      <c r="F3839" s="47">
        <v>0.35408564814814814</v>
      </c>
      <c r="G3839" s="44">
        <v>6.3</v>
      </c>
      <c r="H3839" s="43" t="s">
        <v>229</v>
      </c>
      <c r="I3839" s="40" t="s">
        <v>1300</v>
      </c>
    </row>
    <row r="3840" spans="1:9" x14ac:dyDescent="0.2">
      <c r="A3840" s="40" t="s">
        <v>343</v>
      </c>
      <c r="B3840" s="28">
        <v>4201</v>
      </c>
      <c r="C3840" s="28">
        <v>5688924</v>
      </c>
      <c r="D3840" s="28"/>
      <c r="E3840" s="41">
        <v>46169</v>
      </c>
      <c r="F3840" s="47">
        <v>0.40842592592592591</v>
      </c>
      <c r="G3840" s="44">
        <v>6.3</v>
      </c>
      <c r="H3840" s="43" t="s">
        <v>230</v>
      </c>
      <c r="I3840" s="40" t="s">
        <v>1300</v>
      </c>
    </row>
    <row r="3841" spans="1:9" x14ac:dyDescent="0.2">
      <c r="A3841" s="40" t="s">
        <v>343</v>
      </c>
      <c r="B3841" s="28">
        <v>4201</v>
      </c>
      <c r="C3841" s="28">
        <v>5688924</v>
      </c>
      <c r="D3841" s="28"/>
      <c r="E3841" s="41">
        <v>46169</v>
      </c>
      <c r="F3841" s="47">
        <v>0.41567129629629629</v>
      </c>
      <c r="G3841" s="44">
        <v>6.3</v>
      </c>
      <c r="H3841" s="43" t="s">
        <v>227</v>
      </c>
      <c r="I3841" s="40" t="s">
        <v>1300</v>
      </c>
    </row>
    <row r="3842" spans="1:9" x14ac:dyDescent="0.2">
      <c r="A3842" s="40" t="s">
        <v>343</v>
      </c>
      <c r="B3842" s="28">
        <v>4201</v>
      </c>
      <c r="C3842" s="28">
        <v>5690597</v>
      </c>
      <c r="D3842" s="28"/>
      <c r="E3842" s="41">
        <v>46169</v>
      </c>
      <c r="F3842" s="47">
        <v>0.91703703703703698</v>
      </c>
      <c r="G3842" s="44">
        <v>6.3</v>
      </c>
      <c r="H3842" s="43" t="s">
        <v>228</v>
      </c>
      <c r="I3842" s="40" t="s">
        <v>1300</v>
      </c>
    </row>
    <row r="3843" spans="1:9" x14ac:dyDescent="0.2">
      <c r="A3843" s="40" t="s">
        <v>343</v>
      </c>
      <c r="B3843" s="28">
        <v>4201</v>
      </c>
      <c r="C3843" s="28">
        <v>5690597</v>
      </c>
      <c r="D3843" s="28"/>
      <c r="E3843" s="41">
        <v>46169</v>
      </c>
      <c r="F3843" s="47">
        <v>0.92481481481481487</v>
      </c>
      <c r="G3843" s="44">
        <v>6.3</v>
      </c>
      <c r="H3843" s="43" t="s">
        <v>229</v>
      </c>
      <c r="I3843" s="40" t="s">
        <v>1300</v>
      </c>
    </row>
    <row r="3844" spans="1:9" x14ac:dyDescent="0.2">
      <c r="A3844" s="40" t="s">
        <v>343</v>
      </c>
      <c r="B3844" s="28">
        <v>4201</v>
      </c>
      <c r="C3844" s="28">
        <v>5689230</v>
      </c>
      <c r="D3844" s="28"/>
      <c r="E3844" s="41">
        <v>46170</v>
      </c>
      <c r="F3844" s="47">
        <v>0.22413194444444445</v>
      </c>
      <c r="G3844" s="44">
        <v>6.3</v>
      </c>
      <c r="H3844" s="43" t="s">
        <v>230</v>
      </c>
      <c r="I3844" s="40" t="s">
        <v>1300</v>
      </c>
    </row>
    <row r="3845" spans="1:9" x14ac:dyDescent="0.2">
      <c r="A3845" s="40" t="s">
        <v>343</v>
      </c>
      <c r="B3845" s="28">
        <v>4201</v>
      </c>
      <c r="C3845" s="28">
        <v>5689230</v>
      </c>
      <c r="D3845" s="28"/>
      <c r="E3845" s="41">
        <v>46170</v>
      </c>
      <c r="F3845" s="47">
        <v>0.22998842592592592</v>
      </c>
      <c r="G3845" s="44">
        <v>6.3</v>
      </c>
      <c r="H3845" s="43" t="s">
        <v>227</v>
      </c>
      <c r="I3845" s="40" t="s">
        <v>1300</v>
      </c>
    </row>
    <row r="3846" spans="1:9" x14ac:dyDescent="0.2">
      <c r="A3846" s="40" t="s">
        <v>343</v>
      </c>
      <c r="B3846" s="28">
        <v>4201</v>
      </c>
      <c r="C3846" s="28">
        <v>5692274</v>
      </c>
      <c r="D3846" s="28"/>
      <c r="E3846" s="41">
        <v>46170</v>
      </c>
      <c r="F3846" s="47">
        <v>0.88766203703703705</v>
      </c>
      <c r="G3846" s="44">
        <v>6.3</v>
      </c>
      <c r="H3846" s="43" t="s">
        <v>228</v>
      </c>
      <c r="I3846" s="40" t="s">
        <v>1300</v>
      </c>
    </row>
    <row r="3847" spans="1:9" x14ac:dyDescent="0.2">
      <c r="A3847" s="40" t="s">
        <v>343</v>
      </c>
      <c r="B3847" s="28">
        <v>4201</v>
      </c>
      <c r="C3847" s="28">
        <v>5692274</v>
      </c>
      <c r="D3847" s="28"/>
      <c r="E3847" s="41">
        <v>46170</v>
      </c>
      <c r="F3847" s="47">
        <v>0.89539351851851856</v>
      </c>
      <c r="G3847" s="44">
        <v>6.3</v>
      </c>
      <c r="H3847" s="43" t="s">
        <v>229</v>
      </c>
      <c r="I3847" s="40" t="s">
        <v>1300</v>
      </c>
    </row>
    <row r="3848" spans="1:9" x14ac:dyDescent="0.2">
      <c r="A3848" s="40" t="s">
        <v>343</v>
      </c>
      <c r="B3848" s="28">
        <v>4224</v>
      </c>
      <c r="C3848" s="28">
        <v>5693959</v>
      </c>
      <c r="D3848" s="28" t="s">
        <v>36</v>
      </c>
      <c r="E3848" s="41">
        <v>46171</v>
      </c>
      <c r="F3848" s="47">
        <v>0.85195601851851854</v>
      </c>
      <c r="G3848" s="44">
        <v>6.3</v>
      </c>
      <c r="H3848" s="43" t="s">
        <v>228</v>
      </c>
      <c r="I3848" s="40" t="s">
        <v>1300</v>
      </c>
    </row>
    <row r="3849" spans="1:9" x14ac:dyDescent="0.2">
      <c r="A3849" s="40" t="s">
        <v>343</v>
      </c>
      <c r="B3849" s="28">
        <v>4224</v>
      </c>
      <c r="C3849" s="28">
        <v>5693959</v>
      </c>
      <c r="D3849" s="28" t="s">
        <v>36</v>
      </c>
      <c r="E3849" s="45">
        <v>46171</v>
      </c>
      <c r="F3849" s="48">
        <v>0.86344907407407412</v>
      </c>
      <c r="G3849" s="44">
        <v>6.3</v>
      </c>
      <c r="H3849" s="43" t="s">
        <v>233</v>
      </c>
      <c r="I3849" s="40" t="s">
        <v>1300</v>
      </c>
    </row>
    <row r="3850" spans="1:9" x14ac:dyDescent="0.2">
      <c r="A3850" s="40" t="s">
        <v>343</v>
      </c>
      <c r="B3850" s="28">
        <v>4224</v>
      </c>
      <c r="C3850" s="28" t="s">
        <v>35</v>
      </c>
      <c r="D3850" s="28" t="s">
        <v>38</v>
      </c>
      <c r="E3850" s="41">
        <v>46171</v>
      </c>
      <c r="F3850" s="47">
        <v>0.9354513888888889</v>
      </c>
      <c r="G3850" s="44">
        <v>6.3</v>
      </c>
      <c r="H3850" s="43" t="s">
        <v>234</v>
      </c>
      <c r="I3850" s="40" t="s">
        <v>1300</v>
      </c>
    </row>
    <row r="3851" spans="1:9" x14ac:dyDescent="0.2">
      <c r="A3851" s="40" t="s">
        <v>343</v>
      </c>
      <c r="B3851" s="28">
        <v>4224</v>
      </c>
      <c r="C3851" s="28" t="s">
        <v>35</v>
      </c>
      <c r="D3851" s="28" t="s">
        <v>38</v>
      </c>
      <c r="E3851" s="41">
        <v>46171</v>
      </c>
      <c r="F3851" s="47">
        <v>0.93824074074074071</v>
      </c>
      <c r="G3851" s="44">
        <v>6.3</v>
      </c>
      <c r="H3851" s="43" t="s">
        <v>227</v>
      </c>
      <c r="I3851" s="40" t="s">
        <v>1300</v>
      </c>
    </row>
    <row r="3852" spans="1:9" x14ac:dyDescent="0.2">
      <c r="A3852" s="40" t="s">
        <v>343</v>
      </c>
      <c r="B3852" s="28">
        <v>4224</v>
      </c>
      <c r="C3852" s="28">
        <v>5694492</v>
      </c>
      <c r="D3852" s="28"/>
      <c r="E3852" s="41">
        <v>46172</v>
      </c>
      <c r="F3852" s="47">
        <v>0.48586805555555557</v>
      </c>
      <c r="G3852" s="44">
        <v>6.3</v>
      </c>
      <c r="H3852" s="43" t="s">
        <v>230</v>
      </c>
      <c r="I3852" s="40" t="s">
        <v>1300</v>
      </c>
    </row>
    <row r="3853" spans="1:9" x14ac:dyDescent="0.2">
      <c r="A3853" s="40" t="s">
        <v>343</v>
      </c>
      <c r="B3853" s="28">
        <v>4224</v>
      </c>
      <c r="C3853" s="28">
        <v>5694492</v>
      </c>
      <c r="D3853" s="28"/>
      <c r="E3853" s="41">
        <v>46172</v>
      </c>
      <c r="F3853" s="47">
        <v>0.4924884259259259</v>
      </c>
      <c r="G3853" s="44">
        <v>6.3</v>
      </c>
      <c r="H3853" s="43" t="s">
        <v>227</v>
      </c>
      <c r="I3853" s="40" t="s">
        <v>1300</v>
      </c>
    </row>
    <row r="3854" spans="1:9" x14ac:dyDescent="0.2">
      <c r="A3854" s="40" t="s">
        <v>343</v>
      </c>
      <c r="B3854" s="28">
        <v>4224</v>
      </c>
      <c r="C3854" s="28">
        <v>5694272</v>
      </c>
      <c r="D3854" s="28"/>
      <c r="E3854" s="41">
        <v>46172</v>
      </c>
      <c r="F3854" s="47">
        <v>0.81024305555555554</v>
      </c>
      <c r="G3854" s="44">
        <v>6.3</v>
      </c>
      <c r="H3854" s="43" t="s">
        <v>230</v>
      </c>
      <c r="I3854" s="40" t="s">
        <v>1300</v>
      </c>
    </row>
    <row r="3855" spans="1:9" x14ac:dyDescent="0.2">
      <c r="A3855" s="40" t="s">
        <v>343</v>
      </c>
      <c r="B3855" s="28">
        <v>4224</v>
      </c>
      <c r="C3855" s="28">
        <v>5694272</v>
      </c>
      <c r="D3855" s="28"/>
      <c r="E3855" s="41">
        <v>46172</v>
      </c>
      <c r="F3855" s="47">
        <v>0.8162962962962963</v>
      </c>
      <c r="G3855" s="44">
        <v>6.3</v>
      </c>
      <c r="H3855" s="43" t="s">
        <v>227</v>
      </c>
      <c r="I3855" s="40" t="s">
        <v>1300</v>
      </c>
    </row>
    <row r="3856" spans="1:9" x14ac:dyDescent="0.2">
      <c r="A3856" s="40" t="s">
        <v>1132</v>
      </c>
      <c r="B3856" s="28">
        <v>4205</v>
      </c>
      <c r="C3856" s="28" t="s">
        <v>35</v>
      </c>
      <c r="D3856" s="28" t="s">
        <v>38</v>
      </c>
      <c r="E3856" s="41">
        <v>46167</v>
      </c>
      <c r="F3856" s="47">
        <v>0.7769907407407407</v>
      </c>
      <c r="G3856" s="44">
        <v>6.3</v>
      </c>
      <c r="H3856" s="43" t="s">
        <v>227</v>
      </c>
      <c r="I3856" s="40" t="s">
        <v>1300</v>
      </c>
    </row>
    <row r="3857" spans="1:9" x14ac:dyDescent="0.2">
      <c r="A3857" s="40" t="s">
        <v>1132</v>
      </c>
      <c r="B3857" s="28">
        <v>4205</v>
      </c>
      <c r="C3857" s="28">
        <v>5680037</v>
      </c>
      <c r="D3857" s="28" t="s">
        <v>37</v>
      </c>
      <c r="E3857" s="41">
        <v>46168</v>
      </c>
      <c r="F3857" s="47">
        <v>0.14362268518518517</v>
      </c>
      <c r="G3857" s="44">
        <v>6.3</v>
      </c>
      <c r="H3857" s="43" t="s">
        <v>227</v>
      </c>
      <c r="I3857" s="40" t="s">
        <v>1300</v>
      </c>
    </row>
    <row r="3858" spans="1:9" x14ac:dyDescent="0.2">
      <c r="A3858" s="40" t="s">
        <v>1132</v>
      </c>
      <c r="B3858" s="28">
        <v>4205</v>
      </c>
      <c r="C3858" s="28">
        <v>5688163</v>
      </c>
      <c r="D3858" s="28"/>
      <c r="E3858" s="41">
        <v>46169</v>
      </c>
      <c r="F3858" s="47">
        <v>0.11791666666666667</v>
      </c>
      <c r="G3858" s="44">
        <v>6.3</v>
      </c>
      <c r="H3858" s="43" t="s">
        <v>230</v>
      </c>
      <c r="I3858" s="40" t="s">
        <v>1300</v>
      </c>
    </row>
    <row r="3859" spans="1:9" x14ac:dyDescent="0.2">
      <c r="A3859" s="40" t="s">
        <v>1132</v>
      </c>
      <c r="B3859" s="28">
        <v>4205</v>
      </c>
      <c r="C3859" s="28">
        <v>5688163</v>
      </c>
      <c r="D3859" s="28"/>
      <c r="E3859" s="41">
        <v>46169</v>
      </c>
      <c r="F3859" s="47">
        <v>0.12320601851851852</v>
      </c>
      <c r="G3859" s="44">
        <v>6.3</v>
      </c>
      <c r="H3859" s="43" t="s">
        <v>227</v>
      </c>
      <c r="I3859" s="40" t="s">
        <v>1300</v>
      </c>
    </row>
    <row r="3860" spans="1:9" x14ac:dyDescent="0.2">
      <c r="A3860" s="40" t="s">
        <v>1132</v>
      </c>
      <c r="B3860" s="28">
        <v>4205</v>
      </c>
      <c r="C3860" s="28">
        <v>5690702</v>
      </c>
      <c r="D3860" s="28"/>
      <c r="E3860" s="41">
        <v>46169</v>
      </c>
      <c r="F3860" s="47">
        <v>0.95672453703703708</v>
      </c>
      <c r="G3860" s="44">
        <v>6.3</v>
      </c>
      <c r="H3860" s="43" t="s">
        <v>228</v>
      </c>
      <c r="I3860" s="40" t="s">
        <v>1300</v>
      </c>
    </row>
    <row r="3861" spans="1:9" x14ac:dyDescent="0.2">
      <c r="A3861" s="40" t="s">
        <v>1132</v>
      </c>
      <c r="B3861" s="28">
        <v>4205</v>
      </c>
      <c r="C3861" s="28">
        <v>5690702</v>
      </c>
      <c r="D3861" s="28"/>
      <c r="E3861" s="41">
        <v>46169</v>
      </c>
      <c r="F3861" s="47">
        <v>0.9667824074074074</v>
      </c>
      <c r="G3861" s="44">
        <v>6.3</v>
      </c>
      <c r="H3861" s="43" t="s">
        <v>229</v>
      </c>
      <c r="I3861" s="40" t="s">
        <v>1300</v>
      </c>
    </row>
    <row r="3862" spans="1:9" x14ac:dyDescent="0.2">
      <c r="A3862" s="40" t="s">
        <v>1132</v>
      </c>
      <c r="B3862" s="28">
        <v>2984</v>
      </c>
      <c r="C3862" s="28">
        <v>5691014</v>
      </c>
      <c r="D3862" s="28"/>
      <c r="E3862" s="41">
        <v>46170</v>
      </c>
      <c r="F3862" s="47">
        <v>0.36636574074074074</v>
      </c>
      <c r="G3862" s="44">
        <v>6.3</v>
      </c>
      <c r="H3862" s="43" t="s">
        <v>228</v>
      </c>
      <c r="I3862" s="40" t="s">
        <v>1300</v>
      </c>
    </row>
    <row r="3863" spans="1:9" x14ac:dyDescent="0.2">
      <c r="A3863" s="40" t="s">
        <v>1132</v>
      </c>
      <c r="B3863" s="28">
        <v>2984</v>
      </c>
      <c r="C3863" s="28">
        <v>5691014</v>
      </c>
      <c r="D3863" s="28"/>
      <c r="E3863" s="41">
        <v>46170</v>
      </c>
      <c r="F3863" s="47">
        <v>0.38377314814814817</v>
      </c>
      <c r="G3863" s="44">
        <v>6.3</v>
      </c>
      <c r="H3863" s="43" t="s">
        <v>229</v>
      </c>
      <c r="I3863" s="40" t="s">
        <v>1300</v>
      </c>
    </row>
    <row r="3864" spans="1:9" x14ac:dyDescent="0.2">
      <c r="A3864" s="40" t="s">
        <v>1132</v>
      </c>
      <c r="B3864" s="28">
        <v>2984</v>
      </c>
      <c r="C3864" s="28">
        <v>5691053</v>
      </c>
      <c r="D3864" s="28"/>
      <c r="E3864" s="41">
        <v>46170</v>
      </c>
      <c r="F3864" s="47">
        <v>0.60179398148148144</v>
      </c>
      <c r="G3864" s="44">
        <v>6.3</v>
      </c>
      <c r="H3864" s="43" t="s">
        <v>230</v>
      </c>
      <c r="I3864" s="40" t="s">
        <v>1300</v>
      </c>
    </row>
    <row r="3865" spans="1:9" x14ac:dyDescent="0.2">
      <c r="A3865" s="40" t="s">
        <v>1132</v>
      </c>
      <c r="B3865" s="28">
        <v>2984</v>
      </c>
      <c r="C3865" s="28">
        <v>5691053</v>
      </c>
      <c r="D3865" s="28"/>
      <c r="E3865" s="41">
        <v>46170</v>
      </c>
      <c r="F3865" s="47">
        <v>0.60768518518518522</v>
      </c>
      <c r="G3865" s="44">
        <v>6.3</v>
      </c>
      <c r="H3865" s="43" t="s">
        <v>227</v>
      </c>
      <c r="I3865" s="40" t="s">
        <v>1300</v>
      </c>
    </row>
    <row r="3866" spans="1:9" x14ac:dyDescent="0.2">
      <c r="A3866" s="40" t="s">
        <v>1132</v>
      </c>
      <c r="B3866" s="28">
        <v>4205</v>
      </c>
      <c r="C3866" s="28">
        <v>5691709</v>
      </c>
      <c r="D3866" s="28"/>
      <c r="E3866" s="41">
        <v>46170</v>
      </c>
      <c r="F3866" s="47">
        <v>0.85571759259259261</v>
      </c>
      <c r="G3866" s="42">
        <v>6.3</v>
      </c>
      <c r="H3866" s="40" t="s">
        <v>228</v>
      </c>
      <c r="I3866" s="40" t="s">
        <v>1300</v>
      </c>
    </row>
    <row r="3867" spans="1:9" x14ac:dyDescent="0.2">
      <c r="A3867" s="40" t="s">
        <v>1132</v>
      </c>
      <c r="B3867" s="28">
        <v>4205</v>
      </c>
      <c r="C3867" s="28">
        <v>5691709</v>
      </c>
      <c r="D3867" s="28"/>
      <c r="E3867" s="41">
        <v>46170</v>
      </c>
      <c r="F3867" s="47">
        <v>0.8658217592592593</v>
      </c>
      <c r="G3867" s="42">
        <v>6.3</v>
      </c>
      <c r="H3867" s="40" t="s">
        <v>229</v>
      </c>
      <c r="I3867" s="40" t="s">
        <v>1300</v>
      </c>
    </row>
    <row r="3868" spans="1:9" x14ac:dyDescent="0.2">
      <c r="A3868" s="40" t="s">
        <v>1132</v>
      </c>
      <c r="B3868" s="28">
        <v>4205</v>
      </c>
      <c r="C3868" s="28">
        <v>5692385</v>
      </c>
      <c r="D3868" s="28"/>
      <c r="E3868" s="41">
        <v>46170</v>
      </c>
      <c r="F3868" s="47">
        <v>0.94196759259259255</v>
      </c>
      <c r="G3868" s="42">
        <v>6.3</v>
      </c>
      <c r="H3868" s="40" t="s">
        <v>230</v>
      </c>
      <c r="I3868" s="40" t="s">
        <v>1300</v>
      </c>
    </row>
    <row r="3869" spans="1:9" x14ac:dyDescent="0.2">
      <c r="A3869" s="40" t="s">
        <v>1132</v>
      </c>
      <c r="B3869" s="28">
        <v>4205</v>
      </c>
      <c r="C3869" s="28">
        <v>5692385</v>
      </c>
      <c r="D3869" s="28"/>
      <c r="E3869" s="41">
        <v>46170</v>
      </c>
      <c r="F3869" s="47">
        <v>0.94732638888888887</v>
      </c>
      <c r="G3869" s="44">
        <v>6.3</v>
      </c>
      <c r="H3869" s="43" t="s">
        <v>227</v>
      </c>
      <c r="I3869" s="40" t="s">
        <v>1300</v>
      </c>
    </row>
    <row r="3870" spans="1:9" x14ac:dyDescent="0.2">
      <c r="A3870" s="40" t="s">
        <v>1132</v>
      </c>
      <c r="B3870" s="28">
        <v>2984</v>
      </c>
      <c r="C3870" s="28">
        <v>5692661</v>
      </c>
      <c r="D3870" s="28"/>
      <c r="E3870" s="41">
        <v>46171</v>
      </c>
      <c r="F3870" s="47">
        <v>0.33796296296296297</v>
      </c>
      <c r="G3870" s="44">
        <v>6.3</v>
      </c>
      <c r="H3870" s="43" t="s">
        <v>228</v>
      </c>
      <c r="I3870" s="40" t="s">
        <v>1300</v>
      </c>
    </row>
    <row r="3871" spans="1:9" x14ac:dyDescent="0.2">
      <c r="A3871" s="40" t="s">
        <v>1132</v>
      </c>
      <c r="B3871" s="28">
        <v>2984</v>
      </c>
      <c r="C3871" s="28">
        <v>5692661</v>
      </c>
      <c r="D3871" s="28"/>
      <c r="E3871" s="45">
        <v>46171</v>
      </c>
      <c r="F3871" s="48">
        <v>0.34434027777777776</v>
      </c>
      <c r="G3871" s="44">
        <v>6.3</v>
      </c>
      <c r="H3871" s="43" t="s">
        <v>233</v>
      </c>
      <c r="I3871" s="40" t="s">
        <v>1300</v>
      </c>
    </row>
    <row r="3872" spans="1:9" x14ac:dyDescent="0.2">
      <c r="A3872" s="40" t="s">
        <v>1132</v>
      </c>
      <c r="B3872" s="28">
        <v>2984</v>
      </c>
      <c r="C3872" s="28" t="s">
        <v>35</v>
      </c>
      <c r="D3872" s="28" t="s">
        <v>38</v>
      </c>
      <c r="E3872" s="41">
        <v>46171</v>
      </c>
      <c r="F3872" s="47">
        <v>0.39729166666666665</v>
      </c>
      <c r="G3872" s="44">
        <v>6.3</v>
      </c>
      <c r="H3872" s="43" t="s">
        <v>234</v>
      </c>
      <c r="I3872" s="40" t="s">
        <v>1300</v>
      </c>
    </row>
    <row r="3873" spans="1:9" x14ac:dyDescent="0.2">
      <c r="A3873" s="40" t="s">
        <v>1132</v>
      </c>
      <c r="B3873" s="28">
        <v>2984</v>
      </c>
      <c r="C3873" s="28" t="s">
        <v>35</v>
      </c>
      <c r="D3873" s="28" t="s">
        <v>38</v>
      </c>
      <c r="E3873" s="41">
        <v>46171</v>
      </c>
      <c r="F3873" s="47">
        <v>0.40211805555555558</v>
      </c>
      <c r="G3873" s="44">
        <v>6.3</v>
      </c>
      <c r="H3873" s="43" t="s">
        <v>227</v>
      </c>
      <c r="I3873" s="40" t="s">
        <v>1300</v>
      </c>
    </row>
    <row r="3874" spans="1:9" x14ac:dyDescent="0.2">
      <c r="A3874" s="40" t="s">
        <v>1132</v>
      </c>
      <c r="B3874" s="28">
        <v>2984</v>
      </c>
      <c r="C3874" s="28">
        <v>5692206</v>
      </c>
      <c r="D3874" s="28"/>
      <c r="E3874" s="45">
        <v>46172</v>
      </c>
      <c r="F3874" s="48">
        <v>0.4340162037037037</v>
      </c>
      <c r="G3874" s="44">
        <v>6.3</v>
      </c>
      <c r="H3874" s="43" t="s">
        <v>227</v>
      </c>
      <c r="I3874" s="40" t="s">
        <v>1300</v>
      </c>
    </row>
    <row r="3875" spans="1:9" x14ac:dyDescent="0.2">
      <c r="A3875" s="40" t="s">
        <v>1132</v>
      </c>
      <c r="B3875" s="28">
        <v>2984</v>
      </c>
      <c r="C3875" s="28">
        <v>5692927</v>
      </c>
      <c r="D3875" s="28"/>
      <c r="E3875" s="41">
        <v>46172</v>
      </c>
      <c r="F3875" s="47">
        <v>0.56359953703703702</v>
      </c>
      <c r="G3875" s="44">
        <v>6.3</v>
      </c>
      <c r="H3875" s="43" t="s">
        <v>227</v>
      </c>
      <c r="I3875" s="40" t="s">
        <v>1300</v>
      </c>
    </row>
    <row r="3876" spans="1:9" x14ac:dyDescent="0.2">
      <c r="A3876" s="40" t="s">
        <v>1132</v>
      </c>
      <c r="B3876" s="28">
        <v>2984</v>
      </c>
      <c r="C3876" s="28">
        <v>5694815</v>
      </c>
      <c r="D3876" s="28"/>
      <c r="E3876" s="41">
        <v>46172</v>
      </c>
      <c r="F3876" s="47">
        <v>0.72150462962962958</v>
      </c>
      <c r="G3876" s="44">
        <v>6.3</v>
      </c>
      <c r="H3876" s="43" t="s">
        <v>228</v>
      </c>
      <c r="I3876" s="40" t="s">
        <v>1300</v>
      </c>
    </row>
    <row r="3877" spans="1:9" x14ac:dyDescent="0.2">
      <c r="A3877" s="40" t="s">
        <v>1132</v>
      </c>
      <c r="B3877" s="28">
        <v>2984</v>
      </c>
      <c r="C3877" s="28">
        <v>5694815</v>
      </c>
      <c r="D3877" s="28"/>
      <c r="E3877" s="41">
        <v>46172</v>
      </c>
      <c r="F3877" s="47">
        <v>0.72901620370370368</v>
      </c>
      <c r="G3877" s="44">
        <v>6.3</v>
      </c>
      <c r="H3877" s="43" t="s">
        <v>229</v>
      </c>
      <c r="I3877" s="40" t="s">
        <v>1300</v>
      </c>
    </row>
    <row r="3878" spans="1:9" x14ac:dyDescent="0.2">
      <c r="A3878" s="40" t="s">
        <v>1132</v>
      </c>
      <c r="B3878" s="28">
        <v>2984</v>
      </c>
      <c r="C3878" s="28" t="s">
        <v>35</v>
      </c>
      <c r="D3878" s="28" t="s">
        <v>38</v>
      </c>
      <c r="E3878" s="41">
        <v>46172</v>
      </c>
      <c r="F3878" s="47">
        <v>0.77359953703703699</v>
      </c>
      <c r="G3878" s="42">
        <v>6.3</v>
      </c>
      <c r="H3878" s="40" t="s">
        <v>230</v>
      </c>
      <c r="I3878" s="40" t="s">
        <v>1300</v>
      </c>
    </row>
    <row r="3879" spans="1:9" x14ac:dyDescent="0.2">
      <c r="A3879" s="40" t="s">
        <v>1132</v>
      </c>
      <c r="B3879" s="28">
        <v>2984</v>
      </c>
      <c r="C3879" s="28" t="s">
        <v>35</v>
      </c>
      <c r="D3879" s="28" t="s">
        <v>38</v>
      </c>
      <c r="E3879" s="41">
        <v>46172</v>
      </c>
      <c r="F3879" s="47">
        <v>0.78214120370370366</v>
      </c>
      <c r="G3879" s="44">
        <v>6.3</v>
      </c>
      <c r="H3879" s="43" t="s">
        <v>227</v>
      </c>
      <c r="I3879" s="40" t="s">
        <v>1300</v>
      </c>
    </row>
    <row r="3880" spans="1:9" x14ac:dyDescent="0.2">
      <c r="A3880" s="40" t="s">
        <v>1132</v>
      </c>
      <c r="B3880" s="28">
        <v>2984</v>
      </c>
      <c r="C3880" s="28">
        <v>5678338</v>
      </c>
      <c r="D3880" s="28"/>
      <c r="E3880" s="41">
        <v>46173</v>
      </c>
      <c r="F3880" s="47">
        <v>0.29326388888888888</v>
      </c>
      <c r="G3880" s="44">
        <v>6.3</v>
      </c>
      <c r="H3880" s="43" t="s">
        <v>228</v>
      </c>
      <c r="I3880" s="40" t="s">
        <v>1300</v>
      </c>
    </row>
    <row r="3881" spans="1:9" x14ac:dyDescent="0.2">
      <c r="A3881" s="40" t="s">
        <v>1132</v>
      </c>
      <c r="B3881" s="28">
        <v>2984</v>
      </c>
      <c r="C3881" s="28" t="s">
        <v>35</v>
      </c>
      <c r="D3881" s="28" t="s">
        <v>38</v>
      </c>
      <c r="E3881" s="41">
        <v>46173</v>
      </c>
      <c r="F3881" s="47">
        <v>0.32945601851851852</v>
      </c>
      <c r="G3881" s="44">
        <v>6.3</v>
      </c>
      <c r="H3881" s="43" t="s">
        <v>229</v>
      </c>
      <c r="I3881" s="40" t="s">
        <v>1300</v>
      </c>
    </row>
    <row r="3882" spans="1:9" x14ac:dyDescent="0.2">
      <c r="A3882" s="40" t="s">
        <v>1132</v>
      </c>
      <c r="B3882" s="28">
        <v>2984</v>
      </c>
      <c r="C3882" s="28">
        <v>5695168</v>
      </c>
      <c r="D3882" s="28" t="s">
        <v>37</v>
      </c>
      <c r="E3882" s="41">
        <v>46173</v>
      </c>
      <c r="F3882" s="47">
        <v>0.40543981481481484</v>
      </c>
      <c r="G3882" s="44">
        <v>6.3</v>
      </c>
      <c r="H3882" s="43" t="s">
        <v>230</v>
      </c>
      <c r="I3882" s="40" t="s">
        <v>1300</v>
      </c>
    </row>
    <row r="3883" spans="1:9" x14ac:dyDescent="0.2">
      <c r="A3883" s="40" t="s">
        <v>1132</v>
      </c>
      <c r="B3883" s="28">
        <v>2984</v>
      </c>
      <c r="C3883" s="28">
        <v>5695168</v>
      </c>
      <c r="D3883" s="28" t="s">
        <v>37</v>
      </c>
      <c r="E3883" s="41">
        <v>46173</v>
      </c>
      <c r="F3883" s="47">
        <v>0.41037037037037039</v>
      </c>
      <c r="G3883" s="42">
        <v>6.3</v>
      </c>
      <c r="H3883" s="40" t="s">
        <v>227</v>
      </c>
      <c r="I3883" s="40" t="s">
        <v>1300</v>
      </c>
    </row>
    <row r="3884" spans="1:9" x14ac:dyDescent="0.2">
      <c r="A3884" s="40" t="s">
        <v>1132</v>
      </c>
      <c r="B3884" s="28">
        <v>2984</v>
      </c>
      <c r="C3884" s="28">
        <v>5695800</v>
      </c>
      <c r="D3884" s="28"/>
      <c r="E3884" s="41">
        <v>46173</v>
      </c>
      <c r="F3884" s="47">
        <v>0.56194444444444447</v>
      </c>
      <c r="G3884" s="42">
        <v>6.3</v>
      </c>
      <c r="H3884" s="40" t="s">
        <v>228</v>
      </c>
      <c r="I3884" s="40" t="s">
        <v>1300</v>
      </c>
    </row>
    <row r="3885" spans="1:9" x14ac:dyDescent="0.2">
      <c r="A3885" s="40" t="s">
        <v>1133</v>
      </c>
      <c r="B3885" s="28">
        <v>2987</v>
      </c>
      <c r="C3885" s="28">
        <v>5690012</v>
      </c>
      <c r="D3885" s="28"/>
      <c r="E3885" s="41">
        <v>46169</v>
      </c>
      <c r="F3885" s="47">
        <v>0.68061342592592589</v>
      </c>
      <c r="G3885" s="42">
        <v>6.3</v>
      </c>
      <c r="H3885" s="40" t="s">
        <v>228</v>
      </c>
      <c r="I3885" s="40" t="s">
        <v>1300</v>
      </c>
    </row>
    <row r="3886" spans="1:9" x14ac:dyDescent="0.2">
      <c r="A3886" s="40" t="s">
        <v>1133</v>
      </c>
      <c r="B3886" s="28">
        <v>2987</v>
      </c>
      <c r="C3886" s="28">
        <v>5690012</v>
      </c>
      <c r="D3886" s="28" t="s">
        <v>36</v>
      </c>
      <c r="E3886" s="41">
        <v>46169</v>
      </c>
      <c r="F3886" s="47">
        <v>0.69569444444444439</v>
      </c>
      <c r="G3886" s="42">
        <v>6.3</v>
      </c>
      <c r="H3886" s="40" t="s">
        <v>232</v>
      </c>
      <c r="I3886" s="40" t="s">
        <v>1300</v>
      </c>
    </row>
    <row r="3887" spans="1:9" x14ac:dyDescent="0.2">
      <c r="A3887" s="40" t="s">
        <v>1133</v>
      </c>
      <c r="B3887" s="28">
        <v>2987</v>
      </c>
      <c r="C3887" s="28" t="s">
        <v>35</v>
      </c>
      <c r="D3887" s="28" t="s">
        <v>38</v>
      </c>
      <c r="E3887" s="41">
        <v>46169</v>
      </c>
      <c r="F3887" s="47">
        <v>0.75099537037037034</v>
      </c>
      <c r="G3887" s="44">
        <v>6.3</v>
      </c>
      <c r="H3887" s="43" t="s">
        <v>226</v>
      </c>
      <c r="I3887" s="40" t="s">
        <v>1300</v>
      </c>
    </row>
    <row r="3888" spans="1:9" x14ac:dyDescent="0.2">
      <c r="A3888" s="40" t="s">
        <v>1133</v>
      </c>
      <c r="B3888" s="28">
        <v>2987</v>
      </c>
      <c r="C3888" s="28" t="s">
        <v>35</v>
      </c>
      <c r="D3888" s="28" t="s">
        <v>38</v>
      </c>
      <c r="E3888" s="45">
        <v>46169</v>
      </c>
      <c r="F3888" s="48">
        <v>0.76870370370370367</v>
      </c>
      <c r="G3888" s="44">
        <v>6.3</v>
      </c>
      <c r="H3888" s="43" t="s">
        <v>227</v>
      </c>
      <c r="I3888" s="40" t="s">
        <v>1300</v>
      </c>
    </row>
    <row r="3889" spans="1:9" x14ac:dyDescent="0.2">
      <c r="A3889" s="40" t="s">
        <v>1133</v>
      </c>
      <c r="B3889" s="28">
        <v>4215</v>
      </c>
      <c r="C3889" s="28">
        <v>5690459</v>
      </c>
      <c r="D3889" s="28"/>
      <c r="E3889" s="41">
        <v>46169</v>
      </c>
      <c r="F3889" s="47">
        <v>0.84624999999999995</v>
      </c>
      <c r="G3889" s="44">
        <v>6.3</v>
      </c>
      <c r="H3889" s="43" t="s">
        <v>228</v>
      </c>
      <c r="I3889" s="40" t="s">
        <v>1300</v>
      </c>
    </row>
    <row r="3890" spans="1:9" x14ac:dyDescent="0.2">
      <c r="A3890" s="40" t="s">
        <v>1133</v>
      </c>
      <c r="B3890" s="28">
        <v>4215</v>
      </c>
      <c r="C3890" s="28">
        <v>5682090</v>
      </c>
      <c r="D3890" s="28"/>
      <c r="E3890" s="41">
        <v>46169</v>
      </c>
      <c r="F3890" s="47">
        <v>0.98708333333333331</v>
      </c>
      <c r="G3890" s="44">
        <v>6.3</v>
      </c>
      <c r="H3890" s="43" t="s">
        <v>228</v>
      </c>
      <c r="I3890" s="40" t="s">
        <v>1300</v>
      </c>
    </row>
    <row r="3891" spans="1:9" x14ac:dyDescent="0.2">
      <c r="A3891" s="40" t="s">
        <v>1133</v>
      </c>
      <c r="B3891" s="28">
        <v>4215</v>
      </c>
      <c r="C3891" s="28">
        <v>5682090</v>
      </c>
      <c r="D3891" s="28"/>
      <c r="E3891" s="41">
        <v>46169</v>
      </c>
      <c r="F3891" s="47">
        <v>0.99655092592592598</v>
      </c>
      <c r="G3891" s="44">
        <v>6.3</v>
      </c>
      <c r="H3891" s="43" t="s">
        <v>229</v>
      </c>
      <c r="I3891" s="40" t="s">
        <v>1300</v>
      </c>
    </row>
    <row r="3892" spans="1:9" x14ac:dyDescent="0.2">
      <c r="A3892" s="40" t="s">
        <v>1133</v>
      </c>
      <c r="B3892" s="28">
        <v>4215</v>
      </c>
      <c r="C3892" s="28">
        <v>5690851</v>
      </c>
      <c r="D3892" s="28"/>
      <c r="E3892" s="41">
        <v>46170</v>
      </c>
      <c r="F3892" s="47">
        <v>0.18070601851851853</v>
      </c>
      <c r="G3892" s="44">
        <v>6.3</v>
      </c>
      <c r="H3892" s="43" t="s">
        <v>230</v>
      </c>
      <c r="I3892" s="40" t="s">
        <v>1300</v>
      </c>
    </row>
    <row r="3893" spans="1:9" x14ac:dyDescent="0.2">
      <c r="A3893" s="40" t="s">
        <v>1133</v>
      </c>
      <c r="B3893" s="28">
        <v>4215</v>
      </c>
      <c r="C3893" s="28">
        <v>5690851</v>
      </c>
      <c r="D3893" s="28"/>
      <c r="E3893" s="41">
        <v>46170</v>
      </c>
      <c r="F3893" s="47">
        <v>0.18577546296296296</v>
      </c>
      <c r="G3893" s="44">
        <v>6.3</v>
      </c>
      <c r="H3893" s="43" t="s">
        <v>227</v>
      </c>
      <c r="I3893" s="40" t="s">
        <v>1300</v>
      </c>
    </row>
    <row r="3894" spans="1:9" x14ac:dyDescent="0.2">
      <c r="A3894" s="40" t="s">
        <v>1133</v>
      </c>
      <c r="B3894" s="28">
        <v>2987</v>
      </c>
      <c r="C3894" s="28">
        <v>5690360</v>
      </c>
      <c r="D3894" s="28"/>
      <c r="E3894" s="41">
        <v>46170</v>
      </c>
      <c r="F3894" s="47">
        <v>0.66123842592592597</v>
      </c>
      <c r="G3894" s="44">
        <v>6.3</v>
      </c>
      <c r="H3894" s="43" t="s">
        <v>228</v>
      </c>
      <c r="I3894" s="40" t="s">
        <v>1300</v>
      </c>
    </row>
    <row r="3895" spans="1:9" x14ac:dyDescent="0.2">
      <c r="A3895" s="40" t="s">
        <v>1133</v>
      </c>
      <c r="B3895" s="28">
        <v>2987</v>
      </c>
      <c r="C3895" s="28">
        <v>5689212</v>
      </c>
      <c r="D3895" s="28" t="s">
        <v>37</v>
      </c>
      <c r="E3895" s="41">
        <v>46170</v>
      </c>
      <c r="F3895" s="47">
        <v>0.79685185185185181</v>
      </c>
      <c r="G3895" s="44">
        <v>6.3</v>
      </c>
      <c r="H3895" s="43" t="s">
        <v>230</v>
      </c>
      <c r="I3895" s="40" t="s">
        <v>1300</v>
      </c>
    </row>
    <row r="3896" spans="1:9" x14ac:dyDescent="0.2">
      <c r="A3896" s="40" t="s">
        <v>1133</v>
      </c>
      <c r="B3896" s="28">
        <v>2987</v>
      </c>
      <c r="C3896" s="28">
        <v>5689212</v>
      </c>
      <c r="D3896" s="28" t="s">
        <v>37</v>
      </c>
      <c r="E3896" s="41">
        <v>46170</v>
      </c>
      <c r="F3896" s="47">
        <v>0.82052083333333337</v>
      </c>
      <c r="G3896" s="44">
        <v>6.3</v>
      </c>
      <c r="H3896" s="43" t="s">
        <v>227</v>
      </c>
      <c r="I3896" s="40" t="s">
        <v>1300</v>
      </c>
    </row>
    <row r="3897" spans="1:9" x14ac:dyDescent="0.2">
      <c r="A3897" s="40" t="s">
        <v>1133</v>
      </c>
      <c r="B3897" s="28">
        <v>2987</v>
      </c>
      <c r="C3897" s="28">
        <v>5692742</v>
      </c>
      <c r="D3897" s="28"/>
      <c r="E3897" s="41">
        <v>46171</v>
      </c>
      <c r="F3897" s="47">
        <v>0.38945601851851852</v>
      </c>
      <c r="G3897" s="44">
        <v>6.3</v>
      </c>
      <c r="H3897" s="43" t="s">
        <v>228</v>
      </c>
      <c r="I3897" s="40" t="s">
        <v>1300</v>
      </c>
    </row>
    <row r="3898" spans="1:9" x14ac:dyDescent="0.2">
      <c r="A3898" s="40" t="s">
        <v>1133</v>
      </c>
      <c r="B3898" s="28">
        <v>2987</v>
      </c>
      <c r="C3898" s="28">
        <v>5692742</v>
      </c>
      <c r="D3898" s="28"/>
      <c r="E3898" s="41">
        <v>46171</v>
      </c>
      <c r="F3898" s="47">
        <v>0.40793981481481484</v>
      </c>
      <c r="G3898" s="44">
        <v>6.3</v>
      </c>
      <c r="H3898" s="43" t="s">
        <v>233</v>
      </c>
      <c r="I3898" s="40" t="s">
        <v>1300</v>
      </c>
    </row>
    <row r="3899" spans="1:9" x14ac:dyDescent="0.2">
      <c r="A3899" s="40" t="s">
        <v>1133</v>
      </c>
      <c r="B3899" s="28">
        <v>2987</v>
      </c>
      <c r="C3899" s="28" t="s">
        <v>35</v>
      </c>
      <c r="D3899" s="28" t="s">
        <v>38</v>
      </c>
      <c r="E3899" s="41">
        <v>46171</v>
      </c>
      <c r="F3899" s="47">
        <v>0.49646990740740743</v>
      </c>
      <c r="G3899" s="44">
        <v>6.3</v>
      </c>
      <c r="H3899" s="43" t="s">
        <v>234</v>
      </c>
      <c r="I3899" s="40" t="s">
        <v>1300</v>
      </c>
    </row>
    <row r="3900" spans="1:9" x14ac:dyDescent="0.2">
      <c r="A3900" s="40" t="s">
        <v>1133</v>
      </c>
      <c r="B3900" s="28">
        <v>2987</v>
      </c>
      <c r="C3900" s="28" t="s">
        <v>35</v>
      </c>
      <c r="D3900" s="28" t="s">
        <v>38</v>
      </c>
      <c r="E3900" s="41">
        <v>46171</v>
      </c>
      <c r="F3900" s="47">
        <v>0.50597222222222227</v>
      </c>
      <c r="G3900" s="44">
        <v>6.3</v>
      </c>
      <c r="H3900" s="43" t="s">
        <v>227</v>
      </c>
      <c r="I3900" s="40" t="s">
        <v>1300</v>
      </c>
    </row>
    <row r="3901" spans="1:9" x14ac:dyDescent="0.2">
      <c r="A3901" s="40" t="s">
        <v>1133</v>
      </c>
      <c r="B3901" s="28">
        <v>2987</v>
      </c>
      <c r="C3901" s="28" t="s">
        <v>1134</v>
      </c>
      <c r="D3901" s="28"/>
      <c r="E3901" s="41">
        <v>46171</v>
      </c>
      <c r="F3901" s="47">
        <v>0.56305555555555553</v>
      </c>
      <c r="G3901" s="44">
        <v>6.3</v>
      </c>
      <c r="H3901" s="43" t="s">
        <v>228</v>
      </c>
      <c r="I3901" s="40" t="s">
        <v>1300</v>
      </c>
    </row>
    <row r="3902" spans="1:9" x14ac:dyDescent="0.2">
      <c r="A3902" s="40" t="s">
        <v>1133</v>
      </c>
      <c r="B3902" s="28">
        <v>2987</v>
      </c>
      <c r="C3902" s="28" t="s">
        <v>1134</v>
      </c>
      <c r="D3902" s="28"/>
      <c r="E3902" s="41">
        <v>46171</v>
      </c>
      <c r="F3902" s="47">
        <v>0.57315972222222222</v>
      </c>
      <c r="G3902" s="44">
        <v>6.3</v>
      </c>
      <c r="H3902" s="43" t="s">
        <v>229</v>
      </c>
      <c r="I3902" s="40" t="s">
        <v>1300</v>
      </c>
    </row>
    <row r="3903" spans="1:9" x14ac:dyDescent="0.2">
      <c r="A3903" s="40" t="s">
        <v>1133</v>
      </c>
      <c r="B3903" s="28">
        <v>2987</v>
      </c>
      <c r="C3903" s="28" t="s">
        <v>1135</v>
      </c>
      <c r="D3903" s="28"/>
      <c r="E3903" s="41">
        <v>46171</v>
      </c>
      <c r="F3903" s="47">
        <v>0.64512731481481478</v>
      </c>
      <c r="G3903" s="44">
        <v>6.3</v>
      </c>
      <c r="H3903" s="43" t="s">
        <v>230</v>
      </c>
      <c r="I3903" s="40" t="s">
        <v>1300</v>
      </c>
    </row>
    <row r="3904" spans="1:9" x14ac:dyDescent="0.2">
      <c r="A3904" s="40" t="s">
        <v>1133</v>
      </c>
      <c r="B3904" s="28">
        <v>2987</v>
      </c>
      <c r="C3904" s="28" t="s">
        <v>1135</v>
      </c>
      <c r="D3904" s="28"/>
      <c r="E3904" s="45">
        <v>46171</v>
      </c>
      <c r="F3904" s="48">
        <v>0.66865740740740742</v>
      </c>
      <c r="G3904" s="44">
        <v>6.3</v>
      </c>
      <c r="H3904" s="43" t="s">
        <v>227</v>
      </c>
      <c r="I3904" s="40" t="s">
        <v>1300</v>
      </c>
    </row>
    <row r="3905" spans="1:9" x14ac:dyDescent="0.2">
      <c r="A3905" s="40" t="s">
        <v>1133</v>
      </c>
      <c r="B3905" s="28">
        <v>4215</v>
      </c>
      <c r="C3905" s="28">
        <v>5694204</v>
      </c>
      <c r="D3905" s="28"/>
      <c r="E3905" s="45">
        <v>46171</v>
      </c>
      <c r="F3905" s="48">
        <v>0.9545717592592593</v>
      </c>
      <c r="G3905" s="44">
        <v>6.3</v>
      </c>
      <c r="H3905" s="43" t="s">
        <v>228</v>
      </c>
      <c r="I3905" s="40" t="s">
        <v>1300</v>
      </c>
    </row>
    <row r="3906" spans="1:9" x14ac:dyDescent="0.2">
      <c r="A3906" s="40" t="s">
        <v>1133</v>
      </c>
      <c r="B3906" s="28">
        <v>4215</v>
      </c>
      <c r="C3906" s="28">
        <v>5694204</v>
      </c>
      <c r="D3906" s="28"/>
      <c r="E3906" s="41">
        <v>46171</v>
      </c>
      <c r="F3906" s="47">
        <v>0.96177083333333335</v>
      </c>
      <c r="G3906" s="44">
        <v>6.3</v>
      </c>
      <c r="H3906" s="43" t="s">
        <v>229</v>
      </c>
      <c r="I3906" s="40" t="s">
        <v>1300</v>
      </c>
    </row>
    <row r="3907" spans="1:9" x14ac:dyDescent="0.2">
      <c r="A3907" s="40" t="s">
        <v>1133</v>
      </c>
      <c r="B3907" s="28">
        <v>4215</v>
      </c>
      <c r="C3907" s="28">
        <v>5693118</v>
      </c>
      <c r="D3907" s="28"/>
      <c r="E3907" s="41">
        <v>46172</v>
      </c>
      <c r="F3907" s="47">
        <v>0.16829861111111111</v>
      </c>
      <c r="G3907" s="44">
        <v>6.3</v>
      </c>
      <c r="H3907" s="43" t="s">
        <v>230</v>
      </c>
      <c r="I3907" s="40" t="s">
        <v>1300</v>
      </c>
    </row>
    <row r="3908" spans="1:9" x14ac:dyDescent="0.2">
      <c r="A3908" s="40" t="s">
        <v>1133</v>
      </c>
      <c r="B3908" s="28">
        <v>4215</v>
      </c>
      <c r="C3908" s="28">
        <v>5693118</v>
      </c>
      <c r="D3908" s="28"/>
      <c r="E3908" s="41">
        <v>46172</v>
      </c>
      <c r="F3908" s="47">
        <v>0.17314814814814813</v>
      </c>
      <c r="G3908" s="44">
        <v>6.3</v>
      </c>
      <c r="H3908" s="43" t="s">
        <v>227</v>
      </c>
      <c r="I3908" s="40" t="s">
        <v>1300</v>
      </c>
    </row>
    <row r="3909" spans="1:9" x14ac:dyDescent="0.2">
      <c r="A3909" s="40" t="s">
        <v>1133</v>
      </c>
      <c r="B3909" s="28">
        <v>4215</v>
      </c>
      <c r="C3909" s="28">
        <v>5634755</v>
      </c>
      <c r="D3909" s="28"/>
      <c r="E3909" s="41">
        <v>46172</v>
      </c>
      <c r="F3909" s="47">
        <v>0.29047453703703702</v>
      </c>
      <c r="G3909" s="44">
        <v>6.3</v>
      </c>
      <c r="H3909" s="43" t="s">
        <v>230</v>
      </c>
      <c r="I3909" s="40" t="s">
        <v>1300</v>
      </c>
    </row>
    <row r="3910" spans="1:9" x14ac:dyDescent="0.2">
      <c r="A3910" s="40" t="s">
        <v>1133</v>
      </c>
      <c r="B3910" s="28">
        <v>4215</v>
      </c>
      <c r="C3910" s="28">
        <v>5634755</v>
      </c>
      <c r="D3910" s="28"/>
      <c r="E3910" s="41">
        <v>46172</v>
      </c>
      <c r="F3910" s="47">
        <v>0.29577546296296298</v>
      </c>
      <c r="G3910" s="44">
        <v>6.3</v>
      </c>
      <c r="H3910" s="43" t="s">
        <v>227</v>
      </c>
      <c r="I3910" s="40" t="s">
        <v>1300</v>
      </c>
    </row>
    <row r="3911" spans="1:9" x14ac:dyDescent="0.2">
      <c r="A3911" s="40" t="s">
        <v>1136</v>
      </c>
      <c r="B3911" s="28">
        <v>4218</v>
      </c>
      <c r="C3911" s="28" t="s">
        <v>35</v>
      </c>
      <c r="D3911" s="28" t="s">
        <v>38</v>
      </c>
      <c r="E3911" s="45">
        <v>46168</v>
      </c>
      <c r="F3911" s="48">
        <v>0.75353009259259263</v>
      </c>
      <c r="G3911" s="44">
        <v>6.3</v>
      </c>
      <c r="H3911" s="43" t="s">
        <v>228</v>
      </c>
      <c r="I3911" s="40" t="s">
        <v>1300</v>
      </c>
    </row>
    <row r="3912" spans="1:9" x14ac:dyDescent="0.2">
      <c r="A3912" s="40" t="s">
        <v>1136</v>
      </c>
      <c r="B3912" s="28">
        <v>4218</v>
      </c>
      <c r="C3912" s="28" t="s">
        <v>35</v>
      </c>
      <c r="D3912" s="28" t="s">
        <v>38</v>
      </c>
      <c r="E3912" s="41">
        <v>46168</v>
      </c>
      <c r="F3912" s="47">
        <v>0.77001157407407406</v>
      </c>
      <c r="G3912" s="44">
        <v>6.3</v>
      </c>
      <c r="H3912" s="43" t="s">
        <v>229</v>
      </c>
      <c r="I3912" s="40" t="s">
        <v>1300</v>
      </c>
    </row>
    <row r="3913" spans="1:9" x14ac:dyDescent="0.2">
      <c r="A3913" s="40" t="s">
        <v>1136</v>
      </c>
      <c r="B3913" s="28">
        <v>4218</v>
      </c>
      <c r="C3913" s="28" t="s">
        <v>35</v>
      </c>
      <c r="D3913" s="28" t="s">
        <v>38</v>
      </c>
      <c r="E3913" s="41">
        <v>46168</v>
      </c>
      <c r="F3913" s="47">
        <v>0.80969907407407404</v>
      </c>
      <c r="G3913" s="44">
        <v>6.3</v>
      </c>
      <c r="H3913" s="43" t="s">
        <v>230</v>
      </c>
      <c r="I3913" s="40" t="s">
        <v>1300</v>
      </c>
    </row>
    <row r="3914" spans="1:9" x14ac:dyDescent="0.2">
      <c r="A3914" s="40" t="s">
        <v>1136</v>
      </c>
      <c r="B3914" s="28">
        <v>4218</v>
      </c>
      <c r="C3914" s="28" t="s">
        <v>35</v>
      </c>
      <c r="D3914" s="28" t="s">
        <v>38</v>
      </c>
      <c r="E3914" s="41">
        <v>46168</v>
      </c>
      <c r="F3914" s="47">
        <v>0.82619212962962962</v>
      </c>
      <c r="G3914" s="44">
        <v>6.3</v>
      </c>
      <c r="H3914" s="43" t="s">
        <v>227</v>
      </c>
      <c r="I3914" s="40" t="s">
        <v>1300</v>
      </c>
    </row>
    <row r="3915" spans="1:9" x14ac:dyDescent="0.2">
      <c r="A3915" s="40" t="s">
        <v>1136</v>
      </c>
      <c r="B3915" s="28">
        <v>4218</v>
      </c>
      <c r="C3915" s="28">
        <v>5678479</v>
      </c>
      <c r="D3915" s="28"/>
      <c r="E3915" s="41">
        <v>46169</v>
      </c>
      <c r="F3915" s="47">
        <v>0.15306712962962962</v>
      </c>
      <c r="G3915" s="44">
        <v>6.3</v>
      </c>
      <c r="H3915" s="43" t="s">
        <v>230</v>
      </c>
      <c r="I3915" s="40" t="s">
        <v>1300</v>
      </c>
    </row>
    <row r="3916" spans="1:9" x14ac:dyDescent="0.2">
      <c r="A3916" s="40" t="s">
        <v>1136</v>
      </c>
      <c r="B3916" s="28">
        <v>4218</v>
      </c>
      <c r="C3916" s="28">
        <v>5678479</v>
      </c>
      <c r="D3916" s="28"/>
      <c r="E3916" s="41">
        <v>46169</v>
      </c>
      <c r="F3916" s="47">
        <v>0.15792824074074074</v>
      </c>
      <c r="G3916" s="44">
        <v>6.3</v>
      </c>
      <c r="H3916" s="43" t="s">
        <v>227</v>
      </c>
      <c r="I3916" s="40" t="s">
        <v>1300</v>
      </c>
    </row>
    <row r="3917" spans="1:9" x14ac:dyDescent="0.2">
      <c r="A3917" s="40" t="s">
        <v>1136</v>
      </c>
      <c r="B3917" s="28">
        <v>4218</v>
      </c>
      <c r="C3917" s="28" t="s">
        <v>35</v>
      </c>
      <c r="D3917" s="28" t="s">
        <v>38</v>
      </c>
      <c r="E3917" s="41">
        <v>46169</v>
      </c>
      <c r="F3917" s="47">
        <v>0.42469907407407409</v>
      </c>
      <c r="G3917" s="44">
        <v>6.3</v>
      </c>
      <c r="H3917" s="43" t="s">
        <v>228</v>
      </c>
      <c r="I3917" s="40" t="s">
        <v>1300</v>
      </c>
    </row>
    <row r="3918" spans="1:9" x14ac:dyDescent="0.2">
      <c r="A3918" s="40" t="s">
        <v>1136</v>
      </c>
      <c r="B3918" s="28">
        <v>4218</v>
      </c>
      <c r="C3918" s="28" t="s">
        <v>35</v>
      </c>
      <c r="D3918" s="28" t="s">
        <v>38</v>
      </c>
      <c r="E3918" s="41">
        <v>46169</v>
      </c>
      <c r="F3918" s="47">
        <v>0.43738425925925928</v>
      </c>
      <c r="G3918" s="44">
        <v>6.3</v>
      </c>
      <c r="H3918" s="43" t="s">
        <v>229</v>
      </c>
      <c r="I3918" s="40" t="s">
        <v>1300</v>
      </c>
    </row>
    <row r="3919" spans="1:9" x14ac:dyDescent="0.2">
      <c r="A3919" s="40" t="s">
        <v>1136</v>
      </c>
      <c r="B3919" s="28">
        <v>4218</v>
      </c>
      <c r="C3919" s="28" t="s">
        <v>35</v>
      </c>
      <c r="D3919" s="28" t="s">
        <v>38</v>
      </c>
      <c r="E3919" s="41">
        <v>46169</v>
      </c>
      <c r="F3919" s="47">
        <v>0.56876157407407413</v>
      </c>
      <c r="G3919" s="44">
        <v>6.3</v>
      </c>
      <c r="H3919" s="43" t="s">
        <v>231</v>
      </c>
      <c r="I3919" s="40" t="s">
        <v>1300</v>
      </c>
    </row>
    <row r="3920" spans="1:9" x14ac:dyDescent="0.2">
      <c r="A3920" s="40" t="s">
        <v>1136</v>
      </c>
      <c r="B3920" s="28">
        <v>4218</v>
      </c>
      <c r="C3920" s="28" t="s">
        <v>35</v>
      </c>
      <c r="D3920" s="28" t="s">
        <v>38</v>
      </c>
      <c r="E3920" s="45">
        <v>46169</v>
      </c>
      <c r="F3920" s="48">
        <v>0.57356481481481481</v>
      </c>
      <c r="G3920" s="44">
        <v>6.3</v>
      </c>
      <c r="H3920" s="43" t="s">
        <v>227</v>
      </c>
      <c r="I3920" s="40" t="s">
        <v>1300</v>
      </c>
    </row>
    <row r="3921" spans="1:9" x14ac:dyDescent="0.2">
      <c r="A3921" s="40" t="s">
        <v>1136</v>
      </c>
      <c r="B3921" s="28">
        <v>4218</v>
      </c>
      <c r="C3921" s="28">
        <v>5690144</v>
      </c>
      <c r="D3921" s="28"/>
      <c r="E3921" s="45">
        <v>46170</v>
      </c>
      <c r="F3921" s="48">
        <v>0.22909722222222223</v>
      </c>
      <c r="G3921" s="42">
        <v>6.3</v>
      </c>
      <c r="H3921" s="40" t="s">
        <v>230</v>
      </c>
      <c r="I3921" s="40" t="s">
        <v>1300</v>
      </c>
    </row>
    <row r="3922" spans="1:9" x14ac:dyDescent="0.2">
      <c r="A3922" s="40" t="s">
        <v>1136</v>
      </c>
      <c r="B3922" s="28">
        <v>4218</v>
      </c>
      <c r="C3922" s="28">
        <v>5690144</v>
      </c>
      <c r="D3922" s="28"/>
      <c r="E3922" s="41">
        <v>46170</v>
      </c>
      <c r="F3922" s="47">
        <v>0.23423611111111112</v>
      </c>
      <c r="G3922" s="44">
        <v>6.3</v>
      </c>
      <c r="H3922" s="43" t="s">
        <v>227</v>
      </c>
      <c r="I3922" s="40" t="s">
        <v>1300</v>
      </c>
    </row>
    <row r="3923" spans="1:9" x14ac:dyDescent="0.2">
      <c r="A3923" s="40" t="s">
        <v>1136</v>
      </c>
      <c r="B3923" s="28">
        <v>4218</v>
      </c>
      <c r="C3923" s="28">
        <v>5692422</v>
      </c>
      <c r="D3923" s="28" t="s">
        <v>37</v>
      </c>
      <c r="E3923" s="41">
        <v>46171</v>
      </c>
      <c r="F3923" s="47">
        <v>0.25996527777777778</v>
      </c>
      <c r="G3923" s="44">
        <v>6.3</v>
      </c>
      <c r="H3923" s="43" t="s">
        <v>230</v>
      </c>
      <c r="I3923" s="40" t="s">
        <v>1300</v>
      </c>
    </row>
    <row r="3924" spans="1:9" x14ac:dyDescent="0.2">
      <c r="A3924" s="40" t="s">
        <v>1136</v>
      </c>
      <c r="B3924" s="28">
        <v>4218</v>
      </c>
      <c r="C3924" s="28">
        <v>5692422</v>
      </c>
      <c r="D3924" s="28" t="s">
        <v>37</v>
      </c>
      <c r="E3924" s="41">
        <v>46171</v>
      </c>
      <c r="F3924" s="47">
        <v>0.26547453703703705</v>
      </c>
      <c r="G3924" s="44">
        <v>6.3</v>
      </c>
      <c r="H3924" s="43" t="s">
        <v>227</v>
      </c>
      <c r="I3924" s="40" t="s">
        <v>1300</v>
      </c>
    </row>
    <row r="3925" spans="1:9" x14ac:dyDescent="0.2">
      <c r="A3925" s="40" t="s">
        <v>452</v>
      </c>
      <c r="B3925" s="28">
        <v>4221</v>
      </c>
      <c r="C3925" s="28">
        <v>5685574</v>
      </c>
      <c r="D3925" s="28"/>
      <c r="E3925" s="41">
        <v>46167</v>
      </c>
      <c r="F3925" s="47">
        <v>0.89824074074074078</v>
      </c>
      <c r="G3925" s="44">
        <v>6.3</v>
      </c>
      <c r="H3925" s="43" t="s">
        <v>227</v>
      </c>
      <c r="I3925" s="40" t="s">
        <v>1300</v>
      </c>
    </row>
    <row r="3926" spans="1:9" x14ac:dyDescent="0.2">
      <c r="A3926" s="40" t="s">
        <v>452</v>
      </c>
      <c r="B3926" s="28">
        <v>4221</v>
      </c>
      <c r="C3926" s="28" t="s">
        <v>35</v>
      </c>
      <c r="D3926" s="28" t="s">
        <v>38</v>
      </c>
      <c r="E3926" s="41">
        <v>46168</v>
      </c>
      <c r="F3926" s="47">
        <v>0.15574074074074074</v>
      </c>
      <c r="G3926" s="44">
        <v>6.3</v>
      </c>
      <c r="H3926" s="43" t="s">
        <v>228</v>
      </c>
      <c r="I3926" s="40" t="s">
        <v>1300</v>
      </c>
    </row>
    <row r="3927" spans="1:9" x14ac:dyDescent="0.2">
      <c r="A3927" s="40" t="s">
        <v>452</v>
      </c>
      <c r="B3927" s="28">
        <v>4221</v>
      </c>
      <c r="C3927" s="28" t="s">
        <v>35</v>
      </c>
      <c r="D3927" s="28" t="s">
        <v>38</v>
      </c>
      <c r="E3927" s="41">
        <v>46168</v>
      </c>
      <c r="F3927" s="47">
        <v>0.16208333333333333</v>
      </c>
      <c r="G3927" s="44">
        <v>6.3</v>
      </c>
      <c r="H3927" s="43" t="s">
        <v>229</v>
      </c>
      <c r="I3927" s="40" t="s">
        <v>1300</v>
      </c>
    </row>
    <row r="3928" spans="1:9" x14ac:dyDescent="0.2">
      <c r="A3928" s="40" t="s">
        <v>452</v>
      </c>
      <c r="B3928" s="28">
        <v>4221</v>
      </c>
      <c r="C3928" s="28">
        <v>5685465</v>
      </c>
      <c r="D3928" s="28"/>
      <c r="E3928" s="41">
        <v>46168</v>
      </c>
      <c r="F3928" s="47">
        <v>0.21525462962962963</v>
      </c>
      <c r="G3928" s="44">
        <v>6.3</v>
      </c>
      <c r="H3928" s="43" t="s">
        <v>230</v>
      </c>
      <c r="I3928" s="40" t="s">
        <v>1300</v>
      </c>
    </row>
    <row r="3929" spans="1:9" x14ac:dyDescent="0.2">
      <c r="A3929" s="40" t="s">
        <v>452</v>
      </c>
      <c r="B3929" s="28">
        <v>4221</v>
      </c>
      <c r="C3929" s="28">
        <v>5685465</v>
      </c>
      <c r="D3929" s="28"/>
      <c r="E3929" s="41">
        <v>46168</v>
      </c>
      <c r="F3929" s="47">
        <v>0.22032407407407406</v>
      </c>
      <c r="G3929" s="44">
        <v>6.3</v>
      </c>
      <c r="H3929" s="43" t="s">
        <v>227</v>
      </c>
      <c r="I3929" s="40" t="s">
        <v>1300</v>
      </c>
    </row>
    <row r="3930" spans="1:9" x14ac:dyDescent="0.2">
      <c r="A3930" s="40" t="s">
        <v>452</v>
      </c>
      <c r="B3930" s="28">
        <v>4221</v>
      </c>
      <c r="C3930" s="28" t="s">
        <v>35</v>
      </c>
      <c r="D3930" s="28" t="s">
        <v>38</v>
      </c>
      <c r="E3930" s="41">
        <v>46168</v>
      </c>
      <c r="F3930" s="47">
        <v>0.41553240740740743</v>
      </c>
      <c r="G3930" s="44">
        <v>6.3</v>
      </c>
      <c r="H3930" s="43" t="s">
        <v>228</v>
      </c>
      <c r="I3930" s="40" t="s">
        <v>1300</v>
      </c>
    </row>
    <row r="3931" spans="1:9" x14ac:dyDescent="0.2">
      <c r="A3931" s="40" t="s">
        <v>452</v>
      </c>
      <c r="B3931" s="28">
        <v>4221</v>
      </c>
      <c r="C3931" s="28" t="s">
        <v>35</v>
      </c>
      <c r="D3931" s="28" t="s">
        <v>38</v>
      </c>
      <c r="E3931" s="45">
        <v>46168</v>
      </c>
      <c r="F3931" s="48">
        <v>0.53123842592592596</v>
      </c>
      <c r="G3931" s="44">
        <v>6.3</v>
      </c>
      <c r="H3931" s="43" t="s">
        <v>230</v>
      </c>
      <c r="I3931" s="40" t="s">
        <v>1300</v>
      </c>
    </row>
    <row r="3932" spans="1:9" x14ac:dyDescent="0.2">
      <c r="A3932" s="40" t="s">
        <v>452</v>
      </c>
      <c r="B3932" s="28">
        <v>4221</v>
      </c>
      <c r="C3932" s="28" t="s">
        <v>35</v>
      </c>
      <c r="D3932" s="28" t="s">
        <v>38</v>
      </c>
      <c r="E3932" s="41">
        <v>46168</v>
      </c>
      <c r="F3932" s="47">
        <v>0.53702546296296294</v>
      </c>
      <c r="G3932" s="44">
        <v>6.3</v>
      </c>
      <c r="H3932" s="43" t="s">
        <v>227</v>
      </c>
      <c r="I3932" s="40" t="s">
        <v>1300</v>
      </c>
    </row>
    <row r="3933" spans="1:9" x14ac:dyDescent="0.2">
      <c r="A3933" s="40" t="s">
        <v>452</v>
      </c>
      <c r="B3933" s="28">
        <v>4221</v>
      </c>
      <c r="C3933" s="28" t="s">
        <v>35</v>
      </c>
      <c r="D3933" s="28" t="s">
        <v>38</v>
      </c>
      <c r="E3933" s="41">
        <v>46168</v>
      </c>
      <c r="F3933" s="47">
        <v>0.61208333333333331</v>
      </c>
      <c r="G3933" s="44">
        <v>6.3</v>
      </c>
      <c r="H3933" s="43" t="s">
        <v>228</v>
      </c>
      <c r="I3933" s="40" t="s">
        <v>1300</v>
      </c>
    </row>
    <row r="3934" spans="1:9" x14ac:dyDescent="0.2">
      <c r="A3934" s="40" t="s">
        <v>452</v>
      </c>
      <c r="B3934" s="28">
        <v>4221</v>
      </c>
      <c r="C3934" s="28">
        <v>5688884</v>
      </c>
      <c r="D3934" s="28"/>
      <c r="E3934" s="45">
        <v>46169</v>
      </c>
      <c r="F3934" s="48">
        <v>0.24092592592592593</v>
      </c>
      <c r="G3934" s="44">
        <v>6.3</v>
      </c>
      <c r="H3934" s="43" t="s">
        <v>230</v>
      </c>
      <c r="I3934" s="40" t="s">
        <v>1300</v>
      </c>
    </row>
    <row r="3935" spans="1:9" x14ac:dyDescent="0.2">
      <c r="A3935" s="40" t="s">
        <v>452</v>
      </c>
      <c r="B3935" s="28">
        <v>4221</v>
      </c>
      <c r="C3935" s="28">
        <v>5688884</v>
      </c>
      <c r="D3935" s="28"/>
      <c r="E3935" s="41">
        <v>46169</v>
      </c>
      <c r="F3935" s="47">
        <v>0.24603009259259259</v>
      </c>
      <c r="G3935" s="42">
        <v>6.3</v>
      </c>
      <c r="H3935" s="40" t="s">
        <v>227</v>
      </c>
      <c r="I3935" s="40" t="s">
        <v>1300</v>
      </c>
    </row>
    <row r="3936" spans="1:9" x14ac:dyDescent="0.2">
      <c r="A3936" s="40" t="s">
        <v>452</v>
      </c>
      <c r="B3936" s="28">
        <v>4221</v>
      </c>
      <c r="C3936" s="28" t="s">
        <v>35</v>
      </c>
      <c r="D3936" s="28" t="s">
        <v>38</v>
      </c>
      <c r="E3936" s="45">
        <v>46169</v>
      </c>
      <c r="F3936" s="48">
        <v>0.45099537037037035</v>
      </c>
      <c r="G3936" s="42">
        <v>6.3</v>
      </c>
      <c r="H3936" s="40" t="s">
        <v>228</v>
      </c>
      <c r="I3936" s="40" t="s">
        <v>1300</v>
      </c>
    </row>
    <row r="3937" spans="1:9" x14ac:dyDescent="0.2">
      <c r="A3937" s="40" t="s">
        <v>452</v>
      </c>
      <c r="B3937" s="28">
        <v>4221</v>
      </c>
      <c r="C3937" s="28" t="s">
        <v>35</v>
      </c>
      <c r="D3937" s="28" t="s">
        <v>38</v>
      </c>
      <c r="E3937" s="41">
        <v>46169</v>
      </c>
      <c r="F3937" s="47">
        <v>0.54380787037037037</v>
      </c>
      <c r="G3937" s="44">
        <v>6.3</v>
      </c>
      <c r="H3937" s="43" t="s">
        <v>230</v>
      </c>
      <c r="I3937" s="40" t="s">
        <v>1300</v>
      </c>
    </row>
    <row r="3938" spans="1:9" x14ac:dyDescent="0.2">
      <c r="A3938" s="40" t="s">
        <v>452</v>
      </c>
      <c r="B3938" s="28">
        <v>4221</v>
      </c>
      <c r="C3938" s="28" t="s">
        <v>35</v>
      </c>
      <c r="D3938" s="28" t="s">
        <v>38</v>
      </c>
      <c r="E3938" s="41">
        <v>46169</v>
      </c>
      <c r="F3938" s="47">
        <v>0.55003472222222227</v>
      </c>
      <c r="G3938" s="44">
        <v>6.3</v>
      </c>
      <c r="H3938" s="43" t="s">
        <v>227</v>
      </c>
      <c r="I3938" s="40" t="s">
        <v>1300</v>
      </c>
    </row>
    <row r="3939" spans="1:9" x14ac:dyDescent="0.2">
      <c r="A3939" s="40" t="s">
        <v>452</v>
      </c>
      <c r="B3939" s="28">
        <v>4221</v>
      </c>
      <c r="C3939" s="28" t="s">
        <v>35</v>
      </c>
      <c r="D3939" s="28" t="s">
        <v>38</v>
      </c>
      <c r="E3939" s="41">
        <v>46170</v>
      </c>
      <c r="F3939" s="47">
        <v>0.51246527777777773</v>
      </c>
      <c r="G3939" s="44">
        <v>6.3</v>
      </c>
      <c r="H3939" s="43" t="s">
        <v>230</v>
      </c>
      <c r="I3939" s="40" t="s">
        <v>1300</v>
      </c>
    </row>
    <row r="3940" spans="1:9" x14ac:dyDescent="0.2">
      <c r="A3940" s="40" t="s">
        <v>452</v>
      </c>
      <c r="B3940" s="28">
        <v>4221</v>
      </c>
      <c r="C3940" s="28" t="s">
        <v>35</v>
      </c>
      <c r="D3940" s="28" t="s">
        <v>38</v>
      </c>
      <c r="E3940" s="41">
        <v>46170</v>
      </c>
      <c r="F3940" s="47">
        <v>0.51848379629629626</v>
      </c>
      <c r="G3940" s="44">
        <v>6.3</v>
      </c>
      <c r="H3940" s="43" t="s">
        <v>227</v>
      </c>
      <c r="I3940" s="40" t="s">
        <v>1300</v>
      </c>
    </row>
    <row r="3941" spans="1:9" x14ac:dyDescent="0.2">
      <c r="A3941" s="40" t="s">
        <v>452</v>
      </c>
      <c r="B3941" s="28">
        <v>4221</v>
      </c>
      <c r="C3941" s="28" t="s">
        <v>35</v>
      </c>
      <c r="D3941" s="28" t="s">
        <v>38</v>
      </c>
      <c r="E3941" s="41">
        <v>46170</v>
      </c>
      <c r="F3941" s="47">
        <v>0.67131944444444447</v>
      </c>
      <c r="G3941" s="44">
        <v>6.3</v>
      </c>
      <c r="H3941" s="43" t="s">
        <v>230</v>
      </c>
      <c r="I3941" s="40" t="s">
        <v>1300</v>
      </c>
    </row>
    <row r="3942" spans="1:9" x14ac:dyDescent="0.2">
      <c r="A3942" s="40" t="s">
        <v>452</v>
      </c>
      <c r="B3942" s="28">
        <v>4221</v>
      </c>
      <c r="C3942" s="28" t="s">
        <v>35</v>
      </c>
      <c r="D3942" s="28" t="s">
        <v>38</v>
      </c>
      <c r="E3942" s="41">
        <v>46170</v>
      </c>
      <c r="F3942" s="47">
        <v>0.67928240740740742</v>
      </c>
      <c r="G3942" s="44">
        <v>6.3</v>
      </c>
      <c r="H3942" s="43" t="s">
        <v>227</v>
      </c>
      <c r="I3942" s="40" t="s">
        <v>1300</v>
      </c>
    </row>
    <row r="3943" spans="1:9" x14ac:dyDescent="0.2">
      <c r="A3943" s="40" t="s">
        <v>452</v>
      </c>
      <c r="B3943" s="28">
        <v>4221</v>
      </c>
      <c r="C3943" s="28">
        <v>5692023</v>
      </c>
      <c r="D3943" s="28"/>
      <c r="E3943" s="41">
        <v>46170</v>
      </c>
      <c r="F3943" s="47">
        <v>0.81003472222222217</v>
      </c>
      <c r="G3943" s="44">
        <v>6.3</v>
      </c>
      <c r="H3943" s="43" t="s">
        <v>228</v>
      </c>
      <c r="I3943" s="40" t="s">
        <v>1300</v>
      </c>
    </row>
    <row r="3944" spans="1:9" x14ac:dyDescent="0.2">
      <c r="A3944" s="40" t="s">
        <v>452</v>
      </c>
      <c r="B3944" s="28">
        <v>4221</v>
      </c>
      <c r="C3944" s="28" t="s">
        <v>35</v>
      </c>
      <c r="D3944" s="28" t="s">
        <v>38</v>
      </c>
      <c r="E3944" s="41">
        <v>46171</v>
      </c>
      <c r="F3944" s="47">
        <v>0.15952546296296297</v>
      </c>
      <c r="G3944" s="44">
        <v>6.3</v>
      </c>
      <c r="H3944" s="43" t="s">
        <v>228</v>
      </c>
      <c r="I3944" s="40" t="s">
        <v>1300</v>
      </c>
    </row>
    <row r="3945" spans="1:9" x14ac:dyDescent="0.2">
      <c r="A3945" s="40" t="s">
        <v>452</v>
      </c>
      <c r="B3945" s="28">
        <v>4221</v>
      </c>
      <c r="C3945" s="28">
        <v>5692423</v>
      </c>
      <c r="D3945" s="28"/>
      <c r="E3945" s="41">
        <v>46171</v>
      </c>
      <c r="F3945" s="47">
        <v>0.23935185185185184</v>
      </c>
      <c r="G3945" s="44">
        <v>6.3</v>
      </c>
      <c r="H3945" s="43" t="s">
        <v>227</v>
      </c>
      <c r="I3945" s="40" t="s">
        <v>1300</v>
      </c>
    </row>
    <row r="3946" spans="1:9" x14ac:dyDescent="0.2">
      <c r="A3946" s="40" t="s">
        <v>452</v>
      </c>
      <c r="B3946" s="28">
        <v>4221</v>
      </c>
      <c r="C3946" s="28" t="s">
        <v>35</v>
      </c>
      <c r="D3946" s="28" t="s">
        <v>38</v>
      </c>
      <c r="E3946" s="41">
        <v>46171</v>
      </c>
      <c r="F3946" s="47">
        <v>0.3316898148148148</v>
      </c>
      <c r="G3946" s="44">
        <v>6.3</v>
      </c>
      <c r="H3946" s="43" t="s">
        <v>228</v>
      </c>
      <c r="I3946" s="40" t="s">
        <v>1300</v>
      </c>
    </row>
    <row r="3947" spans="1:9" x14ac:dyDescent="0.2">
      <c r="A3947" s="40" t="s">
        <v>452</v>
      </c>
      <c r="B3947" s="28">
        <v>4221</v>
      </c>
      <c r="C3947" s="28" t="s">
        <v>35</v>
      </c>
      <c r="D3947" s="28" t="s">
        <v>38</v>
      </c>
      <c r="E3947" s="41">
        <v>46171</v>
      </c>
      <c r="F3947" s="47">
        <v>0.34605324074074073</v>
      </c>
      <c r="G3947" s="44">
        <v>6.3</v>
      </c>
      <c r="H3947" s="43" t="s">
        <v>229</v>
      </c>
      <c r="I3947" s="40" t="s">
        <v>1300</v>
      </c>
    </row>
    <row r="3948" spans="1:9" x14ac:dyDescent="0.2">
      <c r="A3948" s="40" t="s">
        <v>452</v>
      </c>
      <c r="B3948" s="28">
        <v>4221</v>
      </c>
      <c r="C3948" s="28">
        <v>5692774</v>
      </c>
      <c r="D3948" s="28" t="s">
        <v>36</v>
      </c>
      <c r="E3948" s="41">
        <v>46172</v>
      </c>
      <c r="F3948" s="47">
        <v>0.17371527777777779</v>
      </c>
      <c r="G3948" s="44">
        <v>6.3</v>
      </c>
      <c r="H3948" s="43" t="s">
        <v>226</v>
      </c>
      <c r="I3948" s="40" t="s">
        <v>1300</v>
      </c>
    </row>
    <row r="3949" spans="1:9" x14ac:dyDescent="0.2">
      <c r="A3949" s="40" t="s">
        <v>452</v>
      </c>
      <c r="B3949" s="28">
        <v>4221</v>
      </c>
      <c r="C3949" s="28">
        <v>5692774</v>
      </c>
      <c r="D3949" s="28" t="s">
        <v>36</v>
      </c>
      <c r="E3949" s="41">
        <v>46172</v>
      </c>
      <c r="F3949" s="47">
        <v>0.17855324074074075</v>
      </c>
      <c r="G3949" s="44">
        <v>6.3</v>
      </c>
      <c r="H3949" s="43" t="s">
        <v>227</v>
      </c>
      <c r="I3949" s="40" t="s">
        <v>1300</v>
      </c>
    </row>
    <row r="3950" spans="1:9" x14ac:dyDescent="0.2">
      <c r="A3950" s="40" t="s">
        <v>452</v>
      </c>
      <c r="B3950" s="28">
        <v>4221</v>
      </c>
      <c r="C3950" s="28" t="s">
        <v>35</v>
      </c>
      <c r="D3950" s="28" t="s">
        <v>38</v>
      </c>
      <c r="E3950" s="41">
        <v>46173</v>
      </c>
      <c r="F3950" s="47">
        <v>0.3742361111111111</v>
      </c>
      <c r="G3950" s="44">
        <v>6.3</v>
      </c>
      <c r="H3950" s="43" t="s">
        <v>227</v>
      </c>
      <c r="I3950" s="40" t="s">
        <v>1300</v>
      </c>
    </row>
    <row r="3951" spans="1:9" x14ac:dyDescent="0.2">
      <c r="A3951" s="40" t="s">
        <v>452</v>
      </c>
      <c r="B3951" s="28">
        <v>4221</v>
      </c>
      <c r="C3951" s="28" t="s">
        <v>35</v>
      </c>
      <c r="D3951" s="28" t="s">
        <v>38</v>
      </c>
      <c r="E3951" s="45">
        <v>46173</v>
      </c>
      <c r="F3951" s="48">
        <v>0.53163194444444439</v>
      </c>
      <c r="G3951" s="42">
        <v>6.3</v>
      </c>
      <c r="H3951" s="40" t="s">
        <v>228</v>
      </c>
      <c r="I3951" s="40" t="s">
        <v>1300</v>
      </c>
    </row>
    <row r="3952" spans="1:9" x14ac:dyDescent="0.2">
      <c r="A3952" s="40" t="s">
        <v>452</v>
      </c>
      <c r="B3952" s="28">
        <v>4221</v>
      </c>
      <c r="C3952" s="28" t="s">
        <v>35</v>
      </c>
      <c r="D3952" s="28" t="s">
        <v>38</v>
      </c>
      <c r="E3952" s="41">
        <v>46173</v>
      </c>
      <c r="F3952" s="47">
        <v>0.53935185185185186</v>
      </c>
      <c r="G3952" s="42">
        <v>6.3</v>
      </c>
      <c r="H3952" s="40" t="s">
        <v>232</v>
      </c>
      <c r="I3952" s="40" t="s">
        <v>1300</v>
      </c>
    </row>
    <row r="3953" spans="1:9" x14ac:dyDescent="0.2">
      <c r="A3953" s="40" t="s">
        <v>452</v>
      </c>
      <c r="B3953" s="28">
        <v>4221</v>
      </c>
      <c r="C3953" s="28" t="s">
        <v>35</v>
      </c>
      <c r="D3953" s="28" t="s">
        <v>38</v>
      </c>
      <c r="E3953" s="45">
        <v>46173</v>
      </c>
      <c r="F3953" s="48">
        <v>0.58506944444444442</v>
      </c>
      <c r="G3953" s="44">
        <v>6.3</v>
      </c>
      <c r="H3953" s="43" t="s">
        <v>230</v>
      </c>
      <c r="I3953" s="40" t="s">
        <v>1300</v>
      </c>
    </row>
    <row r="3954" spans="1:9" x14ac:dyDescent="0.2">
      <c r="A3954" s="40" t="s">
        <v>452</v>
      </c>
      <c r="B3954" s="28">
        <v>4221</v>
      </c>
      <c r="C3954" s="28" t="s">
        <v>35</v>
      </c>
      <c r="D3954" s="28" t="s">
        <v>38</v>
      </c>
      <c r="E3954" s="41">
        <v>46173</v>
      </c>
      <c r="F3954" s="47">
        <v>0.59039351851851851</v>
      </c>
      <c r="G3954" s="44">
        <v>6.3</v>
      </c>
      <c r="H3954" s="43" t="s">
        <v>227</v>
      </c>
      <c r="I3954" s="40" t="s">
        <v>1300</v>
      </c>
    </row>
    <row r="3955" spans="1:9" x14ac:dyDescent="0.2">
      <c r="A3955" s="40" t="s">
        <v>452</v>
      </c>
      <c r="B3955" s="28">
        <v>4221</v>
      </c>
      <c r="C3955" s="28">
        <v>5694857</v>
      </c>
      <c r="D3955" s="28" t="s">
        <v>37</v>
      </c>
      <c r="E3955" s="41">
        <v>46173</v>
      </c>
      <c r="F3955" s="47">
        <v>0.81674768518518515</v>
      </c>
      <c r="G3955" s="44">
        <v>6.3</v>
      </c>
      <c r="H3955" s="43" t="s">
        <v>228</v>
      </c>
      <c r="I3955" s="40" t="s">
        <v>1300</v>
      </c>
    </row>
    <row r="3956" spans="1:9" x14ac:dyDescent="0.2">
      <c r="A3956" s="40" t="s">
        <v>452</v>
      </c>
      <c r="B3956" s="28">
        <v>4221</v>
      </c>
      <c r="C3956" s="28">
        <v>5695956</v>
      </c>
      <c r="D3956" s="28" t="s">
        <v>37</v>
      </c>
      <c r="E3956" s="41">
        <v>46173</v>
      </c>
      <c r="F3956" s="47">
        <v>0.86607638888888894</v>
      </c>
      <c r="G3956" s="44">
        <v>6.3</v>
      </c>
      <c r="H3956" s="43" t="s">
        <v>226</v>
      </c>
      <c r="I3956" s="40" t="s">
        <v>1300</v>
      </c>
    </row>
    <row r="3957" spans="1:9" x14ac:dyDescent="0.2">
      <c r="A3957" s="40" t="s">
        <v>452</v>
      </c>
      <c r="B3957" s="28">
        <v>4221</v>
      </c>
      <c r="C3957" s="28">
        <v>5695956</v>
      </c>
      <c r="D3957" s="28" t="s">
        <v>37</v>
      </c>
      <c r="E3957" s="41">
        <v>46173</v>
      </c>
      <c r="F3957" s="47">
        <v>0.87164351851851851</v>
      </c>
      <c r="G3957" s="44">
        <v>6.3</v>
      </c>
      <c r="H3957" s="43" t="s">
        <v>227</v>
      </c>
      <c r="I3957" s="40" t="s">
        <v>1300</v>
      </c>
    </row>
    <row r="3958" spans="1:9" x14ac:dyDescent="0.2">
      <c r="A3958" s="40" t="s">
        <v>453</v>
      </c>
      <c r="B3958" s="28">
        <v>4251</v>
      </c>
      <c r="C3958" s="28" t="s">
        <v>1137</v>
      </c>
      <c r="D3958" s="28"/>
      <c r="E3958" s="41">
        <v>46167</v>
      </c>
      <c r="F3958" s="47">
        <v>0.44497685185185187</v>
      </c>
      <c r="G3958" s="44">
        <v>6.3</v>
      </c>
      <c r="H3958" s="43" t="s">
        <v>230</v>
      </c>
      <c r="I3958" s="40" t="s">
        <v>1300</v>
      </c>
    </row>
    <row r="3959" spans="1:9" x14ac:dyDescent="0.2">
      <c r="A3959" s="40" t="s">
        <v>453</v>
      </c>
      <c r="B3959" s="28">
        <v>4251</v>
      </c>
      <c r="C3959" s="28" t="s">
        <v>1137</v>
      </c>
      <c r="D3959" s="28"/>
      <c r="E3959" s="41">
        <v>46167</v>
      </c>
      <c r="F3959" s="47">
        <v>0.45056712962962964</v>
      </c>
      <c r="G3959" s="44">
        <v>6.3</v>
      </c>
      <c r="H3959" s="43" t="s">
        <v>227</v>
      </c>
      <c r="I3959" s="40" t="s">
        <v>1300</v>
      </c>
    </row>
    <row r="3960" spans="1:9" x14ac:dyDescent="0.2">
      <c r="A3960" s="40" t="s">
        <v>453</v>
      </c>
      <c r="B3960" s="28">
        <v>4251</v>
      </c>
      <c r="C3960" s="28" t="s">
        <v>35</v>
      </c>
      <c r="D3960" s="28" t="s">
        <v>38</v>
      </c>
      <c r="E3960" s="41">
        <v>46170</v>
      </c>
      <c r="F3960" s="47">
        <v>0.30129629629629628</v>
      </c>
      <c r="G3960" s="44">
        <v>6.3</v>
      </c>
      <c r="H3960" s="43" t="s">
        <v>228</v>
      </c>
      <c r="I3960" s="40" t="s">
        <v>1300</v>
      </c>
    </row>
    <row r="3961" spans="1:9" x14ac:dyDescent="0.2">
      <c r="A3961" s="40" t="s">
        <v>453</v>
      </c>
      <c r="B3961" s="28">
        <v>4251</v>
      </c>
      <c r="C3961" s="28" t="s">
        <v>1138</v>
      </c>
      <c r="D3961" s="28"/>
      <c r="E3961" s="41">
        <v>46170</v>
      </c>
      <c r="F3961" s="47">
        <v>0.58196759259259256</v>
      </c>
      <c r="G3961" s="44">
        <v>6.3</v>
      </c>
      <c r="H3961" s="43" t="s">
        <v>228</v>
      </c>
      <c r="I3961" s="40" t="s">
        <v>1300</v>
      </c>
    </row>
    <row r="3962" spans="1:9" x14ac:dyDescent="0.2">
      <c r="A3962" s="40" t="s">
        <v>453</v>
      </c>
      <c r="B3962" s="28">
        <v>4251</v>
      </c>
      <c r="C3962" s="28" t="s">
        <v>1138</v>
      </c>
      <c r="D3962" s="28"/>
      <c r="E3962" s="41">
        <v>46170</v>
      </c>
      <c r="F3962" s="47">
        <v>0.59854166666666664</v>
      </c>
      <c r="G3962" s="44">
        <v>6.3</v>
      </c>
      <c r="H3962" s="43" t="s">
        <v>233</v>
      </c>
      <c r="I3962" s="40" t="s">
        <v>1300</v>
      </c>
    </row>
    <row r="3963" spans="1:9" x14ac:dyDescent="0.2">
      <c r="A3963" s="40" t="s">
        <v>453</v>
      </c>
      <c r="B3963" s="28">
        <v>4251</v>
      </c>
      <c r="C3963" s="28" t="s">
        <v>1139</v>
      </c>
      <c r="D3963" s="28"/>
      <c r="E3963" s="41">
        <v>46172</v>
      </c>
      <c r="F3963" s="47">
        <v>0.69158564814814816</v>
      </c>
      <c r="G3963" s="44">
        <v>6.3</v>
      </c>
      <c r="H3963" s="43" t="s">
        <v>228</v>
      </c>
      <c r="I3963" s="40" t="s">
        <v>1300</v>
      </c>
    </row>
    <row r="3964" spans="1:9" x14ac:dyDescent="0.2">
      <c r="A3964" s="40" t="s">
        <v>453</v>
      </c>
      <c r="B3964" s="28">
        <v>4251</v>
      </c>
      <c r="C3964" s="28" t="s">
        <v>1139</v>
      </c>
      <c r="D3964" s="28"/>
      <c r="E3964" s="41">
        <v>46172</v>
      </c>
      <c r="F3964" s="47">
        <v>0.70221064814814815</v>
      </c>
      <c r="G3964" s="44">
        <v>6.3</v>
      </c>
      <c r="H3964" s="43" t="s">
        <v>229</v>
      </c>
      <c r="I3964" s="40" t="s">
        <v>1300</v>
      </c>
    </row>
    <row r="3965" spans="1:9" x14ac:dyDescent="0.2">
      <c r="A3965" s="40" t="s">
        <v>453</v>
      </c>
      <c r="B3965" s="28">
        <v>4251</v>
      </c>
      <c r="C3965" s="28" t="s">
        <v>1140</v>
      </c>
      <c r="D3965" s="28"/>
      <c r="E3965" s="41">
        <v>46173</v>
      </c>
      <c r="F3965" s="47">
        <v>0.59089120370370374</v>
      </c>
      <c r="G3965" s="44">
        <v>6.3</v>
      </c>
      <c r="H3965" s="43" t="s">
        <v>228</v>
      </c>
      <c r="I3965" s="40" t="s">
        <v>1300</v>
      </c>
    </row>
    <row r="3966" spans="1:9" x14ac:dyDescent="0.2">
      <c r="A3966" s="40" t="s">
        <v>453</v>
      </c>
      <c r="B3966" s="28">
        <v>4251</v>
      </c>
      <c r="C3966" s="28" t="s">
        <v>1140</v>
      </c>
      <c r="D3966" s="28"/>
      <c r="E3966" s="41">
        <v>46173</v>
      </c>
      <c r="F3966" s="47">
        <v>0.59791666666666665</v>
      </c>
      <c r="G3966" s="44">
        <v>6.3</v>
      </c>
      <c r="H3966" s="43" t="s">
        <v>232</v>
      </c>
      <c r="I3966" s="40" t="s">
        <v>1300</v>
      </c>
    </row>
    <row r="3967" spans="1:9" x14ac:dyDescent="0.2">
      <c r="A3967" s="40" t="s">
        <v>454</v>
      </c>
      <c r="B3967" s="28">
        <v>4266</v>
      </c>
      <c r="C3967" s="28" t="s">
        <v>1141</v>
      </c>
      <c r="D3967" s="28"/>
      <c r="E3967" s="41">
        <v>46167</v>
      </c>
      <c r="F3967" s="47">
        <v>0.37443287037037037</v>
      </c>
      <c r="G3967" s="44">
        <v>6.3</v>
      </c>
      <c r="H3967" s="43" t="s">
        <v>228</v>
      </c>
      <c r="I3967" s="40" t="s">
        <v>1300</v>
      </c>
    </row>
    <row r="3968" spans="1:9" x14ac:dyDescent="0.2">
      <c r="A3968" s="40" t="s">
        <v>454</v>
      </c>
      <c r="B3968" s="28">
        <v>4266</v>
      </c>
      <c r="C3968" s="28">
        <v>5688230</v>
      </c>
      <c r="D3968" s="28"/>
      <c r="E3968" s="41">
        <v>46168</v>
      </c>
      <c r="F3968" s="47">
        <v>0.71598379629629627</v>
      </c>
      <c r="G3968" s="42">
        <v>6.3</v>
      </c>
      <c r="H3968" s="40" t="s">
        <v>228</v>
      </c>
      <c r="I3968" s="40" t="s">
        <v>1300</v>
      </c>
    </row>
    <row r="3969" spans="1:9" x14ac:dyDescent="0.2">
      <c r="A3969" s="40" t="s">
        <v>454</v>
      </c>
      <c r="B3969" s="28">
        <v>4266</v>
      </c>
      <c r="C3969" s="28">
        <v>5688230</v>
      </c>
      <c r="D3969" s="28"/>
      <c r="E3969" s="41">
        <v>46168</v>
      </c>
      <c r="F3969" s="47">
        <v>0.7285300925925926</v>
      </c>
      <c r="G3969" s="42">
        <v>6.3</v>
      </c>
      <c r="H3969" s="40" t="s">
        <v>229</v>
      </c>
      <c r="I3969" s="40" t="s">
        <v>1300</v>
      </c>
    </row>
    <row r="3970" spans="1:9" x14ac:dyDescent="0.2">
      <c r="A3970" s="40" t="s">
        <v>454</v>
      </c>
      <c r="B3970" s="28">
        <v>4266</v>
      </c>
      <c r="C3970" s="28" t="s">
        <v>1142</v>
      </c>
      <c r="D3970" s="28"/>
      <c r="E3970" s="41">
        <v>46169</v>
      </c>
      <c r="F3970" s="47">
        <v>0.90284722222222225</v>
      </c>
      <c r="G3970" s="42">
        <v>6.3</v>
      </c>
      <c r="H3970" s="40" t="s">
        <v>228</v>
      </c>
      <c r="I3970" s="40" t="s">
        <v>1300</v>
      </c>
    </row>
    <row r="3971" spans="1:9" x14ac:dyDescent="0.2">
      <c r="A3971" s="40" t="s">
        <v>454</v>
      </c>
      <c r="B3971" s="28">
        <v>4266</v>
      </c>
      <c r="C3971" s="28" t="s">
        <v>1142</v>
      </c>
      <c r="D3971" s="28"/>
      <c r="E3971" s="41">
        <v>46169</v>
      </c>
      <c r="F3971" s="47">
        <v>0.91024305555555551</v>
      </c>
      <c r="G3971" s="42">
        <v>6.3</v>
      </c>
      <c r="H3971" s="40" t="s">
        <v>229</v>
      </c>
      <c r="I3971" s="40" t="s">
        <v>1300</v>
      </c>
    </row>
    <row r="3972" spans="1:9" x14ac:dyDescent="0.2">
      <c r="A3972" s="40" t="s">
        <v>1143</v>
      </c>
      <c r="B3972" s="28">
        <v>4284</v>
      </c>
      <c r="C3972" s="28">
        <v>10765525</v>
      </c>
      <c r="D3972" s="28"/>
      <c r="E3972" s="45">
        <v>46171</v>
      </c>
      <c r="F3972" s="48">
        <v>0.52658564814814812</v>
      </c>
      <c r="G3972" s="42">
        <v>6.3</v>
      </c>
      <c r="H3972" s="40" t="s">
        <v>229</v>
      </c>
      <c r="I3972" s="40" t="s">
        <v>1300</v>
      </c>
    </row>
    <row r="3973" spans="1:9" x14ac:dyDescent="0.2">
      <c r="A3973" s="40" t="s">
        <v>84</v>
      </c>
      <c r="B3973" s="28">
        <v>4286</v>
      </c>
      <c r="C3973" s="28">
        <v>5684278</v>
      </c>
      <c r="D3973" s="28"/>
      <c r="E3973" s="41">
        <v>46167</v>
      </c>
      <c r="F3973" s="47">
        <v>0.13024305555555554</v>
      </c>
      <c r="G3973" s="44">
        <v>6.3</v>
      </c>
      <c r="H3973" s="43" t="s">
        <v>227</v>
      </c>
      <c r="I3973" s="40" t="s">
        <v>1300</v>
      </c>
    </row>
    <row r="3974" spans="1:9" x14ac:dyDescent="0.2">
      <c r="A3974" s="40" t="s">
        <v>84</v>
      </c>
      <c r="B3974" s="28">
        <v>4286</v>
      </c>
      <c r="C3974" s="28">
        <v>5684671</v>
      </c>
      <c r="D3974" s="28"/>
      <c r="E3974" s="41">
        <v>46168</v>
      </c>
      <c r="F3974" s="47">
        <v>0.14550925925925925</v>
      </c>
      <c r="G3974" s="44">
        <v>6.3</v>
      </c>
      <c r="H3974" s="43" t="s">
        <v>230</v>
      </c>
      <c r="I3974" s="40" t="s">
        <v>1300</v>
      </c>
    </row>
    <row r="3975" spans="1:9" x14ac:dyDescent="0.2">
      <c r="A3975" s="40" t="s">
        <v>84</v>
      </c>
      <c r="B3975" s="28">
        <v>4286</v>
      </c>
      <c r="C3975" s="28">
        <v>5684671</v>
      </c>
      <c r="D3975" s="28"/>
      <c r="E3975" s="45">
        <v>46168</v>
      </c>
      <c r="F3975" s="48">
        <v>0.15097222222222223</v>
      </c>
      <c r="G3975" s="44">
        <v>6.3</v>
      </c>
      <c r="H3975" s="43" t="s">
        <v>227</v>
      </c>
      <c r="I3975" s="40" t="s">
        <v>1300</v>
      </c>
    </row>
    <row r="3976" spans="1:9" x14ac:dyDescent="0.2">
      <c r="A3976" s="40" t="s">
        <v>84</v>
      </c>
      <c r="B3976" s="28">
        <v>4286</v>
      </c>
      <c r="C3976" s="28">
        <v>5680111</v>
      </c>
      <c r="D3976" s="28"/>
      <c r="E3976" s="41">
        <v>46168</v>
      </c>
      <c r="F3976" s="47">
        <v>0.24172453703703703</v>
      </c>
      <c r="G3976" s="44">
        <v>6.3</v>
      </c>
      <c r="H3976" s="43" t="s">
        <v>227</v>
      </c>
      <c r="I3976" s="40" t="s">
        <v>1300</v>
      </c>
    </row>
    <row r="3977" spans="1:9" x14ac:dyDescent="0.2">
      <c r="A3977" s="40" t="s">
        <v>84</v>
      </c>
      <c r="B3977" s="28">
        <v>4286</v>
      </c>
      <c r="C3977" s="28" t="s">
        <v>35</v>
      </c>
      <c r="D3977" s="28" t="s">
        <v>38</v>
      </c>
      <c r="E3977" s="41">
        <v>46168</v>
      </c>
      <c r="F3977" s="47">
        <v>0.30711805555555555</v>
      </c>
      <c r="G3977" s="44">
        <v>6.3</v>
      </c>
      <c r="H3977" s="43" t="s">
        <v>228</v>
      </c>
      <c r="I3977" s="40" t="s">
        <v>1300</v>
      </c>
    </row>
    <row r="3978" spans="1:9" x14ac:dyDescent="0.2">
      <c r="A3978" s="40" t="s">
        <v>84</v>
      </c>
      <c r="B3978" s="28">
        <v>4286</v>
      </c>
      <c r="C3978" s="28">
        <v>5686885</v>
      </c>
      <c r="D3978" s="28"/>
      <c r="E3978" s="41">
        <v>46168</v>
      </c>
      <c r="F3978" s="47">
        <v>0.34430555555555553</v>
      </c>
      <c r="G3978" s="44">
        <v>6.3</v>
      </c>
      <c r="H3978" s="43" t="s">
        <v>227</v>
      </c>
      <c r="I3978" s="40" t="s">
        <v>1300</v>
      </c>
    </row>
    <row r="3979" spans="1:9" x14ac:dyDescent="0.2">
      <c r="A3979" s="40" t="s">
        <v>84</v>
      </c>
      <c r="B3979" s="28">
        <v>4286</v>
      </c>
      <c r="C3979" s="28">
        <v>5679785</v>
      </c>
      <c r="D3979" s="28"/>
      <c r="E3979" s="41">
        <v>46169</v>
      </c>
      <c r="F3979" s="47">
        <v>0.15969907407407408</v>
      </c>
      <c r="G3979" s="44">
        <v>6.3</v>
      </c>
      <c r="H3979" s="43" t="s">
        <v>231</v>
      </c>
      <c r="I3979" s="40" t="s">
        <v>1300</v>
      </c>
    </row>
    <row r="3980" spans="1:9" x14ac:dyDescent="0.2">
      <c r="A3980" s="40" t="s">
        <v>84</v>
      </c>
      <c r="B3980" s="28">
        <v>4286</v>
      </c>
      <c r="C3980" s="28">
        <v>5679785</v>
      </c>
      <c r="D3980" s="28"/>
      <c r="E3980" s="41">
        <v>46169</v>
      </c>
      <c r="F3980" s="47">
        <v>0.1645486111111111</v>
      </c>
      <c r="G3980" s="44">
        <v>6.3</v>
      </c>
      <c r="H3980" s="43" t="s">
        <v>227</v>
      </c>
      <c r="I3980" s="40" t="s">
        <v>1300</v>
      </c>
    </row>
    <row r="3981" spans="1:9" x14ac:dyDescent="0.2">
      <c r="A3981" s="40" t="s">
        <v>84</v>
      </c>
      <c r="B3981" s="28">
        <v>4286</v>
      </c>
      <c r="C3981" s="28" t="s">
        <v>35</v>
      </c>
      <c r="D3981" s="28" t="s">
        <v>38</v>
      </c>
      <c r="E3981" s="41">
        <v>46169</v>
      </c>
      <c r="F3981" s="47">
        <v>0.19923611111111111</v>
      </c>
      <c r="G3981" s="44">
        <v>6.3</v>
      </c>
      <c r="H3981" s="43" t="s">
        <v>232</v>
      </c>
      <c r="I3981" s="40" t="s">
        <v>1300</v>
      </c>
    </row>
    <row r="3982" spans="1:9" x14ac:dyDescent="0.2">
      <c r="A3982" s="40" t="s">
        <v>84</v>
      </c>
      <c r="B3982" s="28">
        <v>4286</v>
      </c>
      <c r="C3982" s="28">
        <v>5684327</v>
      </c>
      <c r="D3982" s="28"/>
      <c r="E3982" s="41">
        <v>46169</v>
      </c>
      <c r="F3982" s="47">
        <v>0.23605324074074074</v>
      </c>
      <c r="G3982" s="44">
        <v>6.3</v>
      </c>
      <c r="H3982" s="43" t="s">
        <v>226</v>
      </c>
      <c r="I3982" s="40" t="s">
        <v>1300</v>
      </c>
    </row>
    <row r="3983" spans="1:9" x14ac:dyDescent="0.2">
      <c r="A3983" s="40" t="s">
        <v>84</v>
      </c>
      <c r="B3983" s="28">
        <v>4286</v>
      </c>
      <c r="C3983" s="28">
        <v>5684327</v>
      </c>
      <c r="D3983" s="28"/>
      <c r="E3983" s="41">
        <v>46169</v>
      </c>
      <c r="F3983" s="47">
        <v>0.24194444444444443</v>
      </c>
      <c r="G3983" s="44">
        <v>6.3</v>
      </c>
      <c r="H3983" s="43" t="s">
        <v>227</v>
      </c>
      <c r="I3983" s="40" t="s">
        <v>1300</v>
      </c>
    </row>
    <row r="3984" spans="1:9" x14ac:dyDescent="0.2">
      <c r="A3984" s="40" t="s">
        <v>84</v>
      </c>
      <c r="B3984" s="28">
        <v>4286</v>
      </c>
      <c r="C3984" s="28" t="s">
        <v>1144</v>
      </c>
      <c r="D3984" s="28"/>
      <c r="E3984" s="41">
        <v>46169</v>
      </c>
      <c r="F3984" s="47">
        <v>0.35167824074074072</v>
      </c>
      <c r="G3984" s="44">
        <v>6.3</v>
      </c>
      <c r="H3984" s="43" t="s">
        <v>228</v>
      </c>
      <c r="I3984" s="40" t="s">
        <v>1300</v>
      </c>
    </row>
    <row r="3985" spans="1:9" x14ac:dyDescent="0.2">
      <c r="A3985" s="40" t="s">
        <v>84</v>
      </c>
      <c r="B3985" s="28">
        <v>4286</v>
      </c>
      <c r="C3985" s="28" t="s">
        <v>1145</v>
      </c>
      <c r="D3985" s="28"/>
      <c r="E3985" s="41">
        <v>46169</v>
      </c>
      <c r="F3985" s="47">
        <v>0.64021990740740742</v>
      </c>
      <c r="G3985" s="44">
        <v>6.3</v>
      </c>
      <c r="H3985" s="43" t="s">
        <v>228</v>
      </c>
      <c r="I3985" s="40" t="s">
        <v>1300</v>
      </c>
    </row>
    <row r="3986" spans="1:9" x14ac:dyDescent="0.2">
      <c r="A3986" s="40" t="s">
        <v>84</v>
      </c>
      <c r="B3986" s="28">
        <v>4286</v>
      </c>
      <c r="C3986" s="28" t="s">
        <v>1145</v>
      </c>
      <c r="D3986" s="28"/>
      <c r="E3986" s="41">
        <v>46169</v>
      </c>
      <c r="F3986" s="47">
        <v>0.65233796296296298</v>
      </c>
      <c r="G3986" s="44">
        <v>6.3</v>
      </c>
      <c r="H3986" s="43" t="s">
        <v>229</v>
      </c>
      <c r="I3986" s="40" t="s">
        <v>1300</v>
      </c>
    </row>
    <row r="3987" spans="1:9" x14ac:dyDescent="0.2">
      <c r="A3987" s="40" t="s">
        <v>84</v>
      </c>
      <c r="B3987" s="28">
        <v>4286</v>
      </c>
      <c r="C3987" s="28">
        <v>5690640</v>
      </c>
      <c r="D3987" s="28"/>
      <c r="E3987" s="45">
        <v>46170</v>
      </c>
      <c r="F3987" s="48">
        <v>0.17438657407407407</v>
      </c>
      <c r="G3987" s="44">
        <v>6.3</v>
      </c>
      <c r="H3987" s="43" t="s">
        <v>227</v>
      </c>
      <c r="I3987" s="40" t="s">
        <v>1300</v>
      </c>
    </row>
    <row r="3988" spans="1:9" x14ac:dyDescent="0.2">
      <c r="A3988" s="40" t="s">
        <v>84</v>
      </c>
      <c r="B3988" s="28">
        <v>4286</v>
      </c>
      <c r="C3988" s="28" t="s">
        <v>1146</v>
      </c>
      <c r="D3988" s="28"/>
      <c r="E3988" s="41">
        <v>46170</v>
      </c>
      <c r="F3988" s="47">
        <v>0.50140046296296292</v>
      </c>
      <c r="G3988" s="44">
        <v>6.3</v>
      </c>
      <c r="H3988" s="43" t="s">
        <v>228</v>
      </c>
      <c r="I3988" s="40" t="s">
        <v>1300</v>
      </c>
    </row>
    <row r="3989" spans="1:9" x14ac:dyDescent="0.2">
      <c r="A3989" s="40" t="s">
        <v>84</v>
      </c>
      <c r="B3989" s="28">
        <v>4286</v>
      </c>
      <c r="C3989" s="28" t="s">
        <v>1146</v>
      </c>
      <c r="D3989" s="28"/>
      <c r="E3989" s="45">
        <v>46170</v>
      </c>
      <c r="F3989" s="48">
        <v>0.51069444444444445</v>
      </c>
      <c r="G3989" s="44">
        <v>6.3</v>
      </c>
      <c r="H3989" s="43" t="s">
        <v>229</v>
      </c>
      <c r="I3989" s="40" t="s">
        <v>1300</v>
      </c>
    </row>
    <row r="3990" spans="1:9" x14ac:dyDescent="0.2">
      <c r="A3990" s="40" t="s">
        <v>84</v>
      </c>
      <c r="B3990" s="28">
        <v>4286</v>
      </c>
      <c r="C3990" s="28" t="s">
        <v>35</v>
      </c>
      <c r="D3990" s="28" t="s">
        <v>38</v>
      </c>
      <c r="E3990" s="41">
        <v>46170</v>
      </c>
      <c r="F3990" s="47">
        <v>0.52425925925925931</v>
      </c>
      <c r="G3990" s="44">
        <v>6.3</v>
      </c>
      <c r="H3990" s="43" t="s">
        <v>230</v>
      </c>
      <c r="I3990" s="40" t="s">
        <v>1300</v>
      </c>
    </row>
    <row r="3991" spans="1:9" x14ac:dyDescent="0.2">
      <c r="A3991" s="40" t="s">
        <v>84</v>
      </c>
      <c r="B3991" s="28">
        <v>4286</v>
      </c>
      <c r="C3991" s="28" t="s">
        <v>35</v>
      </c>
      <c r="D3991" s="28" t="s">
        <v>38</v>
      </c>
      <c r="E3991" s="41">
        <v>46171</v>
      </c>
      <c r="F3991" s="47">
        <v>0.12730324074074073</v>
      </c>
      <c r="G3991" s="44">
        <v>6.3</v>
      </c>
      <c r="H3991" s="43" t="s">
        <v>231</v>
      </c>
      <c r="I3991" s="40" t="s">
        <v>1300</v>
      </c>
    </row>
    <row r="3992" spans="1:9" x14ac:dyDescent="0.2">
      <c r="A3992" s="40" t="s">
        <v>84</v>
      </c>
      <c r="B3992" s="28">
        <v>4286</v>
      </c>
      <c r="C3992" s="28">
        <v>5691657</v>
      </c>
      <c r="D3992" s="28"/>
      <c r="E3992" s="45">
        <v>46171</v>
      </c>
      <c r="F3992" s="48">
        <v>0.22648148148148148</v>
      </c>
      <c r="G3992" s="44">
        <v>6.3</v>
      </c>
      <c r="H3992" s="43" t="s">
        <v>227</v>
      </c>
      <c r="I3992" s="40" t="s">
        <v>1300</v>
      </c>
    </row>
    <row r="3993" spans="1:9" x14ac:dyDescent="0.2">
      <c r="A3993" s="40" t="s">
        <v>84</v>
      </c>
      <c r="B3993" s="28">
        <v>4286</v>
      </c>
      <c r="C3993" s="28">
        <v>5692521</v>
      </c>
      <c r="D3993" s="28"/>
      <c r="E3993" s="41">
        <v>46171</v>
      </c>
      <c r="F3993" s="47">
        <v>0.36658564814814815</v>
      </c>
      <c r="G3993" s="42">
        <v>6.3</v>
      </c>
      <c r="H3993" s="40" t="s">
        <v>227</v>
      </c>
      <c r="I3993" s="40" t="s">
        <v>1300</v>
      </c>
    </row>
    <row r="3994" spans="1:9" x14ac:dyDescent="0.2">
      <c r="A3994" s="40" t="s">
        <v>84</v>
      </c>
      <c r="B3994" s="28">
        <v>4286</v>
      </c>
      <c r="C3994" s="28">
        <v>5694303</v>
      </c>
      <c r="D3994" s="28" t="s">
        <v>36</v>
      </c>
      <c r="E3994" s="41">
        <v>46172</v>
      </c>
      <c r="F3994" s="47">
        <v>0.16142361111111111</v>
      </c>
      <c r="G3994" s="42">
        <v>6.3</v>
      </c>
      <c r="H3994" s="40" t="s">
        <v>227</v>
      </c>
      <c r="I3994" s="40" t="s">
        <v>1300</v>
      </c>
    </row>
    <row r="3995" spans="1:9" x14ac:dyDescent="0.2">
      <c r="A3995" s="40" t="s">
        <v>84</v>
      </c>
      <c r="B3995" s="28">
        <v>4286</v>
      </c>
      <c r="C3995" s="28">
        <v>5695438</v>
      </c>
      <c r="D3995" s="28"/>
      <c r="E3995" s="41">
        <v>46173</v>
      </c>
      <c r="F3995" s="47">
        <v>0.29359953703703706</v>
      </c>
      <c r="G3995" s="44">
        <v>6.3</v>
      </c>
      <c r="H3995" s="43" t="s">
        <v>228</v>
      </c>
      <c r="I3995" s="40" t="s">
        <v>1300</v>
      </c>
    </row>
    <row r="3996" spans="1:9" x14ac:dyDescent="0.2">
      <c r="A3996" s="40" t="s">
        <v>84</v>
      </c>
      <c r="B3996" s="28">
        <v>4286</v>
      </c>
      <c r="C3996" s="28">
        <v>5695438</v>
      </c>
      <c r="D3996" s="28"/>
      <c r="E3996" s="41">
        <v>46173</v>
      </c>
      <c r="F3996" s="47">
        <v>0.30082175925925925</v>
      </c>
      <c r="G3996" s="44">
        <v>6.3</v>
      </c>
      <c r="H3996" s="43" t="s">
        <v>229</v>
      </c>
      <c r="I3996" s="40" t="s">
        <v>1300</v>
      </c>
    </row>
    <row r="3997" spans="1:9" x14ac:dyDescent="0.2">
      <c r="A3997" s="40" t="s">
        <v>84</v>
      </c>
      <c r="B3997" s="28">
        <v>4286</v>
      </c>
      <c r="C3997" s="28" t="s">
        <v>35</v>
      </c>
      <c r="D3997" s="28" t="s">
        <v>38</v>
      </c>
      <c r="E3997" s="41">
        <v>46173</v>
      </c>
      <c r="F3997" s="47">
        <v>0.31795138888888891</v>
      </c>
      <c r="G3997" s="44">
        <v>6.3</v>
      </c>
      <c r="H3997" s="43" t="s">
        <v>230</v>
      </c>
      <c r="I3997" s="40" t="s">
        <v>1300</v>
      </c>
    </row>
    <row r="3998" spans="1:9" x14ac:dyDescent="0.2">
      <c r="A3998" s="40" t="s">
        <v>84</v>
      </c>
      <c r="B3998" s="28">
        <v>4286</v>
      </c>
      <c r="C3998" s="28" t="s">
        <v>35</v>
      </c>
      <c r="D3998" s="28" t="s">
        <v>38</v>
      </c>
      <c r="E3998" s="41">
        <v>46173</v>
      </c>
      <c r="F3998" s="47">
        <v>0.32332175925925927</v>
      </c>
      <c r="G3998" s="44">
        <v>6.3</v>
      </c>
      <c r="H3998" s="43" t="s">
        <v>227</v>
      </c>
      <c r="I3998" s="40" t="s">
        <v>1300</v>
      </c>
    </row>
    <row r="3999" spans="1:9" x14ac:dyDescent="0.2">
      <c r="A3999" s="40" t="s">
        <v>84</v>
      </c>
      <c r="B3999" s="28">
        <v>4286</v>
      </c>
      <c r="C3999" s="28" t="s">
        <v>1147</v>
      </c>
      <c r="D3999" s="28"/>
      <c r="E3999" s="41">
        <v>46173</v>
      </c>
      <c r="F3999" s="47">
        <v>0.65134259259259264</v>
      </c>
      <c r="G3999" s="44">
        <v>6.3</v>
      </c>
      <c r="H3999" s="43" t="s">
        <v>228</v>
      </c>
      <c r="I3999" s="40" t="s">
        <v>1300</v>
      </c>
    </row>
    <row r="4000" spans="1:9" x14ac:dyDescent="0.2">
      <c r="A4000" s="40" t="s">
        <v>455</v>
      </c>
      <c r="B4000" s="28">
        <v>4290</v>
      </c>
      <c r="C4000" s="28" t="s">
        <v>1148</v>
      </c>
      <c r="D4000" s="28"/>
      <c r="E4000" s="41">
        <v>46167</v>
      </c>
      <c r="F4000" s="47">
        <v>0.87320601851851853</v>
      </c>
      <c r="G4000" s="44">
        <v>6.3</v>
      </c>
      <c r="H4000" s="43" t="s">
        <v>228</v>
      </c>
      <c r="I4000" s="40" t="s">
        <v>1300</v>
      </c>
    </row>
    <row r="4001" spans="1:9" x14ac:dyDescent="0.2">
      <c r="A4001" s="40" t="s">
        <v>455</v>
      </c>
      <c r="B4001" s="28">
        <v>4290</v>
      </c>
      <c r="C4001" s="28" t="s">
        <v>1148</v>
      </c>
      <c r="D4001" s="28"/>
      <c r="E4001" s="41">
        <v>46167</v>
      </c>
      <c r="F4001" s="47">
        <v>0.88093750000000004</v>
      </c>
      <c r="G4001" s="44">
        <v>6.3</v>
      </c>
      <c r="H4001" s="43" t="s">
        <v>229</v>
      </c>
      <c r="I4001" s="40" t="s">
        <v>1300</v>
      </c>
    </row>
    <row r="4002" spans="1:9" x14ac:dyDescent="0.2">
      <c r="A4002" s="40" t="s">
        <v>456</v>
      </c>
      <c r="B4002" s="28">
        <v>4294</v>
      </c>
      <c r="C4002" s="28" t="s">
        <v>35</v>
      </c>
      <c r="D4002" s="28" t="s">
        <v>38</v>
      </c>
      <c r="E4002" s="45">
        <v>46168</v>
      </c>
      <c r="F4002" s="48">
        <v>0.65637731481481476</v>
      </c>
      <c r="G4002" s="44">
        <v>6.3</v>
      </c>
      <c r="H4002" s="43" t="s">
        <v>230</v>
      </c>
      <c r="I4002" s="40" t="s">
        <v>1300</v>
      </c>
    </row>
    <row r="4003" spans="1:9" x14ac:dyDescent="0.2">
      <c r="A4003" s="40" t="s">
        <v>456</v>
      </c>
      <c r="B4003" s="28">
        <v>4294</v>
      </c>
      <c r="C4003" s="28" t="s">
        <v>1149</v>
      </c>
      <c r="D4003" s="28"/>
      <c r="E4003" s="41">
        <v>46172</v>
      </c>
      <c r="F4003" s="47">
        <v>0.24063657407407407</v>
      </c>
      <c r="G4003" s="44">
        <v>6.3</v>
      </c>
      <c r="H4003" s="43" t="s">
        <v>230</v>
      </c>
      <c r="I4003" s="40" t="s">
        <v>1300</v>
      </c>
    </row>
    <row r="4004" spans="1:9" x14ac:dyDescent="0.2">
      <c r="A4004" s="40" t="s">
        <v>456</v>
      </c>
      <c r="B4004" s="28">
        <v>4294</v>
      </c>
      <c r="C4004" s="28" t="s">
        <v>1149</v>
      </c>
      <c r="D4004" s="28"/>
      <c r="E4004" s="41">
        <v>46172</v>
      </c>
      <c r="F4004" s="47">
        <v>0.24675925925925926</v>
      </c>
      <c r="G4004" s="44">
        <v>6.3</v>
      </c>
      <c r="H4004" s="43" t="s">
        <v>227</v>
      </c>
      <c r="I4004" s="40" t="s">
        <v>1300</v>
      </c>
    </row>
    <row r="4005" spans="1:9" x14ac:dyDescent="0.2">
      <c r="A4005" s="40" t="s">
        <v>456</v>
      </c>
      <c r="B4005" s="28">
        <v>4294</v>
      </c>
      <c r="C4005" s="28" t="s">
        <v>1150</v>
      </c>
      <c r="D4005" s="28"/>
      <c r="E4005" s="41">
        <v>46172</v>
      </c>
      <c r="F4005" s="47">
        <v>0.3316898148148148</v>
      </c>
      <c r="G4005" s="44">
        <v>6.3</v>
      </c>
      <c r="H4005" s="43" t="s">
        <v>228</v>
      </c>
      <c r="I4005" s="40" t="s">
        <v>1300</v>
      </c>
    </row>
    <row r="4006" spans="1:9" x14ac:dyDescent="0.2">
      <c r="A4006" s="40" t="s">
        <v>456</v>
      </c>
      <c r="B4006" s="28">
        <v>4294</v>
      </c>
      <c r="C4006" s="28" t="s">
        <v>1150</v>
      </c>
      <c r="D4006" s="28"/>
      <c r="E4006" s="41">
        <v>46172</v>
      </c>
      <c r="F4006" s="47">
        <v>0.33944444444444444</v>
      </c>
      <c r="G4006" s="44">
        <v>6.3</v>
      </c>
      <c r="H4006" s="43" t="s">
        <v>229</v>
      </c>
      <c r="I4006" s="40" t="s">
        <v>1300</v>
      </c>
    </row>
    <row r="4007" spans="1:9" x14ac:dyDescent="0.2">
      <c r="A4007" s="40" t="s">
        <v>456</v>
      </c>
      <c r="B4007" s="28">
        <v>4294</v>
      </c>
      <c r="C4007" s="28">
        <v>5693317</v>
      </c>
      <c r="D4007" s="28"/>
      <c r="E4007" s="41">
        <v>46172</v>
      </c>
      <c r="F4007" s="47">
        <v>0.47726851851851854</v>
      </c>
      <c r="G4007" s="44">
        <v>6.3</v>
      </c>
      <c r="H4007" s="43" t="s">
        <v>230</v>
      </c>
      <c r="I4007" s="40" t="s">
        <v>1300</v>
      </c>
    </row>
    <row r="4008" spans="1:9" x14ac:dyDescent="0.2">
      <c r="A4008" s="40" t="s">
        <v>456</v>
      </c>
      <c r="B4008" s="28">
        <v>4294</v>
      </c>
      <c r="C4008" s="28">
        <v>5693317</v>
      </c>
      <c r="D4008" s="28"/>
      <c r="E4008" s="41">
        <v>46172</v>
      </c>
      <c r="F4008" s="47">
        <v>0.48326388888888888</v>
      </c>
      <c r="G4008" s="44">
        <v>6.3</v>
      </c>
      <c r="H4008" s="43" t="s">
        <v>227</v>
      </c>
      <c r="I4008" s="40" t="s">
        <v>1300</v>
      </c>
    </row>
    <row r="4009" spans="1:9" x14ac:dyDescent="0.2">
      <c r="A4009" s="40" t="s">
        <v>457</v>
      </c>
      <c r="B4009" s="28">
        <v>4296</v>
      </c>
      <c r="C4009" s="28" t="s">
        <v>1151</v>
      </c>
      <c r="D4009" s="28"/>
      <c r="E4009" s="41">
        <v>46167</v>
      </c>
      <c r="F4009" s="47">
        <v>0.39521990740740742</v>
      </c>
      <c r="G4009" s="44">
        <v>6.3</v>
      </c>
      <c r="H4009" s="43" t="s">
        <v>230</v>
      </c>
      <c r="I4009" s="40" t="s">
        <v>1300</v>
      </c>
    </row>
    <row r="4010" spans="1:9" x14ac:dyDescent="0.2">
      <c r="A4010" s="40" t="s">
        <v>457</v>
      </c>
      <c r="B4010" s="28">
        <v>4296</v>
      </c>
      <c r="C4010" s="28" t="s">
        <v>1151</v>
      </c>
      <c r="D4010" s="28"/>
      <c r="E4010" s="41">
        <v>46167</v>
      </c>
      <c r="F4010" s="47">
        <v>0.40394675925925927</v>
      </c>
      <c r="G4010" s="42">
        <v>6.3</v>
      </c>
      <c r="H4010" s="40" t="s">
        <v>227</v>
      </c>
      <c r="I4010" s="40" t="s">
        <v>1300</v>
      </c>
    </row>
    <row r="4011" spans="1:9" x14ac:dyDescent="0.2">
      <c r="A4011" s="40" t="s">
        <v>457</v>
      </c>
      <c r="B4011" s="28">
        <v>4296</v>
      </c>
      <c r="C4011" s="28" t="s">
        <v>1152</v>
      </c>
      <c r="D4011" s="28"/>
      <c r="E4011" s="41">
        <v>46171</v>
      </c>
      <c r="F4011" s="47">
        <v>0.50995370370370374</v>
      </c>
      <c r="G4011" s="42">
        <v>6.3</v>
      </c>
      <c r="H4011" s="40" t="s">
        <v>230</v>
      </c>
      <c r="I4011" s="40" t="s">
        <v>1300</v>
      </c>
    </row>
    <row r="4012" spans="1:9" x14ac:dyDescent="0.2">
      <c r="A4012" s="40" t="s">
        <v>457</v>
      </c>
      <c r="B4012" s="28">
        <v>4296</v>
      </c>
      <c r="C4012" s="28" t="s">
        <v>1152</v>
      </c>
      <c r="D4012" s="28"/>
      <c r="E4012" s="41">
        <v>46171</v>
      </c>
      <c r="F4012" s="47">
        <v>0.52400462962962968</v>
      </c>
      <c r="G4012" s="44">
        <v>6.3</v>
      </c>
      <c r="H4012" s="43" t="s">
        <v>227</v>
      </c>
      <c r="I4012" s="40" t="s">
        <v>1300</v>
      </c>
    </row>
    <row r="4013" spans="1:9" x14ac:dyDescent="0.2">
      <c r="A4013" s="40" t="s">
        <v>457</v>
      </c>
      <c r="B4013" s="28">
        <v>4296</v>
      </c>
      <c r="C4013" s="28" t="s">
        <v>1153</v>
      </c>
      <c r="D4013" s="28"/>
      <c r="E4013" s="41">
        <v>46171</v>
      </c>
      <c r="F4013" s="47">
        <v>0.56288194444444439</v>
      </c>
      <c r="G4013" s="44">
        <v>6.3</v>
      </c>
      <c r="H4013" s="43" t="s">
        <v>228</v>
      </c>
      <c r="I4013" s="40" t="s">
        <v>1300</v>
      </c>
    </row>
    <row r="4014" spans="1:9" x14ac:dyDescent="0.2">
      <c r="A4014" s="40" t="s">
        <v>457</v>
      </c>
      <c r="B4014" s="28">
        <v>4296</v>
      </c>
      <c r="C4014" s="28" t="s">
        <v>1153</v>
      </c>
      <c r="D4014" s="28"/>
      <c r="E4014" s="41">
        <v>46171</v>
      </c>
      <c r="F4014" s="47">
        <v>0.57260416666666669</v>
      </c>
      <c r="G4014" s="44">
        <v>6.3</v>
      </c>
      <c r="H4014" s="43" t="s">
        <v>229</v>
      </c>
      <c r="I4014" s="40" t="s">
        <v>1300</v>
      </c>
    </row>
    <row r="4015" spans="1:9" x14ac:dyDescent="0.2">
      <c r="A4015" s="40" t="s">
        <v>457</v>
      </c>
      <c r="B4015" s="28">
        <v>4296</v>
      </c>
      <c r="C4015" s="28" t="s">
        <v>1154</v>
      </c>
      <c r="D4015" s="28"/>
      <c r="E4015" s="41">
        <v>46171</v>
      </c>
      <c r="F4015" s="47">
        <v>0.67622685185185183</v>
      </c>
      <c r="G4015" s="44">
        <v>6.3</v>
      </c>
      <c r="H4015" s="43" t="s">
        <v>227</v>
      </c>
      <c r="I4015" s="40" t="s">
        <v>1300</v>
      </c>
    </row>
    <row r="4016" spans="1:9" x14ac:dyDescent="0.2">
      <c r="A4016" s="40" t="s">
        <v>457</v>
      </c>
      <c r="B4016" s="28">
        <v>4296</v>
      </c>
      <c r="C4016" s="28" t="s">
        <v>1155</v>
      </c>
      <c r="D4016" s="28"/>
      <c r="E4016" s="41">
        <v>46172</v>
      </c>
      <c r="F4016" s="47">
        <v>0.32219907407407405</v>
      </c>
      <c r="G4016" s="44">
        <v>6.3</v>
      </c>
      <c r="H4016" s="43" t="s">
        <v>228</v>
      </c>
      <c r="I4016" s="40" t="s">
        <v>1300</v>
      </c>
    </row>
    <row r="4017" spans="1:9" x14ac:dyDescent="0.2">
      <c r="A4017" s="40" t="s">
        <v>457</v>
      </c>
      <c r="B4017" s="28">
        <v>4296</v>
      </c>
      <c r="C4017" s="28" t="s">
        <v>1155</v>
      </c>
      <c r="D4017" s="28"/>
      <c r="E4017" s="41">
        <v>46172</v>
      </c>
      <c r="F4017" s="47">
        <v>0.33258101851851851</v>
      </c>
      <c r="G4017" s="44">
        <v>6.3</v>
      </c>
      <c r="H4017" s="43" t="s">
        <v>229</v>
      </c>
      <c r="I4017" s="40" t="s">
        <v>1300</v>
      </c>
    </row>
    <row r="4018" spans="1:9" x14ac:dyDescent="0.2">
      <c r="A4018" s="40" t="s">
        <v>457</v>
      </c>
      <c r="B4018" s="28">
        <v>4296</v>
      </c>
      <c r="C4018" s="28" t="s">
        <v>1156</v>
      </c>
      <c r="D4018" s="28"/>
      <c r="E4018" s="41">
        <v>46172</v>
      </c>
      <c r="F4018" s="47">
        <v>0.44084490740740739</v>
      </c>
      <c r="G4018" s="44">
        <v>6.3</v>
      </c>
      <c r="H4018" s="43" t="s">
        <v>230</v>
      </c>
      <c r="I4018" s="40" t="s">
        <v>1300</v>
      </c>
    </row>
    <row r="4019" spans="1:9" x14ac:dyDescent="0.2">
      <c r="A4019" s="40" t="s">
        <v>457</v>
      </c>
      <c r="B4019" s="28">
        <v>4296</v>
      </c>
      <c r="C4019" s="28" t="s">
        <v>1156</v>
      </c>
      <c r="D4019" s="28"/>
      <c r="E4019" s="41">
        <v>46172</v>
      </c>
      <c r="F4019" s="47">
        <v>0.44658564814814816</v>
      </c>
      <c r="G4019" s="44">
        <v>6.3</v>
      </c>
      <c r="H4019" s="43" t="s">
        <v>227</v>
      </c>
      <c r="I4019" s="40" t="s">
        <v>1300</v>
      </c>
    </row>
    <row r="4020" spans="1:9" x14ac:dyDescent="0.2">
      <c r="A4020" s="40" t="s">
        <v>457</v>
      </c>
      <c r="B4020" s="28">
        <v>4296</v>
      </c>
      <c r="C4020" s="28" t="s">
        <v>35</v>
      </c>
      <c r="D4020" s="28" t="s">
        <v>38</v>
      </c>
      <c r="E4020" s="41">
        <v>46172</v>
      </c>
      <c r="F4020" s="47">
        <v>0.74848379629629624</v>
      </c>
      <c r="G4020" s="44">
        <v>6.3</v>
      </c>
      <c r="H4020" s="43" t="s">
        <v>228</v>
      </c>
      <c r="I4020" s="40" t="s">
        <v>1300</v>
      </c>
    </row>
    <row r="4021" spans="1:9" x14ac:dyDescent="0.2">
      <c r="A4021" s="40" t="s">
        <v>457</v>
      </c>
      <c r="B4021" s="28">
        <v>4296</v>
      </c>
      <c r="C4021" s="28" t="s">
        <v>35</v>
      </c>
      <c r="D4021" s="28" t="s">
        <v>38</v>
      </c>
      <c r="E4021" s="45">
        <v>46172</v>
      </c>
      <c r="F4021" s="48">
        <v>0.83237268518518515</v>
      </c>
      <c r="G4021" s="44">
        <v>6.3</v>
      </c>
      <c r="H4021" s="43" t="s">
        <v>227</v>
      </c>
      <c r="I4021" s="40" t="s">
        <v>1300</v>
      </c>
    </row>
    <row r="4022" spans="1:9" x14ac:dyDescent="0.2">
      <c r="A4022" s="40" t="s">
        <v>458</v>
      </c>
      <c r="B4022" s="28">
        <v>4300</v>
      </c>
      <c r="C4022" s="28" t="s">
        <v>1157</v>
      </c>
      <c r="D4022" s="28"/>
      <c r="E4022" s="41">
        <v>46168</v>
      </c>
      <c r="F4022" s="47">
        <v>0.83474537037037033</v>
      </c>
      <c r="G4022" s="44">
        <v>6.3</v>
      </c>
      <c r="H4022" s="43" t="s">
        <v>228</v>
      </c>
      <c r="I4022" s="40" t="s">
        <v>1300</v>
      </c>
    </row>
    <row r="4023" spans="1:9" x14ac:dyDescent="0.2">
      <c r="A4023" s="40" t="s">
        <v>458</v>
      </c>
      <c r="B4023" s="28">
        <v>4300</v>
      </c>
      <c r="C4023" s="28" t="s">
        <v>1157</v>
      </c>
      <c r="D4023" s="28"/>
      <c r="E4023" s="41">
        <v>46168</v>
      </c>
      <c r="F4023" s="47">
        <v>0.84392361111111114</v>
      </c>
      <c r="G4023" s="44">
        <v>6.3</v>
      </c>
      <c r="H4023" s="43" t="s">
        <v>229</v>
      </c>
      <c r="I4023" s="40" t="s">
        <v>1300</v>
      </c>
    </row>
    <row r="4024" spans="1:9" x14ac:dyDescent="0.2">
      <c r="A4024" s="40" t="s">
        <v>458</v>
      </c>
      <c r="B4024" s="28">
        <v>4300</v>
      </c>
      <c r="C4024" s="28" t="s">
        <v>35</v>
      </c>
      <c r="D4024" s="28" t="s">
        <v>38</v>
      </c>
      <c r="E4024" s="41">
        <v>46171</v>
      </c>
      <c r="F4024" s="47">
        <v>0.58849537037037036</v>
      </c>
      <c r="G4024" s="44">
        <v>6.3</v>
      </c>
      <c r="H4024" s="43" t="s">
        <v>230</v>
      </c>
      <c r="I4024" s="40" t="s">
        <v>1300</v>
      </c>
    </row>
    <row r="4025" spans="1:9" x14ac:dyDescent="0.2">
      <c r="A4025" s="40" t="s">
        <v>458</v>
      </c>
      <c r="B4025" s="28">
        <v>4300</v>
      </c>
      <c r="C4025" s="28" t="s">
        <v>35</v>
      </c>
      <c r="D4025" s="28" t="s">
        <v>38</v>
      </c>
      <c r="E4025" s="41">
        <v>46171</v>
      </c>
      <c r="F4025" s="47">
        <v>0.6039930555555556</v>
      </c>
      <c r="G4025" s="44">
        <v>6.3</v>
      </c>
      <c r="H4025" s="43" t="s">
        <v>227</v>
      </c>
      <c r="I4025" s="40" t="s">
        <v>1300</v>
      </c>
    </row>
    <row r="4026" spans="1:9" x14ac:dyDescent="0.2">
      <c r="A4026" s="40" t="s">
        <v>458</v>
      </c>
      <c r="B4026" s="28">
        <v>4300</v>
      </c>
      <c r="C4026" s="28" t="s">
        <v>35</v>
      </c>
      <c r="D4026" s="28" t="s">
        <v>38</v>
      </c>
      <c r="E4026" s="41">
        <v>46171</v>
      </c>
      <c r="F4026" s="47">
        <v>0.62650462962962961</v>
      </c>
      <c r="G4026" s="42">
        <v>6.3</v>
      </c>
      <c r="H4026" s="40" t="s">
        <v>228</v>
      </c>
      <c r="I4026" s="40" t="s">
        <v>1300</v>
      </c>
    </row>
    <row r="4027" spans="1:9" x14ac:dyDescent="0.2">
      <c r="A4027" s="40" t="s">
        <v>458</v>
      </c>
      <c r="B4027" s="28">
        <v>4300</v>
      </c>
      <c r="C4027" s="28" t="s">
        <v>35</v>
      </c>
      <c r="D4027" s="28" t="s">
        <v>38</v>
      </c>
      <c r="E4027" s="41">
        <v>46171</v>
      </c>
      <c r="F4027" s="47">
        <v>0.63559027777777777</v>
      </c>
      <c r="G4027" s="42">
        <v>6.3</v>
      </c>
      <c r="H4027" s="40" t="s">
        <v>229</v>
      </c>
      <c r="I4027" s="40" t="s">
        <v>1300</v>
      </c>
    </row>
    <row r="4028" spans="1:9" x14ac:dyDescent="0.2">
      <c r="A4028" s="40" t="s">
        <v>458</v>
      </c>
      <c r="B4028" s="28">
        <v>4300</v>
      </c>
      <c r="C4028" s="28" t="s">
        <v>1158</v>
      </c>
      <c r="D4028" s="28"/>
      <c r="E4028" s="45">
        <v>46172</v>
      </c>
      <c r="F4028" s="48">
        <v>0.71303240740740736</v>
      </c>
      <c r="G4028" s="42">
        <v>6.3</v>
      </c>
      <c r="H4028" s="40" t="s">
        <v>228</v>
      </c>
      <c r="I4028" s="40" t="s">
        <v>1300</v>
      </c>
    </row>
    <row r="4029" spans="1:9" x14ac:dyDescent="0.2">
      <c r="A4029" s="40" t="s">
        <v>458</v>
      </c>
      <c r="B4029" s="28">
        <v>4300</v>
      </c>
      <c r="C4029" s="28" t="s">
        <v>35</v>
      </c>
      <c r="D4029" s="28" t="s">
        <v>38</v>
      </c>
      <c r="E4029" s="41">
        <v>46172</v>
      </c>
      <c r="F4029" s="47">
        <v>0.7421875</v>
      </c>
      <c r="G4029" s="42">
        <v>6.3</v>
      </c>
      <c r="H4029" s="40" t="s">
        <v>227</v>
      </c>
      <c r="I4029" s="40" t="s">
        <v>1300</v>
      </c>
    </row>
    <row r="4030" spans="1:9" x14ac:dyDescent="0.2">
      <c r="A4030" s="40" t="s">
        <v>458</v>
      </c>
      <c r="B4030" s="28">
        <v>4300</v>
      </c>
      <c r="C4030" s="28">
        <v>5695406</v>
      </c>
      <c r="D4030" s="28"/>
      <c r="E4030" s="41">
        <v>46173</v>
      </c>
      <c r="F4030" s="47">
        <v>0.29344907407407406</v>
      </c>
      <c r="G4030" s="44">
        <v>6.3</v>
      </c>
      <c r="H4030" s="43" t="s">
        <v>228</v>
      </c>
      <c r="I4030" s="40" t="s">
        <v>1300</v>
      </c>
    </row>
    <row r="4031" spans="1:9" x14ac:dyDescent="0.2">
      <c r="A4031" s="40" t="s">
        <v>458</v>
      </c>
      <c r="B4031" s="28">
        <v>4300</v>
      </c>
      <c r="C4031" s="28">
        <v>5695406</v>
      </c>
      <c r="D4031" s="28"/>
      <c r="E4031" s="41">
        <v>46173</v>
      </c>
      <c r="F4031" s="47">
        <v>0.30064814814814816</v>
      </c>
      <c r="G4031" s="44">
        <v>6.3</v>
      </c>
      <c r="H4031" s="43" t="s">
        <v>229</v>
      </c>
      <c r="I4031" s="40" t="s">
        <v>1300</v>
      </c>
    </row>
    <row r="4032" spans="1:9" x14ac:dyDescent="0.2">
      <c r="A4032" s="40" t="s">
        <v>458</v>
      </c>
      <c r="B4032" s="28">
        <v>4300</v>
      </c>
      <c r="C4032" s="28" t="s">
        <v>35</v>
      </c>
      <c r="D4032" s="28" t="s">
        <v>38</v>
      </c>
      <c r="E4032" s="41">
        <v>46173</v>
      </c>
      <c r="F4032" s="47">
        <v>0.34</v>
      </c>
      <c r="G4032" s="44">
        <v>6.3</v>
      </c>
      <c r="H4032" s="43" t="s">
        <v>230</v>
      </c>
      <c r="I4032" s="40" t="s">
        <v>1300</v>
      </c>
    </row>
    <row r="4033" spans="1:9" x14ac:dyDescent="0.2">
      <c r="A4033" s="40" t="s">
        <v>458</v>
      </c>
      <c r="B4033" s="28">
        <v>4300</v>
      </c>
      <c r="C4033" s="28" t="s">
        <v>35</v>
      </c>
      <c r="D4033" s="28" t="s">
        <v>38</v>
      </c>
      <c r="E4033" s="41">
        <v>46173</v>
      </c>
      <c r="F4033" s="47">
        <v>0.34555555555555556</v>
      </c>
      <c r="G4033" s="44">
        <v>6.3</v>
      </c>
      <c r="H4033" s="43" t="s">
        <v>227</v>
      </c>
      <c r="I4033" s="40" t="s">
        <v>1300</v>
      </c>
    </row>
    <row r="4034" spans="1:9" x14ac:dyDescent="0.2">
      <c r="A4034" s="40" t="s">
        <v>459</v>
      </c>
      <c r="B4034" s="28">
        <v>4301</v>
      </c>
      <c r="C4034" s="28" t="s">
        <v>1159</v>
      </c>
      <c r="D4034" s="28"/>
      <c r="E4034" s="41">
        <v>46167</v>
      </c>
      <c r="F4034" s="47">
        <v>0.4806597222222222</v>
      </c>
      <c r="G4034" s="44">
        <v>6.3</v>
      </c>
      <c r="H4034" s="43" t="s">
        <v>226</v>
      </c>
      <c r="I4034" s="40" t="s">
        <v>1300</v>
      </c>
    </row>
    <row r="4035" spans="1:9" x14ac:dyDescent="0.2">
      <c r="A4035" s="40" t="s">
        <v>459</v>
      </c>
      <c r="B4035" s="28">
        <v>4301</v>
      </c>
      <c r="C4035" s="28" t="s">
        <v>1159</v>
      </c>
      <c r="D4035" s="28"/>
      <c r="E4035" s="41">
        <v>46167</v>
      </c>
      <c r="F4035" s="47">
        <v>0.4866550925925926</v>
      </c>
      <c r="G4035" s="44">
        <v>6.3</v>
      </c>
      <c r="H4035" s="43" t="s">
        <v>227</v>
      </c>
      <c r="I4035" s="40" t="s">
        <v>1300</v>
      </c>
    </row>
    <row r="4036" spans="1:9" x14ac:dyDescent="0.2">
      <c r="A4036" s="40" t="s">
        <v>460</v>
      </c>
      <c r="B4036" s="28">
        <v>4302</v>
      </c>
      <c r="C4036" s="28" t="s">
        <v>1160</v>
      </c>
      <c r="D4036" s="28"/>
      <c r="E4036" s="45">
        <v>46167</v>
      </c>
      <c r="F4036" s="48">
        <v>0.2663773148148148</v>
      </c>
      <c r="G4036" s="44">
        <v>6.3</v>
      </c>
      <c r="H4036" s="43" t="s">
        <v>227</v>
      </c>
      <c r="I4036" s="40" t="s">
        <v>1300</v>
      </c>
    </row>
    <row r="4037" spans="1:9" x14ac:dyDescent="0.2">
      <c r="A4037" s="40" t="s">
        <v>460</v>
      </c>
      <c r="B4037" s="28">
        <v>4302</v>
      </c>
      <c r="C4037" s="28" t="s">
        <v>1161</v>
      </c>
      <c r="D4037" s="28"/>
      <c r="E4037" s="41">
        <v>46167</v>
      </c>
      <c r="F4037" s="47">
        <v>0.71303240740740736</v>
      </c>
      <c r="G4037" s="44">
        <v>6.3</v>
      </c>
      <c r="H4037" s="43" t="s">
        <v>228</v>
      </c>
      <c r="I4037" s="40" t="s">
        <v>1300</v>
      </c>
    </row>
    <row r="4038" spans="1:9" x14ac:dyDescent="0.2">
      <c r="A4038" s="40" t="s">
        <v>460</v>
      </c>
      <c r="B4038" s="28">
        <v>4302</v>
      </c>
      <c r="C4038" s="28" t="s">
        <v>1161</v>
      </c>
      <c r="D4038" s="28"/>
      <c r="E4038" s="41">
        <v>46167</v>
      </c>
      <c r="F4038" s="47">
        <v>0.72434027777777776</v>
      </c>
      <c r="G4038" s="44">
        <v>6.3</v>
      </c>
      <c r="H4038" s="43" t="s">
        <v>232</v>
      </c>
      <c r="I4038" s="40" t="s">
        <v>1300</v>
      </c>
    </row>
    <row r="4039" spans="1:9" x14ac:dyDescent="0.2">
      <c r="A4039" s="40" t="s">
        <v>460</v>
      </c>
      <c r="B4039" s="28">
        <v>4302</v>
      </c>
      <c r="C4039" s="28" t="s">
        <v>1162</v>
      </c>
      <c r="D4039" s="28"/>
      <c r="E4039" s="41">
        <v>46168</v>
      </c>
      <c r="F4039" s="47">
        <v>0.44762731481481483</v>
      </c>
      <c r="G4039" s="44">
        <v>6.3</v>
      </c>
      <c r="H4039" s="43" t="s">
        <v>228</v>
      </c>
      <c r="I4039" s="40" t="s">
        <v>1300</v>
      </c>
    </row>
    <row r="4040" spans="1:9" x14ac:dyDescent="0.2">
      <c r="A4040" s="40" t="s">
        <v>460</v>
      </c>
      <c r="B4040" s="28">
        <v>4302</v>
      </c>
      <c r="C4040" s="28" t="s">
        <v>1162</v>
      </c>
      <c r="D4040" s="28"/>
      <c r="E4040" s="41">
        <v>46168</v>
      </c>
      <c r="F4040" s="47">
        <v>0.45961805555555557</v>
      </c>
      <c r="G4040" s="42">
        <v>6.3</v>
      </c>
      <c r="H4040" s="40" t="s">
        <v>229</v>
      </c>
      <c r="I4040" s="40" t="s">
        <v>1300</v>
      </c>
    </row>
    <row r="4041" spans="1:9" x14ac:dyDescent="0.2">
      <c r="A4041" s="40" t="s">
        <v>460</v>
      </c>
      <c r="B4041" s="28">
        <v>4302</v>
      </c>
      <c r="C4041" s="28" t="s">
        <v>1163</v>
      </c>
      <c r="D4041" s="28"/>
      <c r="E4041" s="45">
        <v>46168</v>
      </c>
      <c r="F4041" s="48">
        <v>0.5374768518518519</v>
      </c>
      <c r="G4041" s="42">
        <v>6.3</v>
      </c>
      <c r="H4041" s="40" t="s">
        <v>230</v>
      </c>
      <c r="I4041" s="40" t="s">
        <v>1300</v>
      </c>
    </row>
    <row r="4042" spans="1:9" x14ac:dyDescent="0.2">
      <c r="A4042" s="40" t="s">
        <v>460</v>
      </c>
      <c r="B4042" s="28">
        <v>4302</v>
      </c>
      <c r="C4042" s="28" t="s">
        <v>1163</v>
      </c>
      <c r="D4042" s="28"/>
      <c r="E4042" s="41">
        <v>46168</v>
      </c>
      <c r="F4042" s="47">
        <v>0.54318287037037039</v>
      </c>
      <c r="G4042" s="42">
        <v>6.3</v>
      </c>
      <c r="H4042" s="40" t="s">
        <v>227</v>
      </c>
      <c r="I4042" s="40" t="s">
        <v>1300</v>
      </c>
    </row>
    <row r="4043" spans="1:9" x14ac:dyDescent="0.2">
      <c r="A4043" s="40" t="s">
        <v>460</v>
      </c>
      <c r="B4043" s="28">
        <v>4302</v>
      </c>
      <c r="C4043" s="28" t="s">
        <v>1164</v>
      </c>
      <c r="D4043" s="28"/>
      <c r="E4043" s="45">
        <v>46168</v>
      </c>
      <c r="F4043" s="48">
        <v>0.61394675925925923</v>
      </c>
      <c r="G4043" s="44">
        <v>6.3</v>
      </c>
      <c r="H4043" s="43" t="s">
        <v>228</v>
      </c>
      <c r="I4043" s="40" t="s">
        <v>1300</v>
      </c>
    </row>
    <row r="4044" spans="1:9" x14ac:dyDescent="0.2">
      <c r="A4044" s="40" t="s">
        <v>460</v>
      </c>
      <c r="B4044" s="28">
        <v>4302</v>
      </c>
      <c r="C4044" s="28" t="s">
        <v>1164</v>
      </c>
      <c r="D4044" s="28"/>
      <c r="E4044" s="41">
        <v>46168</v>
      </c>
      <c r="F4044" s="47">
        <v>0.6240162037037037</v>
      </c>
      <c r="G4044" s="44">
        <v>6.3</v>
      </c>
      <c r="H4044" s="43" t="s">
        <v>232</v>
      </c>
      <c r="I4044" s="40" t="s">
        <v>1300</v>
      </c>
    </row>
    <row r="4045" spans="1:9" x14ac:dyDescent="0.2">
      <c r="A4045" s="40" t="s">
        <v>460</v>
      </c>
      <c r="B4045" s="28">
        <v>4302</v>
      </c>
      <c r="C4045" s="28" t="s">
        <v>1165</v>
      </c>
      <c r="D4045" s="28"/>
      <c r="E4045" s="41">
        <v>46170</v>
      </c>
      <c r="F4045" s="47">
        <v>0.28800925925925924</v>
      </c>
      <c r="G4045" s="44">
        <v>6.3</v>
      </c>
      <c r="H4045" s="43" t="s">
        <v>231</v>
      </c>
      <c r="I4045" s="40" t="s">
        <v>1300</v>
      </c>
    </row>
    <row r="4046" spans="1:9" x14ac:dyDescent="0.2">
      <c r="A4046" s="40" t="s">
        <v>460</v>
      </c>
      <c r="B4046" s="28">
        <v>4302</v>
      </c>
      <c r="C4046" s="28" t="s">
        <v>1165</v>
      </c>
      <c r="D4046" s="28"/>
      <c r="E4046" s="41">
        <v>46170</v>
      </c>
      <c r="F4046" s="47">
        <v>0.2948263888888889</v>
      </c>
      <c r="G4046" s="44">
        <v>6.3</v>
      </c>
      <c r="H4046" s="43" t="s">
        <v>227</v>
      </c>
      <c r="I4046" s="40" t="s">
        <v>1300</v>
      </c>
    </row>
    <row r="4047" spans="1:9" x14ac:dyDescent="0.2">
      <c r="A4047" s="40" t="s">
        <v>460</v>
      </c>
      <c r="B4047" s="28">
        <v>4302</v>
      </c>
      <c r="C4047" s="28" t="s">
        <v>1166</v>
      </c>
      <c r="D4047" s="28"/>
      <c r="E4047" s="41">
        <v>46170</v>
      </c>
      <c r="F4047" s="47">
        <v>0.36910879629629628</v>
      </c>
      <c r="G4047" s="44">
        <v>6.3</v>
      </c>
      <c r="H4047" s="43" t="s">
        <v>228</v>
      </c>
      <c r="I4047" s="40" t="s">
        <v>1300</v>
      </c>
    </row>
    <row r="4048" spans="1:9" x14ac:dyDescent="0.2">
      <c r="A4048" s="40" t="s">
        <v>460</v>
      </c>
      <c r="B4048" s="28">
        <v>4302</v>
      </c>
      <c r="C4048" s="28" t="s">
        <v>1167</v>
      </c>
      <c r="D4048" s="28"/>
      <c r="E4048" s="41">
        <v>46170</v>
      </c>
      <c r="F4048" s="47">
        <v>0.49486111111111108</v>
      </c>
      <c r="G4048" s="44">
        <v>6.3</v>
      </c>
      <c r="H4048" s="43" t="s">
        <v>230</v>
      </c>
      <c r="I4048" s="40" t="s">
        <v>1300</v>
      </c>
    </row>
    <row r="4049" spans="1:9" x14ac:dyDescent="0.2">
      <c r="A4049" s="40" t="s">
        <v>460</v>
      </c>
      <c r="B4049" s="28">
        <v>4302</v>
      </c>
      <c r="C4049" s="28" t="s">
        <v>1167</v>
      </c>
      <c r="D4049" s="28"/>
      <c r="E4049" s="45">
        <v>46170</v>
      </c>
      <c r="F4049" s="48">
        <v>0.50054398148148149</v>
      </c>
      <c r="G4049" s="44">
        <v>6.3</v>
      </c>
      <c r="H4049" s="43" t="s">
        <v>227</v>
      </c>
      <c r="I4049" s="40" t="s">
        <v>1300</v>
      </c>
    </row>
    <row r="4050" spans="1:9" x14ac:dyDescent="0.2">
      <c r="A4050" s="40" t="s">
        <v>460</v>
      </c>
      <c r="B4050" s="28">
        <v>4302</v>
      </c>
      <c r="C4050" s="28" t="s">
        <v>1168</v>
      </c>
      <c r="D4050" s="28"/>
      <c r="E4050" s="41">
        <v>46170</v>
      </c>
      <c r="F4050" s="47">
        <v>0.72471064814814812</v>
      </c>
      <c r="G4050" s="44">
        <v>6.3</v>
      </c>
      <c r="H4050" s="43" t="s">
        <v>228</v>
      </c>
      <c r="I4050" s="40" t="s">
        <v>1300</v>
      </c>
    </row>
    <row r="4051" spans="1:9" x14ac:dyDescent="0.2">
      <c r="A4051" s="40" t="s">
        <v>460</v>
      </c>
      <c r="B4051" s="28">
        <v>4302</v>
      </c>
      <c r="C4051" s="28" t="s">
        <v>1168</v>
      </c>
      <c r="D4051" s="28"/>
      <c r="E4051" s="45">
        <v>46170</v>
      </c>
      <c r="F4051" s="48">
        <v>0.73353009259259261</v>
      </c>
      <c r="G4051" s="44">
        <v>6.3</v>
      </c>
      <c r="H4051" s="43" t="s">
        <v>232</v>
      </c>
      <c r="I4051" s="40" t="s">
        <v>1300</v>
      </c>
    </row>
    <row r="4052" spans="1:9" x14ac:dyDescent="0.2">
      <c r="A4052" s="40" t="s">
        <v>460</v>
      </c>
      <c r="B4052" s="28">
        <v>4302</v>
      </c>
      <c r="C4052" s="28" t="s">
        <v>1169</v>
      </c>
      <c r="D4052" s="28"/>
      <c r="E4052" s="41">
        <v>46171</v>
      </c>
      <c r="F4052" s="47">
        <v>0.30307870370370371</v>
      </c>
      <c r="G4052" s="44">
        <v>6.3</v>
      </c>
      <c r="H4052" s="43" t="s">
        <v>231</v>
      </c>
      <c r="I4052" s="40" t="s">
        <v>1300</v>
      </c>
    </row>
    <row r="4053" spans="1:9" x14ac:dyDescent="0.2">
      <c r="A4053" s="40" t="s">
        <v>460</v>
      </c>
      <c r="B4053" s="28">
        <v>4302</v>
      </c>
      <c r="C4053" s="28" t="s">
        <v>1169</v>
      </c>
      <c r="D4053" s="28"/>
      <c r="E4053" s="41">
        <v>46171</v>
      </c>
      <c r="F4053" s="47">
        <v>0.31399305555555557</v>
      </c>
      <c r="G4053" s="44">
        <v>6.3</v>
      </c>
      <c r="H4053" s="43" t="s">
        <v>227</v>
      </c>
      <c r="I4053" s="40" t="s">
        <v>1300</v>
      </c>
    </row>
    <row r="4054" spans="1:9" x14ac:dyDescent="0.2">
      <c r="A4054" s="40" t="s">
        <v>460</v>
      </c>
      <c r="B4054" s="28">
        <v>4302</v>
      </c>
      <c r="C4054" s="28" t="s">
        <v>35</v>
      </c>
      <c r="D4054" s="28" t="s">
        <v>38</v>
      </c>
      <c r="E4054" s="41">
        <v>46173</v>
      </c>
      <c r="F4054" s="47">
        <v>0.7402199074074074</v>
      </c>
      <c r="G4054" s="44">
        <v>6.3</v>
      </c>
      <c r="H4054" s="43" t="s">
        <v>232</v>
      </c>
      <c r="I4054" s="40" t="s">
        <v>1300</v>
      </c>
    </row>
    <row r="4055" spans="1:9" x14ac:dyDescent="0.2">
      <c r="A4055" s="40" t="s">
        <v>461</v>
      </c>
      <c r="B4055" s="28">
        <v>4306</v>
      </c>
      <c r="C4055" s="28">
        <v>5686166</v>
      </c>
      <c r="D4055" s="28"/>
      <c r="E4055" s="41">
        <v>46167</v>
      </c>
      <c r="F4055" s="47">
        <v>0.61922453703703706</v>
      </c>
      <c r="G4055" s="44">
        <v>6.3</v>
      </c>
      <c r="H4055" s="43" t="s">
        <v>228</v>
      </c>
      <c r="I4055" s="40" t="s">
        <v>1300</v>
      </c>
    </row>
    <row r="4056" spans="1:9" x14ac:dyDescent="0.2">
      <c r="A4056" s="40" t="s">
        <v>461</v>
      </c>
      <c r="B4056" s="28">
        <v>4306</v>
      </c>
      <c r="C4056" s="28">
        <v>5686166</v>
      </c>
      <c r="D4056" s="28"/>
      <c r="E4056" s="41">
        <v>46167</v>
      </c>
      <c r="F4056" s="47">
        <v>0.63028935185185186</v>
      </c>
      <c r="G4056" s="44">
        <v>6.3</v>
      </c>
      <c r="H4056" s="43" t="s">
        <v>229</v>
      </c>
      <c r="I4056" s="40" t="s">
        <v>1300</v>
      </c>
    </row>
    <row r="4057" spans="1:9" x14ac:dyDescent="0.2">
      <c r="A4057" s="40" t="s">
        <v>461</v>
      </c>
      <c r="B4057" s="28">
        <v>4306</v>
      </c>
      <c r="C4057" s="28" t="s">
        <v>35</v>
      </c>
      <c r="D4057" s="28" t="s">
        <v>38</v>
      </c>
      <c r="E4057" s="41">
        <v>46167</v>
      </c>
      <c r="F4057" s="47">
        <v>0.91290509259259256</v>
      </c>
      <c r="G4057" s="42">
        <v>6.3</v>
      </c>
      <c r="H4057" s="40" t="s">
        <v>229</v>
      </c>
      <c r="I4057" s="40" t="s">
        <v>1300</v>
      </c>
    </row>
    <row r="4058" spans="1:9" x14ac:dyDescent="0.2">
      <c r="A4058" s="40" t="s">
        <v>461</v>
      </c>
      <c r="B4058" s="28">
        <v>4306</v>
      </c>
      <c r="C4058" s="28">
        <v>5686756</v>
      </c>
      <c r="D4058" s="28" t="s">
        <v>37</v>
      </c>
      <c r="E4058" s="41">
        <v>46168</v>
      </c>
      <c r="F4058" s="47">
        <v>0.26725694444444442</v>
      </c>
      <c r="G4058" s="42">
        <v>6.3</v>
      </c>
      <c r="H4058" s="40" t="s">
        <v>230</v>
      </c>
      <c r="I4058" s="40" t="s">
        <v>1300</v>
      </c>
    </row>
    <row r="4059" spans="1:9" x14ac:dyDescent="0.2">
      <c r="A4059" s="40" t="s">
        <v>461</v>
      </c>
      <c r="B4059" s="28">
        <v>4306</v>
      </c>
      <c r="C4059" s="28">
        <v>5686756</v>
      </c>
      <c r="D4059" s="28" t="s">
        <v>37</v>
      </c>
      <c r="E4059" s="41">
        <v>46168</v>
      </c>
      <c r="F4059" s="47">
        <v>0.27400462962962963</v>
      </c>
      <c r="G4059" s="42">
        <v>6.3</v>
      </c>
      <c r="H4059" s="40" t="s">
        <v>227</v>
      </c>
      <c r="I4059" s="40" t="s">
        <v>1300</v>
      </c>
    </row>
    <row r="4060" spans="1:9" x14ac:dyDescent="0.2">
      <c r="A4060" s="40" t="s">
        <v>461</v>
      </c>
      <c r="B4060" s="28">
        <v>4306</v>
      </c>
      <c r="C4060" s="28">
        <v>5689710</v>
      </c>
      <c r="D4060" s="28"/>
      <c r="E4060" s="45">
        <v>46169</v>
      </c>
      <c r="F4060" s="48">
        <v>0.68457175925925928</v>
      </c>
      <c r="G4060" s="42">
        <v>6.3</v>
      </c>
      <c r="H4060" s="40" t="s">
        <v>226</v>
      </c>
      <c r="I4060" s="40" t="s">
        <v>1300</v>
      </c>
    </row>
    <row r="4061" spans="1:9" x14ac:dyDescent="0.2">
      <c r="A4061" s="40" t="s">
        <v>461</v>
      </c>
      <c r="B4061" s="28">
        <v>4306</v>
      </c>
      <c r="C4061" s="28">
        <v>5689710</v>
      </c>
      <c r="D4061" s="28"/>
      <c r="E4061" s="41">
        <v>46169</v>
      </c>
      <c r="F4061" s="47">
        <v>0.69216435185185188</v>
      </c>
      <c r="G4061" s="44">
        <v>6.3</v>
      </c>
      <c r="H4061" s="43" t="s">
        <v>227</v>
      </c>
      <c r="I4061" s="40" t="s">
        <v>1300</v>
      </c>
    </row>
    <row r="4062" spans="1:9" x14ac:dyDescent="0.2">
      <c r="A4062" s="40" t="s">
        <v>461</v>
      </c>
      <c r="B4062" s="28">
        <v>4306</v>
      </c>
      <c r="C4062" s="28">
        <v>5690322</v>
      </c>
      <c r="D4062" s="28"/>
      <c r="E4062" s="41">
        <v>46169</v>
      </c>
      <c r="F4062" s="47">
        <v>0.79599537037037038</v>
      </c>
      <c r="G4062" s="44">
        <v>6.3</v>
      </c>
      <c r="H4062" s="43" t="s">
        <v>228</v>
      </c>
      <c r="I4062" s="40" t="s">
        <v>1300</v>
      </c>
    </row>
    <row r="4063" spans="1:9" x14ac:dyDescent="0.2">
      <c r="A4063" s="40" t="s">
        <v>461</v>
      </c>
      <c r="B4063" s="28">
        <v>4306</v>
      </c>
      <c r="C4063" s="28">
        <v>5686064</v>
      </c>
      <c r="D4063" s="28"/>
      <c r="E4063" s="41">
        <v>46170</v>
      </c>
      <c r="F4063" s="47">
        <v>0.81412037037037033</v>
      </c>
      <c r="G4063" s="44">
        <v>6.3</v>
      </c>
      <c r="H4063" s="43" t="s">
        <v>228</v>
      </c>
      <c r="I4063" s="40" t="s">
        <v>1300</v>
      </c>
    </row>
    <row r="4064" spans="1:9" x14ac:dyDescent="0.2">
      <c r="A4064" s="40" t="s">
        <v>461</v>
      </c>
      <c r="B4064" s="28">
        <v>4306</v>
      </c>
      <c r="C4064" s="28">
        <v>5686064</v>
      </c>
      <c r="D4064" s="28"/>
      <c r="E4064" s="41">
        <v>46170</v>
      </c>
      <c r="F4064" s="47">
        <v>0.82326388888888891</v>
      </c>
      <c r="G4064" s="44">
        <v>6.3</v>
      </c>
      <c r="H4064" s="43" t="s">
        <v>229</v>
      </c>
      <c r="I4064" s="40" t="s">
        <v>1300</v>
      </c>
    </row>
    <row r="4065" spans="1:9" x14ac:dyDescent="0.2">
      <c r="A4065" s="40" t="s">
        <v>461</v>
      </c>
      <c r="B4065" s="28">
        <v>4306</v>
      </c>
      <c r="C4065" s="28" t="s">
        <v>35</v>
      </c>
      <c r="D4065" s="28" t="s">
        <v>38</v>
      </c>
      <c r="E4065" s="41">
        <v>46171</v>
      </c>
      <c r="F4065" s="47">
        <v>0.90943287037037035</v>
      </c>
      <c r="G4065" s="44">
        <v>6.3</v>
      </c>
      <c r="H4065" s="43" t="s">
        <v>229</v>
      </c>
      <c r="I4065" s="40" t="s">
        <v>1300</v>
      </c>
    </row>
    <row r="4066" spans="1:9" x14ac:dyDescent="0.2">
      <c r="A4066" s="40" t="s">
        <v>461</v>
      </c>
      <c r="B4066" s="28">
        <v>4306</v>
      </c>
      <c r="C4066" s="28">
        <v>5695952</v>
      </c>
      <c r="D4066" s="28"/>
      <c r="E4066" s="41">
        <v>46173</v>
      </c>
      <c r="F4066" s="47">
        <v>0.63065972222222222</v>
      </c>
      <c r="G4066" s="44">
        <v>6.3</v>
      </c>
      <c r="H4066" s="43" t="s">
        <v>228</v>
      </c>
      <c r="I4066" s="40" t="s">
        <v>1300</v>
      </c>
    </row>
    <row r="4067" spans="1:9" x14ac:dyDescent="0.2">
      <c r="A4067" s="40" t="s">
        <v>462</v>
      </c>
      <c r="B4067" s="28">
        <v>4312</v>
      </c>
      <c r="C4067" s="28" t="s">
        <v>1170</v>
      </c>
      <c r="D4067" s="28"/>
      <c r="E4067" s="41">
        <v>46171</v>
      </c>
      <c r="F4067" s="47">
        <v>0.46270833333333333</v>
      </c>
      <c r="G4067" s="44">
        <v>6.3</v>
      </c>
      <c r="H4067" s="43" t="s">
        <v>226</v>
      </c>
      <c r="I4067" s="40" t="s">
        <v>1300</v>
      </c>
    </row>
    <row r="4068" spans="1:9" x14ac:dyDescent="0.2">
      <c r="A4068" s="40" t="s">
        <v>462</v>
      </c>
      <c r="B4068" s="28">
        <v>4312</v>
      </c>
      <c r="C4068" s="28" t="s">
        <v>1170</v>
      </c>
      <c r="D4068" s="28"/>
      <c r="E4068" s="41">
        <v>46171</v>
      </c>
      <c r="F4068" s="47">
        <v>0.46909722222222222</v>
      </c>
      <c r="G4068" s="44">
        <v>6.3</v>
      </c>
      <c r="H4068" s="43" t="s">
        <v>227</v>
      </c>
      <c r="I4068" s="40" t="s">
        <v>1300</v>
      </c>
    </row>
    <row r="4069" spans="1:9" x14ac:dyDescent="0.2">
      <c r="A4069" s="40" t="s">
        <v>462</v>
      </c>
      <c r="B4069" s="28">
        <v>4312</v>
      </c>
      <c r="C4069" s="28" t="s">
        <v>1171</v>
      </c>
      <c r="D4069" s="28"/>
      <c r="E4069" s="41">
        <v>46172</v>
      </c>
      <c r="F4069" s="47">
        <v>0.24886574074074075</v>
      </c>
      <c r="G4069" s="44">
        <v>6.3</v>
      </c>
      <c r="H4069" s="43" t="s">
        <v>228</v>
      </c>
      <c r="I4069" s="40" t="s">
        <v>1300</v>
      </c>
    </row>
    <row r="4070" spans="1:9" x14ac:dyDescent="0.2">
      <c r="A4070" s="40" t="s">
        <v>462</v>
      </c>
      <c r="B4070" s="28">
        <v>4312</v>
      </c>
      <c r="C4070" s="28" t="s">
        <v>1172</v>
      </c>
      <c r="D4070" s="28"/>
      <c r="E4070" s="41">
        <v>46172</v>
      </c>
      <c r="F4070" s="47">
        <v>0.40074074074074073</v>
      </c>
      <c r="G4070" s="44">
        <v>6.3</v>
      </c>
      <c r="H4070" s="43" t="s">
        <v>231</v>
      </c>
      <c r="I4070" s="40" t="s">
        <v>1300</v>
      </c>
    </row>
    <row r="4071" spans="1:9" x14ac:dyDescent="0.2">
      <c r="A4071" s="40" t="s">
        <v>462</v>
      </c>
      <c r="B4071" s="28">
        <v>4312</v>
      </c>
      <c r="C4071" s="28" t="s">
        <v>1172</v>
      </c>
      <c r="D4071" s="28"/>
      <c r="E4071" s="41">
        <v>46172</v>
      </c>
      <c r="F4071" s="47">
        <v>0.40581018518518519</v>
      </c>
      <c r="G4071" s="44">
        <v>6.3</v>
      </c>
      <c r="H4071" s="43" t="s">
        <v>227</v>
      </c>
      <c r="I4071" s="40" t="s">
        <v>1300</v>
      </c>
    </row>
    <row r="4072" spans="1:9" x14ac:dyDescent="0.2">
      <c r="A4072" s="40" t="s">
        <v>462</v>
      </c>
      <c r="B4072" s="28">
        <v>4312</v>
      </c>
      <c r="C4072" s="28" t="s">
        <v>35</v>
      </c>
      <c r="D4072" s="28" t="s">
        <v>38</v>
      </c>
      <c r="E4072" s="41">
        <v>46173</v>
      </c>
      <c r="F4072" s="47">
        <v>0.40850694444444446</v>
      </c>
      <c r="G4072" s="44">
        <v>6.3</v>
      </c>
      <c r="H4072" s="43" t="s">
        <v>229</v>
      </c>
      <c r="I4072" s="40" t="s">
        <v>1300</v>
      </c>
    </row>
    <row r="4073" spans="1:9" x14ac:dyDescent="0.2">
      <c r="A4073" s="40" t="s">
        <v>463</v>
      </c>
      <c r="B4073" s="28">
        <v>4331</v>
      </c>
      <c r="C4073" s="28">
        <v>5687824</v>
      </c>
      <c r="D4073" s="28"/>
      <c r="E4073" s="41">
        <v>46168</v>
      </c>
      <c r="F4073" s="47">
        <v>0.56196759259259255</v>
      </c>
      <c r="G4073" s="44">
        <v>6.3</v>
      </c>
      <c r="H4073" s="43" t="s">
        <v>228</v>
      </c>
      <c r="I4073" s="40" t="s">
        <v>1300</v>
      </c>
    </row>
    <row r="4074" spans="1:9" x14ac:dyDescent="0.2">
      <c r="A4074" s="40" t="s">
        <v>463</v>
      </c>
      <c r="B4074" s="28">
        <v>4331</v>
      </c>
      <c r="C4074" s="28">
        <v>5687824</v>
      </c>
      <c r="D4074" s="28"/>
      <c r="E4074" s="41">
        <v>46168</v>
      </c>
      <c r="F4074" s="47">
        <v>0.57311342592592596</v>
      </c>
      <c r="G4074" s="44">
        <v>6.3</v>
      </c>
      <c r="H4074" s="43" t="s">
        <v>229</v>
      </c>
      <c r="I4074" s="40" t="s">
        <v>1300</v>
      </c>
    </row>
    <row r="4075" spans="1:9" x14ac:dyDescent="0.2">
      <c r="A4075" s="40" t="s">
        <v>463</v>
      </c>
      <c r="B4075" s="28">
        <v>4331</v>
      </c>
      <c r="C4075" s="28">
        <v>5683223</v>
      </c>
      <c r="D4075" s="28"/>
      <c r="E4075" s="41">
        <v>46168</v>
      </c>
      <c r="F4075" s="47">
        <v>0.73295138888888889</v>
      </c>
      <c r="G4075" s="44">
        <v>6.3</v>
      </c>
      <c r="H4075" s="43" t="s">
        <v>230</v>
      </c>
      <c r="I4075" s="40" t="s">
        <v>1300</v>
      </c>
    </row>
    <row r="4076" spans="1:9" x14ac:dyDescent="0.2">
      <c r="A4076" s="40" t="s">
        <v>463</v>
      </c>
      <c r="B4076" s="28">
        <v>4331</v>
      </c>
      <c r="C4076" s="28" t="s">
        <v>35</v>
      </c>
      <c r="D4076" s="28" t="s">
        <v>38</v>
      </c>
      <c r="E4076" s="41">
        <v>46169</v>
      </c>
      <c r="F4076" s="47">
        <v>0.52219907407407407</v>
      </c>
      <c r="G4076" s="42">
        <v>6.3</v>
      </c>
      <c r="H4076" s="40" t="s">
        <v>233</v>
      </c>
      <c r="I4076" s="40" t="s">
        <v>1300</v>
      </c>
    </row>
    <row r="4077" spans="1:9" x14ac:dyDescent="0.2">
      <c r="A4077" s="40" t="s">
        <v>463</v>
      </c>
      <c r="B4077" s="28">
        <v>4331</v>
      </c>
      <c r="C4077" s="28" t="s">
        <v>35</v>
      </c>
      <c r="D4077" s="28" t="s">
        <v>38</v>
      </c>
      <c r="E4077" s="41">
        <v>46169</v>
      </c>
      <c r="F4077" s="47">
        <v>0.67608796296296292</v>
      </c>
      <c r="G4077" s="42">
        <v>6.3</v>
      </c>
      <c r="H4077" s="40" t="s">
        <v>234</v>
      </c>
      <c r="I4077" s="40" t="s">
        <v>1300</v>
      </c>
    </row>
    <row r="4078" spans="1:9" x14ac:dyDescent="0.2">
      <c r="A4078" s="40" t="s">
        <v>463</v>
      </c>
      <c r="B4078" s="28">
        <v>4331</v>
      </c>
      <c r="C4078" s="28" t="s">
        <v>35</v>
      </c>
      <c r="D4078" s="28" t="s">
        <v>38</v>
      </c>
      <c r="E4078" s="41">
        <v>46170</v>
      </c>
      <c r="F4078" s="47">
        <v>0.39532407407407405</v>
      </c>
      <c r="G4078" s="42">
        <v>6.3</v>
      </c>
      <c r="H4078" s="40" t="s">
        <v>227</v>
      </c>
      <c r="I4078" s="40" t="s">
        <v>1300</v>
      </c>
    </row>
    <row r="4079" spans="1:9" x14ac:dyDescent="0.2">
      <c r="A4079" s="40" t="s">
        <v>463</v>
      </c>
      <c r="B4079" s="28">
        <v>4331</v>
      </c>
      <c r="C4079" s="28" t="s">
        <v>1173</v>
      </c>
      <c r="D4079" s="28"/>
      <c r="E4079" s="41">
        <v>46173</v>
      </c>
      <c r="F4079" s="47">
        <v>0.74206018518518524</v>
      </c>
      <c r="G4079" s="42">
        <v>6.3</v>
      </c>
      <c r="H4079" s="40" t="s">
        <v>228</v>
      </c>
      <c r="I4079" s="40" t="s">
        <v>1300</v>
      </c>
    </row>
    <row r="4080" spans="1:9" x14ac:dyDescent="0.2">
      <c r="A4080" s="40" t="s">
        <v>464</v>
      </c>
      <c r="B4080" s="28">
        <v>4334</v>
      </c>
      <c r="C4080" s="28">
        <v>5688737</v>
      </c>
      <c r="D4080" s="28"/>
      <c r="E4080" s="41">
        <v>46169</v>
      </c>
      <c r="F4080" s="47">
        <v>0.50641203703703708</v>
      </c>
      <c r="G4080" s="44">
        <v>6.3</v>
      </c>
      <c r="H4080" s="43" t="s">
        <v>230</v>
      </c>
      <c r="I4080" s="40" t="s">
        <v>1300</v>
      </c>
    </row>
    <row r="4081" spans="1:9" x14ac:dyDescent="0.2">
      <c r="A4081" s="40" t="s">
        <v>464</v>
      </c>
      <c r="B4081" s="28">
        <v>4334</v>
      </c>
      <c r="C4081" s="28">
        <v>5688737</v>
      </c>
      <c r="D4081" s="28"/>
      <c r="E4081" s="41">
        <v>46169</v>
      </c>
      <c r="F4081" s="47">
        <v>0.51299768518518518</v>
      </c>
      <c r="G4081" s="44">
        <v>6.3</v>
      </c>
      <c r="H4081" s="43" t="s">
        <v>227</v>
      </c>
      <c r="I4081" s="40" t="s">
        <v>1300</v>
      </c>
    </row>
    <row r="4082" spans="1:9" x14ac:dyDescent="0.2">
      <c r="A4082" s="40" t="s">
        <v>464</v>
      </c>
      <c r="B4082" s="28">
        <v>4334</v>
      </c>
      <c r="C4082" s="28" t="s">
        <v>1174</v>
      </c>
      <c r="D4082" s="28"/>
      <c r="E4082" s="45">
        <v>46169</v>
      </c>
      <c r="F4082" s="48">
        <v>0.5822222222222222</v>
      </c>
      <c r="G4082" s="44">
        <v>6.3</v>
      </c>
      <c r="H4082" s="43" t="s">
        <v>228</v>
      </c>
      <c r="I4082" s="40" t="s">
        <v>1300</v>
      </c>
    </row>
    <row r="4083" spans="1:9" x14ac:dyDescent="0.2">
      <c r="A4083" s="40" t="s">
        <v>464</v>
      </c>
      <c r="B4083" s="28">
        <v>4334</v>
      </c>
      <c r="C4083" s="28" t="s">
        <v>1174</v>
      </c>
      <c r="D4083" s="28"/>
      <c r="E4083" s="41">
        <v>46169</v>
      </c>
      <c r="F4083" s="47">
        <v>0.58899305555555559</v>
      </c>
      <c r="G4083" s="44">
        <v>6.3</v>
      </c>
      <c r="H4083" s="43" t="s">
        <v>233</v>
      </c>
      <c r="I4083" s="40" t="s">
        <v>1300</v>
      </c>
    </row>
    <row r="4084" spans="1:9" x14ac:dyDescent="0.2">
      <c r="A4084" s="40" t="s">
        <v>464</v>
      </c>
      <c r="B4084" s="28">
        <v>4334</v>
      </c>
      <c r="C4084" s="28">
        <v>5692252</v>
      </c>
      <c r="D4084" s="28"/>
      <c r="E4084" s="41">
        <v>46170</v>
      </c>
      <c r="F4084" s="47">
        <v>0.90172453703703703</v>
      </c>
      <c r="G4084" s="44">
        <v>6.3</v>
      </c>
      <c r="H4084" s="43" t="s">
        <v>228</v>
      </c>
      <c r="I4084" s="40" t="s">
        <v>1300</v>
      </c>
    </row>
    <row r="4085" spans="1:9" x14ac:dyDescent="0.2">
      <c r="A4085" s="40" t="s">
        <v>464</v>
      </c>
      <c r="B4085" s="28">
        <v>4334</v>
      </c>
      <c r="C4085" s="28">
        <v>5692252</v>
      </c>
      <c r="D4085" s="28"/>
      <c r="E4085" s="41">
        <v>46170</v>
      </c>
      <c r="F4085" s="47">
        <v>0.90920138888888891</v>
      </c>
      <c r="G4085" s="44">
        <v>6.3</v>
      </c>
      <c r="H4085" s="43" t="s">
        <v>229</v>
      </c>
      <c r="I4085" s="40" t="s">
        <v>1300</v>
      </c>
    </row>
    <row r="4086" spans="1:9" x14ac:dyDescent="0.2">
      <c r="A4086" s="40" t="s">
        <v>464</v>
      </c>
      <c r="B4086" s="28">
        <v>4334</v>
      </c>
      <c r="C4086" s="28">
        <v>5694378</v>
      </c>
      <c r="D4086" s="28"/>
      <c r="E4086" s="41">
        <v>46172</v>
      </c>
      <c r="F4086" s="47">
        <v>0.2515162037037037</v>
      </c>
      <c r="G4086" s="44">
        <v>6.3</v>
      </c>
      <c r="H4086" s="43" t="s">
        <v>228</v>
      </c>
      <c r="I4086" s="40" t="s">
        <v>1300</v>
      </c>
    </row>
    <row r="4087" spans="1:9" x14ac:dyDescent="0.2">
      <c r="A4087" s="40" t="s">
        <v>464</v>
      </c>
      <c r="B4087" s="28">
        <v>4334</v>
      </c>
      <c r="C4087" s="28">
        <v>5695968</v>
      </c>
      <c r="D4087" s="28"/>
      <c r="E4087" s="45">
        <v>46173</v>
      </c>
      <c r="F4087" s="48">
        <v>0.82315972222222222</v>
      </c>
      <c r="G4087" s="44">
        <v>6.3</v>
      </c>
      <c r="H4087" s="43" t="s">
        <v>230</v>
      </c>
      <c r="I4087" s="40" t="s">
        <v>1300</v>
      </c>
    </row>
    <row r="4088" spans="1:9" x14ac:dyDescent="0.2">
      <c r="A4088" s="40" t="s">
        <v>464</v>
      </c>
      <c r="B4088" s="28">
        <v>4334</v>
      </c>
      <c r="C4088" s="28">
        <v>5695968</v>
      </c>
      <c r="D4088" s="28"/>
      <c r="E4088" s="45">
        <v>46173</v>
      </c>
      <c r="F4088" s="48">
        <v>0.8295717592592593</v>
      </c>
      <c r="G4088" s="44">
        <v>6.3</v>
      </c>
      <c r="H4088" s="43" t="s">
        <v>227</v>
      </c>
      <c r="I4088" s="40" t="s">
        <v>1300</v>
      </c>
    </row>
    <row r="4089" spans="1:9" x14ac:dyDescent="0.2">
      <c r="A4089" s="40" t="s">
        <v>465</v>
      </c>
      <c r="B4089" s="28">
        <v>4337</v>
      </c>
      <c r="C4089" s="28">
        <v>5684845</v>
      </c>
      <c r="D4089" s="28"/>
      <c r="E4089" s="41">
        <v>46167</v>
      </c>
      <c r="F4089" s="47">
        <v>1.9664351851851853E-2</v>
      </c>
      <c r="G4089" s="44">
        <v>6.3</v>
      </c>
      <c r="H4089" s="43" t="s">
        <v>228</v>
      </c>
      <c r="I4089" s="40" t="s">
        <v>1300</v>
      </c>
    </row>
    <row r="4090" spans="1:9" x14ac:dyDescent="0.2">
      <c r="A4090" s="40" t="s">
        <v>465</v>
      </c>
      <c r="B4090" s="28">
        <v>4337</v>
      </c>
      <c r="C4090" s="28">
        <v>5684845</v>
      </c>
      <c r="D4090" s="28"/>
      <c r="E4090" s="41">
        <v>46167</v>
      </c>
      <c r="F4090" s="47">
        <v>2.6203703703703705E-2</v>
      </c>
      <c r="G4090" s="44">
        <v>6.3</v>
      </c>
      <c r="H4090" s="43" t="s">
        <v>232</v>
      </c>
      <c r="I4090" s="40" t="s">
        <v>1300</v>
      </c>
    </row>
    <row r="4091" spans="1:9" x14ac:dyDescent="0.2">
      <c r="A4091" s="40" t="s">
        <v>465</v>
      </c>
      <c r="B4091" s="28">
        <v>4337</v>
      </c>
      <c r="C4091" s="28">
        <v>5686177</v>
      </c>
      <c r="D4091" s="28"/>
      <c r="E4091" s="41">
        <v>46167</v>
      </c>
      <c r="F4091" s="47">
        <v>0.68041666666666667</v>
      </c>
      <c r="G4091" s="44">
        <v>6.3</v>
      </c>
      <c r="H4091" s="43" t="s">
        <v>230</v>
      </c>
      <c r="I4091" s="40" t="s">
        <v>1300</v>
      </c>
    </row>
    <row r="4092" spans="1:9" x14ac:dyDescent="0.2">
      <c r="A4092" s="40" t="s">
        <v>465</v>
      </c>
      <c r="B4092" s="28">
        <v>4337</v>
      </c>
      <c r="C4092" s="28">
        <v>5686177</v>
      </c>
      <c r="D4092" s="28"/>
      <c r="E4092" s="41">
        <v>46167</v>
      </c>
      <c r="F4092" s="47">
        <v>0.68745370370370373</v>
      </c>
      <c r="G4092" s="44">
        <v>6.3</v>
      </c>
      <c r="H4092" s="43" t="s">
        <v>227</v>
      </c>
      <c r="I4092" s="40" t="s">
        <v>1300</v>
      </c>
    </row>
    <row r="4093" spans="1:9" x14ac:dyDescent="0.2">
      <c r="A4093" s="40" t="s">
        <v>465</v>
      </c>
      <c r="B4093" s="28">
        <v>4337</v>
      </c>
      <c r="C4093" s="28">
        <v>5686605</v>
      </c>
      <c r="D4093" s="28"/>
      <c r="E4093" s="41">
        <v>46167</v>
      </c>
      <c r="F4093" s="47">
        <v>0.83054398148148145</v>
      </c>
      <c r="G4093" s="44">
        <v>6.3</v>
      </c>
      <c r="H4093" s="43" t="s">
        <v>228</v>
      </c>
      <c r="I4093" s="40" t="s">
        <v>1300</v>
      </c>
    </row>
    <row r="4094" spans="1:9" x14ac:dyDescent="0.2">
      <c r="A4094" s="40" t="s">
        <v>465</v>
      </c>
      <c r="B4094" s="28">
        <v>4337</v>
      </c>
      <c r="C4094" s="28">
        <v>5686605</v>
      </c>
      <c r="D4094" s="28"/>
      <c r="E4094" s="41">
        <v>46167</v>
      </c>
      <c r="F4094" s="47">
        <v>0.8402546296296296</v>
      </c>
      <c r="G4094" s="44">
        <v>6.3</v>
      </c>
      <c r="H4094" s="43" t="s">
        <v>229</v>
      </c>
      <c r="I4094" s="40" t="s">
        <v>1300</v>
      </c>
    </row>
    <row r="4095" spans="1:9" x14ac:dyDescent="0.2">
      <c r="A4095" s="40" t="s">
        <v>465</v>
      </c>
      <c r="B4095" s="28">
        <v>4337</v>
      </c>
      <c r="C4095" s="28">
        <v>5687842</v>
      </c>
      <c r="D4095" s="28"/>
      <c r="E4095" s="41">
        <v>46168</v>
      </c>
      <c r="F4095" s="47">
        <v>0.70542824074074073</v>
      </c>
      <c r="G4095" s="44">
        <v>6.3</v>
      </c>
      <c r="H4095" s="43" t="s">
        <v>227</v>
      </c>
      <c r="I4095" s="40" t="s">
        <v>1300</v>
      </c>
    </row>
    <row r="4096" spans="1:9" x14ac:dyDescent="0.2">
      <c r="A4096" s="40" t="s">
        <v>465</v>
      </c>
      <c r="B4096" s="28">
        <v>4337</v>
      </c>
      <c r="C4096" s="28">
        <v>5688316</v>
      </c>
      <c r="D4096" s="28"/>
      <c r="E4096" s="41">
        <v>46168</v>
      </c>
      <c r="F4096" s="47">
        <v>0.79412037037037042</v>
      </c>
      <c r="G4096" s="44">
        <v>6.3</v>
      </c>
      <c r="H4096" s="43" t="s">
        <v>228</v>
      </c>
      <c r="I4096" s="40" t="s">
        <v>1300</v>
      </c>
    </row>
    <row r="4097" spans="1:9" x14ac:dyDescent="0.2">
      <c r="A4097" s="40" t="s">
        <v>465</v>
      </c>
      <c r="B4097" s="28">
        <v>4337</v>
      </c>
      <c r="C4097" s="28">
        <v>5688316</v>
      </c>
      <c r="D4097" s="28"/>
      <c r="E4097" s="41">
        <v>46168</v>
      </c>
      <c r="F4097" s="47">
        <v>0.81267361111111114</v>
      </c>
      <c r="G4097" s="44">
        <v>6.3</v>
      </c>
      <c r="H4097" s="43" t="s">
        <v>229</v>
      </c>
      <c r="I4097" s="40" t="s">
        <v>1300</v>
      </c>
    </row>
    <row r="4098" spans="1:9" x14ac:dyDescent="0.2">
      <c r="A4098" s="40" t="s">
        <v>465</v>
      </c>
      <c r="B4098" s="28">
        <v>4337</v>
      </c>
      <c r="C4098" s="28">
        <v>5688879</v>
      </c>
      <c r="D4098" s="28"/>
      <c r="E4098" s="41">
        <v>46168</v>
      </c>
      <c r="F4098" s="47">
        <v>0.95488425925925924</v>
      </c>
      <c r="G4098" s="44">
        <v>6.3</v>
      </c>
      <c r="H4098" s="43" t="s">
        <v>229</v>
      </c>
      <c r="I4098" s="40" t="s">
        <v>1300</v>
      </c>
    </row>
    <row r="4099" spans="1:9" x14ac:dyDescent="0.2">
      <c r="A4099" s="40" t="s">
        <v>465</v>
      </c>
      <c r="B4099" s="28">
        <v>4337</v>
      </c>
      <c r="C4099" s="28">
        <v>5688989</v>
      </c>
      <c r="D4099" s="28"/>
      <c r="E4099" s="45">
        <v>46169</v>
      </c>
      <c r="F4099" s="48">
        <v>1.7395833333333333E-2</v>
      </c>
      <c r="G4099" s="44">
        <v>6.3</v>
      </c>
      <c r="H4099" s="43" t="s">
        <v>228</v>
      </c>
      <c r="I4099" s="40" t="s">
        <v>1300</v>
      </c>
    </row>
    <row r="4100" spans="1:9" x14ac:dyDescent="0.2">
      <c r="A4100" s="40" t="s">
        <v>465</v>
      </c>
      <c r="B4100" s="28">
        <v>4337</v>
      </c>
      <c r="C4100" s="28">
        <v>5691124</v>
      </c>
      <c r="D4100" s="28"/>
      <c r="E4100" s="45">
        <v>46170</v>
      </c>
      <c r="F4100" s="48">
        <v>0.54773148148148143</v>
      </c>
      <c r="G4100" s="44">
        <v>6.3</v>
      </c>
      <c r="H4100" s="43" t="s">
        <v>229</v>
      </c>
      <c r="I4100" s="40" t="s">
        <v>1300</v>
      </c>
    </row>
    <row r="4101" spans="1:9" x14ac:dyDescent="0.2">
      <c r="A4101" s="40" t="s">
        <v>465</v>
      </c>
      <c r="B4101" s="28">
        <v>4337</v>
      </c>
      <c r="C4101" s="28">
        <v>5691124</v>
      </c>
      <c r="D4101" s="28"/>
      <c r="E4101" s="45">
        <v>46170</v>
      </c>
      <c r="F4101" s="48">
        <v>0.56148148148148147</v>
      </c>
      <c r="G4101" s="44">
        <v>6.3</v>
      </c>
      <c r="H4101" s="43" t="s">
        <v>230</v>
      </c>
      <c r="I4101" s="40" t="s">
        <v>1300</v>
      </c>
    </row>
    <row r="4102" spans="1:9" x14ac:dyDescent="0.2">
      <c r="A4102" s="40" t="s">
        <v>465</v>
      </c>
      <c r="B4102" s="28">
        <v>4337</v>
      </c>
      <c r="C4102" s="28">
        <v>5691124</v>
      </c>
      <c r="D4102" s="28" t="s">
        <v>36</v>
      </c>
      <c r="E4102" s="41">
        <v>46170</v>
      </c>
      <c r="F4102" s="47">
        <v>0.56768518518518518</v>
      </c>
      <c r="G4102" s="44">
        <v>6.3</v>
      </c>
      <c r="H4102" s="43" t="s">
        <v>227</v>
      </c>
      <c r="I4102" s="40" t="s">
        <v>1300</v>
      </c>
    </row>
    <row r="4103" spans="1:9" x14ac:dyDescent="0.2">
      <c r="A4103" s="40" t="s">
        <v>465</v>
      </c>
      <c r="B4103" s="28">
        <v>4337</v>
      </c>
      <c r="C4103" s="28">
        <v>5691576</v>
      </c>
      <c r="D4103" s="28"/>
      <c r="E4103" s="41">
        <v>46170</v>
      </c>
      <c r="F4103" s="47">
        <v>0.62237268518518518</v>
      </c>
      <c r="G4103" s="44">
        <v>6.3</v>
      </c>
      <c r="H4103" s="43" t="s">
        <v>228</v>
      </c>
      <c r="I4103" s="40" t="s">
        <v>1300</v>
      </c>
    </row>
    <row r="4104" spans="1:9" x14ac:dyDescent="0.2">
      <c r="A4104" s="40" t="s">
        <v>465</v>
      </c>
      <c r="B4104" s="28">
        <v>4337</v>
      </c>
      <c r="C4104" s="28">
        <v>5691576</v>
      </c>
      <c r="D4104" s="28"/>
      <c r="E4104" s="41">
        <v>46170</v>
      </c>
      <c r="F4104" s="47">
        <v>0.64844907407407404</v>
      </c>
      <c r="G4104" s="44">
        <v>6.3</v>
      </c>
      <c r="H4104" s="43" t="s">
        <v>232</v>
      </c>
      <c r="I4104" s="40" t="s">
        <v>1300</v>
      </c>
    </row>
    <row r="4105" spans="1:9" x14ac:dyDescent="0.2">
      <c r="A4105" s="40" t="s">
        <v>465</v>
      </c>
      <c r="B4105" s="28">
        <v>4337</v>
      </c>
      <c r="C4105" s="28">
        <v>5694478</v>
      </c>
      <c r="D4105" s="28"/>
      <c r="E4105" s="41">
        <v>46172</v>
      </c>
      <c r="F4105" s="47">
        <v>0.50666666666666671</v>
      </c>
      <c r="G4105" s="44">
        <v>6.3</v>
      </c>
      <c r="H4105" s="43" t="s">
        <v>231</v>
      </c>
      <c r="I4105" s="40" t="s">
        <v>1300</v>
      </c>
    </row>
    <row r="4106" spans="1:9" x14ac:dyDescent="0.2">
      <c r="A4106" s="40" t="s">
        <v>465</v>
      </c>
      <c r="B4106" s="28">
        <v>4337</v>
      </c>
      <c r="C4106" s="28">
        <v>5694478</v>
      </c>
      <c r="D4106" s="28"/>
      <c r="E4106" s="41">
        <v>46172</v>
      </c>
      <c r="F4106" s="47">
        <v>0.51555555555555554</v>
      </c>
      <c r="G4106" s="44">
        <v>6.3</v>
      </c>
      <c r="H4106" s="43" t="s">
        <v>227</v>
      </c>
      <c r="I4106" s="40" t="s">
        <v>1300</v>
      </c>
    </row>
    <row r="4107" spans="1:9" x14ac:dyDescent="0.2">
      <c r="A4107" s="40" t="s">
        <v>465</v>
      </c>
      <c r="B4107" s="28">
        <v>4337</v>
      </c>
      <c r="C4107" s="28">
        <v>5694635</v>
      </c>
      <c r="D4107" s="28"/>
      <c r="E4107" s="41">
        <v>46172</v>
      </c>
      <c r="F4107" s="47">
        <v>0.58171296296296293</v>
      </c>
      <c r="G4107" s="44">
        <v>6.3</v>
      </c>
      <c r="H4107" s="43" t="s">
        <v>228</v>
      </c>
      <c r="I4107" s="40" t="s">
        <v>1300</v>
      </c>
    </row>
    <row r="4108" spans="1:9" x14ac:dyDescent="0.2">
      <c r="A4108" s="40" t="s">
        <v>465</v>
      </c>
      <c r="B4108" s="28">
        <v>4337</v>
      </c>
      <c r="C4108" s="28">
        <v>5694635</v>
      </c>
      <c r="D4108" s="28"/>
      <c r="E4108" s="41">
        <v>46172</v>
      </c>
      <c r="F4108" s="47">
        <v>0.59060185185185188</v>
      </c>
      <c r="G4108" s="44">
        <v>6.3</v>
      </c>
      <c r="H4108" s="43" t="s">
        <v>229</v>
      </c>
      <c r="I4108" s="40" t="s">
        <v>1300</v>
      </c>
    </row>
    <row r="4109" spans="1:9" x14ac:dyDescent="0.2">
      <c r="A4109" s="40" t="s">
        <v>465</v>
      </c>
      <c r="B4109" s="28">
        <v>4337</v>
      </c>
      <c r="C4109" s="28">
        <v>5695527</v>
      </c>
      <c r="D4109" s="28"/>
      <c r="E4109" s="41">
        <v>46173</v>
      </c>
      <c r="F4109" s="47">
        <v>0.58555555555555561</v>
      </c>
      <c r="G4109" s="44">
        <v>6.3</v>
      </c>
      <c r="H4109" s="43" t="s">
        <v>227</v>
      </c>
      <c r="I4109" s="40" t="s">
        <v>1300</v>
      </c>
    </row>
    <row r="4110" spans="1:9" x14ac:dyDescent="0.2">
      <c r="A4110" s="40" t="s">
        <v>465</v>
      </c>
      <c r="B4110" s="28">
        <v>4337</v>
      </c>
      <c r="C4110" s="28" t="s">
        <v>1175</v>
      </c>
      <c r="D4110" s="28"/>
      <c r="E4110" s="41">
        <v>46173</v>
      </c>
      <c r="F4110" s="47">
        <v>0.76606481481481481</v>
      </c>
      <c r="G4110" s="44">
        <v>6.3</v>
      </c>
      <c r="H4110" s="43" t="s">
        <v>231</v>
      </c>
      <c r="I4110" s="40" t="s">
        <v>1300</v>
      </c>
    </row>
    <row r="4111" spans="1:9" x14ac:dyDescent="0.2">
      <c r="A4111" s="40" t="s">
        <v>465</v>
      </c>
      <c r="B4111" s="28">
        <v>4337</v>
      </c>
      <c r="C4111" s="28" t="s">
        <v>1175</v>
      </c>
      <c r="D4111" s="28"/>
      <c r="E4111" s="45">
        <v>46173</v>
      </c>
      <c r="F4111" s="48">
        <v>0.77124999999999999</v>
      </c>
      <c r="G4111" s="44">
        <v>6.3</v>
      </c>
      <c r="H4111" s="43" t="s">
        <v>227</v>
      </c>
      <c r="I4111" s="40" t="s">
        <v>1300</v>
      </c>
    </row>
    <row r="4112" spans="1:9" x14ac:dyDescent="0.2">
      <c r="A4112" s="40" t="s">
        <v>465</v>
      </c>
      <c r="B4112" s="28">
        <v>4337</v>
      </c>
      <c r="C4112" s="28">
        <v>5696238</v>
      </c>
      <c r="D4112" s="28"/>
      <c r="E4112" s="41">
        <v>46173</v>
      </c>
      <c r="F4112" s="47">
        <v>0.8744791666666667</v>
      </c>
      <c r="G4112" s="44">
        <v>6.3</v>
      </c>
      <c r="H4112" s="43" t="s">
        <v>228</v>
      </c>
      <c r="I4112" s="40" t="s">
        <v>1300</v>
      </c>
    </row>
    <row r="4113" spans="1:9" x14ac:dyDescent="0.2">
      <c r="A4113" s="40" t="s">
        <v>465</v>
      </c>
      <c r="B4113" s="28">
        <v>4337</v>
      </c>
      <c r="C4113" s="28" t="s">
        <v>1176</v>
      </c>
      <c r="D4113" s="28"/>
      <c r="E4113" s="41">
        <v>46173</v>
      </c>
      <c r="F4113" s="47">
        <v>0.93665509259259261</v>
      </c>
      <c r="G4113" s="44">
        <v>6.3</v>
      </c>
      <c r="H4113" s="43" t="s">
        <v>227</v>
      </c>
      <c r="I4113" s="40" t="s">
        <v>1300</v>
      </c>
    </row>
    <row r="4114" spans="1:9" x14ac:dyDescent="0.2">
      <c r="A4114" s="40" t="s">
        <v>466</v>
      </c>
      <c r="B4114" s="28">
        <v>4354</v>
      </c>
      <c r="C4114" s="28" t="s">
        <v>1177</v>
      </c>
      <c r="D4114" s="28"/>
      <c r="E4114" s="41">
        <v>46169</v>
      </c>
      <c r="F4114" s="47">
        <v>0.56468750000000001</v>
      </c>
      <c r="G4114" s="44">
        <v>6.3</v>
      </c>
      <c r="H4114" s="43" t="s">
        <v>229</v>
      </c>
      <c r="I4114" s="40" t="s">
        <v>1300</v>
      </c>
    </row>
    <row r="4115" spans="1:9" x14ac:dyDescent="0.2">
      <c r="A4115" s="40" t="s">
        <v>466</v>
      </c>
      <c r="B4115" s="28">
        <v>4354</v>
      </c>
      <c r="C4115" s="28">
        <v>5693633</v>
      </c>
      <c r="D4115" s="28"/>
      <c r="E4115" s="41">
        <v>46171</v>
      </c>
      <c r="F4115" s="47">
        <v>0.7169444444444445</v>
      </c>
      <c r="G4115" s="44">
        <v>6.3</v>
      </c>
      <c r="H4115" s="43" t="s">
        <v>228</v>
      </c>
      <c r="I4115" s="40" t="s">
        <v>1300</v>
      </c>
    </row>
    <row r="4116" spans="1:9" x14ac:dyDescent="0.2">
      <c r="A4116" s="40" t="s">
        <v>466</v>
      </c>
      <c r="B4116" s="28">
        <v>4354</v>
      </c>
      <c r="C4116" s="28">
        <v>5693633</v>
      </c>
      <c r="D4116" s="28"/>
      <c r="E4116" s="41">
        <v>46171</v>
      </c>
      <c r="F4116" s="47">
        <v>0.73332175925925924</v>
      </c>
      <c r="G4116" s="44">
        <v>6.3</v>
      </c>
      <c r="H4116" s="43" t="s">
        <v>229</v>
      </c>
      <c r="I4116" s="40" t="s">
        <v>1300</v>
      </c>
    </row>
    <row r="4117" spans="1:9" x14ac:dyDescent="0.2">
      <c r="A4117" s="40" t="s">
        <v>466</v>
      </c>
      <c r="B4117" s="28">
        <v>4354</v>
      </c>
      <c r="C4117" s="28" t="s">
        <v>35</v>
      </c>
      <c r="D4117" s="28" t="s">
        <v>38</v>
      </c>
      <c r="E4117" s="41">
        <v>46171</v>
      </c>
      <c r="F4117" s="47">
        <v>0.79197916666666668</v>
      </c>
      <c r="G4117" s="44">
        <v>6.3</v>
      </c>
      <c r="H4117" s="43" t="s">
        <v>226</v>
      </c>
      <c r="I4117" s="40" t="s">
        <v>1300</v>
      </c>
    </row>
    <row r="4118" spans="1:9" x14ac:dyDescent="0.2">
      <c r="A4118" s="40" t="s">
        <v>466</v>
      </c>
      <c r="B4118" s="28">
        <v>4354</v>
      </c>
      <c r="C4118" s="28" t="s">
        <v>35</v>
      </c>
      <c r="D4118" s="28" t="s">
        <v>38</v>
      </c>
      <c r="E4118" s="41">
        <v>46171</v>
      </c>
      <c r="F4118" s="47">
        <v>0.83211805555555551</v>
      </c>
      <c r="G4118" s="44">
        <v>6.3</v>
      </c>
      <c r="H4118" s="43" t="s">
        <v>227</v>
      </c>
      <c r="I4118" s="40" t="s">
        <v>1300</v>
      </c>
    </row>
    <row r="4119" spans="1:9" x14ac:dyDescent="0.2">
      <c r="A4119" s="40" t="s">
        <v>466</v>
      </c>
      <c r="B4119" s="28">
        <v>4354</v>
      </c>
      <c r="C4119" s="28" t="s">
        <v>1178</v>
      </c>
      <c r="D4119" s="28"/>
      <c r="E4119" s="41">
        <v>46173</v>
      </c>
      <c r="F4119" s="47">
        <v>0.6965393518518519</v>
      </c>
      <c r="G4119" s="44">
        <v>6.3</v>
      </c>
      <c r="H4119" s="43" t="s">
        <v>228</v>
      </c>
      <c r="I4119" s="40" t="s">
        <v>1300</v>
      </c>
    </row>
    <row r="4120" spans="1:9" x14ac:dyDescent="0.2">
      <c r="A4120" s="40" t="s">
        <v>466</v>
      </c>
      <c r="B4120" s="28">
        <v>4354</v>
      </c>
      <c r="C4120" s="28" t="s">
        <v>1178</v>
      </c>
      <c r="D4120" s="28"/>
      <c r="E4120" s="41">
        <v>46173</v>
      </c>
      <c r="F4120" s="47">
        <v>0.74105324074074075</v>
      </c>
      <c r="G4120" s="44">
        <v>6.3</v>
      </c>
      <c r="H4120" s="43" t="s">
        <v>230</v>
      </c>
      <c r="I4120" s="40" t="s">
        <v>1300</v>
      </c>
    </row>
    <row r="4121" spans="1:9" x14ac:dyDescent="0.2">
      <c r="A4121" s="40" t="s">
        <v>467</v>
      </c>
      <c r="B4121" s="28">
        <v>4356</v>
      </c>
      <c r="C4121" s="28" t="s">
        <v>35</v>
      </c>
      <c r="D4121" s="28" t="s">
        <v>38</v>
      </c>
      <c r="E4121" s="41">
        <v>46172</v>
      </c>
      <c r="F4121" s="47">
        <v>0.50185185185185188</v>
      </c>
      <c r="G4121" s="42">
        <v>6.3</v>
      </c>
      <c r="H4121" s="40" t="s">
        <v>228</v>
      </c>
      <c r="I4121" s="40" t="s">
        <v>1300</v>
      </c>
    </row>
    <row r="4122" spans="1:9" x14ac:dyDescent="0.2">
      <c r="A4122" s="40" t="s">
        <v>467</v>
      </c>
      <c r="B4122" s="28">
        <v>4356</v>
      </c>
      <c r="C4122" s="28" t="s">
        <v>1179</v>
      </c>
      <c r="D4122" s="28"/>
      <c r="E4122" s="41">
        <v>46172</v>
      </c>
      <c r="F4122" s="47">
        <v>0.83182870370370365</v>
      </c>
      <c r="G4122" s="42">
        <v>6.3</v>
      </c>
      <c r="H4122" s="40" t="s">
        <v>227</v>
      </c>
      <c r="I4122" s="40" t="s">
        <v>1300</v>
      </c>
    </row>
    <row r="4123" spans="1:9" x14ac:dyDescent="0.2">
      <c r="A4123" s="40" t="s">
        <v>467</v>
      </c>
      <c r="B4123" s="28">
        <v>4356</v>
      </c>
      <c r="C4123" s="28" t="s">
        <v>35</v>
      </c>
      <c r="D4123" s="28" t="s">
        <v>38</v>
      </c>
      <c r="E4123" s="41">
        <v>46173</v>
      </c>
      <c r="F4123" s="47">
        <v>0.57143518518518521</v>
      </c>
      <c r="G4123" s="44">
        <v>6.3</v>
      </c>
      <c r="H4123" s="43" t="s">
        <v>233</v>
      </c>
      <c r="I4123" s="40" t="s">
        <v>1300</v>
      </c>
    </row>
    <row r="4124" spans="1:9" x14ac:dyDescent="0.2">
      <c r="A4124" s="40" t="s">
        <v>468</v>
      </c>
      <c r="B4124" s="28">
        <v>4357</v>
      </c>
      <c r="C4124" s="28" t="s">
        <v>1180</v>
      </c>
      <c r="D4124" s="28"/>
      <c r="E4124" s="41">
        <v>46167</v>
      </c>
      <c r="F4124" s="47">
        <v>0.3422337962962963</v>
      </c>
      <c r="G4124" s="44">
        <v>6.3</v>
      </c>
      <c r="H4124" s="43" t="s">
        <v>228</v>
      </c>
      <c r="I4124" s="40" t="s">
        <v>1300</v>
      </c>
    </row>
    <row r="4125" spans="1:9" x14ac:dyDescent="0.2">
      <c r="A4125" s="40" t="s">
        <v>468</v>
      </c>
      <c r="B4125" s="28">
        <v>4357</v>
      </c>
      <c r="C4125" s="28">
        <v>5682232</v>
      </c>
      <c r="D4125" s="28"/>
      <c r="E4125" s="41">
        <v>46167</v>
      </c>
      <c r="F4125" s="47">
        <v>0.45391203703703703</v>
      </c>
      <c r="G4125" s="44">
        <v>6.3</v>
      </c>
      <c r="H4125" s="43" t="s">
        <v>226</v>
      </c>
      <c r="I4125" s="40" t="s">
        <v>1300</v>
      </c>
    </row>
    <row r="4126" spans="1:9" x14ac:dyDescent="0.2">
      <c r="A4126" s="40" t="s">
        <v>468</v>
      </c>
      <c r="B4126" s="28">
        <v>4357</v>
      </c>
      <c r="C4126" s="28">
        <v>5682232</v>
      </c>
      <c r="D4126" s="28"/>
      <c r="E4126" s="41">
        <v>46167</v>
      </c>
      <c r="F4126" s="47">
        <v>0.45947916666666666</v>
      </c>
      <c r="G4126" s="44">
        <v>6.3</v>
      </c>
      <c r="H4126" s="43" t="s">
        <v>227</v>
      </c>
      <c r="I4126" s="40" t="s">
        <v>1300</v>
      </c>
    </row>
    <row r="4127" spans="1:9" x14ac:dyDescent="0.2">
      <c r="A4127" s="40" t="s">
        <v>468</v>
      </c>
      <c r="B4127" s="28">
        <v>4357</v>
      </c>
      <c r="C4127" s="28" t="s">
        <v>1181</v>
      </c>
      <c r="D4127" s="28"/>
      <c r="E4127" s="41">
        <v>46168</v>
      </c>
      <c r="F4127" s="47">
        <v>0.76725694444444448</v>
      </c>
      <c r="G4127" s="44">
        <v>6.3</v>
      </c>
      <c r="H4127" s="43" t="s">
        <v>228</v>
      </c>
      <c r="I4127" s="40" t="s">
        <v>1300</v>
      </c>
    </row>
    <row r="4128" spans="1:9" x14ac:dyDescent="0.2">
      <c r="A4128" s="40" t="s">
        <v>468</v>
      </c>
      <c r="B4128" s="28">
        <v>4357</v>
      </c>
      <c r="C4128" s="28">
        <v>5690911</v>
      </c>
      <c r="D4128" s="28"/>
      <c r="E4128" s="41">
        <v>46170</v>
      </c>
      <c r="F4128" s="47">
        <v>0.55815972222222221</v>
      </c>
      <c r="G4128" s="44">
        <v>6.3</v>
      </c>
      <c r="H4128" s="43" t="s">
        <v>228</v>
      </c>
      <c r="I4128" s="40" t="s">
        <v>1300</v>
      </c>
    </row>
    <row r="4129" spans="1:9" x14ac:dyDescent="0.2">
      <c r="A4129" s="40" t="s">
        <v>468</v>
      </c>
      <c r="B4129" s="28">
        <v>4357</v>
      </c>
      <c r="C4129" s="28">
        <v>5690911</v>
      </c>
      <c r="D4129" s="28"/>
      <c r="E4129" s="41">
        <v>46170</v>
      </c>
      <c r="F4129" s="47">
        <v>0.56950231481481484</v>
      </c>
      <c r="G4129" s="44">
        <v>6.3</v>
      </c>
      <c r="H4129" s="43" t="s">
        <v>229</v>
      </c>
      <c r="I4129" s="40" t="s">
        <v>1300</v>
      </c>
    </row>
    <row r="4130" spans="1:9" x14ac:dyDescent="0.2">
      <c r="A4130" s="40" t="s">
        <v>468</v>
      </c>
      <c r="B4130" s="28">
        <v>4357</v>
      </c>
      <c r="C4130" s="28">
        <v>5692882</v>
      </c>
      <c r="D4130" s="28"/>
      <c r="E4130" s="41">
        <v>46171</v>
      </c>
      <c r="F4130" s="47">
        <v>0.44472222222222224</v>
      </c>
      <c r="G4130" s="44">
        <v>6.3</v>
      </c>
      <c r="H4130" s="43" t="s">
        <v>228</v>
      </c>
      <c r="I4130" s="40" t="s">
        <v>1300</v>
      </c>
    </row>
    <row r="4131" spans="1:9" x14ac:dyDescent="0.2">
      <c r="A4131" s="40" t="s">
        <v>468</v>
      </c>
      <c r="B4131" s="28">
        <v>4357</v>
      </c>
      <c r="C4131" s="28">
        <v>5692882</v>
      </c>
      <c r="D4131" s="28"/>
      <c r="E4131" s="45">
        <v>46171</v>
      </c>
      <c r="F4131" s="48">
        <v>0.45662037037037034</v>
      </c>
      <c r="G4131" s="44">
        <v>6.3</v>
      </c>
      <c r="H4131" s="43" t="s">
        <v>229</v>
      </c>
      <c r="I4131" s="40" t="s">
        <v>1300</v>
      </c>
    </row>
    <row r="4132" spans="1:9" x14ac:dyDescent="0.2">
      <c r="A4132" s="40" t="s">
        <v>468</v>
      </c>
      <c r="B4132" s="28">
        <v>4357</v>
      </c>
      <c r="C4132" s="28" t="s">
        <v>35</v>
      </c>
      <c r="D4132" s="28" t="s">
        <v>38</v>
      </c>
      <c r="E4132" s="41">
        <v>46171</v>
      </c>
      <c r="F4132" s="47">
        <v>0.47106481481481483</v>
      </c>
      <c r="G4132" s="44">
        <v>6.3</v>
      </c>
      <c r="H4132" s="43" t="s">
        <v>230</v>
      </c>
      <c r="I4132" s="40" t="s">
        <v>1300</v>
      </c>
    </row>
    <row r="4133" spans="1:9" x14ac:dyDescent="0.2">
      <c r="A4133" s="40" t="s">
        <v>468</v>
      </c>
      <c r="B4133" s="28">
        <v>4357</v>
      </c>
      <c r="C4133" s="28" t="s">
        <v>35</v>
      </c>
      <c r="D4133" s="28" t="s">
        <v>38</v>
      </c>
      <c r="E4133" s="41">
        <v>46171</v>
      </c>
      <c r="F4133" s="47">
        <v>0.47767361111111112</v>
      </c>
      <c r="G4133" s="44">
        <v>6.3</v>
      </c>
      <c r="H4133" s="43" t="s">
        <v>227</v>
      </c>
      <c r="I4133" s="40" t="s">
        <v>1300</v>
      </c>
    </row>
    <row r="4134" spans="1:9" x14ac:dyDescent="0.2">
      <c r="A4134" s="40" t="s">
        <v>468</v>
      </c>
      <c r="B4134" s="28">
        <v>4357</v>
      </c>
      <c r="C4134" s="28" t="s">
        <v>1182</v>
      </c>
      <c r="D4134" s="28"/>
      <c r="E4134" s="41">
        <v>46171</v>
      </c>
      <c r="F4134" s="47">
        <v>0.75368055555555558</v>
      </c>
      <c r="G4134" s="44">
        <v>6.3</v>
      </c>
      <c r="H4134" s="43" t="s">
        <v>228</v>
      </c>
      <c r="I4134" s="40" t="s">
        <v>1300</v>
      </c>
    </row>
    <row r="4135" spans="1:9" x14ac:dyDescent="0.2">
      <c r="A4135" s="40" t="s">
        <v>468</v>
      </c>
      <c r="B4135" s="28">
        <v>4357</v>
      </c>
      <c r="C4135" s="28" t="s">
        <v>35</v>
      </c>
      <c r="D4135" s="28" t="s">
        <v>38</v>
      </c>
      <c r="E4135" s="41">
        <v>46171</v>
      </c>
      <c r="F4135" s="47">
        <v>0.81349537037037034</v>
      </c>
      <c r="G4135" s="44">
        <v>6.3</v>
      </c>
      <c r="H4135" s="43" t="s">
        <v>227</v>
      </c>
      <c r="I4135" s="40" t="s">
        <v>1300</v>
      </c>
    </row>
    <row r="4136" spans="1:9" x14ac:dyDescent="0.2">
      <c r="A4136" s="40" t="s">
        <v>468</v>
      </c>
      <c r="B4136" s="28">
        <v>4357</v>
      </c>
      <c r="C4136" s="28" t="s">
        <v>1183</v>
      </c>
      <c r="D4136" s="28"/>
      <c r="E4136" s="45">
        <v>46172</v>
      </c>
      <c r="F4136" s="48">
        <v>0.50049768518518523</v>
      </c>
      <c r="G4136" s="44">
        <v>6.3</v>
      </c>
      <c r="H4136" s="43" t="s">
        <v>228</v>
      </c>
      <c r="I4136" s="40" t="s">
        <v>1300</v>
      </c>
    </row>
    <row r="4137" spans="1:9" x14ac:dyDescent="0.2">
      <c r="A4137" s="40" t="s">
        <v>468</v>
      </c>
      <c r="B4137" s="28">
        <v>4357</v>
      </c>
      <c r="C4137" s="28" t="s">
        <v>1183</v>
      </c>
      <c r="D4137" s="28"/>
      <c r="E4137" s="41">
        <v>46172</v>
      </c>
      <c r="F4137" s="47">
        <v>0.51109953703703703</v>
      </c>
      <c r="G4137" s="44">
        <v>6.3</v>
      </c>
      <c r="H4137" s="43" t="s">
        <v>229</v>
      </c>
      <c r="I4137" s="40" t="s">
        <v>1300</v>
      </c>
    </row>
    <row r="4138" spans="1:9" x14ac:dyDescent="0.2">
      <c r="A4138" s="40" t="s">
        <v>468</v>
      </c>
      <c r="B4138" s="28">
        <v>4357</v>
      </c>
      <c r="C4138" s="28" t="s">
        <v>35</v>
      </c>
      <c r="D4138" s="28" t="s">
        <v>38</v>
      </c>
      <c r="E4138" s="41">
        <v>46172</v>
      </c>
      <c r="F4138" s="47">
        <v>0.53010416666666671</v>
      </c>
      <c r="G4138" s="44">
        <v>6.3</v>
      </c>
      <c r="H4138" s="43" t="s">
        <v>226</v>
      </c>
      <c r="I4138" s="40" t="s">
        <v>1300</v>
      </c>
    </row>
    <row r="4139" spans="1:9" x14ac:dyDescent="0.2">
      <c r="A4139" s="40" t="s">
        <v>468</v>
      </c>
      <c r="B4139" s="28">
        <v>4357</v>
      </c>
      <c r="C4139" s="28" t="s">
        <v>35</v>
      </c>
      <c r="D4139" s="28" t="s">
        <v>38</v>
      </c>
      <c r="E4139" s="41">
        <v>46172</v>
      </c>
      <c r="F4139" s="47">
        <v>0.54040509259259262</v>
      </c>
      <c r="G4139" s="44">
        <v>6.3</v>
      </c>
      <c r="H4139" s="43" t="s">
        <v>227</v>
      </c>
      <c r="I4139" s="40" t="s">
        <v>1300</v>
      </c>
    </row>
    <row r="4140" spans="1:9" x14ac:dyDescent="0.2">
      <c r="A4140" s="40" t="s">
        <v>468</v>
      </c>
      <c r="B4140" s="28">
        <v>4357</v>
      </c>
      <c r="C4140" s="28" t="s">
        <v>1184</v>
      </c>
      <c r="D4140" s="28"/>
      <c r="E4140" s="41">
        <v>46172</v>
      </c>
      <c r="F4140" s="47">
        <v>0.72453703703703709</v>
      </c>
      <c r="G4140" s="44">
        <v>6.3</v>
      </c>
      <c r="H4140" s="43" t="s">
        <v>228</v>
      </c>
      <c r="I4140" s="40" t="s">
        <v>1300</v>
      </c>
    </row>
    <row r="4141" spans="1:9" x14ac:dyDescent="0.2">
      <c r="A4141" s="40" t="s">
        <v>468</v>
      </c>
      <c r="B4141" s="28">
        <v>4357</v>
      </c>
      <c r="C4141" s="28" t="s">
        <v>1184</v>
      </c>
      <c r="D4141" s="28"/>
      <c r="E4141" s="41">
        <v>46172</v>
      </c>
      <c r="F4141" s="47">
        <v>0.73289351851851847</v>
      </c>
      <c r="G4141" s="44">
        <v>6.3</v>
      </c>
      <c r="H4141" s="43" t="s">
        <v>229</v>
      </c>
      <c r="I4141" s="40" t="s">
        <v>1300</v>
      </c>
    </row>
    <row r="4142" spans="1:9" x14ac:dyDescent="0.2">
      <c r="A4142" s="40" t="s">
        <v>469</v>
      </c>
      <c r="B4142" s="28">
        <v>4364</v>
      </c>
      <c r="C4142" s="28" t="s">
        <v>1185</v>
      </c>
      <c r="D4142" s="28"/>
      <c r="E4142" s="41">
        <v>46167</v>
      </c>
      <c r="F4142" s="47">
        <v>0.73516203703703709</v>
      </c>
      <c r="G4142" s="44">
        <v>6.3</v>
      </c>
      <c r="H4142" s="43" t="s">
        <v>228</v>
      </c>
      <c r="I4142" s="40" t="s">
        <v>1300</v>
      </c>
    </row>
    <row r="4143" spans="1:9" x14ac:dyDescent="0.2">
      <c r="A4143" s="40" t="s">
        <v>469</v>
      </c>
      <c r="B4143" s="28">
        <v>4364</v>
      </c>
      <c r="C4143" s="28" t="s">
        <v>1186</v>
      </c>
      <c r="D4143" s="28"/>
      <c r="E4143" s="41">
        <v>46173</v>
      </c>
      <c r="F4143" s="47">
        <v>0.57989583333333339</v>
      </c>
      <c r="G4143" s="44">
        <v>6.3</v>
      </c>
      <c r="H4143" s="43" t="s">
        <v>228</v>
      </c>
      <c r="I4143" s="40" t="s">
        <v>1300</v>
      </c>
    </row>
    <row r="4144" spans="1:9" x14ac:dyDescent="0.2">
      <c r="A4144" s="40" t="s">
        <v>469</v>
      </c>
      <c r="B4144" s="28">
        <v>4364</v>
      </c>
      <c r="C4144" s="28" t="s">
        <v>1186</v>
      </c>
      <c r="D4144" s="28"/>
      <c r="E4144" s="41">
        <v>46173</v>
      </c>
      <c r="F4144" s="47">
        <v>0.58946759259259263</v>
      </c>
      <c r="G4144" s="44">
        <v>6.3</v>
      </c>
      <c r="H4144" s="43" t="s">
        <v>232</v>
      </c>
      <c r="I4144" s="40" t="s">
        <v>1300</v>
      </c>
    </row>
    <row r="4145" spans="1:9" x14ac:dyDescent="0.2">
      <c r="A4145" s="40" t="s">
        <v>469</v>
      </c>
      <c r="B4145" s="28">
        <v>4364</v>
      </c>
      <c r="C4145" s="28" t="s">
        <v>1187</v>
      </c>
      <c r="D4145" s="28"/>
      <c r="E4145" s="41">
        <v>46173</v>
      </c>
      <c r="F4145" s="47">
        <v>0.63836805555555554</v>
      </c>
      <c r="G4145" s="44">
        <v>6.3</v>
      </c>
      <c r="H4145" s="43" t="s">
        <v>230</v>
      </c>
      <c r="I4145" s="40" t="s">
        <v>1300</v>
      </c>
    </row>
    <row r="4146" spans="1:9" x14ac:dyDescent="0.2">
      <c r="A4146" s="40" t="s">
        <v>469</v>
      </c>
      <c r="B4146" s="28">
        <v>4364</v>
      </c>
      <c r="C4146" s="28" t="s">
        <v>1187</v>
      </c>
      <c r="D4146" s="28"/>
      <c r="E4146" s="41">
        <v>46173</v>
      </c>
      <c r="F4146" s="47">
        <v>0.64339120370370373</v>
      </c>
      <c r="G4146" s="44">
        <v>6.3</v>
      </c>
      <c r="H4146" s="43" t="s">
        <v>227</v>
      </c>
      <c r="I4146" s="40" t="s">
        <v>1300</v>
      </c>
    </row>
    <row r="4147" spans="1:9" x14ac:dyDescent="0.2">
      <c r="A4147" s="40" t="s">
        <v>470</v>
      </c>
      <c r="B4147" s="28">
        <v>4365</v>
      </c>
      <c r="C4147" s="28" t="s">
        <v>1188</v>
      </c>
      <c r="D4147" s="28"/>
      <c r="E4147" s="41">
        <v>46167</v>
      </c>
      <c r="F4147" s="47">
        <v>0.14940972222222224</v>
      </c>
      <c r="G4147" s="44">
        <v>6.3</v>
      </c>
      <c r="H4147" s="43" t="s">
        <v>226</v>
      </c>
      <c r="I4147" s="40" t="s">
        <v>1300</v>
      </c>
    </row>
    <row r="4148" spans="1:9" x14ac:dyDescent="0.2">
      <c r="A4148" s="40" t="s">
        <v>470</v>
      </c>
      <c r="B4148" s="28">
        <v>4365</v>
      </c>
      <c r="C4148" s="28" t="s">
        <v>1188</v>
      </c>
      <c r="D4148" s="28"/>
      <c r="E4148" s="41">
        <v>46167</v>
      </c>
      <c r="F4148" s="47">
        <v>0.15435185185185185</v>
      </c>
      <c r="G4148" s="44">
        <v>6.3</v>
      </c>
      <c r="H4148" s="43" t="s">
        <v>227</v>
      </c>
      <c r="I4148" s="40" t="s">
        <v>1300</v>
      </c>
    </row>
    <row r="4149" spans="1:9" x14ac:dyDescent="0.2">
      <c r="A4149" s="40" t="s">
        <v>470</v>
      </c>
      <c r="B4149" s="28">
        <v>4365</v>
      </c>
      <c r="C4149" s="28" t="s">
        <v>1189</v>
      </c>
      <c r="D4149" s="28"/>
      <c r="E4149" s="41">
        <v>46167</v>
      </c>
      <c r="F4149" s="47">
        <v>0.24346064814814813</v>
      </c>
      <c r="G4149" s="44">
        <v>6.3</v>
      </c>
      <c r="H4149" s="43" t="s">
        <v>228</v>
      </c>
      <c r="I4149" s="40" t="s">
        <v>1300</v>
      </c>
    </row>
    <row r="4150" spans="1:9" x14ac:dyDescent="0.2">
      <c r="A4150" s="40" t="s">
        <v>470</v>
      </c>
      <c r="B4150" s="28">
        <v>4365</v>
      </c>
      <c r="C4150" s="28" t="s">
        <v>1189</v>
      </c>
      <c r="D4150" s="28"/>
      <c r="E4150" s="41">
        <v>46167</v>
      </c>
      <c r="F4150" s="47">
        <v>0.25368055555555558</v>
      </c>
      <c r="G4150" s="44">
        <v>6.3</v>
      </c>
      <c r="H4150" s="43" t="s">
        <v>232</v>
      </c>
      <c r="I4150" s="40" t="s">
        <v>1300</v>
      </c>
    </row>
    <row r="4151" spans="1:9" x14ac:dyDescent="0.2">
      <c r="A4151" s="40" t="s">
        <v>470</v>
      </c>
      <c r="B4151" s="28">
        <v>4365</v>
      </c>
      <c r="C4151" s="28" t="s">
        <v>35</v>
      </c>
      <c r="D4151" s="28" t="s">
        <v>38</v>
      </c>
      <c r="E4151" s="41">
        <v>46167</v>
      </c>
      <c r="F4151" s="47">
        <v>0.31824074074074077</v>
      </c>
      <c r="G4151" s="44">
        <v>6.3</v>
      </c>
      <c r="H4151" s="43" t="s">
        <v>230</v>
      </c>
      <c r="I4151" s="40" t="s">
        <v>1300</v>
      </c>
    </row>
    <row r="4152" spans="1:9" x14ac:dyDescent="0.2">
      <c r="A4152" s="40" t="s">
        <v>470</v>
      </c>
      <c r="B4152" s="28">
        <v>4365</v>
      </c>
      <c r="C4152" s="28" t="s">
        <v>35</v>
      </c>
      <c r="D4152" s="28" t="s">
        <v>38</v>
      </c>
      <c r="E4152" s="41">
        <v>46167</v>
      </c>
      <c r="F4152" s="47">
        <v>0.32361111111111113</v>
      </c>
      <c r="G4152" s="42">
        <v>6.3</v>
      </c>
      <c r="H4152" s="40" t="s">
        <v>227</v>
      </c>
      <c r="I4152" s="40" t="s">
        <v>1300</v>
      </c>
    </row>
    <row r="4153" spans="1:9" x14ac:dyDescent="0.2">
      <c r="A4153" s="40" t="s">
        <v>470</v>
      </c>
      <c r="B4153" s="28">
        <v>4365</v>
      </c>
      <c r="C4153" s="28" t="s">
        <v>1190</v>
      </c>
      <c r="D4153" s="28"/>
      <c r="E4153" s="45">
        <v>46167</v>
      </c>
      <c r="F4153" s="48">
        <v>0.45324074074074072</v>
      </c>
      <c r="G4153" s="42">
        <v>6.3</v>
      </c>
      <c r="H4153" s="40" t="s">
        <v>228</v>
      </c>
      <c r="I4153" s="40" t="s">
        <v>1300</v>
      </c>
    </row>
    <row r="4154" spans="1:9" x14ac:dyDescent="0.2">
      <c r="A4154" s="40" t="s">
        <v>470</v>
      </c>
      <c r="B4154" s="28">
        <v>4365</v>
      </c>
      <c r="C4154" s="28" t="s">
        <v>1190</v>
      </c>
      <c r="D4154" s="28"/>
      <c r="E4154" s="41">
        <v>46167</v>
      </c>
      <c r="F4154" s="47">
        <v>0.46175925925925926</v>
      </c>
      <c r="G4154" s="44">
        <v>6.3</v>
      </c>
      <c r="H4154" s="43" t="s">
        <v>229</v>
      </c>
      <c r="I4154" s="40" t="s">
        <v>1300</v>
      </c>
    </row>
    <row r="4155" spans="1:9" x14ac:dyDescent="0.2">
      <c r="A4155" s="40" t="s">
        <v>470</v>
      </c>
      <c r="B4155" s="28">
        <v>4365</v>
      </c>
      <c r="C4155" s="28" t="s">
        <v>1191</v>
      </c>
      <c r="D4155" s="28"/>
      <c r="E4155" s="41">
        <v>46167</v>
      </c>
      <c r="F4155" s="47">
        <v>0.66236111111111107</v>
      </c>
      <c r="G4155" s="44">
        <v>6.3</v>
      </c>
      <c r="H4155" s="43" t="s">
        <v>228</v>
      </c>
      <c r="I4155" s="40" t="s">
        <v>1300</v>
      </c>
    </row>
    <row r="4156" spans="1:9" x14ac:dyDescent="0.2">
      <c r="A4156" s="40" t="s">
        <v>470</v>
      </c>
      <c r="B4156" s="28">
        <v>4365</v>
      </c>
      <c r="C4156" s="28" t="s">
        <v>1191</v>
      </c>
      <c r="D4156" s="28"/>
      <c r="E4156" s="41">
        <v>46167</v>
      </c>
      <c r="F4156" s="47">
        <v>0.67277777777777781</v>
      </c>
      <c r="G4156" s="44">
        <v>6.3</v>
      </c>
      <c r="H4156" s="43" t="s">
        <v>229</v>
      </c>
      <c r="I4156" s="40" t="s">
        <v>1300</v>
      </c>
    </row>
    <row r="4157" spans="1:9" x14ac:dyDescent="0.2">
      <c r="A4157" s="40" t="s">
        <v>470</v>
      </c>
      <c r="B4157" s="28">
        <v>4365</v>
      </c>
      <c r="C4157" s="28" t="s">
        <v>35</v>
      </c>
      <c r="D4157" s="28" t="s">
        <v>38</v>
      </c>
      <c r="E4157" s="41">
        <v>46169</v>
      </c>
      <c r="F4157" s="47">
        <v>0.25679398148148147</v>
      </c>
      <c r="G4157" s="44">
        <v>6.3</v>
      </c>
      <c r="H4157" s="43" t="s">
        <v>228</v>
      </c>
      <c r="I4157" s="40" t="s">
        <v>1300</v>
      </c>
    </row>
    <row r="4158" spans="1:9" x14ac:dyDescent="0.2">
      <c r="A4158" s="40" t="s">
        <v>470</v>
      </c>
      <c r="B4158" s="28">
        <v>4365</v>
      </c>
      <c r="C4158" s="28" t="s">
        <v>35</v>
      </c>
      <c r="D4158" s="28" t="s">
        <v>38</v>
      </c>
      <c r="E4158" s="41">
        <v>46169</v>
      </c>
      <c r="F4158" s="47">
        <v>0.26745370370370369</v>
      </c>
      <c r="G4158" s="42">
        <v>6.3</v>
      </c>
      <c r="H4158" s="40" t="s">
        <v>229</v>
      </c>
      <c r="I4158" s="40" t="s">
        <v>1300</v>
      </c>
    </row>
    <row r="4159" spans="1:9" x14ac:dyDescent="0.2">
      <c r="A4159" s="40" t="s">
        <v>470</v>
      </c>
      <c r="B4159" s="28">
        <v>4365</v>
      </c>
      <c r="C4159" s="28" t="s">
        <v>1192</v>
      </c>
      <c r="D4159" s="28"/>
      <c r="E4159" s="41">
        <v>46169</v>
      </c>
      <c r="F4159" s="47">
        <v>0.3795486111111111</v>
      </c>
      <c r="G4159" s="42">
        <v>6.3</v>
      </c>
      <c r="H4159" s="40" t="s">
        <v>230</v>
      </c>
      <c r="I4159" s="40" t="s">
        <v>1300</v>
      </c>
    </row>
    <row r="4160" spans="1:9" x14ac:dyDescent="0.2">
      <c r="A4160" s="40" t="s">
        <v>470</v>
      </c>
      <c r="B4160" s="28">
        <v>4365</v>
      </c>
      <c r="C4160" s="28" t="s">
        <v>1192</v>
      </c>
      <c r="D4160" s="28"/>
      <c r="E4160" s="41">
        <v>46169</v>
      </c>
      <c r="F4160" s="47">
        <v>0.38895833333333335</v>
      </c>
      <c r="G4160" s="44">
        <v>6.3</v>
      </c>
      <c r="H4160" s="43" t="s">
        <v>227</v>
      </c>
      <c r="I4160" s="40" t="s">
        <v>1300</v>
      </c>
    </row>
    <row r="4161" spans="1:9" x14ac:dyDescent="0.2">
      <c r="A4161" s="40" t="s">
        <v>470</v>
      </c>
      <c r="B4161" s="28">
        <v>4365</v>
      </c>
      <c r="C4161" s="28" t="s">
        <v>1193</v>
      </c>
      <c r="D4161" s="28"/>
      <c r="E4161" s="41">
        <v>46169</v>
      </c>
      <c r="F4161" s="47">
        <v>0.45247685185185182</v>
      </c>
      <c r="G4161" s="44">
        <v>6.3</v>
      </c>
      <c r="H4161" s="43" t="s">
        <v>228</v>
      </c>
      <c r="I4161" s="40" t="s">
        <v>1300</v>
      </c>
    </row>
    <row r="4162" spans="1:9" x14ac:dyDescent="0.2">
      <c r="A4162" s="40" t="s">
        <v>470</v>
      </c>
      <c r="B4162" s="28">
        <v>4365</v>
      </c>
      <c r="C4162" s="28" t="s">
        <v>1193</v>
      </c>
      <c r="D4162" s="28"/>
      <c r="E4162" s="41">
        <v>46169</v>
      </c>
      <c r="F4162" s="47">
        <v>0.4604861111111111</v>
      </c>
      <c r="G4162" s="44">
        <v>6.3</v>
      </c>
      <c r="H4162" s="43" t="s">
        <v>229</v>
      </c>
      <c r="I4162" s="40" t="s">
        <v>1300</v>
      </c>
    </row>
    <row r="4163" spans="1:9" x14ac:dyDescent="0.2">
      <c r="A4163" s="40" t="s">
        <v>470</v>
      </c>
      <c r="B4163" s="28">
        <v>4365</v>
      </c>
      <c r="C4163" s="28" t="s">
        <v>1194</v>
      </c>
      <c r="D4163" s="28"/>
      <c r="E4163" s="41">
        <v>46169</v>
      </c>
      <c r="F4163" s="47">
        <v>0.51824074074074078</v>
      </c>
      <c r="G4163" s="44">
        <v>6.3</v>
      </c>
      <c r="H4163" s="43" t="s">
        <v>230</v>
      </c>
      <c r="I4163" s="40" t="s">
        <v>1300</v>
      </c>
    </row>
    <row r="4164" spans="1:9" x14ac:dyDescent="0.2">
      <c r="A4164" s="40" t="s">
        <v>470</v>
      </c>
      <c r="B4164" s="28">
        <v>4365</v>
      </c>
      <c r="C4164" s="28" t="s">
        <v>1194</v>
      </c>
      <c r="D4164" s="28"/>
      <c r="E4164" s="41">
        <v>46169</v>
      </c>
      <c r="F4164" s="47">
        <v>0.52414351851851848</v>
      </c>
      <c r="G4164" s="44">
        <v>6.3</v>
      </c>
      <c r="H4164" s="43" t="s">
        <v>227</v>
      </c>
      <c r="I4164" s="40" t="s">
        <v>1300</v>
      </c>
    </row>
    <row r="4165" spans="1:9" x14ac:dyDescent="0.2">
      <c r="A4165" s="40" t="s">
        <v>470</v>
      </c>
      <c r="B4165" s="28">
        <v>4365</v>
      </c>
      <c r="C4165" s="28" t="s">
        <v>1195</v>
      </c>
      <c r="D4165" s="28"/>
      <c r="E4165" s="41">
        <v>46170</v>
      </c>
      <c r="F4165" s="47">
        <v>0.52233796296296298</v>
      </c>
      <c r="G4165" s="44">
        <v>6.3</v>
      </c>
      <c r="H4165" s="43" t="s">
        <v>230</v>
      </c>
      <c r="I4165" s="40" t="s">
        <v>1300</v>
      </c>
    </row>
    <row r="4166" spans="1:9" x14ac:dyDescent="0.2">
      <c r="A4166" s="40" t="s">
        <v>470</v>
      </c>
      <c r="B4166" s="28">
        <v>4365</v>
      </c>
      <c r="C4166" s="28" t="s">
        <v>1195</v>
      </c>
      <c r="D4166" s="28"/>
      <c r="E4166" s="41">
        <v>46170</v>
      </c>
      <c r="F4166" s="47">
        <v>0.52835648148148151</v>
      </c>
      <c r="G4166" s="44">
        <v>6.3</v>
      </c>
      <c r="H4166" s="43" t="s">
        <v>227</v>
      </c>
      <c r="I4166" s="40" t="s">
        <v>1300</v>
      </c>
    </row>
    <row r="4167" spans="1:9" x14ac:dyDescent="0.2">
      <c r="A4167" s="40" t="s">
        <v>470</v>
      </c>
      <c r="B4167" s="28">
        <v>4365</v>
      </c>
      <c r="C4167" s="28" t="s">
        <v>1196</v>
      </c>
      <c r="D4167" s="28"/>
      <c r="E4167" s="41">
        <v>46170</v>
      </c>
      <c r="F4167" s="47">
        <v>0.73939814814814819</v>
      </c>
      <c r="G4167" s="44">
        <v>6.3</v>
      </c>
      <c r="H4167" s="43" t="s">
        <v>228</v>
      </c>
      <c r="I4167" s="40" t="s">
        <v>1300</v>
      </c>
    </row>
    <row r="4168" spans="1:9" x14ac:dyDescent="0.2">
      <c r="A4168" s="40" t="s">
        <v>470</v>
      </c>
      <c r="B4168" s="28">
        <v>4365</v>
      </c>
      <c r="C4168" s="28" t="s">
        <v>1197</v>
      </c>
      <c r="D4168" s="28"/>
      <c r="E4168" s="41">
        <v>46170</v>
      </c>
      <c r="F4168" s="47">
        <v>0.96888888888888891</v>
      </c>
      <c r="G4168" s="44">
        <v>6.3</v>
      </c>
      <c r="H4168" s="43" t="s">
        <v>228</v>
      </c>
      <c r="I4168" s="40" t="s">
        <v>1300</v>
      </c>
    </row>
    <row r="4169" spans="1:9" x14ac:dyDescent="0.2">
      <c r="A4169" s="40" t="s">
        <v>470</v>
      </c>
      <c r="B4169" s="28">
        <v>4365</v>
      </c>
      <c r="C4169" s="28" t="s">
        <v>1197</v>
      </c>
      <c r="D4169" s="28"/>
      <c r="E4169" s="41">
        <v>46170</v>
      </c>
      <c r="F4169" s="47">
        <v>0.97603009259259255</v>
      </c>
      <c r="G4169" s="44">
        <v>6.3</v>
      </c>
      <c r="H4169" s="43" t="s">
        <v>229</v>
      </c>
      <c r="I4169" s="40" t="s">
        <v>1300</v>
      </c>
    </row>
    <row r="4170" spans="1:9" x14ac:dyDescent="0.2">
      <c r="A4170" s="40" t="s">
        <v>470</v>
      </c>
      <c r="B4170" s="28">
        <v>4365</v>
      </c>
      <c r="C4170" s="28" t="s">
        <v>1198</v>
      </c>
      <c r="D4170" s="28"/>
      <c r="E4170" s="41">
        <v>46171</v>
      </c>
      <c r="F4170" s="47">
        <v>0.67857638888888894</v>
      </c>
      <c r="G4170" s="44">
        <v>6.3</v>
      </c>
      <c r="H4170" s="43" t="s">
        <v>230</v>
      </c>
      <c r="I4170" s="40" t="s">
        <v>1300</v>
      </c>
    </row>
    <row r="4171" spans="1:9" x14ac:dyDescent="0.2">
      <c r="A4171" s="40" t="s">
        <v>470</v>
      </c>
      <c r="B4171" s="28">
        <v>4365</v>
      </c>
      <c r="C4171" s="28" t="s">
        <v>1198</v>
      </c>
      <c r="D4171" s="28"/>
      <c r="E4171" s="41">
        <v>46171</v>
      </c>
      <c r="F4171" s="47">
        <v>0.70407407407407407</v>
      </c>
      <c r="G4171" s="44">
        <v>6.3</v>
      </c>
      <c r="H4171" s="43" t="s">
        <v>227</v>
      </c>
      <c r="I4171" s="40" t="s">
        <v>1300</v>
      </c>
    </row>
    <row r="4172" spans="1:9" x14ac:dyDescent="0.2">
      <c r="A4172" s="40" t="s">
        <v>470</v>
      </c>
      <c r="B4172" s="28">
        <v>4365</v>
      </c>
      <c r="C4172" s="28" t="s">
        <v>1199</v>
      </c>
      <c r="D4172" s="28"/>
      <c r="E4172" s="41">
        <v>46171</v>
      </c>
      <c r="F4172" s="47">
        <v>0.85305555555555557</v>
      </c>
      <c r="G4172" s="44">
        <v>6.3</v>
      </c>
      <c r="H4172" s="43" t="s">
        <v>230</v>
      </c>
      <c r="I4172" s="40" t="s">
        <v>1300</v>
      </c>
    </row>
    <row r="4173" spans="1:9" x14ac:dyDescent="0.2">
      <c r="A4173" s="40" t="s">
        <v>470</v>
      </c>
      <c r="B4173" s="28">
        <v>4365</v>
      </c>
      <c r="C4173" s="28" t="s">
        <v>1199</v>
      </c>
      <c r="D4173" s="28"/>
      <c r="E4173" s="41">
        <v>46171</v>
      </c>
      <c r="F4173" s="47">
        <v>0.8866087962962963</v>
      </c>
      <c r="G4173" s="44">
        <v>6.3</v>
      </c>
      <c r="H4173" s="43" t="s">
        <v>227</v>
      </c>
      <c r="I4173" s="40" t="s">
        <v>1300</v>
      </c>
    </row>
    <row r="4174" spans="1:9" x14ac:dyDescent="0.2">
      <c r="A4174" s="40" t="s">
        <v>470</v>
      </c>
      <c r="B4174" s="28">
        <v>4365</v>
      </c>
      <c r="C4174" s="28" t="s">
        <v>1200</v>
      </c>
      <c r="D4174" s="28"/>
      <c r="E4174" s="41">
        <v>46172</v>
      </c>
      <c r="F4174" s="47">
        <v>0.55188657407407404</v>
      </c>
      <c r="G4174" s="44">
        <v>6.3</v>
      </c>
      <c r="H4174" s="43" t="s">
        <v>228</v>
      </c>
      <c r="I4174" s="40" t="s">
        <v>1300</v>
      </c>
    </row>
    <row r="4175" spans="1:9" x14ac:dyDescent="0.2">
      <c r="A4175" s="40" t="s">
        <v>470</v>
      </c>
      <c r="B4175" s="28">
        <v>4365</v>
      </c>
      <c r="C4175" s="28" t="s">
        <v>1200</v>
      </c>
      <c r="D4175" s="28"/>
      <c r="E4175" s="41">
        <v>46172</v>
      </c>
      <c r="F4175" s="47">
        <v>0.56126157407407407</v>
      </c>
      <c r="G4175" s="44">
        <v>6.3</v>
      </c>
      <c r="H4175" s="43" t="s">
        <v>229</v>
      </c>
      <c r="I4175" s="40" t="s">
        <v>1300</v>
      </c>
    </row>
    <row r="4176" spans="1:9" x14ac:dyDescent="0.2">
      <c r="A4176" s="40" t="s">
        <v>470</v>
      </c>
      <c r="B4176" s="28">
        <v>4365</v>
      </c>
      <c r="C4176" s="28" t="s">
        <v>35</v>
      </c>
      <c r="D4176" s="28" t="s">
        <v>38</v>
      </c>
      <c r="E4176" s="41">
        <v>46173</v>
      </c>
      <c r="F4176" s="47">
        <v>0.35403935185185187</v>
      </c>
      <c r="G4176" s="44">
        <v>6.3</v>
      </c>
      <c r="H4176" s="43" t="s">
        <v>230</v>
      </c>
      <c r="I4176" s="40" t="s">
        <v>1300</v>
      </c>
    </row>
    <row r="4177" spans="1:9" x14ac:dyDescent="0.2">
      <c r="A4177" s="40" t="s">
        <v>470</v>
      </c>
      <c r="B4177" s="28">
        <v>4365</v>
      </c>
      <c r="C4177" s="28" t="s">
        <v>35</v>
      </c>
      <c r="D4177" s="28" t="s">
        <v>38</v>
      </c>
      <c r="E4177" s="41">
        <v>46173</v>
      </c>
      <c r="F4177" s="47">
        <v>0.35902777777777778</v>
      </c>
      <c r="G4177" s="44">
        <v>6.3</v>
      </c>
      <c r="H4177" s="43" t="s">
        <v>227</v>
      </c>
      <c r="I4177" s="40" t="s">
        <v>1300</v>
      </c>
    </row>
    <row r="4178" spans="1:9" x14ac:dyDescent="0.2">
      <c r="A4178" s="40" t="s">
        <v>1201</v>
      </c>
      <c r="B4178" s="28">
        <v>4367</v>
      </c>
      <c r="C4178" s="28" t="s">
        <v>1202</v>
      </c>
      <c r="D4178" s="28"/>
      <c r="E4178" s="41">
        <v>46172</v>
      </c>
      <c r="F4178" s="47">
        <v>0.92383101851851857</v>
      </c>
      <c r="G4178" s="44">
        <v>6.3</v>
      </c>
      <c r="H4178" s="43" t="s">
        <v>229</v>
      </c>
      <c r="I4178" s="40" t="s">
        <v>1300</v>
      </c>
    </row>
    <row r="4179" spans="1:9" x14ac:dyDescent="0.2">
      <c r="A4179" s="40" t="s">
        <v>1203</v>
      </c>
      <c r="B4179" s="28">
        <v>4384</v>
      </c>
      <c r="C4179" s="28">
        <v>5687436</v>
      </c>
      <c r="D4179" s="28"/>
      <c r="E4179" s="41">
        <v>46171</v>
      </c>
      <c r="F4179" s="47">
        <v>0.86456018518518518</v>
      </c>
      <c r="G4179" s="44">
        <v>6.3</v>
      </c>
      <c r="H4179" s="43" t="s">
        <v>229</v>
      </c>
      <c r="I4179" s="40" t="s">
        <v>1300</v>
      </c>
    </row>
    <row r="4180" spans="1:9" x14ac:dyDescent="0.2">
      <c r="A4180" s="40" t="s">
        <v>1204</v>
      </c>
      <c r="B4180" s="28">
        <v>4402</v>
      </c>
      <c r="C4180" s="28">
        <v>5692894</v>
      </c>
      <c r="D4180" s="28" t="s">
        <v>37</v>
      </c>
      <c r="E4180" s="41">
        <v>46171</v>
      </c>
      <c r="F4180" s="47">
        <v>0.63954861111111116</v>
      </c>
      <c r="G4180" s="44">
        <v>6.3</v>
      </c>
      <c r="H4180" s="43" t="s">
        <v>230</v>
      </c>
      <c r="I4180" s="40" t="s">
        <v>1300</v>
      </c>
    </row>
    <row r="4181" spans="1:9" x14ac:dyDescent="0.2">
      <c r="A4181" s="40" t="s">
        <v>1204</v>
      </c>
      <c r="B4181" s="28">
        <v>4402</v>
      </c>
      <c r="C4181" s="28">
        <v>5692894</v>
      </c>
      <c r="D4181" s="28" t="s">
        <v>37</v>
      </c>
      <c r="E4181" s="41">
        <v>46171</v>
      </c>
      <c r="F4181" s="47">
        <v>0.66326388888888888</v>
      </c>
      <c r="G4181" s="42">
        <v>6.3</v>
      </c>
      <c r="H4181" s="40" t="s">
        <v>227</v>
      </c>
      <c r="I4181" s="40" t="s">
        <v>1300</v>
      </c>
    </row>
    <row r="4182" spans="1:9" x14ac:dyDescent="0.2">
      <c r="A4182" s="40" t="s">
        <v>1205</v>
      </c>
      <c r="B4182" s="28">
        <v>4404</v>
      </c>
      <c r="C4182" s="28" t="s">
        <v>35</v>
      </c>
      <c r="D4182" s="28" t="s">
        <v>38</v>
      </c>
      <c r="E4182" s="41">
        <v>46171</v>
      </c>
      <c r="F4182" s="47">
        <v>0.94126157407407407</v>
      </c>
      <c r="G4182" s="42">
        <v>6.3</v>
      </c>
      <c r="H4182" s="40" t="s">
        <v>228</v>
      </c>
      <c r="I4182" s="40" t="s">
        <v>1300</v>
      </c>
    </row>
    <row r="4183" spans="1:9" x14ac:dyDescent="0.2">
      <c r="A4183" s="40" t="s">
        <v>214</v>
      </c>
      <c r="B4183" s="28">
        <v>5023</v>
      </c>
      <c r="C4183" s="28">
        <v>5685126</v>
      </c>
      <c r="D4183" s="28"/>
      <c r="E4183" s="41">
        <v>46167</v>
      </c>
      <c r="F4183" s="47">
        <v>0.2479861111111111</v>
      </c>
      <c r="G4183" s="42">
        <v>6.3</v>
      </c>
      <c r="H4183" s="40" t="s">
        <v>234</v>
      </c>
      <c r="I4183" s="40" t="s">
        <v>1300</v>
      </c>
    </row>
    <row r="4184" spans="1:9" x14ac:dyDescent="0.2">
      <c r="A4184" s="40" t="s">
        <v>214</v>
      </c>
      <c r="B4184" s="28">
        <v>5023</v>
      </c>
      <c r="C4184" s="28">
        <v>5685126</v>
      </c>
      <c r="D4184" s="28"/>
      <c r="E4184" s="41">
        <v>46167</v>
      </c>
      <c r="F4184" s="47">
        <v>0.25130787037037039</v>
      </c>
      <c r="G4184" s="42">
        <v>6.3</v>
      </c>
      <c r="H4184" s="40" t="s">
        <v>227</v>
      </c>
      <c r="I4184" s="40" t="s">
        <v>1300</v>
      </c>
    </row>
    <row r="4185" spans="1:9" x14ac:dyDescent="0.2">
      <c r="A4185" s="40" t="s">
        <v>214</v>
      </c>
      <c r="B4185" s="28">
        <v>5023</v>
      </c>
      <c r="C4185" s="28" t="s">
        <v>35</v>
      </c>
      <c r="D4185" s="28" t="s">
        <v>38</v>
      </c>
      <c r="E4185" s="41">
        <v>46167</v>
      </c>
      <c r="F4185" s="47">
        <v>0.74605324074074075</v>
      </c>
      <c r="G4185" s="44">
        <v>6.3</v>
      </c>
      <c r="H4185" s="43" t="s">
        <v>228</v>
      </c>
      <c r="I4185" s="40" t="s">
        <v>1300</v>
      </c>
    </row>
    <row r="4186" spans="1:9" x14ac:dyDescent="0.2">
      <c r="A4186" s="40" t="s">
        <v>214</v>
      </c>
      <c r="B4186" s="28">
        <v>5023</v>
      </c>
      <c r="C4186" s="28">
        <v>5687671</v>
      </c>
      <c r="D4186" s="28" t="s">
        <v>37</v>
      </c>
      <c r="E4186" s="41">
        <v>46168</v>
      </c>
      <c r="F4186" s="47">
        <v>0.49063657407407407</v>
      </c>
      <c r="G4186" s="44">
        <v>6.3</v>
      </c>
      <c r="H4186" s="43" t="s">
        <v>226</v>
      </c>
      <c r="I4186" s="40" t="s">
        <v>1300</v>
      </c>
    </row>
    <row r="4187" spans="1:9" x14ac:dyDescent="0.2">
      <c r="A4187" s="40" t="s">
        <v>214</v>
      </c>
      <c r="B4187" s="28">
        <v>5023</v>
      </c>
      <c r="C4187" s="28">
        <v>5687671</v>
      </c>
      <c r="D4187" s="28" t="s">
        <v>37</v>
      </c>
      <c r="E4187" s="41">
        <v>46168</v>
      </c>
      <c r="F4187" s="47">
        <v>0.49662037037037038</v>
      </c>
      <c r="G4187" s="44">
        <v>6.3</v>
      </c>
      <c r="H4187" s="43" t="s">
        <v>227</v>
      </c>
      <c r="I4187" s="40" t="s">
        <v>1300</v>
      </c>
    </row>
    <row r="4188" spans="1:9" x14ac:dyDescent="0.2">
      <c r="A4188" s="40" t="s">
        <v>214</v>
      </c>
      <c r="B4188" s="28">
        <v>5023</v>
      </c>
      <c r="C4188" s="28">
        <v>5687807</v>
      </c>
      <c r="D4188" s="28"/>
      <c r="E4188" s="41">
        <v>46168</v>
      </c>
      <c r="F4188" s="47">
        <v>0.60172453703703699</v>
      </c>
      <c r="G4188" s="44">
        <v>6.3</v>
      </c>
      <c r="H4188" s="43" t="s">
        <v>228</v>
      </c>
      <c r="I4188" s="40" t="s">
        <v>1300</v>
      </c>
    </row>
    <row r="4189" spans="1:9" x14ac:dyDescent="0.2">
      <c r="A4189" s="40" t="s">
        <v>214</v>
      </c>
      <c r="B4189" s="28">
        <v>5023</v>
      </c>
      <c r="C4189" s="28">
        <v>5689024</v>
      </c>
      <c r="D4189" s="28"/>
      <c r="E4189" s="41">
        <v>46169</v>
      </c>
      <c r="F4189" s="47">
        <v>0.29648148148148146</v>
      </c>
      <c r="G4189" s="44">
        <v>6.3</v>
      </c>
      <c r="H4189" s="43" t="s">
        <v>227</v>
      </c>
      <c r="I4189" s="40" t="s">
        <v>1300</v>
      </c>
    </row>
    <row r="4190" spans="1:9" x14ac:dyDescent="0.2">
      <c r="A4190" s="40" t="s">
        <v>214</v>
      </c>
      <c r="B4190" s="28">
        <v>5023</v>
      </c>
      <c r="C4190" s="28">
        <v>5689671</v>
      </c>
      <c r="D4190" s="28"/>
      <c r="E4190" s="45">
        <v>46169</v>
      </c>
      <c r="F4190" s="48">
        <v>0.76094907407407408</v>
      </c>
      <c r="G4190" s="44">
        <v>6.3</v>
      </c>
      <c r="H4190" s="43" t="s">
        <v>228</v>
      </c>
      <c r="I4190" s="40" t="s">
        <v>1300</v>
      </c>
    </row>
    <row r="4191" spans="1:9" x14ac:dyDescent="0.2">
      <c r="A4191" s="40" t="s">
        <v>214</v>
      </c>
      <c r="B4191" s="28">
        <v>5023</v>
      </c>
      <c r="C4191" s="28">
        <v>5691446</v>
      </c>
      <c r="D4191" s="28"/>
      <c r="E4191" s="41">
        <v>46170</v>
      </c>
      <c r="F4191" s="47">
        <v>0.57914351851851853</v>
      </c>
      <c r="G4191" s="44">
        <v>6.3</v>
      </c>
      <c r="H4191" s="43" t="s">
        <v>228</v>
      </c>
      <c r="I4191" s="40" t="s">
        <v>1300</v>
      </c>
    </row>
    <row r="4192" spans="1:9" x14ac:dyDescent="0.2">
      <c r="A4192" s="40" t="s">
        <v>214</v>
      </c>
      <c r="B4192" s="28">
        <v>5023</v>
      </c>
      <c r="C4192" s="28">
        <v>5692930</v>
      </c>
      <c r="D4192" s="28"/>
      <c r="E4192" s="41">
        <v>46172</v>
      </c>
      <c r="F4192" s="47">
        <v>0.20282407407407407</v>
      </c>
      <c r="G4192" s="44">
        <v>6.3</v>
      </c>
      <c r="H4192" s="43" t="s">
        <v>234</v>
      </c>
      <c r="I4192" s="40" t="s">
        <v>1300</v>
      </c>
    </row>
    <row r="4193" spans="1:9" x14ac:dyDescent="0.2">
      <c r="A4193" s="40" t="s">
        <v>214</v>
      </c>
      <c r="B4193" s="28">
        <v>5023</v>
      </c>
      <c r="C4193" s="28">
        <v>5692930</v>
      </c>
      <c r="D4193" s="28"/>
      <c r="E4193" s="41">
        <v>46172</v>
      </c>
      <c r="F4193" s="47">
        <v>0.20554398148148148</v>
      </c>
      <c r="G4193" s="44">
        <v>6.3</v>
      </c>
      <c r="H4193" s="43" t="s">
        <v>227</v>
      </c>
      <c r="I4193" s="40" t="s">
        <v>1300</v>
      </c>
    </row>
    <row r="4194" spans="1:9" x14ac:dyDescent="0.2">
      <c r="A4194" s="40" t="s">
        <v>214</v>
      </c>
      <c r="B4194" s="28">
        <v>5023</v>
      </c>
      <c r="C4194" s="28" t="s">
        <v>35</v>
      </c>
      <c r="D4194" s="28" t="s">
        <v>38</v>
      </c>
      <c r="E4194" s="41">
        <v>46172</v>
      </c>
      <c r="F4194" s="47">
        <v>0.38415509259259262</v>
      </c>
      <c r="G4194" s="44">
        <v>6.3</v>
      </c>
      <c r="H4194" s="43" t="s">
        <v>228</v>
      </c>
      <c r="I4194" s="40" t="s">
        <v>1300</v>
      </c>
    </row>
    <row r="4195" spans="1:9" x14ac:dyDescent="0.2">
      <c r="A4195" s="40" t="s">
        <v>130</v>
      </c>
      <c r="B4195" s="28">
        <v>5032</v>
      </c>
      <c r="C4195" s="28">
        <v>5685724</v>
      </c>
      <c r="D4195" s="28" t="s">
        <v>36</v>
      </c>
      <c r="E4195" s="41">
        <v>46167</v>
      </c>
      <c r="F4195" s="47">
        <v>0.48660879629629628</v>
      </c>
      <c r="G4195" s="44">
        <v>6.3</v>
      </c>
      <c r="H4195" s="43" t="s">
        <v>230</v>
      </c>
      <c r="I4195" s="40" t="s">
        <v>1300</v>
      </c>
    </row>
    <row r="4196" spans="1:9" x14ac:dyDescent="0.2">
      <c r="A4196" s="40" t="s">
        <v>130</v>
      </c>
      <c r="B4196" s="28">
        <v>5032</v>
      </c>
      <c r="C4196" s="28">
        <v>5685724</v>
      </c>
      <c r="D4196" s="28" t="s">
        <v>36</v>
      </c>
      <c r="E4196" s="45">
        <v>46167</v>
      </c>
      <c r="F4196" s="48">
        <v>0.49236111111111114</v>
      </c>
      <c r="G4196" s="44">
        <v>6.3</v>
      </c>
      <c r="H4196" s="43" t="s">
        <v>227</v>
      </c>
      <c r="I4196" s="40" t="s">
        <v>1300</v>
      </c>
    </row>
    <row r="4197" spans="1:9" x14ac:dyDescent="0.2">
      <c r="A4197" s="40" t="s">
        <v>130</v>
      </c>
      <c r="B4197" s="28">
        <v>5032</v>
      </c>
      <c r="C4197" s="28">
        <v>5686750</v>
      </c>
      <c r="D4197" s="28"/>
      <c r="E4197" s="41">
        <v>46169</v>
      </c>
      <c r="F4197" s="47">
        <v>0.31989583333333332</v>
      </c>
      <c r="G4197" s="44">
        <v>6.3</v>
      </c>
      <c r="H4197" s="43" t="s">
        <v>230</v>
      </c>
      <c r="I4197" s="40" t="s">
        <v>1300</v>
      </c>
    </row>
    <row r="4198" spans="1:9" x14ac:dyDescent="0.2">
      <c r="A4198" s="40" t="s">
        <v>130</v>
      </c>
      <c r="B4198" s="28">
        <v>5032</v>
      </c>
      <c r="C4198" s="28">
        <v>5689208</v>
      </c>
      <c r="D4198" s="28" t="s">
        <v>36</v>
      </c>
      <c r="E4198" s="41">
        <v>46169</v>
      </c>
      <c r="F4198" s="47">
        <v>0.40096064814814814</v>
      </c>
      <c r="G4198" s="44">
        <v>6.3</v>
      </c>
      <c r="H4198" s="43" t="s">
        <v>230</v>
      </c>
      <c r="I4198" s="40" t="s">
        <v>1300</v>
      </c>
    </row>
    <row r="4199" spans="1:9" x14ac:dyDescent="0.2">
      <c r="A4199" s="40" t="s">
        <v>130</v>
      </c>
      <c r="B4199" s="28">
        <v>5032</v>
      </c>
      <c r="C4199" s="28">
        <v>5689208</v>
      </c>
      <c r="D4199" s="28" t="s">
        <v>36</v>
      </c>
      <c r="E4199" s="41">
        <v>46169</v>
      </c>
      <c r="F4199" s="47">
        <v>0.40704861111111112</v>
      </c>
      <c r="G4199" s="44">
        <v>6.3</v>
      </c>
      <c r="H4199" s="43" t="s">
        <v>227</v>
      </c>
      <c r="I4199" s="40" t="s">
        <v>1300</v>
      </c>
    </row>
    <row r="4200" spans="1:9" x14ac:dyDescent="0.2">
      <c r="A4200" s="40" t="s">
        <v>130</v>
      </c>
      <c r="B4200" s="28">
        <v>5032</v>
      </c>
      <c r="C4200" s="28">
        <v>5690546</v>
      </c>
      <c r="D4200" s="28"/>
      <c r="E4200" s="41">
        <v>46169</v>
      </c>
      <c r="F4200" s="47">
        <v>0.94113425925925931</v>
      </c>
      <c r="G4200" s="44">
        <v>6.3</v>
      </c>
      <c r="H4200" s="43" t="s">
        <v>226</v>
      </c>
      <c r="I4200" s="40" t="s">
        <v>1300</v>
      </c>
    </row>
    <row r="4201" spans="1:9" x14ac:dyDescent="0.2">
      <c r="A4201" s="40" t="s">
        <v>131</v>
      </c>
      <c r="B4201" s="28">
        <v>5142</v>
      </c>
      <c r="C4201" s="28">
        <v>5689500</v>
      </c>
      <c r="D4201" s="28"/>
      <c r="E4201" s="41">
        <v>46169</v>
      </c>
      <c r="F4201" s="47">
        <v>0.53202546296296294</v>
      </c>
      <c r="G4201" s="44">
        <v>6.3</v>
      </c>
      <c r="H4201" s="43" t="s">
        <v>230</v>
      </c>
      <c r="I4201" s="40" t="s">
        <v>1300</v>
      </c>
    </row>
    <row r="4202" spans="1:9" x14ac:dyDescent="0.2">
      <c r="A4202" s="40" t="s">
        <v>131</v>
      </c>
      <c r="B4202" s="28">
        <v>5142</v>
      </c>
      <c r="C4202" s="28">
        <v>5689500</v>
      </c>
      <c r="D4202" s="28"/>
      <c r="E4202" s="45">
        <v>46169</v>
      </c>
      <c r="F4202" s="48">
        <v>0.53756944444444443</v>
      </c>
      <c r="G4202" s="44">
        <v>6.3</v>
      </c>
      <c r="H4202" s="43" t="s">
        <v>227</v>
      </c>
      <c r="I4202" s="40" t="s">
        <v>1300</v>
      </c>
    </row>
    <row r="4203" spans="1:9" x14ac:dyDescent="0.2">
      <c r="A4203" s="40" t="s">
        <v>131</v>
      </c>
      <c r="B4203" s="28">
        <v>5142</v>
      </c>
      <c r="C4203" s="28" t="s">
        <v>35</v>
      </c>
      <c r="D4203" s="28" t="s">
        <v>38</v>
      </c>
      <c r="E4203" s="41">
        <v>46171</v>
      </c>
      <c r="F4203" s="47">
        <v>0.55621527777777779</v>
      </c>
      <c r="G4203" s="42">
        <v>6.3</v>
      </c>
      <c r="H4203" s="40" t="s">
        <v>229</v>
      </c>
      <c r="I4203" s="40" t="s">
        <v>1300</v>
      </c>
    </row>
    <row r="4204" spans="1:9" x14ac:dyDescent="0.2">
      <c r="A4204" s="40" t="s">
        <v>1206</v>
      </c>
      <c r="B4204" s="28">
        <v>5162</v>
      </c>
      <c r="C4204" s="28">
        <v>5694684</v>
      </c>
      <c r="D4204" s="28" t="s">
        <v>36</v>
      </c>
      <c r="E4204" s="45">
        <v>46173</v>
      </c>
      <c r="F4204" s="48">
        <v>0.77527777777777773</v>
      </c>
      <c r="G4204" s="42">
        <v>6.3</v>
      </c>
      <c r="H4204" s="40" t="s">
        <v>228</v>
      </c>
      <c r="I4204" s="40" t="s">
        <v>1300</v>
      </c>
    </row>
    <row r="4205" spans="1:9" x14ac:dyDescent="0.2">
      <c r="A4205" s="40" t="s">
        <v>1206</v>
      </c>
      <c r="B4205" s="28">
        <v>5162</v>
      </c>
      <c r="C4205" s="28">
        <v>5694684</v>
      </c>
      <c r="D4205" s="28" t="s">
        <v>36</v>
      </c>
      <c r="E4205" s="41">
        <v>46173</v>
      </c>
      <c r="F4205" s="47">
        <v>0.78435185185185186</v>
      </c>
      <c r="G4205" s="42">
        <v>6.3</v>
      </c>
      <c r="H4205" s="40" t="s">
        <v>232</v>
      </c>
      <c r="I4205" s="40" t="s">
        <v>1300</v>
      </c>
    </row>
    <row r="4206" spans="1:9" x14ac:dyDescent="0.2">
      <c r="A4206" s="40" t="s">
        <v>1206</v>
      </c>
      <c r="B4206" s="28">
        <v>5162</v>
      </c>
      <c r="C4206" s="28">
        <v>5695622</v>
      </c>
      <c r="D4206" s="28"/>
      <c r="E4206" s="41">
        <v>46173</v>
      </c>
      <c r="F4206" s="47">
        <v>0.90050925925925929</v>
      </c>
      <c r="G4206" s="42">
        <v>6.3</v>
      </c>
      <c r="H4206" s="40" t="s">
        <v>226</v>
      </c>
      <c r="I4206" s="40" t="s">
        <v>1300</v>
      </c>
    </row>
    <row r="4207" spans="1:9" x14ac:dyDescent="0.2">
      <c r="A4207" s="40" t="s">
        <v>1206</v>
      </c>
      <c r="B4207" s="28">
        <v>5162</v>
      </c>
      <c r="C4207" s="28">
        <v>5695622</v>
      </c>
      <c r="D4207" s="28"/>
      <c r="E4207" s="41">
        <v>46173</v>
      </c>
      <c r="F4207" s="47">
        <v>0.90583333333333338</v>
      </c>
      <c r="G4207" s="42">
        <v>6.3</v>
      </c>
      <c r="H4207" s="40" t="s">
        <v>227</v>
      </c>
      <c r="I4207" s="40" t="s">
        <v>1300</v>
      </c>
    </row>
    <row r="4208" spans="1:9" x14ac:dyDescent="0.2">
      <c r="A4208" s="40" t="s">
        <v>152</v>
      </c>
      <c r="B4208" s="28">
        <v>7027</v>
      </c>
      <c r="C4208" s="28">
        <v>5693024</v>
      </c>
      <c r="D4208" s="28"/>
      <c r="E4208" s="41">
        <v>46171</v>
      </c>
      <c r="F4208" s="47">
        <v>0.52836805555555555</v>
      </c>
      <c r="G4208" s="44">
        <v>6.3</v>
      </c>
      <c r="H4208" s="43" t="s">
        <v>230</v>
      </c>
      <c r="I4208" s="40" t="s">
        <v>1300</v>
      </c>
    </row>
    <row r="4209" spans="1:9" x14ac:dyDescent="0.2">
      <c r="A4209" s="40" t="s">
        <v>152</v>
      </c>
      <c r="B4209" s="28">
        <v>7027</v>
      </c>
      <c r="C4209" s="28" t="s">
        <v>35</v>
      </c>
      <c r="D4209" s="28" t="s">
        <v>38</v>
      </c>
      <c r="E4209" s="41">
        <v>46171</v>
      </c>
      <c r="F4209" s="47">
        <v>0.55013888888888884</v>
      </c>
      <c r="G4209" s="44">
        <v>6.3</v>
      </c>
      <c r="H4209" s="43" t="s">
        <v>234</v>
      </c>
      <c r="I4209" s="40" t="s">
        <v>1300</v>
      </c>
    </row>
    <row r="4210" spans="1:9" x14ac:dyDescent="0.2">
      <c r="A4210" s="40" t="s">
        <v>86</v>
      </c>
      <c r="B4210" s="28">
        <v>7028</v>
      </c>
      <c r="C4210" s="28">
        <v>5688189</v>
      </c>
      <c r="D4210" s="28"/>
      <c r="E4210" s="45">
        <v>46168</v>
      </c>
      <c r="F4210" s="48">
        <v>0.73163194444444446</v>
      </c>
      <c r="G4210" s="44">
        <v>6.3</v>
      </c>
      <c r="H4210" s="43" t="s">
        <v>228</v>
      </c>
      <c r="I4210" s="40" t="s">
        <v>1300</v>
      </c>
    </row>
    <row r="4211" spans="1:9" x14ac:dyDescent="0.2">
      <c r="A4211" s="40" t="s">
        <v>86</v>
      </c>
      <c r="B4211" s="28">
        <v>7028</v>
      </c>
      <c r="C4211" s="28">
        <v>5688189</v>
      </c>
      <c r="D4211" s="28"/>
      <c r="E4211" s="41">
        <v>46168</v>
      </c>
      <c r="F4211" s="47">
        <v>0.7465856481481481</v>
      </c>
      <c r="G4211" s="44">
        <v>6.3</v>
      </c>
      <c r="H4211" s="43" t="s">
        <v>229</v>
      </c>
      <c r="I4211" s="40" t="s">
        <v>1300</v>
      </c>
    </row>
    <row r="4212" spans="1:9" x14ac:dyDescent="0.2">
      <c r="A4212" s="40" t="s">
        <v>86</v>
      </c>
      <c r="B4212" s="28">
        <v>7028</v>
      </c>
      <c r="C4212" s="28">
        <v>5688630</v>
      </c>
      <c r="D4212" s="28" t="s">
        <v>37</v>
      </c>
      <c r="E4212" s="41">
        <v>46169</v>
      </c>
      <c r="F4212" s="47">
        <v>0.14967592592592593</v>
      </c>
      <c r="G4212" s="44">
        <v>6.3</v>
      </c>
      <c r="H4212" s="43" t="s">
        <v>230</v>
      </c>
      <c r="I4212" s="40" t="s">
        <v>1300</v>
      </c>
    </row>
    <row r="4213" spans="1:9" x14ac:dyDescent="0.2">
      <c r="A4213" s="40" t="s">
        <v>86</v>
      </c>
      <c r="B4213" s="28">
        <v>7028</v>
      </c>
      <c r="C4213" s="28">
        <v>5688630</v>
      </c>
      <c r="D4213" s="28" t="s">
        <v>37</v>
      </c>
      <c r="E4213" s="41">
        <v>46169</v>
      </c>
      <c r="F4213" s="47">
        <v>0.15436342592592592</v>
      </c>
      <c r="G4213" s="44">
        <v>6.3</v>
      </c>
      <c r="H4213" s="43" t="s">
        <v>227</v>
      </c>
      <c r="I4213" s="40" t="s">
        <v>1300</v>
      </c>
    </row>
    <row r="4214" spans="1:9" x14ac:dyDescent="0.2">
      <c r="A4214" s="40" t="s">
        <v>86</v>
      </c>
      <c r="B4214" s="28">
        <v>7028</v>
      </c>
      <c r="C4214" s="28">
        <v>5692576</v>
      </c>
      <c r="D4214" s="28"/>
      <c r="E4214" s="41">
        <v>46171</v>
      </c>
      <c r="F4214" s="47">
        <v>0.22321759259259261</v>
      </c>
      <c r="G4214" s="44">
        <v>6.3</v>
      </c>
      <c r="H4214" s="43" t="s">
        <v>230</v>
      </c>
      <c r="I4214" s="40" t="s">
        <v>1300</v>
      </c>
    </row>
    <row r="4215" spans="1:9" x14ac:dyDescent="0.2">
      <c r="A4215" s="40" t="s">
        <v>86</v>
      </c>
      <c r="B4215" s="28">
        <v>7028</v>
      </c>
      <c r="C4215" s="28">
        <v>5692576</v>
      </c>
      <c r="D4215" s="28"/>
      <c r="E4215" s="41">
        <v>46171</v>
      </c>
      <c r="F4215" s="47">
        <v>0.22832175925925927</v>
      </c>
      <c r="G4215" s="42">
        <v>6.3</v>
      </c>
      <c r="H4215" s="40" t="s">
        <v>227</v>
      </c>
      <c r="I4215" s="40" t="s">
        <v>1300</v>
      </c>
    </row>
    <row r="4216" spans="1:9" x14ac:dyDescent="0.2">
      <c r="A4216" s="40" t="s">
        <v>86</v>
      </c>
      <c r="B4216" s="28">
        <v>7028</v>
      </c>
      <c r="C4216" s="28">
        <v>5692869</v>
      </c>
      <c r="D4216" s="28"/>
      <c r="E4216" s="41">
        <v>46171</v>
      </c>
      <c r="F4216" s="47">
        <v>0.53144675925925922</v>
      </c>
      <c r="G4216" s="42">
        <v>6.3</v>
      </c>
      <c r="H4216" s="40" t="s">
        <v>228</v>
      </c>
      <c r="I4216" s="40" t="s">
        <v>1300</v>
      </c>
    </row>
    <row r="4217" spans="1:9" x14ac:dyDescent="0.2">
      <c r="A4217" s="40" t="s">
        <v>86</v>
      </c>
      <c r="B4217" s="28">
        <v>7028</v>
      </c>
      <c r="C4217" s="28">
        <v>5692869</v>
      </c>
      <c r="D4217" s="28"/>
      <c r="E4217" s="41">
        <v>46171</v>
      </c>
      <c r="F4217" s="47">
        <v>0.54347222222222225</v>
      </c>
      <c r="G4217" s="42">
        <v>6.3</v>
      </c>
      <c r="H4217" s="40" t="s">
        <v>229</v>
      </c>
      <c r="I4217" s="40" t="s">
        <v>1300</v>
      </c>
    </row>
    <row r="4218" spans="1:9" x14ac:dyDescent="0.2">
      <c r="A4218" s="40" t="s">
        <v>86</v>
      </c>
      <c r="B4218" s="28">
        <v>7028</v>
      </c>
      <c r="C4218" s="28">
        <v>5692108</v>
      </c>
      <c r="D4218" s="28"/>
      <c r="E4218" s="41">
        <v>46171</v>
      </c>
      <c r="F4218" s="47">
        <v>0.61836805555555552</v>
      </c>
      <c r="G4218" s="42">
        <v>6.3</v>
      </c>
      <c r="H4218" s="40" t="s">
        <v>227</v>
      </c>
      <c r="I4218" s="40" t="s">
        <v>1300</v>
      </c>
    </row>
    <row r="4219" spans="1:9" x14ac:dyDescent="0.2">
      <c r="A4219" s="40" t="s">
        <v>355</v>
      </c>
      <c r="B4219" s="28">
        <v>7038</v>
      </c>
      <c r="C4219" s="28">
        <v>5691631</v>
      </c>
      <c r="D4219" s="28" t="s">
        <v>36</v>
      </c>
      <c r="E4219" s="41">
        <v>46170</v>
      </c>
      <c r="F4219" s="47">
        <v>0.61214120370370373</v>
      </c>
      <c r="G4219" s="44">
        <v>6.3</v>
      </c>
      <c r="H4219" s="43" t="s">
        <v>230</v>
      </c>
      <c r="I4219" s="40" t="s">
        <v>1300</v>
      </c>
    </row>
    <row r="4220" spans="1:9" x14ac:dyDescent="0.2">
      <c r="A4220" s="40" t="s">
        <v>355</v>
      </c>
      <c r="B4220" s="28">
        <v>7038</v>
      </c>
      <c r="C4220" s="28">
        <v>5691575</v>
      </c>
      <c r="D4220" s="28"/>
      <c r="E4220" s="41">
        <v>46170</v>
      </c>
      <c r="F4220" s="47">
        <v>0.66355324074074074</v>
      </c>
      <c r="G4220" s="44">
        <v>6.3</v>
      </c>
      <c r="H4220" s="43" t="s">
        <v>234</v>
      </c>
      <c r="I4220" s="40" t="s">
        <v>1300</v>
      </c>
    </row>
    <row r="4221" spans="1:9" x14ac:dyDescent="0.2">
      <c r="A4221" s="40" t="s">
        <v>355</v>
      </c>
      <c r="B4221" s="28">
        <v>7038</v>
      </c>
      <c r="C4221" s="28" t="s">
        <v>35</v>
      </c>
      <c r="D4221" s="28" t="s">
        <v>38</v>
      </c>
      <c r="E4221" s="41">
        <v>46173</v>
      </c>
      <c r="F4221" s="47">
        <v>0.93500000000000005</v>
      </c>
      <c r="G4221" s="44">
        <v>6.3</v>
      </c>
      <c r="H4221" s="43" t="s">
        <v>227</v>
      </c>
      <c r="I4221" s="40" t="s">
        <v>1300</v>
      </c>
    </row>
    <row r="4222" spans="1:9" x14ac:dyDescent="0.2">
      <c r="A4222" s="40" t="s">
        <v>471</v>
      </c>
      <c r="B4222" s="28">
        <v>7045</v>
      </c>
      <c r="C4222" s="28" t="s">
        <v>35</v>
      </c>
      <c r="D4222" s="28" t="s">
        <v>38</v>
      </c>
      <c r="E4222" s="41">
        <v>46172</v>
      </c>
      <c r="F4222" s="47">
        <v>0.27934027777777776</v>
      </c>
      <c r="G4222" s="44">
        <v>6.3</v>
      </c>
      <c r="H4222" s="43" t="s">
        <v>230</v>
      </c>
      <c r="I4222" s="40" t="s">
        <v>1300</v>
      </c>
    </row>
    <row r="4223" spans="1:9" x14ac:dyDescent="0.2">
      <c r="A4223" s="40" t="s">
        <v>471</v>
      </c>
      <c r="B4223" s="28">
        <v>7045</v>
      </c>
      <c r="C4223" s="28" t="s">
        <v>35</v>
      </c>
      <c r="D4223" s="28" t="s">
        <v>38</v>
      </c>
      <c r="E4223" s="41">
        <v>46172</v>
      </c>
      <c r="F4223" s="47">
        <v>0.54024305555555552</v>
      </c>
      <c r="G4223" s="44">
        <v>6.3</v>
      </c>
      <c r="H4223" s="43" t="s">
        <v>229</v>
      </c>
      <c r="I4223" s="40" t="s">
        <v>1300</v>
      </c>
    </row>
    <row r="4224" spans="1:9" x14ac:dyDescent="0.2">
      <c r="A4224" s="40" t="s">
        <v>132</v>
      </c>
      <c r="B4224" s="28">
        <v>7065</v>
      </c>
      <c r="C4224" s="28">
        <v>5684660</v>
      </c>
      <c r="D4224" s="28"/>
      <c r="E4224" s="41">
        <v>46167</v>
      </c>
      <c r="F4224" s="47">
        <v>0.17189814814814816</v>
      </c>
      <c r="G4224" s="44">
        <v>6.3</v>
      </c>
      <c r="H4224" s="43" t="s">
        <v>230</v>
      </c>
      <c r="I4224" s="40" t="s">
        <v>1300</v>
      </c>
    </row>
    <row r="4225" spans="1:9" x14ac:dyDescent="0.2">
      <c r="A4225" s="40" t="s">
        <v>132</v>
      </c>
      <c r="B4225" s="28">
        <v>7065</v>
      </c>
      <c r="C4225" s="28">
        <v>5684660</v>
      </c>
      <c r="D4225" s="28"/>
      <c r="E4225" s="41">
        <v>46167</v>
      </c>
      <c r="F4225" s="47">
        <v>0.17690972222222223</v>
      </c>
      <c r="G4225" s="44">
        <v>6.3</v>
      </c>
      <c r="H4225" s="43" t="s">
        <v>227</v>
      </c>
      <c r="I4225" s="40" t="s">
        <v>1300</v>
      </c>
    </row>
    <row r="4226" spans="1:9" x14ac:dyDescent="0.2">
      <c r="A4226" s="40" t="s">
        <v>132</v>
      </c>
      <c r="B4226" s="28">
        <v>7065</v>
      </c>
      <c r="C4226" s="28">
        <v>5684854</v>
      </c>
      <c r="D4226" s="28"/>
      <c r="E4226" s="41">
        <v>46167</v>
      </c>
      <c r="F4226" s="47">
        <v>0.25346064814814817</v>
      </c>
      <c r="G4226" s="44">
        <v>6.3</v>
      </c>
      <c r="H4226" s="43" t="s">
        <v>232</v>
      </c>
      <c r="I4226" s="40" t="s">
        <v>1300</v>
      </c>
    </row>
    <row r="4227" spans="1:9" x14ac:dyDescent="0.2">
      <c r="A4227" s="40" t="s">
        <v>132</v>
      </c>
      <c r="B4227" s="28">
        <v>7065</v>
      </c>
      <c r="C4227" s="28">
        <v>5685424</v>
      </c>
      <c r="D4227" s="28"/>
      <c r="E4227" s="41">
        <v>46167</v>
      </c>
      <c r="F4227" s="47">
        <v>0.34387731481481482</v>
      </c>
      <c r="G4227" s="42">
        <v>6.3</v>
      </c>
      <c r="H4227" s="40" t="s">
        <v>226</v>
      </c>
      <c r="I4227" s="40" t="s">
        <v>1300</v>
      </c>
    </row>
    <row r="4228" spans="1:9" x14ac:dyDescent="0.2">
      <c r="A4228" s="40" t="s">
        <v>132</v>
      </c>
      <c r="B4228" s="28">
        <v>7065</v>
      </c>
      <c r="C4228" s="28">
        <v>5685424</v>
      </c>
      <c r="D4228" s="28"/>
      <c r="E4228" s="41">
        <v>46167</v>
      </c>
      <c r="F4228" s="47">
        <v>0.35118055555555555</v>
      </c>
      <c r="G4228" s="42">
        <v>6.3</v>
      </c>
      <c r="H4228" s="40" t="s">
        <v>227</v>
      </c>
      <c r="I4228" s="40" t="s">
        <v>1300</v>
      </c>
    </row>
    <row r="4229" spans="1:9" x14ac:dyDescent="0.2">
      <c r="A4229" s="40" t="s">
        <v>132</v>
      </c>
      <c r="B4229" s="28">
        <v>7065</v>
      </c>
      <c r="C4229" s="28" t="s">
        <v>35</v>
      </c>
      <c r="D4229" s="28" t="s">
        <v>38</v>
      </c>
      <c r="E4229" s="41">
        <v>46167</v>
      </c>
      <c r="F4229" s="47">
        <v>0.54204861111111113</v>
      </c>
      <c r="G4229" s="42">
        <v>6.3</v>
      </c>
      <c r="H4229" s="40" t="s">
        <v>228</v>
      </c>
      <c r="I4229" s="40" t="s">
        <v>1300</v>
      </c>
    </row>
    <row r="4230" spans="1:9" x14ac:dyDescent="0.2">
      <c r="A4230" s="40" t="s">
        <v>132</v>
      </c>
      <c r="B4230" s="28">
        <v>7065</v>
      </c>
      <c r="C4230" s="28">
        <v>5688573</v>
      </c>
      <c r="D4230" s="28"/>
      <c r="E4230" s="41">
        <v>46169</v>
      </c>
      <c r="F4230" s="47">
        <v>0.13804398148148148</v>
      </c>
      <c r="G4230" s="42">
        <v>6.3</v>
      </c>
      <c r="H4230" s="40" t="s">
        <v>231</v>
      </c>
      <c r="I4230" s="40" t="s">
        <v>1300</v>
      </c>
    </row>
    <row r="4231" spans="1:9" x14ac:dyDescent="0.2">
      <c r="A4231" s="40" t="s">
        <v>132</v>
      </c>
      <c r="B4231" s="28">
        <v>7065</v>
      </c>
      <c r="C4231" s="28">
        <v>5690983</v>
      </c>
      <c r="D4231" s="28"/>
      <c r="E4231" s="41">
        <v>46170</v>
      </c>
      <c r="F4231" s="47">
        <v>0.35880787037037037</v>
      </c>
      <c r="G4231" s="42">
        <v>6.3</v>
      </c>
      <c r="H4231" s="40" t="s">
        <v>230</v>
      </c>
      <c r="I4231" s="40" t="s">
        <v>1300</v>
      </c>
    </row>
    <row r="4232" spans="1:9" x14ac:dyDescent="0.2">
      <c r="A4232" s="40" t="s">
        <v>132</v>
      </c>
      <c r="B4232" s="28">
        <v>7065</v>
      </c>
      <c r="C4232" s="28">
        <v>5690983</v>
      </c>
      <c r="D4232" s="28"/>
      <c r="E4232" s="41">
        <v>46170</v>
      </c>
      <c r="F4232" s="47">
        <v>0.36560185185185184</v>
      </c>
      <c r="G4232" s="42">
        <v>6.3</v>
      </c>
      <c r="H4232" s="40" t="s">
        <v>227</v>
      </c>
      <c r="I4232" s="40" t="s">
        <v>1300</v>
      </c>
    </row>
    <row r="4233" spans="1:9" x14ac:dyDescent="0.2">
      <c r="A4233" s="40" t="s">
        <v>135</v>
      </c>
      <c r="B4233" s="28">
        <v>7085</v>
      </c>
      <c r="C4233" s="28" t="s">
        <v>35</v>
      </c>
      <c r="D4233" s="28" t="s">
        <v>38</v>
      </c>
      <c r="E4233" s="45">
        <v>46167</v>
      </c>
      <c r="F4233" s="48">
        <v>0.41967592592592595</v>
      </c>
      <c r="G4233" s="42">
        <v>6.3</v>
      </c>
      <c r="H4233" s="40" t="s">
        <v>229</v>
      </c>
      <c r="I4233" s="40" t="s">
        <v>1300</v>
      </c>
    </row>
    <row r="4234" spans="1:9" x14ac:dyDescent="0.2">
      <c r="A4234" s="40" t="s">
        <v>135</v>
      </c>
      <c r="B4234" s="28">
        <v>7085</v>
      </c>
      <c r="C4234" s="28" t="s">
        <v>35</v>
      </c>
      <c r="D4234" s="28" t="s">
        <v>38</v>
      </c>
      <c r="E4234" s="45">
        <v>46169</v>
      </c>
      <c r="F4234" s="48">
        <v>0.45133101851851853</v>
      </c>
      <c r="G4234" s="42">
        <v>6.3</v>
      </c>
      <c r="H4234" s="40" t="s">
        <v>229</v>
      </c>
      <c r="I4234" s="40" t="s">
        <v>1300</v>
      </c>
    </row>
    <row r="4235" spans="1:9" x14ac:dyDescent="0.2">
      <c r="A4235" s="40" t="s">
        <v>135</v>
      </c>
      <c r="B4235" s="28">
        <v>7085</v>
      </c>
      <c r="C4235" s="28" t="s">
        <v>35</v>
      </c>
      <c r="D4235" s="28" t="s">
        <v>38</v>
      </c>
      <c r="E4235" s="41">
        <v>46171</v>
      </c>
      <c r="F4235" s="47">
        <v>0.3941087962962963</v>
      </c>
      <c r="G4235" s="42">
        <v>6.3</v>
      </c>
      <c r="H4235" s="40" t="s">
        <v>229</v>
      </c>
      <c r="I4235" s="40" t="s">
        <v>1300</v>
      </c>
    </row>
    <row r="4236" spans="1:9" x14ac:dyDescent="0.2">
      <c r="A4236" s="40" t="s">
        <v>169</v>
      </c>
      <c r="B4236" s="28">
        <v>7090</v>
      </c>
      <c r="C4236" s="28">
        <v>10736348</v>
      </c>
      <c r="D4236" s="28"/>
      <c r="E4236" s="41">
        <v>46167</v>
      </c>
      <c r="F4236" s="47">
        <v>0.33915509259259258</v>
      </c>
      <c r="G4236" s="44">
        <v>6.3</v>
      </c>
      <c r="H4236" s="43" t="s">
        <v>227</v>
      </c>
      <c r="I4236" s="40" t="s">
        <v>1300</v>
      </c>
    </row>
    <row r="4237" spans="1:9" x14ac:dyDescent="0.2">
      <c r="A4237" s="40" t="s">
        <v>169</v>
      </c>
      <c r="B4237" s="28">
        <v>7090</v>
      </c>
      <c r="C4237" s="28">
        <v>5685485</v>
      </c>
      <c r="D4237" s="28"/>
      <c r="E4237" s="41">
        <v>46167</v>
      </c>
      <c r="F4237" s="47">
        <v>0.43563657407407408</v>
      </c>
      <c r="G4237" s="44">
        <v>6.3</v>
      </c>
      <c r="H4237" s="43" t="s">
        <v>228</v>
      </c>
      <c r="I4237" s="40" t="s">
        <v>1300</v>
      </c>
    </row>
    <row r="4238" spans="1:9" x14ac:dyDescent="0.2">
      <c r="A4238" s="40" t="s">
        <v>169</v>
      </c>
      <c r="B4238" s="28">
        <v>7090</v>
      </c>
      <c r="C4238" s="28">
        <v>5685485</v>
      </c>
      <c r="D4238" s="28"/>
      <c r="E4238" s="41">
        <v>46167</v>
      </c>
      <c r="F4238" s="47">
        <v>0.4480439814814815</v>
      </c>
      <c r="G4238" s="44">
        <v>6.3</v>
      </c>
      <c r="H4238" s="43" t="s">
        <v>229</v>
      </c>
      <c r="I4238" s="40" t="s">
        <v>1300</v>
      </c>
    </row>
    <row r="4239" spans="1:9" x14ac:dyDescent="0.2">
      <c r="A4239" s="40" t="s">
        <v>169</v>
      </c>
      <c r="B4239" s="28">
        <v>7090</v>
      </c>
      <c r="C4239" s="28">
        <v>10744270</v>
      </c>
      <c r="D4239" s="28"/>
      <c r="E4239" s="41">
        <v>46168</v>
      </c>
      <c r="F4239" s="47">
        <v>0.33912037037037035</v>
      </c>
      <c r="G4239" s="44">
        <v>6.3</v>
      </c>
      <c r="H4239" s="43" t="s">
        <v>230</v>
      </c>
      <c r="I4239" s="40" t="s">
        <v>1300</v>
      </c>
    </row>
    <row r="4240" spans="1:9" x14ac:dyDescent="0.2">
      <c r="A4240" s="40" t="s">
        <v>169</v>
      </c>
      <c r="B4240" s="28">
        <v>7090</v>
      </c>
      <c r="C4240" s="28">
        <v>10744270</v>
      </c>
      <c r="D4240" s="28"/>
      <c r="E4240" s="41">
        <v>46168</v>
      </c>
      <c r="F4240" s="47">
        <v>0.34553240740740743</v>
      </c>
      <c r="G4240" s="44">
        <v>6.3</v>
      </c>
      <c r="H4240" s="43" t="s">
        <v>227</v>
      </c>
      <c r="I4240" s="40" t="s">
        <v>1300</v>
      </c>
    </row>
    <row r="4241" spans="1:9" x14ac:dyDescent="0.2">
      <c r="A4241" s="40" t="s">
        <v>169</v>
      </c>
      <c r="B4241" s="28">
        <v>7090</v>
      </c>
      <c r="C4241" s="28" t="s">
        <v>1207</v>
      </c>
      <c r="D4241" s="28"/>
      <c r="E4241" s="41">
        <v>46168</v>
      </c>
      <c r="F4241" s="47">
        <v>0.42454861111111108</v>
      </c>
      <c r="G4241" s="44">
        <v>6.3</v>
      </c>
      <c r="H4241" s="43" t="s">
        <v>228</v>
      </c>
      <c r="I4241" s="40" t="s">
        <v>1300</v>
      </c>
    </row>
    <row r="4242" spans="1:9" x14ac:dyDescent="0.2">
      <c r="A4242" s="40" t="s">
        <v>169</v>
      </c>
      <c r="B4242" s="28">
        <v>7090</v>
      </c>
      <c r="C4242" s="28" t="s">
        <v>1207</v>
      </c>
      <c r="D4242" s="28"/>
      <c r="E4242" s="41">
        <v>46168</v>
      </c>
      <c r="F4242" s="47">
        <v>0.43851851851851853</v>
      </c>
      <c r="G4242" s="44">
        <v>6.3</v>
      </c>
      <c r="H4242" s="43" t="s">
        <v>229</v>
      </c>
      <c r="I4242" s="40" t="s">
        <v>1300</v>
      </c>
    </row>
    <row r="4243" spans="1:9" x14ac:dyDescent="0.2">
      <c r="A4243" s="40" t="s">
        <v>169</v>
      </c>
      <c r="B4243" s="28">
        <v>7090</v>
      </c>
      <c r="C4243" s="28">
        <v>10751808</v>
      </c>
      <c r="D4243" s="28" t="s">
        <v>36</v>
      </c>
      <c r="E4243" s="41">
        <v>46169</v>
      </c>
      <c r="F4243" s="47">
        <v>0.33848379629629627</v>
      </c>
      <c r="G4243" s="44">
        <v>6.3</v>
      </c>
      <c r="H4243" s="43" t="s">
        <v>230</v>
      </c>
      <c r="I4243" s="40" t="s">
        <v>1300</v>
      </c>
    </row>
    <row r="4244" spans="1:9" x14ac:dyDescent="0.2">
      <c r="A4244" s="40" t="s">
        <v>169</v>
      </c>
      <c r="B4244" s="28">
        <v>7090</v>
      </c>
      <c r="C4244" s="28">
        <v>10751808</v>
      </c>
      <c r="D4244" s="28" t="s">
        <v>36</v>
      </c>
      <c r="E4244" s="45">
        <v>46169</v>
      </c>
      <c r="F4244" s="48">
        <v>0.34637731481481482</v>
      </c>
      <c r="G4244" s="44">
        <v>6.3</v>
      </c>
      <c r="H4244" s="43" t="s">
        <v>227</v>
      </c>
      <c r="I4244" s="40" t="s">
        <v>1300</v>
      </c>
    </row>
    <row r="4245" spans="1:9" x14ac:dyDescent="0.2">
      <c r="A4245" s="40" t="s">
        <v>169</v>
      </c>
      <c r="B4245" s="28">
        <v>7090</v>
      </c>
      <c r="C4245" s="28">
        <v>10758975</v>
      </c>
      <c r="D4245" s="28"/>
      <c r="E4245" s="41">
        <v>46170</v>
      </c>
      <c r="F4245" s="47">
        <v>0.3228935185185185</v>
      </c>
      <c r="G4245" s="44">
        <v>6.3</v>
      </c>
      <c r="H4245" s="43" t="s">
        <v>230</v>
      </c>
      <c r="I4245" s="40" t="s">
        <v>1300</v>
      </c>
    </row>
    <row r="4246" spans="1:9" x14ac:dyDescent="0.2">
      <c r="A4246" s="40" t="s">
        <v>169</v>
      </c>
      <c r="B4246" s="28">
        <v>7090</v>
      </c>
      <c r="C4246" s="28">
        <v>10758975</v>
      </c>
      <c r="D4246" s="28"/>
      <c r="E4246" s="41">
        <v>46170</v>
      </c>
      <c r="F4246" s="47">
        <v>0.33194444444444443</v>
      </c>
      <c r="G4246" s="44">
        <v>6.3</v>
      </c>
      <c r="H4246" s="43" t="s">
        <v>227</v>
      </c>
      <c r="I4246" s="40" t="s">
        <v>1300</v>
      </c>
    </row>
    <row r="4247" spans="1:9" x14ac:dyDescent="0.2">
      <c r="A4247" s="40" t="s">
        <v>169</v>
      </c>
      <c r="B4247" s="28">
        <v>7090</v>
      </c>
      <c r="C4247" s="28" t="s">
        <v>1208</v>
      </c>
      <c r="D4247" s="28"/>
      <c r="E4247" s="41">
        <v>46171</v>
      </c>
      <c r="F4247" s="47">
        <v>0.47910879629629627</v>
      </c>
      <c r="G4247" s="44">
        <v>6.3</v>
      </c>
      <c r="H4247" s="43" t="s">
        <v>228</v>
      </c>
      <c r="I4247" s="40" t="s">
        <v>1300</v>
      </c>
    </row>
    <row r="4248" spans="1:9" x14ac:dyDescent="0.2">
      <c r="A4248" s="40" t="s">
        <v>169</v>
      </c>
      <c r="B4248" s="28">
        <v>7090</v>
      </c>
      <c r="C4248" s="28" t="s">
        <v>1208</v>
      </c>
      <c r="D4248" s="28"/>
      <c r="E4248" s="41">
        <v>46171</v>
      </c>
      <c r="F4248" s="47">
        <v>0.4987037037037037</v>
      </c>
      <c r="G4248" s="44">
        <v>6.3</v>
      </c>
      <c r="H4248" s="43" t="s">
        <v>229</v>
      </c>
      <c r="I4248" s="40" t="s">
        <v>1300</v>
      </c>
    </row>
    <row r="4249" spans="1:9" x14ac:dyDescent="0.2">
      <c r="A4249" s="40" t="s">
        <v>169</v>
      </c>
      <c r="B4249" s="28">
        <v>7090</v>
      </c>
      <c r="C4249" s="28" t="s">
        <v>35</v>
      </c>
      <c r="D4249" s="28" t="s">
        <v>38</v>
      </c>
      <c r="E4249" s="41">
        <v>46171</v>
      </c>
      <c r="F4249" s="47">
        <v>0.79517361111111107</v>
      </c>
      <c r="G4249" s="44">
        <v>6.3</v>
      </c>
      <c r="H4249" s="43" t="s">
        <v>231</v>
      </c>
      <c r="I4249" s="40" t="s">
        <v>1300</v>
      </c>
    </row>
    <row r="4250" spans="1:9" x14ac:dyDescent="0.2">
      <c r="A4250" s="40" t="s">
        <v>169</v>
      </c>
      <c r="B4250" s="28">
        <v>7090</v>
      </c>
      <c r="C4250" s="28" t="s">
        <v>35</v>
      </c>
      <c r="D4250" s="28" t="s">
        <v>38</v>
      </c>
      <c r="E4250" s="41">
        <v>46171</v>
      </c>
      <c r="F4250" s="47">
        <v>0.83682870370370366</v>
      </c>
      <c r="G4250" s="44">
        <v>6.3</v>
      </c>
      <c r="H4250" s="43" t="s">
        <v>227</v>
      </c>
      <c r="I4250" s="40" t="s">
        <v>1300</v>
      </c>
    </row>
    <row r="4251" spans="1:9" x14ac:dyDescent="0.2">
      <c r="A4251" s="40" t="s">
        <v>169</v>
      </c>
      <c r="B4251" s="28">
        <v>7090</v>
      </c>
      <c r="C4251" s="28" t="s">
        <v>35</v>
      </c>
      <c r="D4251" s="28" t="s">
        <v>38</v>
      </c>
      <c r="E4251" s="41">
        <v>46171</v>
      </c>
      <c r="F4251" s="47">
        <v>0.88806712962962964</v>
      </c>
      <c r="G4251" s="44">
        <v>6.3</v>
      </c>
      <c r="H4251" s="43" t="s">
        <v>228</v>
      </c>
      <c r="I4251" s="40" t="s">
        <v>1300</v>
      </c>
    </row>
    <row r="4252" spans="1:9" x14ac:dyDescent="0.2">
      <c r="A4252" s="40" t="s">
        <v>169</v>
      </c>
      <c r="B4252" s="28">
        <v>7090</v>
      </c>
      <c r="C4252" s="28" t="s">
        <v>35</v>
      </c>
      <c r="D4252" s="28" t="s">
        <v>38</v>
      </c>
      <c r="E4252" s="41">
        <v>46171</v>
      </c>
      <c r="F4252" s="47">
        <v>0.89623842592592595</v>
      </c>
      <c r="G4252" s="44">
        <v>6.3</v>
      </c>
      <c r="H4252" s="43" t="s">
        <v>229</v>
      </c>
      <c r="I4252" s="40" t="s">
        <v>1300</v>
      </c>
    </row>
    <row r="4253" spans="1:9" x14ac:dyDescent="0.2">
      <c r="A4253" s="40" t="s">
        <v>472</v>
      </c>
      <c r="B4253" s="28">
        <v>7109</v>
      </c>
      <c r="C4253" s="28" t="s">
        <v>35</v>
      </c>
      <c r="D4253" s="28" t="s">
        <v>38</v>
      </c>
      <c r="E4253" s="41">
        <v>46172</v>
      </c>
      <c r="F4253" s="47">
        <v>0.7681365740740741</v>
      </c>
      <c r="G4253" s="42">
        <v>6.3</v>
      </c>
      <c r="H4253" s="40" t="s">
        <v>230</v>
      </c>
      <c r="I4253" s="40" t="s">
        <v>1300</v>
      </c>
    </row>
    <row r="4254" spans="1:9" x14ac:dyDescent="0.2">
      <c r="A4254" s="40" t="s">
        <v>473</v>
      </c>
      <c r="B4254" s="28">
        <v>7116</v>
      </c>
      <c r="C4254" s="28">
        <v>5694537</v>
      </c>
      <c r="D4254" s="28"/>
      <c r="E4254" s="41">
        <v>46172</v>
      </c>
      <c r="F4254" s="47">
        <v>0.51355324074074071</v>
      </c>
      <c r="G4254" s="42">
        <v>6.3</v>
      </c>
      <c r="H4254" s="40" t="s">
        <v>230</v>
      </c>
      <c r="I4254" s="40" t="s">
        <v>1300</v>
      </c>
    </row>
    <row r="4255" spans="1:9" x14ac:dyDescent="0.2">
      <c r="A4255" s="40" t="s">
        <v>473</v>
      </c>
      <c r="B4255" s="28">
        <v>7116</v>
      </c>
      <c r="C4255" s="28">
        <v>5694537</v>
      </c>
      <c r="D4255" s="28"/>
      <c r="E4255" s="45">
        <v>46172</v>
      </c>
      <c r="F4255" s="48">
        <v>0.52295138888888892</v>
      </c>
      <c r="G4255" s="42">
        <v>6.3</v>
      </c>
      <c r="H4255" s="40" t="s">
        <v>227</v>
      </c>
      <c r="I4255" s="40" t="s">
        <v>1300</v>
      </c>
    </row>
    <row r="4256" spans="1:9" x14ac:dyDescent="0.2">
      <c r="A4256" s="40" t="s">
        <v>473</v>
      </c>
      <c r="B4256" s="28">
        <v>7116</v>
      </c>
      <c r="C4256" s="28" t="s">
        <v>1209</v>
      </c>
      <c r="D4256" s="28"/>
      <c r="E4256" s="45">
        <v>46172</v>
      </c>
      <c r="F4256" s="48">
        <v>0.58422453703703703</v>
      </c>
      <c r="G4256" s="42">
        <v>6.3</v>
      </c>
      <c r="H4256" s="40" t="s">
        <v>228</v>
      </c>
      <c r="I4256" s="40" t="s">
        <v>1300</v>
      </c>
    </row>
    <row r="4257" spans="1:9" x14ac:dyDescent="0.2">
      <c r="A4257" s="40" t="s">
        <v>473</v>
      </c>
      <c r="B4257" s="28">
        <v>7116</v>
      </c>
      <c r="C4257" s="28" t="s">
        <v>1209</v>
      </c>
      <c r="D4257" s="28"/>
      <c r="E4257" s="41">
        <v>46172</v>
      </c>
      <c r="F4257" s="47">
        <v>0.59293981481481484</v>
      </c>
      <c r="G4257" s="42">
        <v>6.3</v>
      </c>
      <c r="H4257" s="40" t="s">
        <v>229</v>
      </c>
      <c r="I4257" s="40" t="s">
        <v>1300</v>
      </c>
    </row>
    <row r="4258" spans="1:9" x14ac:dyDescent="0.2">
      <c r="A4258" s="40" t="s">
        <v>105</v>
      </c>
      <c r="B4258" s="28">
        <v>7438</v>
      </c>
      <c r="C4258" s="28">
        <v>5688438</v>
      </c>
      <c r="D4258" s="28"/>
      <c r="E4258" s="41">
        <v>46168</v>
      </c>
      <c r="F4258" s="47">
        <v>0.85775462962962967</v>
      </c>
      <c r="G4258" s="42">
        <v>6.3</v>
      </c>
      <c r="H4258" s="40" t="s">
        <v>228</v>
      </c>
      <c r="I4258" s="40" t="s">
        <v>1300</v>
      </c>
    </row>
    <row r="4259" spans="1:9" x14ac:dyDescent="0.2">
      <c r="A4259" s="40" t="s">
        <v>105</v>
      </c>
      <c r="B4259" s="28">
        <v>7438</v>
      </c>
      <c r="C4259" s="28">
        <v>5688438</v>
      </c>
      <c r="D4259" s="28"/>
      <c r="E4259" s="41">
        <v>46168</v>
      </c>
      <c r="F4259" s="47">
        <v>0.86576388888888889</v>
      </c>
      <c r="G4259" s="42">
        <v>6.3</v>
      </c>
      <c r="H4259" s="40" t="s">
        <v>229</v>
      </c>
      <c r="I4259" s="40" t="s">
        <v>1300</v>
      </c>
    </row>
    <row r="4260" spans="1:9" x14ac:dyDescent="0.2">
      <c r="A4260" s="40" t="s">
        <v>105</v>
      </c>
      <c r="B4260" s="28">
        <v>7438</v>
      </c>
      <c r="C4260" s="28">
        <v>10751766</v>
      </c>
      <c r="D4260" s="28"/>
      <c r="E4260" s="45">
        <v>46169</v>
      </c>
      <c r="F4260" s="48">
        <v>0.11086805555555555</v>
      </c>
      <c r="G4260" s="42">
        <v>6.3</v>
      </c>
      <c r="H4260" s="40" t="s">
        <v>230</v>
      </c>
      <c r="I4260" s="40" t="s">
        <v>1300</v>
      </c>
    </row>
    <row r="4261" spans="1:9" x14ac:dyDescent="0.2">
      <c r="A4261" s="40" t="s">
        <v>105</v>
      </c>
      <c r="B4261" s="28">
        <v>7438</v>
      </c>
      <c r="C4261" s="28">
        <v>10751766</v>
      </c>
      <c r="D4261" s="28"/>
      <c r="E4261" s="41">
        <v>46169</v>
      </c>
      <c r="F4261" s="47">
        <v>0.11619212962962963</v>
      </c>
      <c r="G4261" s="42">
        <v>6.3</v>
      </c>
      <c r="H4261" s="40" t="s">
        <v>227</v>
      </c>
      <c r="I4261" s="40" t="s">
        <v>1300</v>
      </c>
    </row>
    <row r="4262" spans="1:9" x14ac:dyDescent="0.2">
      <c r="A4262" s="40" t="s">
        <v>105</v>
      </c>
      <c r="B4262" s="28">
        <v>7438</v>
      </c>
      <c r="C4262" s="28">
        <v>5692312</v>
      </c>
      <c r="D4262" s="28"/>
      <c r="E4262" s="41">
        <v>46170</v>
      </c>
      <c r="F4262" s="47">
        <v>0.91009259259259256</v>
      </c>
      <c r="G4262" s="42">
        <v>6.3</v>
      </c>
      <c r="H4262" s="40" t="s">
        <v>228</v>
      </c>
      <c r="I4262" s="40" t="s">
        <v>1300</v>
      </c>
    </row>
    <row r="4263" spans="1:9" x14ac:dyDescent="0.2">
      <c r="A4263" s="40" t="s">
        <v>105</v>
      </c>
      <c r="B4263" s="28">
        <v>7438</v>
      </c>
      <c r="C4263" s="28">
        <v>5692312</v>
      </c>
      <c r="D4263" s="28"/>
      <c r="E4263" s="41">
        <v>46170</v>
      </c>
      <c r="F4263" s="47">
        <v>0.9174768518518519</v>
      </c>
      <c r="G4263" s="42">
        <v>6.3</v>
      </c>
      <c r="H4263" s="40" t="s">
        <v>229</v>
      </c>
      <c r="I4263" s="40" t="s">
        <v>1300</v>
      </c>
    </row>
    <row r="4264" spans="1:9" x14ac:dyDescent="0.2">
      <c r="A4264" s="40" t="s">
        <v>105</v>
      </c>
      <c r="B4264" s="28">
        <v>7438</v>
      </c>
      <c r="C4264" s="28" t="s">
        <v>1210</v>
      </c>
      <c r="D4264" s="28"/>
      <c r="E4264" s="41">
        <v>46171</v>
      </c>
      <c r="F4264" s="47">
        <v>0.88217592592592597</v>
      </c>
      <c r="G4264" s="44">
        <v>6.3</v>
      </c>
      <c r="H4264" s="43" t="s">
        <v>228</v>
      </c>
      <c r="I4264" s="40" t="s">
        <v>1300</v>
      </c>
    </row>
    <row r="4265" spans="1:9" x14ac:dyDescent="0.2">
      <c r="A4265" s="40" t="s">
        <v>105</v>
      </c>
      <c r="B4265" s="28">
        <v>7438</v>
      </c>
      <c r="C4265" s="28" t="s">
        <v>1210</v>
      </c>
      <c r="D4265" s="28"/>
      <c r="E4265" s="41">
        <v>46171</v>
      </c>
      <c r="F4265" s="47">
        <v>0.89027777777777772</v>
      </c>
      <c r="G4265" s="44">
        <v>6.3</v>
      </c>
      <c r="H4265" s="43" t="s">
        <v>229</v>
      </c>
      <c r="I4265" s="40" t="s">
        <v>1300</v>
      </c>
    </row>
    <row r="4266" spans="1:9" x14ac:dyDescent="0.2">
      <c r="A4266" s="40" t="s">
        <v>105</v>
      </c>
      <c r="B4266" s="28">
        <v>7438</v>
      </c>
      <c r="C4266" s="28">
        <v>5693503</v>
      </c>
      <c r="D4266" s="28"/>
      <c r="E4266" s="41">
        <v>46172</v>
      </c>
      <c r="F4266" s="47">
        <v>2.0370370370370372E-2</v>
      </c>
      <c r="G4266" s="44">
        <v>6.3</v>
      </c>
      <c r="H4266" s="43" t="s">
        <v>228</v>
      </c>
      <c r="I4266" s="40" t="s">
        <v>1300</v>
      </c>
    </row>
    <row r="4267" spans="1:9" x14ac:dyDescent="0.2">
      <c r="A4267" s="40" t="s">
        <v>105</v>
      </c>
      <c r="B4267" s="28">
        <v>7438</v>
      </c>
      <c r="C4267" s="28" t="s">
        <v>1211</v>
      </c>
      <c r="D4267" s="28"/>
      <c r="E4267" s="45">
        <v>46172</v>
      </c>
      <c r="F4267" s="48">
        <v>0.93923611111111116</v>
      </c>
      <c r="G4267" s="44">
        <v>6.3</v>
      </c>
      <c r="H4267" s="43" t="s">
        <v>228</v>
      </c>
      <c r="I4267" s="40" t="s">
        <v>1300</v>
      </c>
    </row>
    <row r="4268" spans="1:9" x14ac:dyDescent="0.2">
      <c r="A4268" s="40" t="s">
        <v>105</v>
      </c>
      <c r="B4268" s="28">
        <v>7438</v>
      </c>
      <c r="C4268" s="28" t="s">
        <v>1211</v>
      </c>
      <c r="D4268" s="28"/>
      <c r="E4268" s="41">
        <v>46172</v>
      </c>
      <c r="F4268" s="47">
        <v>0.94687500000000002</v>
      </c>
      <c r="G4268" s="44">
        <v>6.3</v>
      </c>
      <c r="H4268" s="43" t="s">
        <v>229</v>
      </c>
      <c r="I4268" s="40" t="s">
        <v>1300</v>
      </c>
    </row>
    <row r="4269" spans="1:9" x14ac:dyDescent="0.2">
      <c r="A4269" s="40" t="s">
        <v>246</v>
      </c>
      <c r="B4269" s="28">
        <v>7581</v>
      </c>
      <c r="C4269" s="28" t="s">
        <v>35</v>
      </c>
      <c r="D4269" s="28" t="s">
        <v>38</v>
      </c>
      <c r="E4269" s="41">
        <v>46168</v>
      </c>
      <c r="F4269" s="47">
        <v>0.78364583333333337</v>
      </c>
      <c r="G4269" s="44">
        <v>6.3</v>
      </c>
      <c r="H4269" s="43" t="s">
        <v>230</v>
      </c>
      <c r="I4269" s="40" t="s">
        <v>1300</v>
      </c>
    </row>
    <row r="4270" spans="1:9" x14ac:dyDescent="0.2">
      <c r="A4270" s="40" t="s">
        <v>246</v>
      </c>
      <c r="B4270" s="28">
        <v>7581</v>
      </c>
      <c r="C4270" s="28" t="s">
        <v>35</v>
      </c>
      <c r="D4270" s="28" t="s">
        <v>38</v>
      </c>
      <c r="E4270" s="41">
        <v>46168</v>
      </c>
      <c r="F4270" s="47">
        <v>0.79894675925925929</v>
      </c>
      <c r="G4270" s="44">
        <v>6.3</v>
      </c>
      <c r="H4270" s="43" t="s">
        <v>227</v>
      </c>
      <c r="I4270" s="40" t="s">
        <v>1300</v>
      </c>
    </row>
    <row r="4271" spans="1:9" x14ac:dyDescent="0.2">
      <c r="A4271" s="40" t="s">
        <v>246</v>
      </c>
      <c r="B4271" s="28">
        <v>7581</v>
      </c>
      <c r="C4271" s="28" t="s">
        <v>1212</v>
      </c>
      <c r="D4271" s="28"/>
      <c r="E4271" s="41">
        <v>46168</v>
      </c>
      <c r="F4271" s="47">
        <v>0.83766203703703701</v>
      </c>
      <c r="G4271" s="44">
        <v>6.3</v>
      </c>
      <c r="H4271" s="43" t="s">
        <v>228</v>
      </c>
      <c r="I4271" s="40" t="s">
        <v>1300</v>
      </c>
    </row>
    <row r="4272" spans="1:9" x14ac:dyDescent="0.2">
      <c r="A4272" s="40" t="s">
        <v>246</v>
      </c>
      <c r="B4272" s="28">
        <v>7581</v>
      </c>
      <c r="C4272" s="28" t="s">
        <v>1212</v>
      </c>
      <c r="D4272" s="28"/>
      <c r="E4272" s="41">
        <v>46168</v>
      </c>
      <c r="F4272" s="47">
        <v>0.84484953703703702</v>
      </c>
      <c r="G4272" s="44">
        <v>6.3</v>
      </c>
      <c r="H4272" s="43" t="s">
        <v>229</v>
      </c>
      <c r="I4272" s="40" t="s">
        <v>1300</v>
      </c>
    </row>
    <row r="4273" spans="1:9" x14ac:dyDescent="0.2">
      <c r="A4273" s="40" t="s">
        <v>246</v>
      </c>
      <c r="B4273" s="28">
        <v>7581</v>
      </c>
      <c r="C4273" s="28">
        <v>5686030</v>
      </c>
      <c r="D4273" s="28"/>
      <c r="E4273" s="41">
        <v>46168</v>
      </c>
      <c r="F4273" s="47">
        <v>0.8846180555555555</v>
      </c>
      <c r="G4273" s="44">
        <v>6.3</v>
      </c>
      <c r="H4273" s="43" t="s">
        <v>230</v>
      </c>
      <c r="I4273" s="40" t="s">
        <v>1300</v>
      </c>
    </row>
    <row r="4274" spans="1:9" x14ac:dyDescent="0.2">
      <c r="A4274" s="40" t="s">
        <v>246</v>
      </c>
      <c r="B4274" s="28">
        <v>7581</v>
      </c>
      <c r="C4274" s="28">
        <v>5686030</v>
      </c>
      <c r="D4274" s="28"/>
      <c r="E4274" s="41">
        <v>46168</v>
      </c>
      <c r="F4274" s="47">
        <v>0.8901041666666667</v>
      </c>
      <c r="G4274" s="44">
        <v>6.3</v>
      </c>
      <c r="H4274" s="43" t="s">
        <v>227</v>
      </c>
      <c r="I4274" s="40" t="s">
        <v>1300</v>
      </c>
    </row>
    <row r="4275" spans="1:9" x14ac:dyDescent="0.2">
      <c r="A4275" s="40" t="s">
        <v>246</v>
      </c>
      <c r="B4275" s="28">
        <v>7581</v>
      </c>
      <c r="C4275" s="28">
        <v>5691589</v>
      </c>
      <c r="D4275" s="28"/>
      <c r="E4275" s="45">
        <v>46170</v>
      </c>
      <c r="F4275" s="48">
        <v>0.58994212962962966</v>
      </c>
      <c r="G4275" s="44">
        <v>6.3</v>
      </c>
      <c r="H4275" s="43" t="s">
        <v>230</v>
      </c>
      <c r="I4275" s="40" t="s">
        <v>1300</v>
      </c>
    </row>
    <row r="4276" spans="1:9" x14ac:dyDescent="0.2">
      <c r="A4276" s="40" t="s">
        <v>246</v>
      </c>
      <c r="B4276" s="28">
        <v>7581</v>
      </c>
      <c r="C4276" s="28">
        <v>5691589</v>
      </c>
      <c r="D4276" s="28"/>
      <c r="E4276" s="41">
        <v>46170</v>
      </c>
      <c r="F4276" s="47">
        <v>0.59593750000000001</v>
      </c>
      <c r="G4276" s="44">
        <v>6.3</v>
      </c>
      <c r="H4276" s="43" t="s">
        <v>227</v>
      </c>
      <c r="I4276" s="40" t="s">
        <v>1300</v>
      </c>
    </row>
    <row r="4277" spans="1:9" x14ac:dyDescent="0.2">
      <c r="A4277" s="40" t="s">
        <v>246</v>
      </c>
      <c r="B4277" s="28">
        <v>7581</v>
      </c>
      <c r="C4277" s="28" t="s">
        <v>35</v>
      </c>
      <c r="D4277" s="28" t="s">
        <v>38</v>
      </c>
      <c r="E4277" s="41">
        <v>46172</v>
      </c>
      <c r="F4277" s="47">
        <v>0.44032407407407409</v>
      </c>
      <c r="G4277" s="44">
        <v>6.3</v>
      </c>
      <c r="H4277" s="43" t="s">
        <v>230</v>
      </c>
      <c r="I4277" s="40" t="s">
        <v>1300</v>
      </c>
    </row>
    <row r="4278" spans="1:9" x14ac:dyDescent="0.2">
      <c r="A4278" s="40" t="s">
        <v>246</v>
      </c>
      <c r="B4278" s="28">
        <v>7581</v>
      </c>
      <c r="C4278" s="28" t="s">
        <v>35</v>
      </c>
      <c r="D4278" s="28" t="s">
        <v>38</v>
      </c>
      <c r="E4278" s="41">
        <v>46173</v>
      </c>
      <c r="F4278" s="47">
        <v>0.14254629629629631</v>
      </c>
      <c r="G4278" s="44">
        <v>6.3</v>
      </c>
      <c r="H4278" s="43" t="s">
        <v>229</v>
      </c>
      <c r="I4278" s="40" t="s">
        <v>1300</v>
      </c>
    </row>
    <row r="4279" spans="1:9" x14ac:dyDescent="0.2">
      <c r="A4279" s="40" t="s">
        <v>195</v>
      </c>
      <c r="B4279" s="28">
        <v>7606</v>
      </c>
      <c r="C4279" s="28" t="s">
        <v>35</v>
      </c>
      <c r="D4279" s="28" t="s">
        <v>38</v>
      </c>
      <c r="E4279" s="41">
        <v>46168</v>
      </c>
      <c r="F4279" s="47">
        <v>0.70994212962962966</v>
      </c>
      <c r="G4279" s="44">
        <v>6.3</v>
      </c>
      <c r="H4279" s="43" t="s">
        <v>232</v>
      </c>
      <c r="I4279" s="40" t="s">
        <v>1300</v>
      </c>
    </row>
    <row r="4280" spans="1:9" x14ac:dyDescent="0.2">
      <c r="A4280" s="40" t="s">
        <v>195</v>
      </c>
      <c r="B4280" s="28">
        <v>7606</v>
      </c>
      <c r="C4280" s="28" t="s">
        <v>1213</v>
      </c>
      <c r="D4280" s="28"/>
      <c r="E4280" s="41">
        <v>46172</v>
      </c>
      <c r="F4280" s="47">
        <v>0.15210648148148148</v>
      </c>
      <c r="G4280" s="44">
        <v>6.3</v>
      </c>
      <c r="H4280" s="43" t="s">
        <v>230</v>
      </c>
      <c r="I4280" s="40" t="s">
        <v>1300</v>
      </c>
    </row>
    <row r="4281" spans="1:9" x14ac:dyDescent="0.2">
      <c r="A4281" s="40" t="s">
        <v>195</v>
      </c>
      <c r="B4281" s="28">
        <v>7606</v>
      </c>
      <c r="C4281" s="28" t="s">
        <v>1213</v>
      </c>
      <c r="D4281" s="28"/>
      <c r="E4281" s="41">
        <v>46172</v>
      </c>
      <c r="F4281" s="47">
        <v>0.15711805555555555</v>
      </c>
      <c r="G4281" s="44">
        <v>6.3</v>
      </c>
      <c r="H4281" s="43" t="s">
        <v>227</v>
      </c>
      <c r="I4281" s="40" t="s">
        <v>1300</v>
      </c>
    </row>
    <row r="4282" spans="1:9" x14ac:dyDescent="0.2">
      <c r="A4282" s="40" t="s">
        <v>195</v>
      </c>
      <c r="B4282" s="28">
        <v>7606</v>
      </c>
      <c r="C4282" s="28">
        <v>5695413</v>
      </c>
      <c r="D4282" s="28"/>
      <c r="E4282" s="41">
        <v>46173</v>
      </c>
      <c r="F4282" s="47">
        <v>0.29781249999999998</v>
      </c>
      <c r="G4282" s="44">
        <v>6.3</v>
      </c>
      <c r="H4282" s="43" t="s">
        <v>228</v>
      </c>
      <c r="I4282" s="40" t="s">
        <v>1300</v>
      </c>
    </row>
    <row r="4283" spans="1:9" x14ac:dyDescent="0.2">
      <c r="A4283" s="40" t="s">
        <v>195</v>
      </c>
      <c r="B4283" s="28">
        <v>7606</v>
      </c>
      <c r="C4283" s="28">
        <v>5695413</v>
      </c>
      <c r="D4283" s="28"/>
      <c r="E4283" s="41">
        <v>46173</v>
      </c>
      <c r="F4283" s="47">
        <v>0.30459490740740741</v>
      </c>
      <c r="G4283" s="44">
        <v>6.3</v>
      </c>
      <c r="H4283" s="43" t="s">
        <v>229</v>
      </c>
      <c r="I4283" s="40" t="s">
        <v>1300</v>
      </c>
    </row>
    <row r="4284" spans="1:9" x14ac:dyDescent="0.2">
      <c r="A4284" s="40" t="s">
        <v>195</v>
      </c>
      <c r="B4284" s="28">
        <v>7606</v>
      </c>
      <c r="C4284" s="28" t="s">
        <v>1214</v>
      </c>
      <c r="D4284" s="28"/>
      <c r="E4284" s="41">
        <v>46173</v>
      </c>
      <c r="F4284" s="47">
        <v>0.36244212962962963</v>
      </c>
      <c r="G4284" s="44">
        <v>6.3</v>
      </c>
      <c r="H4284" s="43" t="s">
        <v>230</v>
      </c>
      <c r="I4284" s="40" t="s">
        <v>1300</v>
      </c>
    </row>
    <row r="4285" spans="1:9" x14ac:dyDescent="0.2">
      <c r="A4285" s="40" t="s">
        <v>195</v>
      </c>
      <c r="B4285" s="28">
        <v>7606</v>
      </c>
      <c r="C4285" s="28" t="s">
        <v>1214</v>
      </c>
      <c r="D4285" s="28"/>
      <c r="E4285" s="41">
        <v>46173</v>
      </c>
      <c r="F4285" s="47">
        <v>0.36782407407407408</v>
      </c>
      <c r="G4285" s="44">
        <v>6.3</v>
      </c>
      <c r="H4285" s="43" t="s">
        <v>227</v>
      </c>
      <c r="I4285" s="40" t="s">
        <v>1300</v>
      </c>
    </row>
    <row r="4286" spans="1:9" x14ac:dyDescent="0.2">
      <c r="A4286" s="40" t="s">
        <v>195</v>
      </c>
      <c r="B4286" s="28">
        <v>7606</v>
      </c>
      <c r="C4286" s="28" t="s">
        <v>35</v>
      </c>
      <c r="D4286" s="28" t="s">
        <v>38</v>
      </c>
      <c r="E4286" s="45">
        <v>46173</v>
      </c>
      <c r="F4286" s="48">
        <v>0.50703703703703706</v>
      </c>
      <c r="G4286" s="44">
        <v>6.3</v>
      </c>
      <c r="H4286" s="43" t="s">
        <v>230</v>
      </c>
      <c r="I4286" s="40" t="s">
        <v>1300</v>
      </c>
    </row>
    <row r="4287" spans="1:9" x14ac:dyDescent="0.2">
      <c r="A4287" s="40" t="s">
        <v>195</v>
      </c>
      <c r="B4287" s="28">
        <v>7606</v>
      </c>
      <c r="C4287" s="28" t="s">
        <v>35</v>
      </c>
      <c r="D4287" s="28" t="s">
        <v>38</v>
      </c>
      <c r="E4287" s="41">
        <v>46173</v>
      </c>
      <c r="F4287" s="47">
        <v>0.51261574074074079</v>
      </c>
      <c r="G4287" s="44">
        <v>6.3</v>
      </c>
      <c r="H4287" s="43" t="s">
        <v>227</v>
      </c>
      <c r="I4287" s="40" t="s">
        <v>1300</v>
      </c>
    </row>
    <row r="4288" spans="1:9" x14ac:dyDescent="0.2">
      <c r="A4288" s="40" t="s">
        <v>195</v>
      </c>
      <c r="B4288" s="28">
        <v>7606</v>
      </c>
      <c r="C4288" s="28" t="s">
        <v>35</v>
      </c>
      <c r="D4288" s="28" t="s">
        <v>38</v>
      </c>
      <c r="E4288" s="41">
        <v>46173</v>
      </c>
      <c r="F4288" s="47">
        <v>0.66246527777777775</v>
      </c>
      <c r="G4288" s="44">
        <v>6.3</v>
      </c>
      <c r="H4288" s="43" t="s">
        <v>228</v>
      </c>
      <c r="I4288" s="40" t="s">
        <v>1300</v>
      </c>
    </row>
    <row r="4289" spans="1:9" x14ac:dyDescent="0.2">
      <c r="A4289" s="40" t="s">
        <v>87</v>
      </c>
      <c r="B4289" s="28">
        <v>7628</v>
      </c>
      <c r="C4289" s="28" t="s">
        <v>35</v>
      </c>
      <c r="D4289" s="28" t="s">
        <v>38</v>
      </c>
      <c r="E4289" s="41">
        <v>46168</v>
      </c>
      <c r="F4289" s="47">
        <v>0.90878472222222217</v>
      </c>
      <c r="G4289" s="44">
        <v>6.3</v>
      </c>
      <c r="H4289" s="43" t="s">
        <v>234</v>
      </c>
      <c r="I4289" s="40" t="s">
        <v>1300</v>
      </c>
    </row>
    <row r="4290" spans="1:9" x14ac:dyDescent="0.2">
      <c r="A4290" s="40" t="s">
        <v>87</v>
      </c>
      <c r="B4290" s="28">
        <v>7628</v>
      </c>
      <c r="C4290" s="28" t="s">
        <v>35</v>
      </c>
      <c r="D4290" s="28" t="s">
        <v>38</v>
      </c>
      <c r="E4290" s="41">
        <v>46168</v>
      </c>
      <c r="F4290" s="47">
        <v>0.92971064814814819</v>
      </c>
      <c r="G4290" s="44">
        <v>6.3</v>
      </c>
      <c r="H4290" s="43" t="s">
        <v>228</v>
      </c>
      <c r="I4290" s="40" t="s">
        <v>1300</v>
      </c>
    </row>
    <row r="4291" spans="1:9" x14ac:dyDescent="0.2">
      <c r="A4291" s="40" t="s">
        <v>87</v>
      </c>
      <c r="B4291" s="28">
        <v>7628</v>
      </c>
      <c r="C4291" s="28" t="s">
        <v>35</v>
      </c>
      <c r="D4291" s="28" t="s">
        <v>38</v>
      </c>
      <c r="E4291" s="45">
        <v>46168</v>
      </c>
      <c r="F4291" s="48">
        <v>0.9357523148148148</v>
      </c>
      <c r="G4291" s="44">
        <v>6.3</v>
      </c>
      <c r="H4291" s="43" t="s">
        <v>232</v>
      </c>
      <c r="I4291" s="40" t="s">
        <v>1300</v>
      </c>
    </row>
    <row r="4292" spans="1:9" x14ac:dyDescent="0.2">
      <c r="A4292" s="40" t="s">
        <v>87</v>
      </c>
      <c r="B4292" s="28">
        <v>7628</v>
      </c>
      <c r="C4292" s="28">
        <v>10759058</v>
      </c>
      <c r="D4292" s="28"/>
      <c r="E4292" s="45">
        <v>46170</v>
      </c>
      <c r="F4292" s="48">
        <v>0.49734953703703705</v>
      </c>
      <c r="G4292" s="44">
        <v>6.3</v>
      </c>
      <c r="H4292" s="43" t="s">
        <v>226</v>
      </c>
      <c r="I4292" s="40" t="s">
        <v>1300</v>
      </c>
    </row>
    <row r="4293" spans="1:9" x14ac:dyDescent="0.2">
      <c r="A4293" s="40" t="s">
        <v>87</v>
      </c>
      <c r="B4293" s="28">
        <v>7628</v>
      </c>
      <c r="C4293" s="28">
        <v>10759058</v>
      </c>
      <c r="D4293" s="28"/>
      <c r="E4293" s="41">
        <v>46170</v>
      </c>
      <c r="F4293" s="47">
        <v>0.50366898148148154</v>
      </c>
      <c r="G4293" s="44">
        <v>6.3</v>
      </c>
      <c r="H4293" s="43" t="s">
        <v>227</v>
      </c>
      <c r="I4293" s="40" t="s">
        <v>1300</v>
      </c>
    </row>
    <row r="4294" spans="1:9" x14ac:dyDescent="0.2">
      <c r="A4294" s="40" t="s">
        <v>87</v>
      </c>
      <c r="B4294" s="28">
        <v>7628</v>
      </c>
      <c r="C4294" s="28" t="s">
        <v>1215</v>
      </c>
      <c r="D4294" s="28"/>
      <c r="E4294" s="41">
        <v>46170</v>
      </c>
      <c r="F4294" s="47">
        <v>0.57803240740740736</v>
      </c>
      <c r="G4294" s="44">
        <v>6.3</v>
      </c>
      <c r="H4294" s="43" t="s">
        <v>228</v>
      </c>
      <c r="I4294" s="40" t="s">
        <v>1300</v>
      </c>
    </row>
    <row r="4295" spans="1:9" x14ac:dyDescent="0.2">
      <c r="A4295" s="40" t="s">
        <v>87</v>
      </c>
      <c r="B4295" s="28">
        <v>7628</v>
      </c>
      <c r="C4295" s="28" t="s">
        <v>1215</v>
      </c>
      <c r="D4295" s="28"/>
      <c r="E4295" s="41">
        <v>46170</v>
      </c>
      <c r="F4295" s="47">
        <v>0.58832175925925922</v>
      </c>
      <c r="G4295" s="44">
        <v>6.3</v>
      </c>
      <c r="H4295" s="43" t="s">
        <v>229</v>
      </c>
      <c r="I4295" s="40" t="s">
        <v>1300</v>
      </c>
    </row>
    <row r="4296" spans="1:9" x14ac:dyDescent="0.2">
      <c r="A4296" s="40" t="s">
        <v>87</v>
      </c>
      <c r="B4296" s="28">
        <v>7628</v>
      </c>
      <c r="C4296" s="28" t="s">
        <v>1216</v>
      </c>
      <c r="D4296" s="28"/>
      <c r="E4296" s="45">
        <v>46171</v>
      </c>
      <c r="F4296" s="48">
        <v>0.6419097222222222</v>
      </c>
      <c r="G4296" s="44">
        <v>6.3</v>
      </c>
      <c r="H4296" s="43" t="s">
        <v>228</v>
      </c>
      <c r="I4296" s="40" t="s">
        <v>1300</v>
      </c>
    </row>
    <row r="4297" spans="1:9" x14ac:dyDescent="0.2">
      <c r="A4297" s="40" t="s">
        <v>87</v>
      </c>
      <c r="B4297" s="28">
        <v>7628</v>
      </c>
      <c r="C4297" s="28">
        <v>5694101</v>
      </c>
      <c r="D4297" s="28" t="s">
        <v>36</v>
      </c>
      <c r="E4297" s="41">
        <v>46171</v>
      </c>
      <c r="F4297" s="47">
        <v>0.94065972222222227</v>
      </c>
      <c r="G4297" s="44">
        <v>6.3</v>
      </c>
      <c r="H4297" s="43" t="s">
        <v>228</v>
      </c>
      <c r="I4297" s="40" t="s">
        <v>1300</v>
      </c>
    </row>
    <row r="4298" spans="1:9" x14ac:dyDescent="0.2">
      <c r="A4298" s="40" t="s">
        <v>87</v>
      </c>
      <c r="B4298" s="28">
        <v>7628</v>
      </c>
      <c r="C4298" s="28">
        <v>5694101</v>
      </c>
      <c r="D4298" s="28" t="s">
        <v>36</v>
      </c>
      <c r="E4298" s="41">
        <v>46171</v>
      </c>
      <c r="F4298" s="47">
        <v>0.94744212962962959</v>
      </c>
      <c r="G4298" s="44">
        <v>6.3</v>
      </c>
      <c r="H4298" s="43" t="s">
        <v>229</v>
      </c>
      <c r="I4298" s="40" t="s">
        <v>1300</v>
      </c>
    </row>
    <row r="4299" spans="1:9" x14ac:dyDescent="0.2">
      <c r="A4299" s="40" t="s">
        <v>87</v>
      </c>
      <c r="B4299" s="28">
        <v>7628</v>
      </c>
      <c r="C4299" s="28" t="s">
        <v>35</v>
      </c>
      <c r="D4299" s="28" t="s">
        <v>38</v>
      </c>
      <c r="E4299" s="41">
        <v>46173</v>
      </c>
      <c r="F4299" s="47">
        <v>0.63371527777777781</v>
      </c>
      <c r="G4299" s="44">
        <v>6.3</v>
      </c>
      <c r="H4299" s="43" t="s">
        <v>231</v>
      </c>
      <c r="I4299" s="40" t="s">
        <v>1300</v>
      </c>
    </row>
    <row r="4300" spans="1:9" x14ac:dyDescent="0.2">
      <c r="A4300" s="40" t="s">
        <v>87</v>
      </c>
      <c r="B4300" s="28">
        <v>7628</v>
      </c>
      <c r="C4300" s="28" t="s">
        <v>35</v>
      </c>
      <c r="D4300" s="28" t="s">
        <v>38</v>
      </c>
      <c r="E4300" s="41">
        <v>46173</v>
      </c>
      <c r="F4300" s="47">
        <v>0.75100694444444449</v>
      </c>
      <c r="G4300" s="44">
        <v>6.3</v>
      </c>
      <c r="H4300" s="43" t="s">
        <v>232</v>
      </c>
      <c r="I4300" s="40" t="s">
        <v>1300</v>
      </c>
    </row>
    <row r="4301" spans="1:9" x14ac:dyDescent="0.2">
      <c r="A4301" s="40" t="s">
        <v>474</v>
      </c>
      <c r="B4301" s="28">
        <v>7629</v>
      </c>
      <c r="C4301" s="28">
        <v>10741532</v>
      </c>
      <c r="D4301" s="28"/>
      <c r="E4301" s="41">
        <v>46167</v>
      </c>
      <c r="F4301" s="47">
        <v>1.800925925925926E-2</v>
      </c>
      <c r="G4301" s="44">
        <v>6.3</v>
      </c>
      <c r="H4301" s="43" t="s">
        <v>228</v>
      </c>
      <c r="I4301" s="40" t="s">
        <v>1300</v>
      </c>
    </row>
    <row r="4302" spans="1:9" x14ac:dyDescent="0.2">
      <c r="A4302" s="40" t="s">
        <v>474</v>
      </c>
      <c r="B4302" s="28">
        <v>7629</v>
      </c>
      <c r="C4302" s="28">
        <v>10741532</v>
      </c>
      <c r="D4302" s="28"/>
      <c r="E4302" s="41">
        <v>46167</v>
      </c>
      <c r="F4302" s="47">
        <v>2.4965277777777777E-2</v>
      </c>
      <c r="G4302" s="44">
        <v>6.3</v>
      </c>
      <c r="H4302" s="43" t="s">
        <v>232</v>
      </c>
      <c r="I4302" s="40" t="s">
        <v>1300</v>
      </c>
    </row>
    <row r="4303" spans="1:9" x14ac:dyDescent="0.2">
      <c r="A4303" s="40" t="s">
        <v>474</v>
      </c>
      <c r="B4303" s="28">
        <v>7629</v>
      </c>
      <c r="C4303" s="28">
        <v>5693857</v>
      </c>
      <c r="D4303" s="28" t="s">
        <v>36</v>
      </c>
      <c r="E4303" s="45">
        <v>46171</v>
      </c>
      <c r="F4303" s="48">
        <v>0.78160879629629632</v>
      </c>
      <c r="G4303" s="44">
        <v>6.3</v>
      </c>
      <c r="H4303" s="43" t="s">
        <v>230</v>
      </c>
      <c r="I4303" s="40" t="s">
        <v>1300</v>
      </c>
    </row>
    <row r="4304" spans="1:9" x14ac:dyDescent="0.2">
      <c r="A4304" s="40" t="s">
        <v>474</v>
      </c>
      <c r="B4304" s="28">
        <v>7629</v>
      </c>
      <c r="C4304" s="28" t="s">
        <v>35</v>
      </c>
      <c r="D4304" s="28" t="s">
        <v>38</v>
      </c>
      <c r="E4304" s="41">
        <v>46171</v>
      </c>
      <c r="F4304" s="47">
        <v>0.82430555555555551</v>
      </c>
      <c r="G4304" s="44">
        <v>6.3</v>
      </c>
      <c r="H4304" s="43" t="s">
        <v>229</v>
      </c>
      <c r="I4304" s="40" t="s">
        <v>1300</v>
      </c>
    </row>
    <row r="4305" spans="1:9" x14ac:dyDescent="0.2">
      <c r="A4305" s="40" t="s">
        <v>185</v>
      </c>
      <c r="B4305" s="28">
        <v>7635</v>
      </c>
      <c r="C4305" s="28" t="s">
        <v>1217</v>
      </c>
      <c r="D4305" s="28"/>
      <c r="E4305" s="41">
        <v>46168</v>
      </c>
      <c r="F4305" s="47">
        <v>0.3112152777777778</v>
      </c>
      <c r="G4305" s="44">
        <v>6.3</v>
      </c>
      <c r="H4305" s="43" t="s">
        <v>227</v>
      </c>
      <c r="I4305" s="40" t="s">
        <v>1300</v>
      </c>
    </row>
    <row r="4306" spans="1:9" x14ac:dyDescent="0.2">
      <c r="A4306" s="40" t="s">
        <v>185</v>
      </c>
      <c r="B4306" s="28">
        <v>7635</v>
      </c>
      <c r="C4306" s="28">
        <v>5688225</v>
      </c>
      <c r="D4306" s="28"/>
      <c r="E4306" s="45">
        <v>46168</v>
      </c>
      <c r="F4306" s="48">
        <v>0.80959490740740736</v>
      </c>
      <c r="G4306" s="44">
        <v>6.3</v>
      </c>
      <c r="H4306" s="43" t="s">
        <v>228</v>
      </c>
      <c r="I4306" s="40" t="s">
        <v>1300</v>
      </c>
    </row>
    <row r="4307" spans="1:9" x14ac:dyDescent="0.2">
      <c r="A4307" s="40" t="s">
        <v>185</v>
      </c>
      <c r="B4307" s="28">
        <v>7635</v>
      </c>
      <c r="C4307" s="28">
        <v>5688225</v>
      </c>
      <c r="D4307" s="28"/>
      <c r="E4307" s="41">
        <v>46168</v>
      </c>
      <c r="F4307" s="47">
        <v>0.82465277777777779</v>
      </c>
      <c r="G4307" s="44">
        <v>6.3</v>
      </c>
      <c r="H4307" s="43" t="s">
        <v>229</v>
      </c>
      <c r="I4307" s="40" t="s">
        <v>1300</v>
      </c>
    </row>
    <row r="4308" spans="1:9" x14ac:dyDescent="0.2">
      <c r="A4308" s="40" t="s">
        <v>185</v>
      </c>
      <c r="B4308" s="28">
        <v>7635</v>
      </c>
      <c r="C4308" s="28">
        <v>10759074</v>
      </c>
      <c r="D4308" s="28"/>
      <c r="E4308" s="41">
        <v>46170</v>
      </c>
      <c r="F4308" s="47">
        <v>0.40570601851851851</v>
      </c>
      <c r="G4308" s="44">
        <v>6.3</v>
      </c>
      <c r="H4308" s="43" t="s">
        <v>226</v>
      </c>
      <c r="I4308" s="40" t="s">
        <v>1300</v>
      </c>
    </row>
    <row r="4309" spans="1:9" x14ac:dyDescent="0.2">
      <c r="A4309" s="40" t="s">
        <v>185</v>
      </c>
      <c r="B4309" s="28">
        <v>7635</v>
      </c>
      <c r="C4309" s="28">
        <v>10759074</v>
      </c>
      <c r="D4309" s="28"/>
      <c r="E4309" s="41">
        <v>46170</v>
      </c>
      <c r="F4309" s="47">
        <v>0.41253472222222221</v>
      </c>
      <c r="G4309" s="44">
        <v>6.3</v>
      </c>
      <c r="H4309" s="43" t="s">
        <v>227</v>
      </c>
      <c r="I4309" s="40" t="s">
        <v>1300</v>
      </c>
    </row>
    <row r="4310" spans="1:9" x14ac:dyDescent="0.2">
      <c r="A4310" s="40" t="s">
        <v>185</v>
      </c>
      <c r="B4310" s="28">
        <v>7635</v>
      </c>
      <c r="C4310" s="28" t="s">
        <v>1218</v>
      </c>
      <c r="D4310" s="28"/>
      <c r="E4310" s="41">
        <v>46170</v>
      </c>
      <c r="F4310" s="47">
        <v>0.94998842592592592</v>
      </c>
      <c r="G4310" s="44">
        <v>6.3</v>
      </c>
      <c r="H4310" s="43" t="s">
        <v>228</v>
      </c>
      <c r="I4310" s="40" t="s">
        <v>1300</v>
      </c>
    </row>
    <row r="4311" spans="1:9" x14ac:dyDescent="0.2">
      <c r="A4311" s="40" t="s">
        <v>185</v>
      </c>
      <c r="B4311" s="28">
        <v>7635</v>
      </c>
      <c r="C4311" s="28" t="s">
        <v>1218</v>
      </c>
      <c r="D4311" s="28"/>
      <c r="E4311" s="41">
        <v>46170</v>
      </c>
      <c r="F4311" s="47">
        <v>0.95699074074074075</v>
      </c>
      <c r="G4311" s="44">
        <v>6.3</v>
      </c>
      <c r="H4311" s="43" t="s">
        <v>229</v>
      </c>
      <c r="I4311" s="40" t="s">
        <v>1300</v>
      </c>
    </row>
    <row r="4312" spans="1:9" x14ac:dyDescent="0.2">
      <c r="A4312" s="40" t="s">
        <v>185</v>
      </c>
      <c r="B4312" s="28">
        <v>7635</v>
      </c>
      <c r="C4312" s="28" t="s">
        <v>1219</v>
      </c>
      <c r="D4312" s="28"/>
      <c r="E4312" s="41">
        <v>46171</v>
      </c>
      <c r="F4312" s="47">
        <v>0.25688657407407406</v>
      </c>
      <c r="G4312" s="42">
        <v>6.3</v>
      </c>
      <c r="H4312" s="40" t="s">
        <v>226</v>
      </c>
      <c r="I4312" s="40" t="s">
        <v>1300</v>
      </c>
    </row>
    <row r="4313" spans="1:9" x14ac:dyDescent="0.2">
      <c r="A4313" s="40" t="s">
        <v>185</v>
      </c>
      <c r="B4313" s="28">
        <v>7635</v>
      </c>
      <c r="C4313" s="28" t="s">
        <v>1219</v>
      </c>
      <c r="D4313" s="28"/>
      <c r="E4313" s="45">
        <v>46171</v>
      </c>
      <c r="F4313" s="48">
        <v>0.26327546296296295</v>
      </c>
      <c r="G4313" s="42">
        <v>6.3</v>
      </c>
      <c r="H4313" s="40" t="s">
        <v>227</v>
      </c>
      <c r="I4313" s="40" t="s">
        <v>1300</v>
      </c>
    </row>
    <row r="4314" spans="1:9" x14ac:dyDescent="0.2">
      <c r="A4314" s="40" t="s">
        <v>185</v>
      </c>
      <c r="B4314" s="28">
        <v>7635</v>
      </c>
      <c r="C4314" s="28" t="s">
        <v>1220</v>
      </c>
      <c r="D4314" s="28"/>
      <c r="E4314" s="41">
        <v>46171</v>
      </c>
      <c r="F4314" s="47">
        <v>0.36866898148148147</v>
      </c>
      <c r="G4314" s="44">
        <v>6.3</v>
      </c>
      <c r="H4314" s="43" t="s">
        <v>228</v>
      </c>
      <c r="I4314" s="40" t="s">
        <v>1300</v>
      </c>
    </row>
    <row r="4315" spans="1:9" x14ac:dyDescent="0.2">
      <c r="A4315" s="40" t="s">
        <v>185</v>
      </c>
      <c r="B4315" s="28">
        <v>7635</v>
      </c>
      <c r="C4315" s="28" t="s">
        <v>1220</v>
      </c>
      <c r="D4315" s="28"/>
      <c r="E4315" s="45">
        <v>46171</v>
      </c>
      <c r="F4315" s="48">
        <v>0.38224537037037037</v>
      </c>
      <c r="G4315" s="44">
        <v>6.3</v>
      </c>
      <c r="H4315" s="43" t="s">
        <v>229</v>
      </c>
      <c r="I4315" s="40" t="s">
        <v>1300</v>
      </c>
    </row>
    <row r="4316" spans="1:9" x14ac:dyDescent="0.2">
      <c r="A4316" s="40" t="s">
        <v>185</v>
      </c>
      <c r="B4316" s="28">
        <v>7635</v>
      </c>
      <c r="C4316" s="28" t="s">
        <v>35</v>
      </c>
      <c r="D4316" s="28" t="s">
        <v>38</v>
      </c>
      <c r="E4316" s="41">
        <v>46171</v>
      </c>
      <c r="F4316" s="47">
        <v>0.43076388888888889</v>
      </c>
      <c r="G4316" s="44">
        <v>6.3</v>
      </c>
      <c r="H4316" s="43" t="s">
        <v>231</v>
      </c>
      <c r="I4316" s="40" t="s">
        <v>1300</v>
      </c>
    </row>
    <row r="4317" spans="1:9" x14ac:dyDescent="0.2">
      <c r="A4317" s="40" t="s">
        <v>185</v>
      </c>
      <c r="B4317" s="28">
        <v>7635</v>
      </c>
      <c r="C4317" s="28" t="s">
        <v>35</v>
      </c>
      <c r="D4317" s="28" t="s">
        <v>38</v>
      </c>
      <c r="E4317" s="41">
        <v>46171</v>
      </c>
      <c r="F4317" s="47">
        <v>0.43885416666666666</v>
      </c>
      <c r="G4317" s="44">
        <v>6.3</v>
      </c>
      <c r="H4317" s="43" t="s">
        <v>227</v>
      </c>
      <c r="I4317" s="40" t="s">
        <v>1300</v>
      </c>
    </row>
    <row r="4318" spans="1:9" x14ac:dyDescent="0.2">
      <c r="A4318" s="40" t="s">
        <v>185</v>
      </c>
      <c r="B4318" s="28">
        <v>7635</v>
      </c>
      <c r="C4318" s="28" t="s">
        <v>1221</v>
      </c>
      <c r="D4318" s="28"/>
      <c r="E4318" s="41">
        <v>46171</v>
      </c>
      <c r="F4318" s="47">
        <v>0.63104166666666661</v>
      </c>
      <c r="G4318" s="44">
        <v>6.3</v>
      </c>
      <c r="H4318" s="43" t="s">
        <v>228</v>
      </c>
      <c r="I4318" s="40" t="s">
        <v>1300</v>
      </c>
    </row>
    <row r="4319" spans="1:9" x14ac:dyDescent="0.2">
      <c r="A4319" s="40" t="s">
        <v>185</v>
      </c>
      <c r="B4319" s="28">
        <v>7635</v>
      </c>
      <c r="C4319" s="28" t="s">
        <v>1221</v>
      </c>
      <c r="D4319" s="28"/>
      <c r="E4319" s="41">
        <v>46171</v>
      </c>
      <c r="F4319" s="47">
        <v>0.63961805555555551</v>
      </c>
      <c r="G4319" s="44">
        <v>6.3</v>
      </c>
      <c r="H4319" s="43" t="s">
        <v>229</v>
      </c>
      <c r="I4319" s="40" t="s">
        <v>1300</v>
      </c>
    </row>
    <row r="4320" spans="1:9" x14ac:dyDescent="0.2">
      <c r="A4320" s="40" t="s">
        <v>185</v>
      </c>
      <c r="B4320" s="28">
        <v>7635</v>
      </c>
      <c r="C4320" s="28">
        <v>5694027</v>
      </c>
      <c r="D4320" s="28"/>
      <c r="E4320" s="41">
        <v>46171</v>
      </c>
      <c r="F4320" s="47">
        <v>0.86780092592592595</v>
      </c>
      <c r="G4320" s="44">
        <v>6.3</v>
      </c>
      <c r="H4320" s="43" t="s">
        <v>228</v>
      </c>
      <c r="I4320" s="40" t="s">
        <v>1300</v>
      </c>
    </row>
    <row r="4321" spans="1:9" x14ac:dyDescent="0.2">
      <c r="A4321" s="40" t="s">
        <v>185</v>
      </c>
      <c r="B4321" s="28">
        <v>7635</v>
      </c>
      <c r="C4321" s="28">
        <v>5694027</v>
      </c>
      <c r="D4321" s="28"/>
      <c r="E4321" s="41">
        <v>46171</v>
      </c>
      <c r="F4321" s="47">
        <v>0.87543981481481481</v>
      </c>
      <c r="G4321" s="44">
        <v>6.3</v>
      </c>
      <c r="H4321" s="43" t="s">
        <v>229</v>
      </c>
      <c r="I4321" s="40" t="s">
        <v>1300</v>
      </c>
    </row>
    <row r="4322" spans="1:9" x14ac:dyDescent="0.2">
      <c r="A4322" s="40" t="s">
        <v>185</v>
      </c>
      <c r="B4322" s="28">
        <v>7635</v>
      </c>
      <c r="C4322" s="28" t="s">
        <v>1222</v>
      </c>
      <c r="D4322" s="28"/>
      <c r="E4322" s="41">
        <v>46172</v>
      </c>
      <c r="F4322" s="47">
        <v>0.40175925925925926</v>
      </c>
      <c r="G4322" s="44">
        <v>6.3</v>
      </c>
      <c r="H4322" s="43" t="s">
        <v>230</v>
      </c>
      <c r="I4322" s="40" t="s">
        <v>1300</v>
      </c>
    </row>
    <row r="4323" spans="1:9" x14ac:dyDescent="0.2">
      <c r="A4323" s="40" t="s">
        <v>185</v>
      </c>
      <c r="B4323" s="28">
        <v>7635</v>
      </c>
      <c r="C4323" s="28" t="s">
        <v>1222</v>
      </c>
      <c r="D4323" s="28"/>
      <c r="E4323" s="41">
        <v>46172</v>
      </c>
      <c r="F4323" s="47">
        <v>0.40744212962962961</v>
      </c>
      <c r="G4323" s="44">
        <v>6.3</v>
      </c>
      <c r="H4323" s="43" t="s">
        <v>227</v>
      </c>
      <c r="I4323" s="40" t="s">
        <v>1300</v>
      </c>
    </row>
    <row r="4324" spans="1:9" x14ac:dyDescent="0.2">
      <c r="A4324" s="40" t="s">
        <v>185</v>
      </c>
      <c r="B4324" s="28">
        <v>7635</v>
      </c>
      <c r="C4324" s="28">
        <v>5694556</v>
      </c>
      <c r="D4324" s="28"/>
      <c r="E4324" s="45">
        <v>46172</v>
      </c>
      <c r="F4324" s="48">
        <v>0.49416666666666664</v>
      </c>
      <c r="G4324" s="44">
        <v>6.3</v>
      </c>
      <c r="H4324" s="43" t="s">
        <v>228</v>
      </c>
      <c r="I4324" s="40" t="s">
        <v>1300</v>
      </c>
    </row>
    <row r="4325" spans="1:9" x14ac:dyDescent="0.2">
      <c r="A4325" s="40" t="s">
        <v>185</v>
      </c>
      <c r="B4325" s="28">
        <v>7635</v>
      </c>
      <c r="C4325" s="28">
        <v>5694556</v>
      </c>
      <c r="D4325" s="28"/>
      <c r="E4325" s="45">
        <v>46172</v>
      </c>
      <c r="F4325" s="48">
        <v>0.5063657407407407</v>
      </c>
      <c r="G4325" s="44">
        <v>6.3</v>
      </c>
      <c r="H4325" s="43" t="s">
        <v>229</v>
      </c>
      <c r="I4325" s="40" t="s">
        <v>1300</v>
      </c>
    </row>
    <row r="4326" spans="1:9" x14ac:dyDescent="0.2">
      <c r="A4326" s="40" t="s">
        <v>185</v>
      </c>
      <c r="B4326" s="28">
        <v>7635</v>
      </c>
      <c r="C4326" s="28" t="s">
        <v>1223</v>
      </c>
      <c r="D4326" s="28"/>
      <c r="E4326" s="41">
        <v>46172</v>
      </c>
      <c r="F4326" s="47">
        <v>0.7978587962962963</v>
      </c>
      <c r="G4326" s="44">
        <v>6.3</v>
      </c>
      <c r="H4326" s="43" t="s">
        <v>228</v>
      </c>
      <c r="I4326" s="40" t="s">
        <v>1300</v>
      </c>
    </row>
    <row r="4327" spans="1:9" x14ac:dyDescent="0.2">
      <c r="A4327" s="40" t="s">
        <v>185</v>
      </c>
      <c r="B4327" s="28">
        <v>7635</v>
      </c>
      <c r="C4327" s="28" t="s">
        <v>1223</v>
      </c>
      <c r="D4327" s="28"/>
      <c r="E4327" s="41">
        <v>46172</v>
      </c>
      <c r="F4327" s="47">
        <v>0.80707175925925922</v>
      </c>
      <c r="G4327" s="44">
        <v>6.3</v>
      </c>
      <c r="H4327" s="43" t="s">
        <v>229</v>
      </c>
      <c r="I4327" s="40" t="s">
        <v>1300</v>
      </c>
    </row>
    <row r="4328" spans="1:9" x14ac:dyDescent="0.2">
      <c r="A4328" s="40" t="s">
        <v>185</v>
      </c>
      <c r="B4328" s="28">
        <v>7635</v>
      </c>
      <c r="C4328" s="28" t="s">
        <v>1224</v>
      </c>
      <c r="D4328" s="28"/>
      <c r="E4328" s="41">
        <v>46172</v>
      </c>
      <c r="F4328" s="47">
        <v>0.93996527777777783</v>
      </c>
      <c r="G4328" s="44">
        <v>6.3</v>
      </c>
      <c r="H4328" s="43" t="s">
        <v>228</v>
      </c>
      <c r="I4328" s="40" t="s">
        <v>1300</v>
      </c>
    </row>
    <row r="4329" spans="1:9" x14ac:dyDescent="0.2">
      <c r="A4329" s="40" t="s">
        <v>185</v>
      </c>
      <c r="B4329" s="28">
        <v>7635</v>
      </c>
      <c r="C4329" s="28" t="s">
        <v>1224</v>
      </c>
      <c r="D4329" s="28"/>
      <c r="E4329" s="41">
        <v>46172</v>
      </c>
      <c r="F4329" s="47">
        <v>0.94601851851851848</v>
      </c>
      <c r="G4329" s="44">
        <v>6.3</v>
      </c>
      <c r="H4329" s="43" t="s">
        <v>232</v>
      </c>
      <c r="I4329" s="40" t="s">
        <v>1300</v>
      </c>
    </row>
    <row r="4330" spans="1:9" x14ac:dyDescent="0.2">
      <c r="A4330" s="40" t="s">
        <v>220</v>
      </c>
      <c r="B4330" s="28">
        <v>9004</v>
      </c>
      <c r="C4330" s="28">
        <v>5687374</v>
      </c>
      <c r="D4330" s="28"/>
      <c r="E4330" s="41">
        <v>46168</v>
      </c>
      <c r="F4330" s="47">
        <v>0.41923611111111109</v>
      </c>
      <c r="G4330" s="44">
        <v>6.3</v>
      </c>
      <c r="H4330" s="43" t="s">
        <v>228</v>
      </c>
      <c r="I4330" s="40" t="s">
        <v>1300</v>
      </c>
    </row>
    <row r="4331" spans="1:9" x14ac:dyDescent="0.2">
      <c r="A4331" s="40" t="s">
        <v>220</v>
      </c>
      <c r="B4331" s="28">
        <v>9004</v>
      </c>
      <c r="C4331" s="28">
        <v>5687374</v>
      </c>
      <c r="D4331" s="28"/>
      <c r="E4331" s="41">
        <v>46168</v>
      </c>
      <c r="F4331" s="47">
        <v>0.43287037037037035</v>
      </c>
      <c r="G4331" s="44">
        <v>6.3</v>
      </c>
      <c r="H4331" s="43" t="s">
        <v>229</v>
      </c>
      <c r="I4331" s="40" t="s">
        <v>1300</v>
      </c>
    </row>
    <row r="4332" spans="1:9" x14ac:dyDescent="0.2">
      <c r="A4332" s="40" t="s">
        <v>220</v>
      </c>
      <c r="B4332" s="28">
        <v>9004</v>
      </c>
      <c r="C4332" s="28">
        <v>5687762</v>
      </c>
      <c r="D4332" s="28" t="s">
        <v>37</v>
      </c>
      <c r="E4332" s="45">
        <v>46168</v>
      </c>
      <c r="F4332" s="48">
        <v>0.57417824074074075</v>
      </c>
      <c r="G4332" s="44">
        <v>6.3</v>
      </c>
      <c r="H4332" s="43" t="s">
        <v>228</v>
      </c>
      <c r="I4332" s="40" t="s">
        <v>1300</v>
      </c>
    </row>
    <row r="4333" spans="1:9" x14ac:dyDescent="0.2">
      <c r="A4333" s="40" t="s">
        <v>220</v>
      </c>
      <c r="B4333" s="28">
        <v>9004</v>
      </c>
      <c r="C4333" s="28">
        <v>5687762</v>
      </c>
      <c r="D4333" s="28" t="s">
        <v>37</v>
      </c>
      <c r="E4333" s="41">
        <v>46168</v>
      </c>
      <c r="F4333" s="47">
        <v>0.5838888888888889</v>
      </c>
      <c r="G4333" s="42">
        <v>6.3</v>
      </c>
      <c r="H4333" s="40" t="s">
        <v>229</v>
      </c>
      <c r="I4333" s="40" t="s">
        <v>1300</v>
      </c>
    </row>
    <row r="4334" spans="1:9" x14ac:dyDescent="0.2">
      <c r="A4334" s="40" t="s">
        <v>220</v>
      </c>
      <c r="B4334" s="28">
        <v>9004</v>
      </c>
      <c r="C4334" s="28">
        <v>5687971</v>
      </c>
      <c r="D4334" s="28"/>
      <c r="E4334" s="41">
        <v>46168</v>
      </c>
      <c r="F4334" s="47">
        <v>0.67047453703703708</v>
      </c>
      <c r="G4334" s="42">
        <v>6.3</v>
      </c>
      <c r="H4334" s="40" t="s">
        <v>230</v>
      </c>
      <c r="I4334" s="40" t="s">
        <v>1300</v>
      </c>
    </row>
    <row r="4335" spans="1:9" x14ac:dyDescent="0.2">
      <c r="A4335" s="40" t="s">
        <v>220</v>
      </c>
      <c r="B4335" s="28">
        <v>9004</v>
      </c>
      <c r="C4335" s="28">
        <v>5687971</v>
      </c>
      <c r="D4335" s="28"/>
      <c r="E4335" s="41">
        <v>46168</v>
      </c>
      <c r="F4335" s="47">
        <v>0.67731481481481481</v>
      </c>
      <c r="G4335" s="42">
        <v>6.3</v>
      </c>
      <c r="H4335" s="40" t="s">
        <v>227</v>
      </c>
      <c r="I4335" s="40" t="s">
        <v>1300</v>
      </c>
    </row>
    <row r="4336" spans="1:9" x14ac:dyDescent="0.2">
      <c r="A4336" s="40" t="s">
        <v>220</v>
      </c>
      <c r="B4336" s="28">
        <v>9004</v>
      </c>
      <c r="C4336" s="28">
        <v>5694408</v>
      </c>
      <c r="D4336" s="28"/>
      <c r="E4336" s="41">
        <v>46172</v>
      </c>
      <c r="F4336" s="47">
        <v>0.41224537037037035</v>
      </c>
      <c r="G4336" s="42">
        <v>6.3</v>
      </c>
      <c r="H4336" s="40" t="s">
        <v>228</v>
      </c>
      <c r="I4336" s="40" t="s">
        <v>1300</v>
      </c>
    </row>
    <row r="4337" spans="1:9" x14ac:dyDescent="0.2">
      <c r="A4337" s="40" t="s">
        <v>220</v>
      </c>
      <c r="B4337" s="28">
        <v>9004</v>
      </c>
      <c r="C4337" s="28">
        <v>5694408</v>
      </c>
      <c r="D4337" s="28"/>
      <c r="E4337" s="41">
        <v>46172</v>
      </c>
      <c r="F4337" s="47">
        <v>0.42201388888888891</v>
      </c>
      <c r="G4337" s="44">
        <v>6.3</v>
      </c>
      <c r="H4337" s="43" t="s">
        <v>229</v>
      </c>
      <c r="I4337" s="40" t="s">
        <v>1300</v>
      </c>
    </row>
    <row r="4338" spans="1:9" x14ac:dyDescent="0.2">
      <c r="A4338" s="40" t="s">
        <v>220</v>
      </c>
      <c r="B4338" s="28">
        <v>9004</v>
      </c>
      <c r="C4338" s="28" t="s">
        <v>35</v>
      </c>
      <c r="D4338" s="28" t="s">
        <v>38</v>
      </c>
      <c r="E4338" s="41">
        <v>46172</v>
      </c>
      <c r="F4338" s="47">
        <v>0.44540509259259259</v>
      </c>
      <c r="G4338" s="44">
        <v>6.3</v>
      </c>
      <c r="H4338" s="43" t="s">
        <v>226</v>
      </c>
      <c r="I4338" s="40" t="s">
        <v>1300</v>
      </c>
    </row>
    <row r="4339" spans="1:9" x14ac:dyDescent="0.2">
      <c r="A4339" s="40" t="s">
        <v>220</v>
      </c>
      <c r="B4339" s="28">
        <v>9004</v>
      </c>
      <c r="C4339" s="28" t="s">
        <v>35</v>
      </c>
      <c r="D4339" s="28" t="s">
        <v>38</v>
      </c>
      <c r="E4339" s="41">
        <v>46172</v>
      </c>
      <c r="F4339" s="47">
        <v>0.45144675925925926</v>
      </c>
      <c r="G4339" s="44">
        <v>6.3</v>
      </c>
      <c r="H4339" s="43" t="s">
        <v>227</v>
      </c>
      <c r="I4339" s="40" t="s">
        <v>1300</v>
      </c>
    </row>
    <row r="4340" spans="1:9" x14ac:dyDescent="0.2">
      <c r="A4340" s="40" t="s">
        <v>88</v>
      </c>
      <c r="B4340" s="28">
        <v>9017</v>
      </c>
      <c r="C4340" s="28" t="s">
        <v>1225</v>
      </c>
      <c r="D4340" s="28"/>
      <c r="E4340" s="41">
        <v>46167</v>
      </c>
      <c r="F4340" s="47">
        <v>0.70413194444444449</v>
      </c>
      <c r="G4340" s="44">
        <v>6.3</v>
      </c>
      <c r="H4340" s="43" t="s">
        <v>228</v>
      </c>
      <c r="I4340" s="40" t="s">
        <v>1300</v>
      </c>
    </row>
    <row r="4341" spans="1:9" x14ac:dyDescent="0.2">
      <c r="A4341" s="40" t="s">
        <v>88</v>
      </c>
      <c r="B4341" s="28">
        <v>9017</v>
      </c>
      <c r="C4341" s="28" t="s">
        <v>1225</v>
      </c>
      <c r="D4341" s="28"/>
      <c r="E4341" s="41">
        <v>46167</v>
      </c>
      <c r="F4341" s="47">
        <v>0.71876157407407404</v>
      </c>
      <c r="G4341" s="44">
        <v>6.3</v>
      </c>
      <c r="H4341" s="43" t="s">
        <v>229</v>
      </c>
      <c r="I4341" s="40" t="s">
        <v>1300</v>
      </c>
    </row>
    <row r="4342" spans="1:9" x14ac:dyDescent="0.2">
      <c r="A4342" s="40" t="s">
        <v>88</v>
      </c>
      <c r="B4342" s="28">
        <v>9017</v>
      </c>
      <c r="C4342" s="28" t="s">
        <v>35</v>
      </c>
      <c r="D4342" s="28" t="s">
        <v>38</v>
      </c>
      <c r="E4342" s="41">
        <v>46167</v>
      </c>
      <c r="F4342" s="47">
        <v>0.74237268518518518</v>
      </c>
      <c r="G4342" s="44">
        <v>6.3</v>
      </c>
      <c r="H4342" s="43" t="s">
        <v>230</v>
      </c>
      <c r="I4342" s="40" t="s">
        <v>1300</v>
      </c>
    </row>
    <row r="4343" spans="1:9" x14ac:dyDescent="0.2">
      <c r="A4343" s="40" t="s">
        <v>88</v>
      </c>
      <c r="B4343" s="28">
        <v>9017</v>
      </c>
      <c r="C4343" s="28" t="s">
        <v>35</v>
      </c>
      <c r="D4343" s="28" t="s">
        <v>38</v>
      </c>
      <c r="E4343" s="41">
        <v>46167</v>
      </c>
      <c r="F4343" s="47">
        <v>0.75563657407407403</v>
      </c>
      <c r="G4343" s="44">
        <v>6.3</v>
      </c>
      <c r="H4343" s="43" t="s">
        <v>227</v>
      </c>
      <c r="I4343" s="40" t="s">
        <v>1300</v>
      </c>
    </row>
    <row r="4344" spans="1:9" x14ac:dyDescent="0.2">
      <c r="A4344" s="40" t="s">
        <v>88</v>
      </c>
      <c r="B4344" s="28">
        <v>9017</v>
      </c>
      <c r="C4344" s="28" t="s">
        <v>1226</v>
      </c>
      <c r="D4344" s="28"/>
      <c r="E4344" s="45">
        <v>46167</v>
      </c>
      <c r="F4344" s="48">
        <v>0.8185069444444445</v>
      </c>
      <c r="G4344" s="44">
        <v>6.3</v>
      </c>
      <c r="H4344" s="43" t="s">
        <v>228</v>
      </c>
      <c r="I4344" s="40" t="s">
        <v>1300</v>
      </c>
    </row>
    <row r="4345" spans="1:9" x14ac:dyDescent="0.2">
      <c r="A4345" s="40" t="s">
        <v>88</v>
      </c>
      <c r="B4345" s="28">
        <v>9017</v>
      </c>
      <c r="C4345" s="28" t="s">
        <v>1226</v>
      </c>
      <c r="D4345" s="28"/>
      <c r="E4345" s="41">
        <v>46167</v>
      </c>
      <c r="F4345" s="47">
        <v>0.82751157407407405</v>
      </c>
      <c r="G4345" s="42">
        <v>6.3</v>
      </c>
      <c r="H4345" s="40" t="s">
        <v>229</v>
      </c>
      <c r="I4345" s="40" t="s">
        <v>1300</v>
      </c>
    </row>
    <row r="4346" spans="1:9" x14ac:dyDescent="0.2">
      <c r="A4346" s="40" t="s">
        <v>88</v>
      </c>
      <c r="B4346" s="28">
        <v>9017</v>
      </c>
      <c r="C4346" s="28" t="s">
        <v>35</v>
      </c>
      <c r="D4346" s="28" t="s">
        <v>38</v>
      </c>
      <c r="E4346" s="41">
        <v>46167</v>
      </c>
      <c r="F4346" s="47">
        <v>0.85332175925925924</v>
      </c>
      <c r="G4346" s="42">
        <v>6.3</v>
      </c>
      <c r="H4346" s="40" t="s">
        <v>230</v>
      </c>
      <c r="I4346" s="40" t="s">
        <v>1300</v>
      </c>
    </row>
    <row r="4347" spans="1:9" x14ac:dyDescent="0.2">
      <c r="A4347" s="40" t="s">
        <v>88</v>
      </c>
      <c r="B4347" s="28">
        <v>9017</v>
      </c>
      <c r="C4347" s="28">
        <v>5687308</v>
      </c>
      <c r="D4347" s="28"/>
      <c r="E4347" s="41">
        <v>46168</v>
      </c>
      <c r="F4347" s="47">
        <v>0.4259027777777778</v>
      </c>
      <c r="G4347" s="44">
        <v>6.3</v>
      </c>
      <c r="H4347" s="43" t="s">
        <v>228</v>
      </c>
      <c r="I4347" s="40" t="s">
        <v>1300</v>
      </c>
    </row>
    <row r="4348" spans="1:9" x14ac:dyDescent="0.2">
      <c r="A4348" s="40" t="s">
        <v>88</v>
      </c>
      <c r="B4348" s="28">
        <v>9017</v>
      </c>
      <c r="C4348" s="28">
        <v>5687308</v>
      </c>
      <c r="D4348" s="28"/>
      <c r="E4348" s="41">
        <v>46168</v>
      </c>
      <c r="F4348" s="47">
        <v>0.43802083333333336</v>
      </c>
      <c r="G4348" s="44">
        <v>6.3</v>
      </c>
      <c r="H4348" s="43" t="s">
        <v>229</v>
      </c>
      <c r="I4348" s="40" t="s">
        <v>1300</v>
      </c>
    </row>
    <row r="4349" spans="1:9" x14ac:dyDescent="0.2">
      <c r="A4349" s="40" t="s">
        <v>88</v>
      </c>
      <c r="B4349" s="28">
        <v>9017</v>
      </c>
      <c r="C4349" s="28" t="s">
        <v>35</v>
      </c>
      <c r="D4349" s="28" t="s">
        <v>38</v>
      </c>
      <c r="E4349" s="41">
        <v>46168</v>
      </c>
      <c r="F4349" s="47">
        <v>0.45699074074074075</v>
      </c>
      <c r="G4349" s="44">
        <v>6.3</v>
      </c>
      <c r="H4349" s="43" t="s">
        <v>226</v>
      </c>
      <c r="I4349" s="40" t="s">
        <v>1300</v>
      </c>
    </row>
    <row r="4350" spans="1:9" x14ac:dyDescent="0.2">
      <c r="A4350" s="40" t="s">
        <v>88</v>
      </c>
      <c r="B4350" s="28">
        <v>9017</v>
      </c>
      <c r="C4350" s="28">
        <v>5687628</v>
      </c>
      <c r="D4350" s="28"/>
      <c r="E4350" s="41">
        <v>46168</v>
      </c>
      <c r="F4350" s="47">
        <v>0.55895833333333333</v>
      </c>
      <c r="G4350" s="44">
        <v>6.3</v>
      </c>
      <c r="H4350" s="43" t="s">
        <v>228</v>
      </c>
      <c r="I4350" s="40" t="s">
        <v>1300</v>
      </c>
    </row>
    <row r="4351" spans="1:9" x14ac:dyDescent="0.2">
      <c r="A4351" s="40" t="s">
        <v>88</v>
      </c>
      <c r="B4351" s="28">
        <v>9017</v>
      </c>
      <c r="C4351" s="28">
        <v>5687628</v>
      </c>
      <c r="D4351" s="28"/>
      <c r="E4351" s="41">
        <v>46168</v>
      </c>
      <c r="F4351" s="47">
        <v>0.56821759259259264</v>
      </c>
      <c r="G4351" s="44">
        <v>6.3</v>
      </c>
      <c r="H4351" s="43" t="s">
        <v>229</v>
      </c>
      <c r="I4351" s="40" t="s">
        <v>1300</v>
      </c>
    </row>
    <row r="4352" spans="1:9" x14ac:dyDescent="0.2">
      <c r="A4352" s="40" t="s">
        <v>88</v>
      </c>
      <c r="B4352" s="28">
        <v>9017</v>
      </c>
      <c r="C4352" s="28" t="s">
        <v>35</v>
      </c>
      <c r="D4352" s="28" t="s">
        <v>38</v>
      </c>
      <c r="E4352" s="41">
        <v>46168</v>
      </c>
      <c r="F4352" s="47">
        <v>0.59001157407407412</v>
      </c>
      <c r="G4352" s="42">
        <v>6.3</v>
      </c>
      <c r="H4352" s="40" t="s">
        <v>226</v>
      </c>
      <c r="I4352" s="40" t="s">
        <v>1300</v>
      </c>
    </row>
    <row r="4353" spans="1:9" x14ac:dyDescent="0.2">
      <c r="A4353" s="40" t="s">
        <v>88</v>
      </c>
      <c r="B4353" s="28">
        <v>9017</v>
      </c>
      <c r="C4353" s="28" t="s">
        <v>1227</v>
      </c>
      <c r="D4353" s="28"/>
      <c r="E4353" s="41">
        <v>46168</v>
      </c>
      <c r="F4353" s="47">
        <v>0.64836805555555554</v>
      </c>
      <c r="G4353" s="42">
        <v>6.3</v>
      </c>
      <c r="H4353" s="40" t="s">
        <v>228</v>
      </c>
      <c r="I4353" s="40" t="s">
        <v>1300</v>
      </c>
    </row>
    <row r="4354" spans="1:9" x14ac:dyDescent="0.2">
      <c r="A4354" s="40" t="s">
        <v>88</v>
      </c>
      <c r="B4354" s="28">
        <v>9017</v>
      </c>
      <c r="C4354" s="28" t="s">
        <v>1227</v>
      </c>
      <c r="D4354" s="28"/>
      <c r="E4354" s="41">
        <v>46168</v>
      </c>
      <c r="F4354" s="47">
        <v>0.65905092592592596</v>
      </c>
      <c r="G4354" s="42">
        <v>6.3</v>
      </c>
      <c r="H4354" s="40" t="s">
        <v>232</v>
      </c>
      <c r="I4354" s="40" t="s">
        <v>1300</v>
      </c>
    </row>
    <row r="4355" spans="1:9" x14ac:dyDescent="0.2">
      <c r="A4355" s="40" t="s">
        <v>88</v>
      </c>
      <c r="B4355" s="28">
        <v>9017</v>
      </c>
      <c r="C4355" s="28" t="s">
        <v>1228</v>
      </c>
      <c r="D4355" s="28"/>
      <c r="E4355" s="41">
        <v>46169</v>
      </c>
      <c r="F4355" s="47">
        <v>3.6574074074074074E-3</v>
      </c>
      <c r="G4355" s="44">
        <v>6.3</v>
      </c>
      <c r="H4355" s="43" t="s">
        <v>228</v>
      </c>
      <c r="I4355" s="40" t="s">
        <v>1300</v>
      </c>
    </row>
    <row r="4356" spans="1:9" x14ac:dyDescent="0.2">
      <c r="A4356" s="40" t="s">
        <v>88</v>
      </c>
      <c r="B4356" s="28">
        <v>9017</v>
      </c>
      <c r="C4356" s="28">
        <v>5689164</v>
      </c>
      <c r="D4356" s="28"/>
      <c r="E4356" s="45">
        <v>46169</v>
      </c>
      <c r="F4356" s="48">
        <v>0.55423611111111115</v>
      </c>
      <c r="G4356" s="44">
        <v>6.3</v>
      </c>
      <c r="H4356" s="43" t="s">
        <v>228</v>
      </c>
      <c r="I4356" s="40" t="s">
        <v>1300</v>
      </c>
    </row>
    <row r="4357" spans="1:9" x14ac:dyDescent="0.2">
      <c r="A4357" s="40" t="s">
        <v>88</v>
      </c>
      <c r="B4357" s="28">
        <v>9017</v>
      </c>
      <c r="C4357" s="28">
        <v>5689642</v>
      </c>
      <c r="D4357" s="28"/>
      <c r="E4357" s="41">
        <v>46169</v>
      </c>
      <c r="F4357" s="47">
        <v>0.64658564814814812</v>
      </c>
      <c r="G4357" s="44">
        <v>6.3</v>
      </c>
      <c r="H4357" s="43" t="s">
        <v>228</v>
      </c>
      <c r="I4357" s="40" t="s">
        <v>1300</v>
      </c>
    </row>
    <row r="4358" spans="1:9" x14ac:dyDescent="0.2">
      <c r="A4358" s="40" t="s">
        <v>88</v>
      </c>
      <c r="B4358" s="28">
        <v>9017</v>
      </c>
      <c r="C4358" s="28">
        <v>5689642</v>
      </c>
      <c r="D4358" s="28"/>
      <c r="E4358" s="41">
        <v>46169</v>
      </c>
      <c r="F4358" s="47">
        <v>0.65930555555555559</v>
      </c>
      <c r="G4358" s="44">
        <v>6.3</v>
      </c>
      <c r="H4358" s="43" t="s">
        <v>229</v>
      </c>
      <c r="I4358" s="40" t="s">
        <v>1300</v>
      </c>
    </row>
    <row r="4359" spans="1:9" x14ac:dyDescent="0.2">
      <c r="A4359" s="40" t="s">
        <v>88</v>
      </c>
      <c r="B4359" s="28">
        <v>9017</v>
      </c>
      <c r="C4359" s="28">
        <v>5689767</v>
      </c>
      <c r="D4359" s="28"/>
      <c r="E4359" s="45">
        <v>46169</v>
      </c>
      <c r="F4359" s="48">
        <v>0.72704861111111108</v>
      </c>
      <c r="G4359" s="44">
        <v>6.3</v>
      </c>
      <c r="H4359" s="43" t="s">
        <v>230</v>
      </c>
      <c r="I4359" s="40" t="s">
        <v>1300</v>
      </c>
    </row>
    <row r="4360" spans="1:9" x14ac:dyDescent="0.2">
      <c r="A4360" s="40" t="s">
        <v>88</v>
      </c>
      <c r="B4360" s="28">
        <v>9017</v>
      </c>
      <c r="C4360" s="28">
        <v>5689767</v>
      </c>
      <c r="D4360" s="28"/>
      <c r="E4360" s="41">
        <v>46169</v>
      </c>
      <c r="F4360" s="47">
        <v>0.74173611111111115</v>
      </c>
      <c r="G4360" s="44">
        <v>6.3</v>
      </c>
      <c r="H4360" s="43" t="s">
        <v>227</v>
      </c>
      <c r="I4360" s="40" t="s">
        <v>1300</v>
      </c>
    </row>
    <row r="4361" spans="1:9" x14ac:dyDescent="0.2">
      <c r="A4361" s="40" t="s">
        <v>88</v>
      </c>
      <c r="B4361" s="28">
        <v>9017</v>
      </c>
      <c r="C4361" s="28">
        <v>5686685</v>
      </c>
      <c r="D4361" s="28"/>
      <c r="E4361" s="41">
        <v>46169</v>
      </c>
      <c r="F4361" s="47">
        <v>0.89284722222222224</v>
      </c>
      <c r="G4361" s="44">
        <v>6.3</v>
      </c>
      <c r="H4361" s="43" t="s">
        <v>228</v>
      </c>
      <c r="I4361" s="40" t="s">
        <v>1300</v>
      </c>
    </row>
    <row r="4362" spans="1:9" x14ac:dyDescent="0.2">
      <c r="A4362" s="40" t="s">
        <v>88</v>
      </c>
      <c r="B4362" s="28">
        <v>9017</v>
      </c>
      <c r="C4362" s="28" t="s">
        <v>35</v>
      </c>
      <c r="D4362" s="28" t="s">
        <v>38</v>
      </c>
      <c r="E4362" s="45">
        <v>46169</v>
      </c>
      <c r="F4362" s="48">
        <v>0.91539351851851847</v>
      </c>
      <c r="G4362" s="44">
        <v>6.3</v>
      </c>
      <c r="H4362" s="43" t="s">
        <v>230</v>
      </c>
      <c r="I4362" s="40" t="s">
        <v>1300</v>
      </c>
    </row>
    <row r="4363" spans="1:9" x14ac:dyDescent="0.2">
      <c r="A4363" s="40" t="s">
        <v>88</v>
      </c>
      <c r="B4363" s="28">
        <v>9017</v>
      </c>
      <c r="C4363" s="28" t="s">
        <v>1229</v>
      </c>
      <c r="D4363" s="28"/>
      <c r="E4363" s="41">
        <v>46171</v>
      </c>
      <c r="F4363" s="47">
        <v>0.57730324074074069</v>
      </c>
      <c r="G4363" s="44">
        <v>6.3</v>
      </c>
      <c r="H4363" s="43" t="s">
        <v>228</v>
      </c>
      <c r="I4363" s="40" t="s">
        <v>1300</v>
      </c>
    </row>
    <row r="4364" spans="1:9" x14ac:dyDescent="0.2">
      <c r="A4364" s="40" t="s">
        <v>137</v>
      </c>
      <c r="B4364" s="28">
        <v>9035</v>
      </c>
      <c r="C4364" s="28" t="s">
        <v>35</v>
      </c>
      <c r="D4364" s="28" t="s">
        <v>38</v>
      </c>
      <c r="E4364" s="41">
        <v>46170</v>
      </c>
      <c r="F4364" s="47">
        <v>0.81414351851851852</v>
      </c>
      <c r="G4364" s="44">
        <v>6.3</v>
      </c>
      <c r="H4364" s="43" t="s">
        <v>230</v>
      </c>
      <c r="I4364" s="40" t="s">
        <v>1300</v>
      </c>
    </row>
    <row r="4365" spans="1:9" x14ac:dyDescent="0.2">
      <c r="A4365" s="40" t="s">
        <v>137</v>
      </c>
      <c r="B4365" s="28">
        <v>9035</v>
      </c>
      <c r="C4365" s="28" t="s">
        <v>35</v>
      </c>
      <c r="D4365" s="28" t="s">
        <v>38</v>
      </c>
      <c r="E4365" s="41">
        <v>46171</v>
      </c>
      <c r="F4365" s="47">
        <v>0.29510416666666667</v>
      </c>
      <c r="G4365" s="44">
        <v>6.3</v>
      </c>
      <c r="H4365" s="43" t="s">
        <v>227</v>
      </c>
      <c r="I4365" s="40" t="s">
        <v>1300</v>
      </c>
    </row>
    <row r="4366" spans="1:9" x14ac:dyDescent="0.2">
      <c r="A4366" s="40" t="s">
        <v>137</v>
      </c>
      <c r="B4366" s="28">
        <v>9035</v>
      </c>
      <c r="C4366" s="28">
        <v>5691248</v>
      </c>
      <c r="D4366" s="28"/>
      <c r="E4366" s="45">
        <v>46172</v>
      </c>
      <c r="F4366" s="48">
        <v>0.18129629629629629</v>
      </c>
      <c r="G4366" s="44">
        <v>6.3</v>
      </c>
      <c r="H4366" s="43" t="s">
        <v>230</v>
      </c>
      <c r="I4366" s="40" t="s">
        <v>1300</v>
      </c>
    </row>
    <row r="4367" spans="1:9" x14ac:dyDescent="0.2">
      <c r="A4367" s="40" t="s">
        <v>137</v>
      </c>
      <c r="B4367" s="28">
        <v>9035</v>
      </c>
      <c r="C4367" s="28">
        <v>5691248</v>
      </c>
      <c r="D4367" s="28"/>
      <c r="E4367" s="41">
        <v>46172</v>
      </c>
      <c r="F4367" s="47">
        <v>0.1864699074074074</v>
      </c>
      <c r="G4367" s="44">
        <v>6.3</v>
      </c>
      <c r="H4367" s="43" t="s">
        <v>227</v>
      </c>
      <c r="I4367" s="40" t="s">
        <v>1300</v>
      </c>
    </row>
    <row r="4368" spans="1:9" x14ac:dyDescent="0.2">
      <c r="A4368" s="40" t="s">
        <v>137</v>
      </c>
      <c r="B4368" s="28">
        <v>9035</v>
      </c>
      <c r="C4368" s="28" t="s">
        <v>1230</v>
      </c>
      <c r="D4368" s="28"/>
      <c r="E4368" s="41">
        <v>46172</v>
      </c>
      <c r="F4368" s="47">
        <v>0.33450231481481479</v>
      </c>
      <c r="G4368" s="44">
        <v>6.3</v>
      </c>
      <c r="H4368" s="43" t="s">
        <v>228</v>
      </c>
      <c r="I4368" s="40" t="s">
        <v>1300</v>
      </c>
    </row>
    <row r="4369" spans="1:9" x14ac:dyDescent="0.2">
      <c r="A4369" s="40" t="s">
        <v>137</v>
      </c>
      <c r="B4369" s="28">
        <v>9035</v>
      </c>
      <c r="C4369" s="28" t="s">
        <v>1230</v>
      </c>
      <c r="D4369" s="28"/>
      <c r="E4369" s="41">
        <v>46172</v>
      </c>
      <c r="F4369" s="47">
        <v>0.34232638888888889</v>
      </c>
      <c r="G4369" s="44">
        <v>6.3</v>
      </c>
      <c r="H4369" s="43" t="s">
        <v>229</v>
      </c>
      <c r="I4369" s="40" t="s">
        <v>1300</v>
      </c>
    </row>
    <row r="4370" spans="1:9" x14ac:dyDescent="0.2">
      <c r="A4370" s="40" t="s">
        <v>138</v>
      </c>
      <c r="B4370" s="28">
        <v>9063</v>
      </c>
      <c r="C4370" s="28">
        <v>5687361</v>
      </c>
      <c r="D4370" s="28"/>
      <c r="E4370" s="41">
        <v>46168</v>
      </c>
      <c r="F4370" s="47">
        <v>0.36754629629629632</v>
      </c>
      <c r="G4370" s="44">
        <v>6.3</v>
      </c>
      <c r="H4370" s="43" t="s">
        <v>227</v>
      </c>
      <c r="I4370" s="40" t="s">
        <v>1300</v>
      </c>
    </row>
    <row r="4371" spans="1:9" x14ac:dyDescent="0.2">
      <c r="A4371" s="40" t="s">
        <v>138</v>
      </c>
      <c r="B4371" s="28">
        <v>9063</v>
      </c>
      <c r="C4371" s="28">
        <v>5689207</v>
      </c>
      <c r="D4371" s="28"/>
      <c r="E4371" s="41">
        <v>46169</v>
      </c>
      <c r="F4371" s="47">
        <v>0.38300925925925927</v>
      </c>
      <c r="G4371" s="42">
        <v>6.3</v>
      </c>
      <c r="H4371" s="40" t="s">
        <v>228</v>
      </c>
      <c r="I4371" s="40" t="s">
        <v>1300</v>
      </c>
    </row>
    <row r="4372" spans="1:9" x14ac:dyDescent="0.2">
      <c r="A4372" s="40" t="s">
        <v>138</v>
      </c>
      <c r="B4372" s="28">
        <v>9063</v>
      </c>
      <c r="C4372" s="28">
        <v>5689207</v>
      </c>
      <c r="D4372" s="28"/>
      <c r="E4372" s="41">
        <v>46169</v>
      </c>
      <c r="F4372" s="47">
        <v>0.3900925925925926</v>
      </c>
      <c r="G4372" s="42">
        <v>6.3</v>
      </c>
      <c r="H4372" s="40" t="s">
        <v>233</v>
      </c>
      <c r="I4372" s="40" t="s">
        <v>1300</v>
      </c>
    </row>
    <row r="4373" spans="1:9" x14ac:dyDescent="0.2">
      <c r="A4373" s="40" t="s">
        <v>138</v>
      </c>
      <c r="B4373" s="28">
        <v>9063</v>
      </c>
      <c r="C4373" s="28" t="s">
        <v>35</v>
      </c>
      <c r="D4373" s="28" t="s">
        <v>38</v>
      </c>
      <c r="E4373" s="41">
        <v>46169</v>
      </c>
      <c r="F4373" s="47">
        <v>0.45170138888888889</v>
      </c>
      <c r="G4373" s="42">
        <v>6.3</v>
      </c>
      <c r="H4373" s="40" t="s">
        <v>227</v>
      </c>
      <c r="I4373" s="40" t="s">
        <v>1300</v>
      </c>
    </row>
    <row r="4374" spans="1:9" x14ac:dyDescent="0.2">
      <c r="A4374" s="40" t="s">
        <v>1231</v>
      </c>
      <c r="B4374" s="28">
        <v>9084</v>
      </c>
      <c r="C4374" s="28" t="s">
        <v>35</v>
      </c>
      <c r="D4374" s="28" t="s">
        <v>38</v>
      </c>
      <c r="E4374" s="45">
        <v>46173</v>
      </c>
      <c r="F4374" s="48">
        <v>0.27589120370370368</v>
      </c>
      <c r="G4374" s="42">
        <v>6.3</v>
      </c>
      <c r="H4374" s="40" t="s">
        <v>229</v>
      </c>
      <c r="I4374" s="40" t="s">
        <v>1300</v>
      </c>
    </row>
    <row r="4375" spans="1:9" x14ac:dyDescent="0.2">
      <c r="A4375" s="40" t="s">
        <v>215</v>
      </c>
      <c r="B4375" s="28">
        <v>9099</v>
      </c>
      <c r="C4375" s="28" t="s">
        <v>35</v>
      </c>
      <c r="D4375" s="28" t="s">
        <v>38</v>
      </c>
      <c r="E4375" s="45">
        <v>46168</v>
      </c>
      <c r="F4375" s="48">
        <v>0.21166666666666667</v>
      </c>
      <c r="G4375" s="44">
        <v>6.3</v>
      </c>
      <c r="H4375" s="43" t="s">
        <v>228</v>
      </c>
      <c r="I4375" s="40" t="s">
        <v>1300</v>
      </c>
    </row>
    <row r="4376" spans="1:9" x14ac:dyDescent="0.2">
      <c r="A4376" s="40" t="s">
        <v>215</v>
      </c>
      <c r="B4376" s="28">
        <v>9099</v>
      </c>
      <c r="C4376" s="28">
        <v>10744250</v>
      </c>
      <c r="D4376" s="28"/>
      <c r="E4376" s="45">
        <v>46168</v>
      </c>
      <c r="F4376" s="48">
        <v>0.25944444444444442</v>
      </c>
      <c r="G4376" s="44">
        <v>6.3</v>
      </c>
      <c r="H4376" s="43" t="s">
        <v>226</v>
      </c>
      <c r="I4376" s="40" t="s">
        <v>1300</v>
      </c>
    </row>
    <row r="4377" spans="1:9" x14ac:dyDescent="0.2">
      <c r="A4377" s="40" t="s">
        <v>215</v>
      </c>
      <c r="B4377" s="28">
        <v>9099</v>
      </c>
      <c r="C4377" s="28">
        <v>10744250</v>
      </c>
      <c r="D4377" s="28"/>
      <c r="E4377" s="41">
        <v>46168</v>
      </c>
      <c r="F4377" s="47">
        <v>0.26530092592592591</v>
      </c>
      <c r="G4377" s="44">
        <v>6.3</v>
      </c>
      <c r="H4377" s="43" t="s">
        <v>227</v>
      </c>
      <c r="I4377" s="40" t="s">
        <v>1300</v>
      </c>
    </row>
    <row r="4378" spans="1:9" x14ac:dyDescent="0.2">
      <c r="A4378" s="40" t="s">
        <v>215</v>
      </c>
      <c r="B4378" s="28">
        <v>9099</v>
      </c>
      <c r="C4378" s="28">
        <v>10772554</v>
      </c>
      <c r="D4378" s="28" t="s">
        <v>36</v>
      </c>
      <c r="E4378" s="41">
        <v>46172</v>
      </c>
      <c r="F4378" s="47">
        <v>0.83091435185185181</v>
      </c>
      <c r="G4378" s="44">
        <v>6.3</v>
      </c>
      <c r="H4378" s="43" t="s">
        <v>228</v>
      </c>
      <c r="I4378" s="40" t="s">
        <v>1300</v>
      </c>
    </row>
    <row r="4379" spans="1:9" x14ac:dyDescent="0.2">
      <c r="A4379" s="40" t="s">
        <v>215</v>
      </c>
      <c r="B4379" s="28">
        <v>9099</v>
      </c>
      <c r="C4379" s="28" t="s">
        <v>1232</v>
      </c>
      <c r="D4379" s="28"/>
      <c r="E4379" s="41">
        <v>46172</v>
      </c>
      <c r="F4379" s="47">
        <v>0.95164351851851847</v>
      </c>
      <c r="G4379" s="44">
        <v>6.3</v>
      </c>
      <c r="H4379" s="43" t="s">
        <v>230</v>
      </c>
      <c r="I4379" s="40" t="s">
        <v>1300</v>
      </c>
    </row>
    <row r="4380" spans="1:9" x14ac:dyDescent="0.2">
      <c r="A4380" s="40" t="s">
        <v>215</v>
      </c>
      <c r="B4380" s="28">
        <v>9099</v>
      </c>
      <c r="C4380" s="28" t="s">
        <v>1232</v>
      </c>
      <c r="D4380" s="28"/>
      <c r="E4380" s="41">
        <v>46172</v>
      </c>
      <c r="F4380" s="47">
        <v>0.958125</v>
      </c>
      <c r="G4380" s="44">
        <v>6.3</v>
      </c>
      <c r="H4380" s="43" t="s">
        <v>227</v>
      </c>
      <c r="I4380" s="40" t="s">
        <v>1300</v>
      </c>
    </row>
    <row r="4381" spans="1:9" x14ac:dyDescent="0.2">
      <c r="A4381" s="40" t="s">
        <v>475</v>
      </c>
      <c r="B4381" s="28">
        <v>9102</v>
      </c>
      <c r="C4381" s="28">
        <v>5686298</v>
      </c>
      <c r="D4381" s="28"/>
      <c r="E4381" s="45">
        <v>46167</v>
      </c>
      <c r="F4381" s="48">
        <v>0.6678587962962963</v>
      </c>
      <c r="G4381" s="44">
        <v>6.3</v>
      </c>
      <c r="H4381" s="43" t="s">
        <v>228</v>
      </c>
      <c r="I4381" s="40" t="s">
        <v>1300</v>
      </c>
    </row>
    <row r="4382" spans="1:9" x14ac:dyDescent="0.2">
      <c r="A4382" s="40" t="s">
        <v>475</v>
      </c>
      <c r="B4382" s="28">
        <v>9102</v>
      </c>
      <c r="C4382" s="28">
        <v>5686298</v>
      </c>
      <c r="D4382" s="28"/>
      <c r="E4382" s="41">
        <v>46167</v>
      </c>
      <c r="F4382" s="47">
        <v>0.67844907407407407</v>
      </c>
      <c r="G4382" s="42">
        <v>6.3</v>
      </c>
      <c r="H4382" s="40" t="s">
        <v>232</v>
      </c>
      <c r="I4382" s="40" t="s">
        <v>1300</v>
      </c>
    </row>
    <row r="4383" spans="1:9" x14ac:dyDescent="0.2">
      <c r="A4383" s="40" t="s">
        <v>475</v>
      </c>
      <c r="B4383" s="28">
        <v>9102</v>
      </c>
      <c r="C4383" s="28">
        <v>5684515</v>
      </c>
      <c r="D4383" s="28"/>
      <c r="E4383" s="41">
        <v>46167</v>
      </c>
      <c r="F4383" s="47">
        <v>0.74567129629629625</v>
      </c>
      <c r="G4383" s="42">
        <v>6.3</v>
      </c>
      <c r="H4383" s="40" t="s">
        <v>227</v>
      </c>
      <c r="I4383" s="40" t="s">
        <v>1300</v>
      </c>
    </row>
    <row r="4384" spans="1:9" x14ac:dyDescent="0.2">
      <c r="A4384" s="40" t="s">
        <v>475</v>
      </c>
      <c r="B4384" s="28">
        <v>9102</v>
      </c>
      <c r="C4384" s="28">
        <v>5688877</v>
      </c>
      <c r="D4384" s="28" t="s">
        <v>37</v>
      </c>
      <c r="E4384" s="41">
        <v>46169</v>
      </c>
      <c r="F4384" s="47">
        <v>0.35320601851851852</v>
      </c>
      <c r="G4384" s="42">
        <v>6.3</v>
      </c>
      <c r="H4384" s="40" t="s">
        <v>230</v>
      </c>
      <c r="I4384" s="40" t="s">
        <v>1300</v>
      </c>
    </row>
    <row r="4385" spans="1:9" x14ac:dyDescent="0.2">
      <c r="A4385" s="40" t="s">
        <v>475</v>
      </c>
      <c r="B4385" s="28">
        <v>9102</v>
      </c>
      <c r="C4385" s="28">
        <v>5688877</v>
      </c>
      <c r="D4385" s="28" t="s">
        <v>37</v>
      </c>
      <c r="E4385" s="41">
        <v>46169</v>
      </c>
      <c r="F4385" s="47">
        <v>0.36306712962962961</v>
      </c>
      <c r="G4385" s="42">
        <v>6.3</v>
      </c>
      <c r="H4385" s="40" t="s">
        <v>227</v>
      </c>
      <c r="I4385" s="40" t="s">
        <v>1300</v>
      </c>
    </row>
    <row r="4386" spans="1:9" x14ac:dyDescent="0.2">
      <c r="A4386" s="40" t="s">
        <v>475</v>
      </c>
      <c r="B4386" s="28">
        <v>9102</v>
      </c>
      <c r="C4386" s="28">
        <v>5685528</v>
      </c>
      <c r="D4386" s="28" t="s">
        <v>37</v>
      </c>
      <c r="E4386" s="41">
        <v>46169</v>
      </c>
      <c r="F4386" s="47">
        <v>0.60039351851851852</v>
      </c>
      <c r="G4386" s="42">
        <v>6.3</v>
      </c>
      <c r="H4386" s="40" t="s">
        <v>230</v>
      </c>
      <c r="I4386" s="40" t="s">
        <v>1300</v>
      </c>
    </row>
    <row r="4387" spans="1:9" x14ac:dyDescent="0.2">
      <c r="A4387" s="40" t="s">
        <v>475</v>
      </c>
      <c r="B4387" s="28">
        <v>9102</v>
      </c>
      <c r="C4387" s="28">
        <v>5685528</v>
      </c>
      <c r="D4387" s="28" t="s">
        <v>37</v>
      </c>
      <c r="E4387" s="41">
        <v>46169</v>
      </c>
      <c r="F4387" s="47">
        <v>0.60665509259259254</v>
      </c>
      <c r="G4387" s="44">
        <v>6.3</v>
      </c>
      <c r="H4387" s="43" t="s">
        <v>227</v>
      </c>
      <c r="I4387" s="40" t="s">
        <v>1300</v>
      </c>
    </row>
    <row r="4388" spans="1:9" x14ac:dyDescent="0.2">
      <c r="A4388" s="40" t="s">
        <v>475</v>
      </c>
      <c r="B4388" s="28">
        <v>9102</v>
      </c>
      <c r="C4388" s="28">
        <v>5694495</v>
      </c>
      <c r="D4388" s="28"/>
      <c r="E4388" s="41">
        <v>46172</v>
      </c>
      <c r="F4388" s="47">
        <v>0.54912037037037043</v>
      </c>
      <c r="G4388" s="44">
        <v>6.3</v>
      </c>
      <c r="H4388" s="43" t="s">
        <v>228</v>
      </c>
      <c r="I4388" s="40" t="s">
        <v>1300</v>
      </c>
    </row>
    <row r="4389" spans="1:9" x14ac:dyDescent="0.2">
      <c r="A4389" s="40" t="s">
        <v>475</v>
      </c>
      <c r="B4389" s="28">
        <v>9102</v>
      </c>
      <c r="C4389" s="28">
        <v>5695167</v>
      </c>
      <c r="D4389" s="28"/>
      <c r="E4389" s="41">
        <v>46172</v>
      </c>
      <c r="F4389" s="47">
        <v>0.91372685185185187</v>
      </c>
      <c r="G4389" s="44">
        <v>6.3</v>
      </c>
      <c r="H4389" s="43" t="s">
        <v>230</v>
      </c>
      <c r="I4389" s="40" t="s">
        <v>1300</v>
      </c>
    </row>
    <row r="4390" spans="1:9" x14ac:dyDescent="0.2">
      <c r="A4390" s="40" t="s">
        <v>475</v>
      </c>
      <c r="B4390" s="28">
        <v>9102</v>
      </c>
      <c r="C4390" s="28">
        <v>5695167</v>
      </c>
      <c r="D4390" s="28"/>
      <c r="E4390" s="41">
        <v>46172</v>
      </c>
      <c r="F4390" s="47">
        <v>0.91975694444444445</v>
      </c>
      <c r="G4390" s="44">
        <v>6.3</v>
      </c>
      <c r="H4390" s="43" t="s">
        <v>227</v>
      </c>
      <c r="I4390" s="40" t="s">
        <v>1300</v>
      </c>
    </row>
    <row r="4391" spans="1:9" x14ac:dyDescent="0.2">
      <c r="A4391" s="40" t="s">
        <v>475</v>
      </c>
      <c r="B4391" s="28">
        <v>9102</v>
      </c>
      <c r="C4391" s="28" t="s">
        <v>1233</v>
      </c>
      <c r="D4391" s="28"/>
      <c r="E4391" s="45">
        <v>46172</v>
      </c>
      <c r="F4391" s="48">
        <v>0.95964120370370365</v>
      </c>
      <c r="G4391" s="44">
        <v>6.3</v>
      </c>
      <c r="H4391" s="43" t="s">
        <v>228</v>
      </c>
      <c r="I4391" s="40" t="s">
        <v>1300</v>
      </c>
    </row>
    <row r="4392" spans="1:9" x14ac:dyDescent="0.2">
      <c r="A4392" s="40" t="s">
        <v>475</v>
      </c>
      <c r="B4392" s="28">
        <v>9102</v>
      </c>
      <c r="C4392" s="28" t="s">
        <v>1233</v>
      </c>
      <c r="D4392" s="28"/>
      <c r="E4392" s="41">
        <v>46172</v>
      </c>
      <c r="F4392" s="47">
        <v>0.96697916666666661</v>
      </c>
      <c r="G4392" s="44">
        <v>6.3</v>
      </c>
      <c r="H4392" s="43" t="s">
        <v>229</v>
      </c>
      <c r="I4392" s="40" t="s">
        <v>1300</v>
      </c>
    </row>
    <row r="4393" spans="1:9" x14ac:dyDescent="0.2">
      <c r="A4393" s="40" t="s">
        <v>475</v>
      </c>
      <c r="B4393" s="28">
        <v>9102</v>
      </c>
      <c r="C4393" s="28" t="s">
        <v>1234</v>
      </c>
      <c r="D4393" s="28"/>
      <c r="E4393" s="41">
        <v>46173</v>
      </c>
      <c r="F4393" s="47">
        <v>0.93912037037037033</v>
      </c>
      <c r="G4393" s="42">
        <v>6.3</v>
      </c>
      <c r="H4393" s="40" t="s">
        <v>228</v>
      </c>
      <c r="I4393" s="40" t="s">
        <v>1300</v>
      </c>
    </row>
    <row r="4394" spans="1:9" x14ac:dyDescent="0.2">
      <c r="A4394" s="40" t="s">
        <v>268</v>
      </c>
      <c r="B4394" s="28">
        <v>9110</v>
      </c>
      <c r="C4394" s="28" t="s">
        <v>1235</v>
      </c>
      <c r="D4394" s="28"/>
      <c r="E4394" s="41">
        <v>46168</v>
      </c>
      <c r="F4394" s="47">
        <v>0.24905092592592593</v>
      </c>
      <c r="G4394" s="42">
        <v>6.3</v>
      </c>
      <c r="H4394" s="40" t="s">
        <v>234</v>
      </c>
      <c r="I4394" s="40" t="s">
        <v>1300</v>
      </c>
    </row>
    <row r="4395" spans="1:9" x14ac:dyDescent="0.2">
      <c r="A4395" s="40" t="s">
        <v>268</v>
      </c>
      <c r="B4395" s="28">
        <v>9110</v>
      </c>
      <c r="C4395" s="28" t="s">
        <v>1235</v>
      </c>
      <c r="D4395" s="28"/>
      <c r="E4395" s="41">
        <v>46168</v>
      </c>
      <c r="F4395" s="47">
        <v>0.25182870370370369</v>
      </c>
      <c r="G4395" s="42">
        <v>6.3</v>
      </c>
      <c r="H4395" s="40" t="s">
        <v>227</v>
      </c>
      <c r="I4395" s="40" t="s">
        <v>1300</v>
      </c>
    </row>
    <row r="4396" spans="1:9" x14ac:dyDescent="0.2">
      <c r="A4396" s="40" t="s">
        <v>268</v>
      </c>
      <c r="B4396" s="28">
        <v>9110</v>
      </c>
      <c r="C4396" s="28" t="s">
        <v>1236</v>
      </c>
      <c r="D4396" s="28"/>
      <c r="E4396" s="41">
        <v>46169</v>
      </c>
      <c r="F4396" s="47">
        <v>0.41667824074074072</v>
      </c>
      <c r="G4396" s="42">
        <v>6.3</v>
      </c>
      <c r="H4396" s="40" t="s">
        <v>226</v>
      </c>
      <c r="I4396" s="40" t="s">
        <v>1300</v>
      </c>
    </row>
    <row r="4397" spans="1:9" x14ac:dyDescent="0.2">
      <c r="A4397" s="40" t="s">
        <v>268</v>
      </c>
      <c r="B4397" s="28">
        <v>9110</v>
      </c>
      <c r="C4397" s="28" t="s">
        <v>1236</v>
      </c>
      <c r="D4397" s="28"/>
      <c r="E4397" s="41">
        <v>46169</v>
      </c>
      <c r="F4397" s="47">
        <v>0.4221759259259259</v>
      </c>
      <c r="G4397" s="44">
        <v>6.3</v>
      </c>
      <c r="H4397" s="43" t="s">
        <v>227</v>
      </c>
      <c r="I4397" s="40" t="s">
        <v>1300</v>
      </c>
    </row>
    <row r="4398" spans="1:9" x14ac:dyDescent="0.2">
      <c r="A4398" s="40" t="s">
        <v>268</v>
      </c>
      <c r="B4398" s="28">
        <v>9110</v>
      </c>
      <c r="C4398" s="28">
        <v>5691101</v>
      </c>
      <c r="D4398" s="28"/>
      <c r="E4398" s="41">
        <v>46170</v>
      </c>
      <c r="F4398" s="47">
        <v>0.48540509259259257</v>
      </c>
      <c r="G4398" s="44">
        <v>6.3</v>
      </c>
      <c r="H4398" s="43" t="s">
        <v>231</v>
      </c>
      <c r="I4398" s="40" t="s">
        <v>1300</v>
      </c>
    </row>
    <row r="4399" spans="1:9" x14ac:dyDescent="0.2">
      <c r="A4399" s="40" t="s">
        <v>268</v>
      </c>
      <c r="B4399" s="28">
        <v>9110</v>
      </c>
      <c r="C4399" s="28" t="s">
        <v>1237</v>
      </c>
      <c r="D4399" s="28"/>
      <c r="E4399" s="41">
        <v>46170</v>
      </c>
      <c r="F4399" s="47">
        <v>0.95666666666666667</v>
      </c>
      <c r="G4399" s="44">
        <v>6.3</v>
      </c>
      <c r="H4399" s="43" t="s">
        <v>228</v>
      </c>
      <c r="I4399" s="40" t="s">
        <v>1300</v>
      </c>
    </row>
    <row r="4400" spans="1:9" x14ac:dyDescent="0.2">
      <c r="A4400" s="40" t="s">
        <v>268</v>
      </c>
      <c r="B4400" s="28">
        <v>9110</v>
      </c>
      <c r="C4400" s="28" t="s">
        <v>1237</v>
      </c>
      <c r="D4400" s="28"/>
      <c r="E4400" s="41">
        <v>46170</v>
      </c>
      <c r="F4400" s="47">
        <v>0.96260416666666671</v>
      </c>
      <c r="G4400" s="44">
        <v>6.3</v>
      </c>
      <c r="H4400" s="43" t="s">
        <v>232</v>
      </c>
      <c r="I4400" s="40" t="s">
        <v>1300</v>
      </c>
    </row>
    <row r="4401" spans="1:9" x14ac:dyDescent="0.2">
      <c r="A4401" s="40" t="s">
        <v>153</v>
      </c>
      <c r="B4401" s="28">
        <v>9112</v>
      </c>
      <c r="C4401" s="28">
        <v>5688563</v>
      </c>
      <c r="D4401" s="28"/>
      <c r="E4401" s="41">
        <v>46169</v>
      </c>
      <c r="F4401" s="47">
        <v>1.0763888888888889E-3</v>
      </c>
      <c r="G4401" s="44">
        <v>6.3</v>
      </c>
      <c r="H4401" s="43" t="s">
        <v>228</v>
      </c>
      <c r="I4401" s="40" t="s">
        <v>1300</v>
      </c>
    </row>
    <row r="4402" spans="1:9" x14ac:dyDescent="0.2">
      <c r="A4402" s="40" t="s">
        <v>153</v>
      </c>
      <c r="B4402" s="28">
        <v>9112</v>
      </c>
      <c r="C4402" s="28">
        <v>5694859</v>
      </c>
      <c r="D4402" s="28"/>
      <c r="E4402" s="41">
        <v>46172</v>
      </c>
      <c r="F4402" s="47">
        <v>0.67442129629629632</v>
      </c>
      <c r="G4402" s="44">
        <v>6.3</v>
      </c>
      <c r="H4402" s="43" t="s">
        <v>228</v>
      </c>
      <c r="I4402" s="40" t="s">
        <v>1300</v>
      </c>
    </row>
    <row r="4403" spans="1:9" x14ac:dyDescent="0.2">
      <c r="A4403" s="40" t="s">
        <v>153</v>
      </c>
      <c r="B4403" s="28">
        <v>9112</v>
      </c>
      <c r="C4403" s="28">
        <v>5694859</v>
      </c>
      <c r="D4403" s="28"/>
      <c r="E4403" s="41">
        <v>46172</v>
      </c>
      <c r="F4403" s="47">
        <v>0.68582175925925926</v>
      </c>
      <c r="G4403" s="44">
        <v>6.3</v>
      </c>
      <c r="H4403" s="43" t="s">
        <v>229</v>
      </c>
      <c r="I4403" s="40" t="s">
        <v>1300</v>
      </c>
    </row>
    <row r="4404" spans="1:9" x14ac:dyDescent="0.2">
      <c r="A4404" s="40" t="s">
        <v>153</v>
      </c>
      <c r="B4404" s="28">
        <v>9112</v>
      </c>
      <c r="C4404" s="28">
        <v>5694612</v>
      </c>
      <c r="D4404" s="28"/>
      <c r="E4404" s="41">
        <v>46172</v>
      </c>
      <c r="F4404" s="47">
        <v>0.83744212962962961</v>
      </c>
      <c r="G4404" s="44">
        <v>6.3</v>
      </c>
      <c r="H4404" s="43" t="s">
        <v>228</v>
      </c>
      <c r="I4404" s="40" t="s">
        <v>1300</v>
      </c>
    </row>
    <row r="4405" spans="1:9" x14ac:dyDescent="0.2">
      <c r="A4405" s="40" t="s">
        <v>153</v>
      </c>
      <c r="B4405" s="28">
        <v>9112</v>
      </c>
      <c r="C4405" s="28">
        <v>5694612</v>
      </c>
      <c r="D4405" s="28"/>
      <c r="E4405" s="41">
        <v>46172</v>
      </c>
      <c r="F4405" s="47">
        <v>0.8449768518518519</v>
      </c>
      <c r="G4405" s="44">
        <v>6.3</v>
      </c>
      <c r="H4405" s="43" t="s">
        <v>229</v>
      </c>
      <c r="I4405" s="40" t="s">
        <v>1300</v>
      </c>
    </row>
    <row r="4406" spans="1:9" x14ac:dyDescent="0.2">
      <c r="A4406" s="40" t="s">
        <v>153</v>
      </c>
      <c r="B4406" s="28">
        <v>9112</v>
      </c>
      <c r="C4406" s="28">
        <v>10785099</v>
      </c>
      <c r="D4406" s="28"/>
      <c r="E4406" s="41">
        <v>46173</v>
      </c>
      <c r="F4406" s="47">
        <v>0.7890625</v>
      </c>
      <c r="G4406" s="44">
        <v>6.3</v>
      </c>
      <c r="H4406" s="43" t="s">
        <v>230</v>
      </c>
      <c r="I4406" s="40" t="s">
        <v>1300</v>
      </c>
    </row>
    <row r="4407" spans="1:9" x14ac:dyDescent="0.2">
      <c r="A4407" s="40" t="s">
        <v>153</v>
      </c>
      <c r="B4407" s="28">
        <v>9112</v>
      </c>
      <c r="C4407" s="28">
        <v>10785099</v>
      </c>
      <c r="D4407" s="28"/>
      <c r="E4407" s="41">
        <v>46173</v>
      </c>
      <c r="F4407" s="47">
        <v>0.79467592592592595</v>
      </c>
      <c r="G4407" s="44">
        <v>6.3</v>
      </c>
      <c r="H4407" s="43" t="s">
        <v>227</v>
      </c>
      <c r="I4407" s="40" t="s">
        <v>1300</v>
      </c>
    </row>
    <row r="4408" spans="1:9" x14ac:dyDescent="0.2">
      <c r="A4408" s="40" t="s">
        <v>297</v>
      </c>
      <c r="B4408" s="28">
        <v>9120</v>
      </c>
      <c r="C4408" s="28">
        <v>5689127</v>
      </c>
      <c r="D4408" s="28"/>
      <c r="E4408" s="41">
        <v>46169</v>
      </c>
      <c r="F4408" s="47">
        <v>0.34164351851851854</v>
      </c>
      <c r="G4408" s="44">
        <v>6.3</v>
      </c>
      <c r="H4408" s="43" t="s">
        <v>226</v>
      </c>
      <c r="I4408" s="40" t="s">
        <v>1300</v>
      </c>
    </row>
    <row r="4409" spans="1:9" x14ac:dyDescent="0.2">
      <c r="A4409" s="40" t="s">
        <v>297</v>
      </c>
      <c r="B4409" s="28">
        <v>9120</v>
      </c>
      <c r="C4409" s="28">
        <v>5689127</v>
      </c>
      <c r="D4409" s="28"/>
      <c r="E4409" s="41">
        <v>46169</v>
      </c>
      <c r="F4409" s="47">
        <v>0.34976851851851853</v>
      </c>
      <c r="G4409" s="44">
        <v>6.3</v>
      </c>
      <c r="H4409" s="43" t="s">
        <v>227</v>
      </c>
      <c r="I4409" s="40" t="s">
        <v>1300</v>
      </c>
    </row>
    <row r="4410" spans="1:9" x14ac:dyDescent="0.2">
      <c r="A4410" s="40" t="s">
        <v>297</v>
      </c>
      <c r="B4410" s="28">
        <v>9120</v>
      </c>
      <c r="C4410" s="28">
        <v>5689182</v>
      </c>
      <c r="D4410" s="28"/>
      <c r="E4410" s="41">
        <v>46169</v>
      </c>
      <c r="F4410" s="47">
        <v>0.42962962962962964</v>
      </c>
      <c r="G4410" s="44">
        <v>6.3</v>
      </c>
      <c r="H4410" s="43" t="s">
        <v>228</v>
      </c>
      <c r="I4410" s="40" t="s">
        <v>1300</v>
      </c>
    </row>
    <row r="4411" spans="1:9" x14ac:dyDescent="0.2">
      <c r="A4411" s="40" t="s">
        <v>297</v>
      </c>
      <c r="B4411" s="28">
        <v>9120</v>
      </c>
      <c r="C4411" s="28">
        <v>5689182</v>
      </c>
      <c r="D4411" s="28"/>
      <c r="E4411" s="41">
        <v>46169</v>
      </c>
      <c r="F4411" s="47">
        <v>0.43868055555555557</v>
      </c>
      <c r="G4411" s="44">
        <v>6.3</v>
      </c>
      <c r="H4411" s="43" t="s">
        <v>232</v>
      </c>
      <c r="I4411" s="40" t="s">
        <v>1300</v>
      </c>
    </row>
    <row r="4412" spans="1:9" x14ac:dyDescent="0.2">
      <c r="A4412" s="40" t="s">
        <v>149</v>
      </c>
      <c r="B4412" s="28">
        <v>9132</v>
      </c>
      <c r="C4412" s="28" t="s">
        <v>1238</v>
      </c>
      <c r="D4412" s="28"/>
      <c r="E4412" s="41">
        <v>46168</v>
      </c>
      <c r="F4412" s="47">
        <v>0.65412037037037041</v>
      </c>
      <c r="G4412" s="44">
        <v>6.3</v>
      </c>
      <c r="H4412" s="43" t="s">
        <v>228</v>
      </c>
      <c r="I4412" s="40" t="s">
        <v>1300</v>
      </c>
    </row>
    <row r="4413" spans="1:9" x14ac:dyDescent="0.2">
      <c r="A4413" s="40" t="s">
        <v>149</v>
      </c>
      <c r="B4413" s="28">
        <v>9132</v>
      </c>
      <c r="C4413" s="28" t="s">
        <v>1238</v>
      </c>
      <c r="D4413" s="28"/>
      <c r="E4413" s="41">
        <v>46168</v>
      </c>
      <c r="F4413" s="47">
        <v>0.66356481481481477</v>
      </c>
      <c r="G4413" s="44">
        <v>6.3</v>
      </c>
      <c r="H4413" s="43" t="s">
        <v>229</v>
      </c>
      <c r="I4413" s="40" t="s">
        <v>1300</v>
      </c>
    </row>
    <row r="4414" spans="1:9" x14ac:dyDescent="0.2">
      <c r="A4414" s="40" t="s">
        <v>149</v>
      </c>
      <c r="B4414" s="28">
        <v>9132</v>
      </c>
      <c r="C4414" s="28" t="s">
        <v>35</v>
      </c>
      <c r="D4414" s="28" t="s">
        <v>38</v>
      </c>
      <c r="E4414" s="41">
        <v>46168</v>
      </c>
      <c r="F4414" s="47">
        <v>0.70570601851851855</v>
      </c>
      <c r="G4414" s="44">
        <v>6.3</v>
      </c>
      <c r="H4414" s="43" t="s">
        <v>230</v>
      </c>
      <c r="I4414" s="40" t="s">
        <v>1300</v>
      </c>
    </row>
    <row r="4415" spans="1:9" x14ac:dyDescent="0.2">
      <c r="A4415" s="40" t="s">
        <v>149</v>
      </c>
      <c r="B4415" s="28">
        <v>9132</v>
      </c>
      <c r="C4415" s="28" t="s">
        <v>35</v>
      </c>
      <c r="D4415" s="28" t="s">
        <v>38</v>
      </c>
      <c r="E4415" s="41">
        <v>46168</v>
      </c>
      <c r="F4415" s="47">
        <v>0.71245370370370376</v>
      </c>
      <c r="G4415" s="44">
        <v>6.3</v>
      </c>
      <c r="H4415" s="43" t="s">
        <v>227</v>
      </c>
      <c r="I4415" s="40" t="s">
        <v>1300</v>
      </c>
    </row>
    <row r="4416" spans="1:9" x14ac:dyDescent="0.2">
      <c r="A4416" s="40" t="s">
        <v>149</v>
      </c>
      <c r="B4416" s="28">
        <v>9132</v>
      </c>
      <c r="C4416" s="28" t="s">
        <v>35</v>
      </c>
      <c r="D4416" s="28" t="s">
        <v>38</v>
      </c>
      <c r="E4416" s="41">
        <v>46169</v>
      </c>
      <c r="F4416" s="47">
        <v>0.919525462962963</v>
      </c>
      <c r="G4416" s="44">
        <v>6.3</v>
      </c>
      <c r="H4416" s="43" t="s">
        <v>230</v>
      </c>
      <c r="I4416" s="40" t="s">
        <v>1300</v>
      </c>
    </row>
    <row r="4417" spans="1:9" x14ac:dyDescent="0.2">
      <c r="A4417" s="40" t="s">
        <v>149</v>
      </c>
      <c r="B4417" s="28">
        <v>9132</v>
      </c>
      <c r="C4417" s="28" t="s">
        <v>35</v>
      </c>
      <c r="D4417" s="28" t="s">
        <v>38</v>
      </c>
      <c r="E4417" s="41">
        <v>46169</v>
      </c>
      <c r="F4417" s="47">
        <v>0.92513888888888884</v>
      </c>
      <c r="G4417" s="44">
        <v>6.3</v>
      </c>
      <c r="H4417" s="43" t="s">
        <v>227</v>
      </c>
      <c r="I4417" s="40" t="s">
        <v>1300</v>
      </c>
    </row>
    <row r="4418" spans="1:9" x14ac:dyDescent="0.2">
      <c r="A4418" s="40" t="s">
        <v>149</v>
      </c>
      <c r="B4418" s="28">
        <v>9132</v>
      </c>
      <c r="C4418" s="28" t="s">
        <v>35</v>
      </c>
      <c r="D4418" s="28" t="s">
        <v>38</v>
      </c>
      <c r="E4418" s="41">
        <v>46170</v>
      </c>
      <c r="F4418" s="47">
        <v>0.97424768518518523</v>
      </c>
      <c r="G4418" s="44">
        <v>6.3</v>
      </c>
      <c r="H4418" s="43" t="s">
        <v>230</v>
      </c>
      <c r="I4418" s="40" t="s">
        <v>1300</v>
      </c>
    </row>
    <row r="4419" spans="1:9" x14ac:dyDescent="0.2">
      <c r="A4419" s="40" t="s">
        <v>149</v>
      </c>
      <c r="B4419" s="28">
        <v>9132</v>
      </c>
      <c r="C4419" s="28" t="s">
        <v>35</v>
      </c>
      <c r="D4419" s="28" t="s">
        <v>38</v>
      </c>
      <c r="E4419" s="41">
        <v>46170</v>
      </c>
      <c r="F4419" s="47">
        <v>0.97984953703703703</v>
      </c>
      <c r="G4419" s="42">
        <v>6.3</v>
      </c>
      <c r="H4419" s="40" t="s">
        <v>227</v>
      </c>
      <c r="I4419" s="40" t="s">
        <v>1300</v>
      </c>
    </row>
    <row r="4420" spans="1:9" x14ac:dyDescent="0.2">
      <c r="A4420" s="40" t="s">
        <v>149</v>
      </c>
      <c r="B4420" s="28">
        <v>9132</v>
      </c>
      <c r="C4420" s="28">
        <v>5692307</v>
      </c>
      <c r="D4420" s="28"/>
      <c r="E4420" s="41">
        <v>46171</v>
      </c>
      <c r="F4420" s="47">
        <v>1.5034722222222222E-2</v>
      </c>
      <c r="G4420" s="42">
        <v>6.3</v>
      </c>
      <c r="H4420" s="40" t="s">
        <v>228</v>
      </c>
      <c r="I4420" s="40" t="s">
        <v>1300</v>
      </c>
    </row>
    <row r="4421" spans="1:9" x14ac:dyDescent="0.2">
      <c r="A4421" s="40" t="s">
        <v>149</v>
      </c>
      <c r="B4421" s="28">
        <v>9132</v>
      </c>
      <c r="C4421" s="28">
        <v>5692307</v>
      </c>
      <c r="D4421" s="28"/>
      <c r="E4421" s="41">
        <v>46171</v>
      </c>
      <c r="F4421" s="47">
        <v>2.6631944444444444E-2</v>
      </c>
      <c r="G4421" s="42">
        <v>6.3</v>
      </c>
      <c r="H4421" s="40" t="s">
        <v>229</v>
      </c>
      <c r="I4421" s="40" t="s">
        <v>1300</v>
      </c>
    </row>
    <row r="4422" spans="1:9" x14ac:dyDescent="0.2">
      <c r="A4422" s="40" t="s">
        <v>149</v>
      </c>
      <c r="B4422" s="28">
        <v>9132</v>
      </c>
      <c r="C4422" s="28" t="s">
        <v>35</v>
      </c>
      <c r="D4422" s="28" t="s">
        <v>38</v>
      </c>
      <c r="E4422" s="41">
        <v>46171</v>
      </c>
      <c r="F4422" s="47">
        <v>4.2800925925925923E-2</v>
      </c>
      <c r="G4422" s="42">
        <v>6.3</v>
      </c>
      <c r="H4422" s="40" t="s">
        <v>230</v>
      </c>
      <c r="I4422" s="40" t="s">
        <v>1300</v>
      </c>
    </row>
    <row r="4423" spans="1:9" x14ac:dyDescent="0.2">
      <c r="A4423" s="40" t="s">
        <v>149</v>
      </c>
      <c r="B4423" s="28">
        <v>9132</v>
      </c>
      <c r="C4423" s="28">
        <v>5693921</v>
      </c>
      <c r="D4423" s="28"/>
      <c r="E4423" s="41">
        <v>46171</v>
      </c>
      <c r="F4423" s="47">
        <v>0.88922453703703708</v>
      </c>
      <c r="G4423" s="44">
        <v>6.3</v>
      </c>
      <c r="H4423" s="43" t="s">
        <v>228</v>
      </c>
      <c r="I4423" s="40" t="s">
        <v>1300</v>
      </c>
    </row>
    <row r="4424" spans="1:9" x14ac:dyDescent="0.2">
      <c r="A4424" s="40" t="s">
        <v>149</v>
      </c>
      <c r="B4424" s="28">
        <v>9132</v>
      </c>
      <c r="C4424" s="28">
        <v>5693921</v>
      </c>
      <c r="D4424" s="28"/>
      <c r="E4424" s="41">
        <v>46171</v>
      </c>
      <c r="F4424" s="47">
        <v>0.89641203703703709</v>
      </c>
      <c r="G4424" s="44">
        <v>6.3</v>
      </c>
      <c r="H4424" s="43" t="s">
        <v>229</v>
      </c>
      <c r="I4424" s="40" t="s">
        <v>1300</v>
      </c>
    </row>
    <row r="4425" spans="1:9" x14ac:dyDescent="0.2">
      <c r="A4425" s="40" t="s">
        <v>149</v>
      </c>
      <c r="B4425" s="28">
        <v>9132</v>
      </c>
      <c r="C4425" s="28" t="s">
        <v>35</v>
      </c>
      <c r="D4425" s="28" t="s">
        <v>38</v>
      </c>
      <c r="E4425" s="41">
        <v>46171</v>
      </c>
      <c r="F4425" s="47">
        <v>0.91561342592592587</v>
      </c>
      <c r="G4425" s="44">
        <v>6.3</v>
      </c>
      <c r="H4425" s="43" t="s">
        <v>230</v>
      </c>
      <c r="I4425" s="40" t="s">
        <v>1300</v>
      </c>
    </row>
    <row r="4426" spans="1:9" x14ac:dyDescent="0.2">
      <c r="A4426" s="40" t="s">
        <v>149</v>
      </c>
      <c r="B4426" s="28">
        <v>9132</v>
      </c>
      <c r="C4426" s="28" t="s">
        <v>35</v>
      </c>
      <c r="D4426" s="28" t="s">
        <v>38</v>
      </c>
      <c r="E4426" s="41">
        <v>46171</v>
      </c>
      <c r="F4426" s="47">
        <v>0.92731481481481481</v>
      </c>
      <c r="G4426" s="44">
        <v>6.3</v>
      </c>
      <c r="H4426" s="43" t="s">
        <v>227</v>
      </c>
      <c r="I4426" s="40" t="s">
        <v>1300</v>
      </c>
    </row>
    <row r="4427" spans="1:9" x14ac:dyDescent="0.2">
      <c r="A4427" s="40" t="s">
        <v>149</v>
      </c>
      <c r="B4427" s="28">
        <v>9132</v>
      </c>
      <c r="C4427" s="28">
        <v>5695045</v>
      </c>
      <c r="D4427" s="28" t="s">
        <v>36</v>
      </c>
      <c r="E4427" s="41">
        <v>46172</v>
      </c>
      <c r="F4427" s="47">
        <v>0.80177083333333332</v>
      </c>
      <c r="G4427" s="44">
        <v>6.3</v>
      </c>
      <c r="H4427" s="43" t="s">
        <v>228</v>
      </c>
      <c r="I4427" s="40" t="s">
        <v>1300</v>
      </c>
    </row>
    <row r="4428" spans="1:9" x14ac:dyDescent="0.2">
      <c r="A4428" s="40" t="s">
        <v>149</v>
      </c>
      <c r="B4428" s="28">
        <v>9132</v>
      </c>
      <c r="C4428" s="28" t="s">
        <v>35</v>
      </c>
      <c r="D4428" s="28" t="s">
        <v>38</v>
      </c>
      <c r="E4428" s="41">
        <v>46172</v>
      </c>
      <c r="F4428" s="47">
        <v>0.84939814814814818</v>
      </c>
      <c r="G4428" s="44">
        <v>6.3</v>
      </c>
      <c r="H4428" s="43" t="s">
        <v>230</v>
      </c>
      <c r="I4428" s="40" t="s">
        <v>1300</v>
      </c>
    </row>
    <row r="4429" spans="1:9" x14ac:dyDescent="0.2">
      <c r="A4429" s="40" t="s">
        <v>148</v>
      </c>
      <c r="B4429" s="28">
        <v>9134</v>
      </c>
      <c r="C4429" s="28">
        <v>5686969</v>
      </c>
      <c r="D4429" s="28"/>
      <c r="E4429" s="41">
        <v>46167</v>
      </c>
      <c r="F4429" s="47">
        <v>0.92325231481481485</v>
      </c>
      <c r="G4429" s="44">
        <v>6.3</v>
      </c>
      <c r="H4429" s="43" t="s">
        <v>228</v>
      </c>
      <c r="I4429" s="40" t="s">
        <v>1300</v>
      </c>
    </row>
    <row r="4430" spans="1:9" x14ac:dyDescent="0.2">
      <c r="A4430" s="40" t="s">
        <v>148</v>
      </c>
      <c r="B4430" s="28">
        <v>9134</v>
      </c>
      <c r="C4430" s="28">
        <v>5686969</v>
      </c>
      <c r="D4430" s="28"/>
      <c r="E4430" s="41">
        <v>46167</v>
      </c>
      <c r="F4430" s="47">
        <v>0.93174768518518514</v>
      </c>
      <c r="G4430" s="44">
        <v>6.3</v>
      </c>
      <c r="H4430" s="43" t="s">
        <v>229</v>
      </c>
      <c r="I4430" s="40" t="s">
        <v>1300</v>
      </c>
    </row>
    <row r="4431" spans="1:9" x14ac:dyDescent="0.2">
      <c r="A4431" s="40" t="s">
        <v>148</v>
      </c>
      <c r="B4431" s="28">
        <v>9134</v>
      </c>
      <c r="C4431" s="28" t="s">
        <v>35</v>
      </c>
      <c r="D4431" s="28" t="s">
        <v>38</v>
      </c>
      <c r="E4431" s="41">
        <v>46167</v>
      </c>
      <c r="F4431" s="47">
        <v>0.9537268518518518</v>
      </c>
      <c r="G4431" s="44">
        <v>6.3</v>
      </c>
      <c r="H4431" s="43" t="s">
        <v>230</v>
      </c>
      <c r="I4431" s="40" t="s">
        <v>1300</v>
      </c>
    </row>
    <row r="4432" spans="1:9" x14ac:dyDescent="0.2">
      <c r="A4432" s="40" t="s">
        <v>148</v>
      </c>
      <c r="B4432" s="28">
        <v>9134</v>
      </c>
      <c r="C4432" s="28">
        <v>5687517</v>
      </c>
      <c r="D4432" s="28"/>
      <c r="E4432" s="41">
        <v>46168</v>
      </c>
      <c r="F4432" s="47">
        <v>0.41275462962962961</v>
      </c>
      <c r="G4432" s="44">
        <v>6.3</v>
      </c>
      <c r="H4432" s="43" t="s">
        <v>228</v>
      </c>
      <c r="I4432" s="40" t="s">
        <v>1300</v>
      </c>
    </row>
    <row r="4433" spans="1:9" x14ac:dyDescent="0.2">
      <c r="A4433" s="40" t="s">
        <v>148</v>
      </c>
      <c r="B4433" s="28">
        <v>9134</v>
      </c>
      <c r="C4433" s="28">
        <v>5687517</v>
      </c>
      <c r="D4433" s="28"/>
      <c r="E4433" s="41">
        <v>46168</v>
      </c>
      <c r="F4433" s="47">
        <v>0.42672453703703705</v>
      </c>
      <c r="G4433" s="44">
        <v>6.3</v>
      </c>
      <c r="H4433" s="43" t="s">
        <v>229</v>
      </c>
      <c r="I4433" s="40" t="s">
        <v>1300</v>
      </c>
    </row>
    <row r="4434" spans="1:9" x14ac:dyDescent="0.2">
      <c r="A4434" s="40" t="s">
        <v>148</v>
      </c>
      <c r="B4434" s="28">
        <v>9134</v>
      </c>
      <c r="C4434" s="28" t="s">
        <v>35</v>
      </c>
      <c r="D4434" s="28" t="s">
        <v>38</v>
      </c>
      <c r="E4434" s="41">
        <v>46168</v>
      </c>
      <c r="F4434" s="47">
        <v>0.46660879629629631</v>
      </c>
      <c r="G4434" s="44">
        <v>6.3</v>
      </c>
      <c r="H4434" s="43" t="s">
        <v>230</v>
      </c>
      <c r="I4434" s="40" t="s">
        <v>1300</v>
      </c>
    </row>
    <row r="4435" spans="1:9" x14ac:dyDescent="0.2">
      <c r="A4435" s="40" t="s">
        <v>148</v>
      </c>
      <c r="B4435" s="28">
        <v>9134</v>
      </c>
      <c r="C4435" s="28" t="s">
        <v>35</v>
      </c>
      <c r="D4435" s="28" t="s">
        <v>38</v>
      </c>
      <c r="E4435" s="41">
        <v>46168</v>
      </c>
      <c r="F4435" s="47">
        <v>0.47582175925925924</v>
      </c>
      <c r="G4435" s="44">
        <v>6.3</v>
      </c>
      <c r="H4435" s="43" t="s">
        <v>227</v>
      </c>
      <c r="I4435" s="40" t="s">
        <v>1300</v>
      </c>
    </row>
    <row r="4436" spans="1:9" x14ac:dyDescent="0.2">
      <c r="A4436" s="40" t="s">
        <v>148</v>
      </c>
      <c r="B4436" s="28">
        <v>9134</v>
      </c>
      <c r="C4436" s="28" t="s">
        <v>35</v>
      </c>
      <c r="D4436" s="28" t="s">
        <v>38</v>
      </c>
      <c r="E4436" s="41">
        <v>46168</v>
      </c>
      <c r="F4436" s="47">
        <v>0.62629629629629635</v>
      </c>
      <c r="G4436" s="42">
        <v>6.3</v>
      </c>
      <c r="H4436" s="40" t="s">
        <v>230</v>
      </c>
      <c r="I4436" s="40" t="s">
        <v>1300</v>
      </c>
    </row>
    <row r="4437" spans="1:9" x14ac:dyDescent="0.2">
      <c r="A4437" s="40" t="s">
        <v>148</v>
      </c>
      <c r="B4437" s="28">
        <v>9134</v>
      </c>
      <c r="C4437" s="28" t="s">
        <v>35</v>
      </c>
      <c r="D4437" s="28" t="s">
        <v>38</v>
      </c>
      <c r="E4437" s="41">
        <v>46168</v>
      </c>
      <c r="F4437" s="47">
        <v>0.63197916666666665</v>
      </c>
      <c r="G4437" s="42">
        <v>6.3</v>
      </c>
      <c r="H4437" s="40" t="s">
        <v>227</v>
      </c>
      <c r="I4437" s="40" t="s">
        <v>1300</v>
      </c>
    </row>
    <row r="4438" spans="1:9" x14ac:dyDescent="0.2">
      <c r="A4438" s="40" t="s">
        <v>148</v>
      </c>
      <c r="B4438" s="28">
        <v>9134</v>
      </c>
      <c r="C4438" s="28" t="s">
        <v>1239</v>
      </c>
      <c r="D4438" s="28"/>
      <c r="E4438" s="41">
        <v>46168</v>
      </c>
      <c r="F4438" s="47">
        <v>0.68978009259259254</v>
      </c>
      <c r="G4438" s="42">
        <v>6.3</v>
      </c>
      <c r="H4438" s="40" t="s">
        <v>228</v>
      </c>
      <c r="I4438" s="40" t="s">
        <v>1300</v>
      </c>
    </row>
    <row r="4439" spans="1:9" x14ac:dyDescent="0.2">
      <c r="A4439" s="40" t="s">
        <v>148</v>
      </c>
      <c r="B4439" s="28">
        <v>9134</v>
      </c>
      <c r="C4439" s="28" t="s">
        <v>1239</v>
      </c>
      <c r="D4439" s="28"/>
      <c r="E4439" s="41">
        <v>46168</v>
      </c>
      <c r="F4439" s="47">
        <v>0.70151620370370371</v>
      </c>
      <c r="G4439" s="42">
        <v>6.3</v>
      </c>
      <c r="H4439" s="40" t="s">
        <v>229</v>
      </c>
      <c r="I4439" s="40" t="s">
        <v>1300</v>
      </c>
    </row>
    <row r="4440" spans="1:9" x14ac:dyDescent="0.2">
      <c r="A4440" s="40" t="s">
        <v>148</v>
      </c>
      <c r="B4440" s="28">
        <v>9134</v>
      </c>
      <c r="C4440" s="28">
        <v>5692981</v>
      </c>
      <c r="D4440" s="28"/>
      <c r="E4440" s="41">
        <v>46171</v>
      </c>
      <c r="F4440" s="47">
        <v>0.50116898148148148</v>
      </c>
      <c r="G4440" s="42">
        <v>6.3</v>
      </c>
      <c r="H4440" s="40" t="s">
        <v>228</v>
      </c>
      <c r="I4440" s="40" t="s">
        <v>1300</v>
      </c>
    </row>
    <row r="4441" spans="1:9" x14ac:dyDescent="0.2">
      <c r="A4441" s="40" t="s">
        <v>148</v>
      </c>
      <c r="B4441" s="28">
        <v>9134</v>
      </c>
      <c r="C4441" s="28" t="s">
        <v>35</v>
      </c>
      <c r="D4441" s="28" t="s">
        <v>38</v>
      </c>
      <c r="E4441" s="41">
        <v>46171</v>
      </c>
      <c r="F4441" s="47">
        <v>0.55151620370370369</v>
      </c>
      <c r="G4441" s="42">
        <v>6.3</v>
      </c>
      <c r="H4441" s="40" t="s">
        <v>227</v>
      </c>
      <c r="I4441" s="40" t="s">
        <v>1300</v>
      </c>
    </row>
    <row r="4442" spans="1:9" x14ac:dyDescent="0.2">
      <c r="A4442" s="40" t="s">
        <v>151</v>
      </c>
      <c r="B4442" s="28">
        <v>9152</v>
      </c>
      <c r="C4442" s="28">
        <v>5694680</v>
      </c>
      <c r="D4442" s="28"/>
      <c r="E4442" s="41">
        <v>46173</v>
      </c>
      <c r="F4442" s="47">
        <v>0.31374999999999997</v>
      </c>
      <c r="G4442" s="44">
        <v>6.3</v>
      </c>
      <c r="H4442" s="43" t="s">
        <v>226</v>
      </c>
      <c r="I4442" s="40" t="s">
        <v>1300</v>
      </c>
    </row>
    <row r="4443" spans="1:9" x14ac:dyDescent="0.2">
      <c r="A4443" s="40" t="s">
        <v>151</v>
      </c>
      <c r="B4443" s="28">
        <v>9152</v>
      </c>
      <c r="C4443" s="28">
        <v>5694680</v>
      </c>
      <c r="D4443" s="28"/>
      <c r="E4443" s="41">
        <v>46173</v>
      </c>
      <c r="F4443" s="47">
        <v>0.31885416666666666</v>
      </c>
      <c r="G4443" s="44">
        <v>6.3</v>
      </c>
      <c r="H4443" s="43" t="s">
        <v>227</v>
      </c>
      <c r="I4443" s="40" t="s">
        <v>1300</v>
      </c>
    </row>
    <row r="4444" spans="1:9" x14ac:dyDescent="0.2">
      <c r="A4444" s="40" t="s">
        <v>143</v>
      </c>
      <c r="B4444" s="28">
        <v>9154</v>
      </c>
      <c r="C4444" s="28" t="s">
        <v>1240</v>
      </c>
      <c r="D4444" s="28"/>
      <c r="E4444" s="41">
        <v>46167</v>
      </c>
      <c r="F4444" s="47">
        <v>0.98372685185185182</v>
      </c>
      <c r="G4444" s="44">
        <v>6.3</v>
      </c>
      <c r="H4444" s="43" t="s">
        <v>228</v>
      </c>
      <c r="I4444" s="40" t="s">
        <v>1300</v>
      </c>
    </row>
    <row r="4445" spans="1:9" x14ac:dyDescent="0.2">
      <c r="A4445" s="40" t="s">
        <v>143</v>
      </c>
      <c r="B4445" s="28">
        <v>9154</v>
      </c>
      <c r="C4445" s="28" t="s">
        <v>1240</v>
      </c>
      <c r="D4445" s="28"/>
      <c r="E4445" s="41">
        <v>46167</v>
      </c>
      <c r="F4445" s="47">
        <v>0.99136574074074069</v>
      </c>
      <c r="G4445" s="44">
        <v>6.3</v>
      </c>
      <c r="H4445" s="43" t="s">
        <v>232</v>
      </c>
      <c r="I4445" s="40" t="s">
        <v>1300</v>
      </c>
    </row>
    <row r="4446" spans="1:9" x14ac:dyDescent="0.2">
      <c r="A4446" s="40" t="s">
        <v>143</v>
      </c>
      <c r="B4446" s="28">
        <v>9154</v>
      </c>
      <c r="C4446" s="28">
        <v>5688284</v>
      </c>
      <c r="D4446" s="28"/>
      <c r="E4446" s="41">
        <v>46169</v>
      </c>
      <c r="F4446" s="47">
        <v>0.74631944444444442</v>
      </c>
      <c r="G4446" s="44">
        <v>6.3</v>
      </c>
      <c r="H4446" s="43" t="s">
        <v>228</v>
      </c>
      <c r="I4446" s="40" t="s">
        <v>1300</v>
      </c>
    </row>
    <row r="4447" spans="1:9" x14ac:dyDescent="0.2">
      <c r="A4447" s="40" t="s">
        <v>143</v>
      </c>
      <c r="B4447" s="28">
        <v>9154</v>
      </c>
      <c r="C4447" s="28">
        <v>5690270</v>
      </c>
      <c r="D4447" s="28"/>
      <c r="E4447" s="41">
        <v>46169</v>
      </c>
      <c r="F4447" s="47">
        <v>0.8237268518518519</v>
      </c>
      <c r="G4447" s="44">
        <v>6.3</v>
      </c>
      <c r="H4447" s="43" t="s">
        <v>230</v>
      </c>
      <c r="I4447" s="40" t="s">
        <v>1300</v>
      </c>
    </row>
    <row r="4448" spans="1:9" x14ac:dyDescent="0.2">
      <c r="A4448" s="40" t="s">
        <v>143</v>
      </c>
      <c r="B4448" s="28">
        <v>9154</v>
      </c>
      <c r="C4448" s="28" t="s">
        <v>1241</v>
      </c>
      <c r="D4448" s="28"/>
      <c r="E4448" s="41">
        <v>46170</v>
      </c>
      <c r="F4448" s="47">
        <v>0.67682870370370374</v>
      </c>
      <c r="G4448" s="44">
        <v>6.3</v>
      </c>
      <c r="H4448" s="43" t="s">
        <v>228</v>
      </c>
      <c r="I4448" s="40" t="s">
        <v>1300</v>
      </c>
    </row>
    <row r="4449" spans="1:9" x14ac:dyDescent="0.2">
      <c r="A4449" s="40" t="s">
        <v>143</v>
      </c>
      <c r="B4449" s="28">
        <v>9154</v>
      </c>
      <c r="C4449" s="28" t="s">
        <v>1241</v>
      </c>
      <c r="D4449" s="28"/>
      <c r="E4449" s="41">
        <v>46170</v>
      </c>
      <c r="F4449" s="47">
        <v>0.69138888888888894</v>
      </c>
      <c r="G4449" s="44">
        <v>6.3</v>
      </c>
      <c r="H4449" s="43" t="s">
        <v>229</v>
      </c>
      <c r="I4449" s="40" t="s">
        <v>1300</v>
      </c>
    </row>
    <row r="4450" spans="1:9" x14ac:dyDescent="0.2">
      <c r="A4450" s="40" t="s">
        <v>143</v>
      </c>
      <c r="B4450" s="28">
        <v>9154</v>
      </c>
      <c r="C4450" s="28" t="s">
        <v>1242</v>
      </c>
      <c r="D4450" s="28"/>
      <c r="E4450" s="41">
        <v>46170</v>
      </c>
      <c r="F4450" s="47">
        <v>0.92678240740740736</v>
      </c>
      <c r="G4450" s="44">
        <v>6.3</v>
      </c>
      <c r="H4450" s="43" t="s">
        <v>228</v>
      </c>
      <c r="I4450" s="40" t="s">
        <v>1300</v>
      </c>
    </row>
    <row r="4451" spans="1:9" x14ac:dyDescent="0.2">
      <c r="A4451" s="40" t="s">
        <v>143</v>
      </c>
      <c r="B4451" s="28">
        <v>9154</v>
      </c>
      <c r="C4451" s="28" t="s">
        <v>1242</v>
      </c>
      <c r="D4451" s="28"/>
      <c r="E4451" s="41">
        <v>46170</v>
      </c>
      <c r="F4451" s="47">
        <v>0.93748842592592596</v>
      </c>
      <c r="G4451" s="44">
        <v>6.3</v>
      </c>
      <c r="H4451" s="43" t="s">
        <v>229</v>
      </c>
      <c r="I4451" s="40" t="s">
        <v>1300</v>
      </c>
    </row>
    <row r="4452" spans="1:9" x14ac:dyDescent="0.2">
      <c r="A4452" s="40" t="s">
        <v>244</v>
      </c>
      <c r="B4452" s="28">
        <v>9172</v>
      </c>
      <c r="C4452" s="28">
        <v>5688976</v>
      </c>
      <c r="D4452" s="28"/>
      <c r="E4452" s="41">
        <v>46168</v>
      </c>
      <c r="F4452" s="47">
        <v>0.98474537037037035</v>
      </c>
      <c r="G4452" s="44">
        <v>6.3</v>
      </c>
      <c r="H4452" s="43" t="s">
        <v>230</v>
      </c>
      <c r="I4452" s="40" t="s">
        <v>1300</v>
      </c>
    </row>
    <row r="4453" spans="1:9" x14ac:dyDescent="0.2">
      <c r="A4453" s="40" t="s">
        <v>244</v>
      </c>
      <c r="B4453" s="28">
        <v>9172</v>
      </c>
      <c r="C4453" s="28" t="s">
        <v>35</v>
      </c>
      <c r="D4453" s="28" t="s">
        <v>38</v>
      </c>
      <c r="E4453" s="41">
        <v>46170</v>
      </c>
      <c r="F4453" s="47">
        <v>1.1909722222222223E-2</v>
      </c>
      <c r="G4453" s="44">
        <v>6.3</v>
      </c>
      <c r="H4453" s="43" t="s">
        <v>230</v>
      </c>
      <c r="I4453" s="40" t="s">
        <v>1300</v>
      </c>
    </row>
    <row r="4454" spans="1:9" x14ac:dyDescent="0.2">
      <c r="A4454" s="40" t="s">
        <v>244</v>
      </c>
      <c r="B4454" s="28">
        <v>9172</v>
      </c>
      <c r="C4454" s="28" t="s">
        <v>35</v>
      </c>
      <c r="D4454" s="28" t="s">
        <v>38</v>
      </c>
      <c r="E4454" s="41">
        <v>46170</v>
      </c>
      <c r="F4454" s="47">
        <v>0.78075231481481477</v>
      </c>
      <c r="G4454" s="44">
        <v>6.3</v>
      </c>
      <c r="H4454" s="43" t="s">
        <v>229</v>
      </c>
      <c r="I4454" s="40" t="s">
        <v>1300</v>
      </c>
    </row>
    <row r="4455" spans="1:9" x14ac:dyDescent="0.2">
      <c r="A4455" s="40" t="s">
        <v>244</v>
      </c>
      <c r="B4455" s="28">
        <v>9172</v>
      </c>
      <c r="C4455" s="28">
        <v>5692319</v>
      </c>
      <c r="D4455" s="28"/>
      <c r="E4455" s="41">
        <v>46170</v>
      </c>
      <c r="F4455" s="47">
        <v>0.97966435185185186</v>
      </c>
      <c r="G4455" s="44">
        <v>6.3</v>
      </c>
      <c r="H4455" s="43" t="s">
        <v>230</v>
      </c>
      <c r="I4455" s="40" t="s">
        <v>1300</v>
      </c>
    </row>
    <row r="4456" spans="1:9" x14ac:dyDescent="0.2">
      <c r="A4456" s="40" t="s">
        <v>244</v>
      </c>
      <c r="B4456" s="28">
        <v>9172</v>
      </c>
      <c r="C4456" s="28" t="s">
        <v>35</v>
      </c>
      <c r="D4456" s="28" t="s">
        <v>38</v>
      </c>
      <c r="E4456" s="41">
        <v>46171</v>
      </c>
      <c r="F4456" s="47">
        <v>0.62607638888888884</v>
      </c>
      <c r="G4456" s="44">
        <v>6.3</v>
      </c>
      <c r="H4456" s="43" t="s">
        <v>229</v>
      </c>
      <c r="I4456" s="40" t="s">
        <v>1300</v>
      </c>
    </row>
    <row r="4457" spans="1:9" x14ac:dyDescent="0.2">
      <c r="A4457" s="40" t="s">
        <v>244</v>
      </c>
      <c r="B4457" s="28">
        <v>9172</v>
      </c>
      <c r="C4457" s="28" t="s">
        <v>35</v>
      </c>
      <c r="D4457" s="28" t="s">
        <v>38</v>
      </c>
      <c r="E4457" s="41">
        <v>46173</v>
      </c>
      <c r="F4457" s="47">
        <v>0.32900462962962962</v>
      </c>
      <c r="G4457" s="44">
        <v>6.3</v>
      </c>
      <c r="H4457" s="43" t="s">
        <v>230</v>
      </c>
      <c r="I4457" s="40" t="s">
        <v>1300</v>
      </c>
    </row>
    <row r="4458" spans="1:9" x14ac:dyDescent="0.2">
      <c r="A4458" s="40" t="s">
        <v>244</v>
      </c>
      <c r="B4458" s="28">
        <v>9172</v>
      </c>
      <c r="C4458" s="28">
        <v>5694853</v>
      </c>
      <c r="D4458" s="28"/>
      <c r="E4458" s="41">
        <v>46173</v>
      </c>
      <c r="F4458" s="47">
        <v>0.59291666666666665</v>
      </c>
      <c r="G4458" s="44">
        <v>6.3</v>
      </c>
      <c r="H4458" s="43" t="s">
        <v>227</v>
      </c>
      <c r="I4458" s="40" t="s">
        <v>1300</v>
      </c>
    </row>
    <row r="4459" spans="1:9" x14ac:dyDescent="0.2">
      <c r="A4459" s="40" t="s">
        <v>191</v>
      </c>
      <c r="B4459" s="28">
        <v>9195</v>
      </c>
      <c r="C4459" s="28">
        <v>5684282</v>
      </c>
      <c r="D4459" s="28"/>
      <c r="E4459" s="41">
        <v>46167</v>
      </c>
      <c r="F4459" s="47">
        <v>0.19530092592592593</v>
      </c>
      <c r="G4459" s="44">
        <v>6.3</v>
      </c>
      <c r="H4459" s="43" t="s">
        <v>230</v>
      </c>
      <c r="I4459" s="40" t="s">
        <v>1300</v>
      </c>
    </row>
    <row r="4460" spans="1:9" x14ac:dyDescent="0.2">
      <c r="A4460" s="40" t="s">
        <v>191</v>
      </c>
      <c r="B4460" s="28">
        <v>9195</v>
      </c>
      <c r="C4460" s="28">
        <v>5684282</v>
      </c>
      <c r="D4460" s="28"/>
      <c r="E4460" s="41">
        <v>46167</v>
      </c>
      <c r="F4460" s="47">
        <v>0.20123842592592592</v>
      </c>
      <c r="G4460" s="44">
        <v>6.3</v>
      </c>
      <c r="H4460" s="43" t="s">
        <v>227</v>
      </c>
      <c r="I4460" s="40" t="s">
        <v>1300</v>
      </c>
    </row>
    <row r="4461" spans="1:9" x14ac:dyDescent="0.2">
      <c r="A4461" s="40" t="s">
        <v>191</v>
      </c>
      <c r="B4461" s="28">
        <v>9195</v>
      </c>
      <c r="C4461" s="28">
        <v>5684512</v>
      </c>
      <c r="D4461" s="28"/>
      <c r="E4461" s="41">
        <v>46167</v>
      </c>
      <c r="F4461" s="47">
        <v>0.98516203703703709</v>
      </c>
      <c r="G4461" s="44">
        <v>6.3</v>
      </c>
      <c r="H4461" s="43" t="s">
        <v>228</v>
      </c>
      <c r="I4461" s="40" t="s">
        <v>1300</v>
      </c>
    </row>
    <row r="4462" spans="1:9" x14ac:dyDescent="0.2">
      <c r="A4462" s="40" t="s">
        <v>191</v>
      </c>
      <c r="B4462" s="28">
        <v>9195</v>
      </c>
      <c r="C4462" s="28">
        <v>5684512</v>
      </c>
      <c r="D4462" s="28"/>
      <c r="E4462" s="41">
        <v>46167</v>
      </c>
      <c r="F4462" s="47">
        <v>0.99285879629629625</v>
      </c>
      <c r="G4462" s="44">
        <v>6.3</v>
      </c>
      <c r="H4462" s="43" t="s">
        <v>229</v>
      </c>
      <c r="I4462" s="40" t="s">
        <v>1300</v>
      </c>
    </row>
    <row r="4463" spans="1:9" x14ac:dyDescent="0.2">
      <c r="A4463" s="40" t="s">
        <v>191</v>
      </c>
      <c r="B4463" s="28">
        <v>9195</v>
      </c>
      <c r="C4463" s="28">
        <v>5685961</v>
      </c>
      <c r="D4463" s="28"/>
      <c r="E4463" s="41">
        <v>46168</v>
      </c>
      <c r="F4463" s="47">
        <v>0.12741898148148148</v>
      </c>
      <c r="G4463" s="44">
        <v>6.3</v>
      </c>
      <c r="H4463" s="43" t="s">
        <v>230</v>
      </c>
      <c r="I4463" s="40" t="s">
        <v>1300</v>
      </c>
    </row>
    <row r="4464" spans="1:9" x14ac:dyDescent="0.2">
      <c r="A4464" s="40" t="s">
        <v>191</v>
      </c>
      <c r="B4464" s="28">
        <v>9195</v>
      </c>
      <c r="C4464" s="28">
        <v>5685961</v>
      </c>
      <c r="D4464" s="28"/>
      <c r="E4464" s="41">
        <v>46168</v>
      </c>
      <c r="F4464" s="47">
        <v>0.13460648148148149</v>
      </c>
      <c r="G4464" s="44">
        <v>6.3</v>
      </c>
      <c r="H4464" s="43" t="s">
        <v>227</v>
      </c>
      <c r="I4464" s="40" t="s">
        <v>1300</v>
      </c>
    </row>
    <row r="4465" spans="1:9" x14ac:dyDescent="0.2">
      <c r="A4465" s="40" t="s">
        <v>191</v>
      </c>
      <c r="B4465" s="28">
        <v>9195</v>
      </c>
      <c r="C4465" s="28">
        <v>5687934</v>
      </c>
      <c r="D4465" s="28" t="s">
        <v>36</v>
      </c>
      <c r="E4465" s="41">
        <v>46170</v>
      </c>
      <c r="F4465" s="47">
        <v>1.6203703703703703E-2</v>
      </c>
      <c r="G4465" s="44">
        <v>6.3</v>
      </c>
      <c r="H4465" s="43" t="s">
        <v>228</v>
      </c>
      <c r="I4465" s="40" t="s">
        <v>1300</v>
      </c>
    </row>
    <row r="4466" spans="1:9" x14ac:dyDescent="0.2">
      <c r="A4466" s="40" t="s">
        <v>191</v>
      </c>
      <c r="B4466" s="28">
        <v>9195</v>
      </c>
      <c r="C4466" s="28">
        <v>5687934</v>
      </c>
      <c r="D4466" s="28" t="s">
        <v>36</v>
      </c>
      <c r="E4466" s="41">
        <v>46170</v>
      </c>
      <c r="F4466" s="47">
        <v>2.417824074074074E-2</v>
      </c>
      <c r="G4466" s="42">
        <v>6.3</v>
      </c>
      <c r="H4466" s="40" t="s">
        <v>229</v>
      </c>
      <c r="I4466" s="40" t="s">
        <v>1300</v>
      </c>
    </row>
    <row r="4467" spans="1:9" x14ac:dyDescent="0.2">
      <c r="A4467" s="40" t="s">
        <v>191</v>
      </c>
      <c r="B4467" s="28">
        <v>9195</v>
      </c>
      <c r="C4467" s="28">
        <v>5693347</v>
      </c>
      <c r="D4467" s="28"/>
      <c r="E4467" s="41">
        <v>46173</v>
      </c>
      <c r="F4467" s="47">
        <v>1.0416666666666667E-4</v>
      </c>
      <c r="G4467" s="42">
        <v>6.3</v>
      </c>
      <c r="H4467" s="40" t="s">
        <v>228</v>
      </c>
      <c r="I4467" s="40" t="s">
        <v>1300</v>
      </c>
    </row>
    <row r="4468" spans="1:9" x14ac:dyDescent="0.2">
      <c r="A4468" s="40" t="s">
        <v>191</v>
      </c>
      <c r="B4468" s="28">
        <v>9195</v>
      </c>
      <c r="C4468" s="28">
        <v>5693347</v>
      </c>
      <c r="D4468" s="28"/>
      <c r="E4468" s="41">
        <v>46173</v>
      </c>
      <c r="F4468" s="47">
        <v>7.7314814814814815E-3</v>
      </c>
      <c r="G4468" s="42">
        <v>6.3</v>
      </c>
      <c r="H4468" s="40" t="s">
        <v>229</v>
      </c>
      <c r="I4468" s="40" t="s">
        <v>1300</v>
      </c>
    </row>
    <row r="4469" spans="1:9" x14ac:dyDescent="0.2">
      <c r="A4469" s="40" t="s">
        <v>191</v>
      </c>
      <c r="B4469" s="28">
        <v>9195</v>
      </c>
      <c r="C4469" s="28" t="s">
        <v>1243</v>
      </c>
      <c r="D4469" s="28"/>
      <c r="E4469" s="41">
        <v>46173</v>
      </c>
      <c r="F4469" s="47">
        <v>0.13157407407407407</v>
      </c>
      <c r="G4469" s="42">
        <v>6.3</v>
      </c>
      <c r="H4469" s="40" t="s">
        <v>226</v>
      </c>
      <c r="I4469" s="40" t="s">
        <v>1300</v>
      </c>
    </row>
    <row r="4470" spans="1:9" x14ac:dyDescent="0.2">
      <c r="A4470" s="40" t="s">
        <v>191</v>
      </c>
      <c r="B4470" s="28">
        <v>9195</v>
      </c>
      <c r="C4470" s="28" t="s">
        <v>1243</v>
      </c>
      <c r="D4470" s="28"/>
      <c r="E4470" s="41">
        <v>46173</v>
      </c>
      <c r="F4470" s="47">
        <v>0.13739583333333333</v>
      </c>
      <c r="G4470" s="44">
        <v>6.3</v>
      </c>
      <c r="H4470" s="43" t="s">
        <v>227</v>
      </c>
      <c r="I4470" s="40" t="s">
        <v>1300</v>
      </c>
    </row>
    <row r="4471" spans="1:9" x14ac:dyDescent="0.2">
      <c r="A4471" s="40" t="s">
        <v>165</v>
      </c>
      <c r="B4471" s="28">
        <v>9204</v>
      </c>
      <c r="C4471" s="28">
        <v>5685249</v>
      </c>
      <c r="D4471" s="28"/>
      <c r="E4471" s="41">
        <v>46167</v>
      </c>
      <c r="F4471" s="47">
        <v>0.39430555555555558</v>
      </c>
      <c r="G4471" s="44">
        <v>6.3</v>
      </c>
      <c r="H4471" s="43" t="s">
        <v>230</v>
      </c>
      <c r="I4471" s="40" t="s">
        <v>1300</v>
      </c>
    </row>
    <row r="4472" spans="1:9" x14ac:dyDescent="0.2">
      <c r="A4472" s="40" t="s">
        <v>165</v>
      </c>
      <c r="B4472" s="28">
        <v>9204</v>
      </c>
      <c r="C4472" s="28">
        <v>5688125</v>
      </c>
      <c r="D4472" s="28"/>
      <c r="E4472" s="41">
        <v>46168</v>
      </c>
      <c r="F4472" s="47">
        <v>0.76165509259259256</v>
      </c>
      <c r="G4472" s="44">
        <v>6.3</v>
      </c>
      <c r="H4472" s="43" t="s">
        <v>234</v>
      </c>
      <c r="I4472" s="40" t="s">
        <v>1300</v>
      </c>
    </row>
    <row r="4473" spans="1:9" x14ac:dyDescent="0.2">
      <c r="A4473" s="40" t="s">
        <v>165</v>
      </c>
      <c r="B4473" s="28">
        <v>9204</v>
      </c>
      <c r="C4473" s="28">
        <v>5692960</v>
      </c>
      <c r="D4473" s="28"/>
      <c r="E4473" s="41">
        <v>46171</v>
      </c>
      <c r="F4473" s="47">
        <v>0.51524305555555561</v>
      </c>
      <c r="G4473" s="44">
        <v>6.3</v>
      </c>
      <c r="H4473" s="43" t="s">
        <v>228</v>
      </c>
      <c r="I4473" s="40" t="s">
        <v>1300</v>
      </c>
    </row>
    <row r="4474" spans="1:9" x14ac:dyDescent="0.2">
      <c r="A4474" s="40" t="s">
        <v>165</v>
      </c>
      <c r="B4474" s="28">
        <v>9204</v>
      </c>
      <c r="C4474" s="28">
        <v>5692960</v>
      </c>
      <c r="D4474" s="28"/>
      <c r="E4474" s="41">
        <v>46171</v>
      </c>
      <c r="F4474" s="47">
        <v>0.52984953703703708</v>
      </c>
      <c r="G4474" s="44">
        <v>6.3</v>
      </c>
      <c r="H4474" s="43" t="s">
        <v>232</v>
      </c>
      <c r="I4474" s="40" t="s">
        <v>1300</v>
      </c>
    </row>
    <row r="4475" spans="1:9" x14ac:dyDescent="0.2">
      <c r="A4475" s="40" t="s">
        <v>166</v>
      </c>
      <c r="B4475" s="28">
        <v>9214</v>
      </c>
      <c r="C4475" s="28">
        <v>5685785</v>
      </c>
      <c r="D4475" s="28"/>
      <c r="E4475" s="41">
        <v>46167</v>
      </c>
      <c r="F4475" s="47">
        <v>0.48726851851851855</v>
      </c>
      <c r="G4475" s="44">
        <v>6.3</v>
      </c>
      <c r="H4475" s="43" t="s">
        <v>228</v>
      </c>
      <c r="I4475" s="40" t="s">
        <v>1300</v>
      </c>
    </row>
    <row r="4476" spans="1:9" x14ac:dyDescent="0.2">
      <c r="A4476" s="40" t="s">
        <v>166</v>
      </c>
      <c r="B4476" s="28">
        <v>9214</v>
      </c>
      <c r="C4476" s="28">
        <v>5685785</v>
      </c>
      <c r="D4476" s="28"/>
      <c r="E4476" s="41">
        <v>46167</v>
      </c>
      <c r="F4476" s="47">
        <v>0.49626157407407406</v>
      </c>
      <c r="G4476" s="44">
        <v>6.3</v>
      </c>
      <c r="H4476" s="43" t="s">
        <v>229</v>
      </c>
      <c r="I4476" s="40" t="s">
        <v>1300</v>
      </c>
    </row>
    <row r="4477" spans="1:9" x14ac:dyDescent="0.2">
      <c r="A4477" s="40" t="s">
        <v>166</v>
      </c>
      <c r="B4477" s="28">
        <v>9214</v>
      </c>
      <c r="C4477" s="28">
        <v>5689473</v>
      </c>
      <c r="D4477" s="28"/>
      <c r="E4477" s="41">
        <v>46170</v>
      </c>
      <c r="F4477" s="47">
        <v>0.33799768518518519</v>
      </c>
      <c r="G4477" s="42">
        <v>6.3</v>
      </c>
      <c r="H4477" s="40" t="s">
        <v>226</v>
      </c>
      <c r="I4477" s="40" t="s">
        <v>1300</v>
      </c>
    </row>
    <row r="4478" spans="1:9" x14ac:dyDescent="0.2">
      <c r="A4478" s="40" t="s">
        <v>166</v>
      </c>
      <c r="B4478" s="28">
        <v>9214</v>
      </c>
      <c r="C4478" s="28">
        <v>5691316</v>
      </c>
      <c r="D4478" s="28"/>
      <c r="E4478" s="41">
        <v>46170</v>
      </c>
      <c r="F4478" s="47">
        <v>0.78266203703703707</v>
      </c>
      <c r="G4478" s="42">
        <v>6.3</v>
      </c>
      <c r="H4478" s="40" t="s">
        <v>228</v>
      </c>
      <c r="I4478" s="40" t="s">
        <v>1300</v>
      </c>
    </row>
    <row r="4479" spans="1:9" x14ac:dyDescent="0.2">
      <c r="A4479" s="40" t="s">
        <v>166</v>
      </c>
      <c r="B4479" s="28">
        <v>9214</v>
      </c>
      <c r="C4479" s="28">
        <v>5691316</v>
      </c>
      <c r="D4479" s="28"/>
      <c r="E4479" s="41">
        <v>46170</v>
      </c>
      <c r="F4479" s="47">
        <v>0.79535879629629624</v>
      </c>
      <c r="G4479" s="44">
        <v>6.3</v>
      </c>
      <c r="H4479" s="43" t="s">
        <v>229</v>
      </c>
      <c r="I4479" s="40" t="s">
        <v>1300</v>
      </c>
    </row>
    <row r="4480" spans="1:9" x14ac:dyDescent="0.2">
      <c r="A4480" s="40" t="s">
        <v>158</v>
      </c>
      <c r="B4480" s="28">
        <v>9226</v>
      </c>
      <c r="C4480" s="28">
        <v>5689505</v>
      </c>
      <c r="D4480" s="28"/>
      <c r="E4480" s="41">
        <v>46169</v>
      </c>
      <c r="F4480" s="47">
        <v>0.5628009259259259</v>
      </c>
      <c r="G4480" s="44">
        <v>6.3</v>
      </c>
      <c r="H4480" s="43" t="s">
        <v>228</v>
      </c>
      <c r="I4480" s="40" t="s">
        <v>1300</v>
      </c>
    </row>
    <row r="4481" spans="1:9" x14ac:dyDescent="0.2">
      <c r="A4481" s="40" t="s">
        <v>158</v>
      </c>
      <c r="B4481" s="28">
        <v>9226</v>
      </c>
      <c r="C4481" s="28">
        <v>5689505</v>
      </c>
      <c r="D4481" s="28"/>
      <c r="E4481" s="41">
        <v>46169</v>
      </c>
      <c r="F4481" s="47">
        <v>0.57049768518518518</v>
      </c>
      <c r="G4481" s="44">
        <v>6.3</v>
      </c>
      <c r="H4481" s="43" t="s">
        <v>232</v>
      </c>
      <c r="I4481" s="40" t="s">
        <v>1300</v>
      </c>
    </row>
    <row r="4482" spans="1:9" x14ac:dyDescent="0.2">
      <c r="A4482" s="40" t="s">
        <v>158</v>
      </c>
      <c r="B4482" s="28">
        <v>9226</v>
      </c>
      <c r="C4482" s="28">
        <v>5693005</v>
      </c>
      <c r="D4482" s="28"/>
      <c r="E4482" s="41">
        <v>46171</v>
      </c>
      <c r="F4482" s="47">
        <v>0.53903935185185181</v>
      </c>
      <c r="G4482" s="44">
        <v>6.3</v>
      </c>
      <c r="H4482" s="43" t="s">
        <v>228</v>
      </c>
      <c r="I4482" s="40" t="s">
        <v>1300</v>
      </c>
    </row>
    <row r="4483" spans="1:9" x14ac:dyDescent="0.2">
      <c r="A4483" s="40" t="s">
        <v>158</v>
      </c>
      <c r="B4483" s="28">
        <v>9226</v>
      </c>
      <c r="C4483" s="28">
        <v>5693005</v>
      </c>
      <c r="D4483" s="28"/>
      <c r="E4483" s="41">
        <v>46171</v>
      </c>
      <c r="F4483" s="47">
        <v>0.55076388888888894</v>
      </c>
      <c r="G4483" s="44">
        <v>6.3</v>
      </c>
      <c r="H4483" s="43" t="s">
        <v>229</v>
      </c>
      <c r="I4483" s="40" t="s">
        <v>1300</v>
      </c>
    </row>
    <row r="4484" spans="1:9" x14ac:dyDescent="0.2">
      <c r="A4484" s="40" t="s">
        <v>158</v>
      </c>
      <c r="B4484" s="28">
        <v>9226</v>
      </c>
      <c r="C4484" s="28">
        <v>5693697</v>
      </c>
      <c r="D4484" s="28"/>
      <c r="E4484" s="41">
        <v>46171</v>
      </c>
      <c r="F4484" s="47">
        <v>0.90721064814814811</v>
      </c>
      <c r="G4484" s="44">
        <v>6.3</v>
      </c>
      <c r="H4484" s="43" t="s">
        <v>230</v>
      </c>
      <c r="I4484" s="40" t="s">
        <v>1300</v>
      </c>
    </row>
    <row r="4485" spans="1:9" x14ac:dyDescent="0.2">
      <c r="A4485" s="40" t="s">
        <v>158</v>
      </c>
      <c r="B4485" s="28">
        <v>9226</v>
      </c>
      <c r="C4485" s="28">
        <v>5693697</v>
      </c>
      <c r="D4485" s="28"/>
      <c r="E4485" s="41">
        <v>46171</v>
      </c>
      <c r="F4485" s="47">
        <v>0.91909722222222223</v>
      </c>
      <c r="G4485" s="44">
        <v>6.3</v>
      </c>
      <c r="H4485" s="43" t="s">
        <v>227</v>
      </c>
      <c r="I4485" s="40" t="s">
        <v>1300</v>
      </c>
    </row>
    <row r="4486" spans="1:9" x14ac:dyDescent="0.2">
      <c r="A4486" s="40" t="s">
        <v>158</v>
      </c>
      <c r="B4486" s="28">
        <v>9226</v>
      </c>
      <c r="C4486" s="28">
        <v>5694888</v>
      </c>
      <c r="D4486" s="28"/>
      <c r="E4486" s="41">
        <v>46172</v>
      </c>
      <c r="F4486" s="47">
        <v>0.7564467592592593</v>
      </c>
      <c r="G4486" s="44">
        <v>6.3</v>
      </c>
      <c r="H4486" s="43" t="s">
        <v>227</v>
      </c>
      <c r="I4486" s="40" t="s">
        <v>1300</v>
      </c>
    </row>
    <row r="4487" spans="1:9" x14ac:dyDescent="0.2">
      <c r="A4487" s="40" t="s">
        <v>158</v>
      </c>
      <c r="B4487" s="28">
        <v>9226</v>
      </c>
      <c r="C4487" s="28" t="s">
        <v>35</v>
      </c>
      <c r="D4487" s="28" t="s">
        <v>38</v>
      </c>
      <c r="E4487" s="41">
        <v>46173</v>
      </c>
      <c r="F4487" s="47">
        <v>0.70620370370370367</v>
      </c>
      <c r="G4487" s="44">
        <v>6.3</v>
      </c>
      <c r="H4487" s="43" t="s">
        <v>232</v>
      </c>
      <c r="I4487" s="40" t="s">
        <v>1300</v>
      </c>
    </row>
    <row r="4488" spans="1:9" x14ac:dyDescent="0.2">
      <c r="A4488" s="40" t="s">
        <v>158</v>
      </c>
      <c r="B4488" s="28">
        <v>9226</v>
      </c>
      <c r="C4488" s="28">
        <v>5695037</v>
      </c>
      <c r="D4488" s="28"/>
      <c r="E4488" s="41">
        <v>46173</v>
      </c>
      <c r="F4488" s="47">
        <v>0.78873842592592591</v>
      </c>
      <c r="G4488" s="44">
        <v>6.3</v>
      </c>
      <c r="H4488" s="43" t="s">
        <v>231</v>
      </c>
      <c r="I4488" s="40" t="s">
        <v>1300</v>
      </c>
    </row>
    <row r="4489" spans="1:9" x14ac:dyDescent="0.2">
      <c r="A4489" s="40" t="s">
        <v>158</v>
      </c>
      <c r="B4489" s="28">
        <v>9226</v>
      </c>
      <c r="C4489" s="28">
        <v>5695037</v>
      </c>
      <c r="D4489" s="28"/>
      <c r="E4489" s="41">
        <v>46173</v>
      </c>
      <c r="F4489" s="47">
        <v>0.79314814814814816</v>
      </c>
      <c r="G4489" s="44">
        <v>6.3</v>
      </c>
      <c r="H4489" s="43" t="s">
        <v>227</v>
      </c>
      <c r="I4489" s="40" t="s">
        <v>1300</v>
      </c>
    </row>
    <row r="4490" spans="1:9" x14ac:dyDescent="0.2">
      <c r="A4490" s="40" t="s">
        <v>303</v>
      </c>
      <c r="B4490" s="28">
        <v>9234</v>
      </c>
      <c r="C4490" s="28" t="s">
        <v>35</v>
      </c>
      <c r="D4490" s="28" t="s">
        <v>38</v>
      </c>
      <c r="E4490" s="41">
        <v>46168</v>
      </c>
      <c r="F4490" s="47">
        <v>0.43815972222222221</v>
      </c>
      <c r="G4490" s="44">
        <v>6.3</v>
      </c>
      <c r="H4490" s="43" t="s">
        <v>230</v>
      </c>
      <c r="I4490" s="40" t="s">
        <v>1300</v>
      </c>
    </row>
    <row r="4491" spans="1:9" x14ac:dyDescent="0.2">
      <c r="A4491" s="40" t="s">
        <v>303</v>
      </c>
      <c r="B4491" s="28">
        <v>9234</v>
      </c>
      <c r="C4491" s="28" t="s">
        <v>35</v>
      </c>
      <c r="D4491" s="28" t="s">
        <v>38</v>
      </c>
      <c r="E4491" s="41">
        <v>46168</v>
      </c>
      <c r="F4491" s="47">
        <v>0.4525925925925926</v>
      </c>
      <c r="G4491" s="44">
        <v>6.3</v>
      </c>
      <c r="H4491" s="43" t="s">
        <v>227</v>
      </c>
      <c r="I4491" s="40" t="s">
        <v>1300</v>
      </c>
    </row>
    <row r="4492" spans="1:9" x14ac:dyDescent="0.2">
      <c r="A4492" s="40" t="s">
        <v>303</v>
      </c>
      <c r="B4492" s="28">
        <v>9234</v>
      </c>
      <c r="C4492" s="28">
        <v>5689402</v>
      </c>
      <c r="D4492" s="28"/>
      <c r="E4492" s="41">
        <v>46169</v>
      </c>
      <c r="F4492" s="47">
        <v>0.45399305555555558</v>
      </c>
      <c r="G4492" s="44">
        <v>6.3</v>
      </c>
      <c r="H4492" s="43" t="s">
        <v>233</v>
      </c>
      <c r="I4492" s="40" t="s">
        <v>1300</v>
      </c>
    </row>
    <row r="4493" spans="1:9" x14ac:dyDescent="0.2">
      <c r="A4493" s="40" t="s">
        <v>303</v>
      </c>
      <c r="B4493" s="28">
        <v>9234</v>
      </c>
      <c r="C4493" s="28">
        <v>5689402</v>
      </c>
      <c r="D4493" s="28"/>
      <c r="E4493" s="41">
        <v>46169</v>
      </c>
      <c r="F4493" s="47">
        <v>0.57641203703703703</v>
      </c>
      <c r="G4493" s="44">
        <v>6.3</v>
      </c>
      <c r="H4493" s="43" t="s">
        <v>229</v>
      </c>
      <c r="I4493" s="40" t="s">
        <v>1300</v>
      </c>
    </row>
    <row r="4494" spans="1:9" x14ac:dyDescent="0.2">
      <c r="A4494" s="40" t="s">
        <v>303</v>
      </c>
      <c r="B4494" s="28">
        <v>9234</v>
      </c>
      <c r="C4494" s="28" t="s">
        <v>35</v>
      </c>
      <c r="D4494" s="28" t="s">
        <v>38</v>
      </c>
      <c r="E4494" s="41">
        <v>46171</v>
      </c>
      <c r="F4494" s="47">
        <v>0.49819444444444444</v>
      </c>
      <c r="G4494" s="44">
        <v>6.3</v>
      </c>
      <c r="H4494" s="43" t="s">
        <v>228</v>
      </c>
      <c r="I4494" s="40" t="s">
        <v>1300</v>
      </c>
    </row>
    <row r="4495" spans="1:9" x14ac:dyDescent="0.2">
      <c r="A4495" s="40" t="s">
        <v>303</v>
      </c>
      <c r="B4495" s="28">
        <v>9234</v>
      </c>
      <c r="C4495" s="28" t="s">
        <v>35</v>
      </c>
      <c r="D4495" s="28" t="s">
        <v>38</v>
      </c>
      <c r="E4495" s="41">
        <v>46171</v>
      </c>
      <c r="F4495" s="47">
        <v>0.52307870370370368</v>
      </c>
      <c r="G4495" s="44">
        <v>6.3</v>
      </c>
      <c r="H4495" s="43" t="s">
        <v>229</v>
      </c>
      <c r="I4495" s="40" t="s">
        <v>1300</v>
      </c>
    </row>
    <row r="4496" spans="1:9" x14ac:dyDescent="0.2">
      <c r="A4496" s="40" t="s">
        <v>303</v>
      </c>
      <c r="B4496" s="28">
        <v>9234</v>
      </c>
      <c r="C4496" s="28" t="s">
        <v>35</v>
      </c>
      <c r="D4496" s="28" t="s">
        <v>38</v>
      </c>
      <c r="E4496" s="41">
        <v>46172</v>
      </c>
      <c r="F4496" s="47">
        <v>0.45178240740740738</v>
      </c>
      <c r="G4496" s="44">
        <v>6.3</v>
      </c>
      <c r="H4496" s="43" t="s">
        <v>234</v>
      </c>
      <c r="I4496" s="40" t="s">
        <v>1300</v>
      </c>
    </row>
    <row r="4497" spans="1:9" x14ac:dyDescent="0.2">
      <c r="A4497" s="40" t="s">
        <v>163</v>
      </c>
      <c r="B4497" s="28">
        <v>9245</v>
      </c>
      <c r="C4497" s="28">
        <v>5685203</v>
      </c>
      <c r="D4497" s="28"/>
      <c r="E4497" s="41">
        <v>46167</v>
      </c>
      <c r="F4497" s="47">
        <v>0.14930555555555555</v>
      </c>
      <c r="G4497" s="44">
        <v>6.3</v>
      </c>
      <c r="H4497" s="43" t="s">
        <v>226</v>
      </c>
      <c r="I4497" s="40" t="s">
        <v>1300</v>
      </c>
    </row>
    <row r="4498" spans="1:9" x14ac:dyDescent="0.2">
      <c r="A4498" s="40" t="s">
        <v>163</v>
      </c>
      <c r="B4498" s="28">
        <v>9245</v>
      </c>
      <c r="C4498" s="28">
        <v>5685203</v>
      </c>
      <c r="D4498" s="28"/>
      <c r="E4498" s="41">
        <v>46167</v>
      </c>
      <c r="F4498" s="47">
        <v>0.15501157407407407</v>
      </c>
      <c r="G4498" s="44">
        <v>6.3</v>
      </c>
      <c r="H4498" s="43" t="s">
        <v>227</v>
      </c>
      <c r="I4498" s="40" t="s">
        <v>1300</v>
      </c>
    </row>
    <row r="4499" spans="1:9" x14ac:dyDescent="0.2">
      <c r="A4499" s="40" t="s">
        <v>163</v>
      </c>
      <c r="B4499" s="28">
        <v>9245</v>
      </c>
      <c r="C4499" s="28" t="s">
        <v>35</v>
      </c>
      <c r="D4499" s="28" t="s">
        <v>38</v>
      </c>
      <c r="E4499" s="41">
        <v>46167</v>
      </c>
      <c r="F4499" s="47">
        <v>0.63079861111111113</v>
      </c>
      <c r="G4499" s="44">
        <v>6.3</v>
      </c>
      <c r="H4499" s="43" t="s">
        <v>230</v>
      </c>
      <c r="I4499" s="40" t="s">
        <v>1300</v>
      </c>
    </row>
    <row r="4500" spans="1:9" x14ac:dyDescent="0.2">
      <c r="A4500" s="40" t="s">
        <v>163</v>
      </c>
      <c r="B4500" s="28">
        <v>9245</v>
      </c>
      <c r="C4500" s="28" t="s">
        <v>35</v>
      </c>
      <c r="D4500" s="28" t="s">
        <v>38</v>
      </c>
      <c r="E4500" s="41">
        <v>46167</v>
      </c>
      <c r="F4500" s="47">
        <v>0.63615740740740745</v>
      </c>
      <c r="G4500" s="44">
        <v>6.3</v>
      </c>
      <c r="H4500" s="43" t="s">
        <v>227</v>
      </c>
      <c r="I4500" s="40" t="s">
        <v>1300</v>
      </c>
    </row>
    <row r="4501" spans="1:9" x14ac:dyDescent="0.2">
      <c r="A4501" s="40" t="s">
        <v>163</v>
      </c>
      <c r="B4501" s="28">
        <v>9245</v>
      </c>
      <c r="C4501" s="28">
        <v>5686085</v>
      </c>
      <c r="D4501" s="28"/>
      <c r="E4501" s="41">
        <v>46167</v>
      </c>
      <c r="F4501" s="47">
        <v>0.69738425925925929</v>
      </c>
      <c r="G4501" s="44">
        <v>6.3</v>
      </c>
      <c r="H4501" s="43" t="s">
        <v>228</v>
      </c>
      <c r="I4501" s="40" t="s">
        <v>1300</v>
      </c>
    </row>
    <row r="4502" spans="1:9" x14ac:dyDescent="0.2">
      <c r="A4502" s="40" t="s">
        <v>163</v>
      </c>
      <c r="B4502" s="28">
        <v>9245</v>
      </c>
      <c r="C4502" s="28">
        <v>5686085</v>
      </c>
      <c r="D4502" s="28"/>
      <c r="E4502" s="41">
        <v>46167</v>
      </c>
      <c r="F4502" s="47">
        <v>0.70973379629629629</v>
      </c>
      <c r="G4502" s="42">
        <v>6.3</v>
      </c>
      <c r="H4502" s="40" t="s">
        <v>229</v>
      </c>
      <c r="I4502" s="40" t="s">
        <v>1300</v>
      </c>
    </row>
    <row r="4503" spans="1:9" x14ac:dyDescent="0.2">
      <c r="A4503" s="40" t="s">
        <v>163</v>
      </c>
      <c r="B4503" s="28">
        <v>9245</v>
      </c>
      <c r="C4503" s="28">
        <v>5688265</v>
      </c>
      <c r="D4503" s="28"/>
      <c r="E4503" s="41">
        <v>46169</v>
      </c>
      <c r="F4503" s="47">
        <v>0.30237268518518517</v>
      </c>
      <c r="G4503" s="44">
        <v>6.3</v>
      </c>
      <c r="H4503" s="43" t="s">
        <v>230</v>
      </c>
      <c r="I4503" s="40" t="s">
        <v>1300</v>
      </c>
    </row>
    <row r="4504" spans="1:9" x14ac:dyDescent="0.2">
      <c r="A4504" s="40" t="s">
        <v>163</v>
      </c>
      <c r="B4504" s="28">
        <v>9245</v>
      </c>
      <c r="C4504" s="28">
        <v>5690621</v>
      </c>
      <c r="D4504" s="28"/>
      <c r="E4504" s="41">
        <v>46170</v>
      </c>
      <c r="F4504" s="47">
        <v>0.21104166666666666</v>
      </c>
      <c r="G4504" s="44">
        <v>6.3</v>
      </c>
      <c r="H4504" s="43" t="s">
        <v>230</v>
      </c>
      <c r="I4504" s="40" t="s">
        <v>1300</v>
      </c>
    </row>
    <row r="4505" spans="1:9" x14ac:dyDescent="0.2">
      <c r="A4505" s="40" t="s">
        <v>163</v>
      </c>
      <c r="B4505" s="28">
        <v>9245</v>
      </c>
      <c r="C4505" s="28">
        <v>5690621</v>
      </c>
      <c r="D4505" s="28"/>
      <c r="E4505" s="41">
        <v>46170</v>
      </c>
      <c r="F4505" s="47">
        <v>0.21604166666666666</v>
      </c>
      <c r="G4505" s="44">
        <v>6.3</v>
      </c>
      <c r="H4505" s="43" t="s">
        <v>227</v>
      </c>
      <c r="I4505" s="40" t="s">
        <v>1300</v>
      </c>
    </row>
    <row r="4506" spans="1:9" x14ac:dyDescent="0.2">
      <c r="A4506" s="40" t="s">
        <v>163</v>
      </c>
      <c r="B4506" s="28">
        <v>9245</v>
      </c>
      <c r="C4506" s="28" t="s">
        <v>35</v>
      </c>
      <c r="D4506" s="28" t="s">
        <v>38</v>
      </c>
      <c r="E4506" s="41">
        <v>46172</v>
      </c>
      <c r="F4506" s="47">
        <v>1.1331018518518518E-2</v>
      </c>
      <c r="G4506" s="44">
        <v>6.3</v>
      </c>
      <c r="H4506" s="43" t="s">
        <v>230</v>
      </c>
      <c r="I4506" s="40" t="s">
        <v>1300</v>
      </c>
    </row>
    <row r="4507" spans="1:9" x14ac:dyDescent="0.2">
      <c r="A4507" s="40" t="s">
        <v>163</v>
      </c>
      <c r="B4507" s="28">
        <v>9245</v>
      </c>
      <c r="C4507" s="28" t="s">
        <v>35</v>
      </c>
      <c r="D4507" s="28" t="s">
        <v>38</v>
      </c>
      <c r="E4507" s="41">
        <v>46172</v>
      </c>
      <c r="F4507" s="47">
        <v>0.16181712962962963</v>
      </c>
      <c r="G4507" s="42">
        <v>6.3</v>
      </c>
      <c r="H4507" s="40" t="s">
        <v>229</v>
      </c>
      <c r="I4507" s="40" t="s">
        <v>1300</v>
      </c>
    </row>
    <row r="4508" spans="1:9" x14ac:dyDescent="0.2">
      <c r="A4508" s="40" t="s">
        <v>163</v>
      </c>
      <c r="B4508" s="28">
        <v>9245</v>
      </c>
      <c r="C4508" s="28">
        <v>5695651</v>
      </c>
      <c r="D4508" s="28"/>
      <c r="E4508" s="41">
        <v>46173</v>
      </c>
      <c r="F4508" s="47">
        <v>0.60348379629629634</v>
      </c>
      <c r="G4508" s="42">
        <v>6.3</v>
      </c>
      <c r="H4508" s="40" t="s">
        <v>230</v>
      </c>
      <c r="I4508" s="40" t="s">
        <v>1300</v>
      </c>
    </row>
    <row r="4509" spans="1:9" x14ac:dyDescent="0.2">
      <c r="A4509" s="40" t="s">
        <v>163</v>
      </c>
      <c r="B4509" s="28">
        <v>9245</v>
      </c>
      <c r="C4509" s="28">
        <v>5695651</v>
      </c>
      <c r="D4509" s="28"/>
      <c r="E4509" s="41">
        <v>46173</v>
      </c>
      <c r="F4509" s="47">
        <v>0.60834490740740743</v>
      </c>
      <c r="G4509" s="42">
        <v>6.3</v>
      </c>
      <c r="H4509" s="40" t="s">
        <v>227</v>
      </c>
      <c r="I4509" s="40" t="s">
        <v>1300</v>
      </c>
    </row>
    <row r="4510" spans="1:9" x14ac:dyDescent="0.2">
      <c r="A4510" s="40" t="s">
        <v>163</v>
      </c>
      <c r="B4510" s="28">
        <v>9245</v>
      </c>
      <c r="C4510" s="28" t="s">
        <v>35</v>
      </c>
      <c r="D4510" s="28" t="s">
        <v>38</v>
      </c>
      <c r="E4510" s="41">
        <v>46173</v>
      </c>
      <c r="F4510" s="47">
        <v>0.7593981481481481</v>
      </c>
      <c r="G4510" s="42">
        <v>6.3</v>
      </c>
      <c r="H4510" s="40" t="s">
        <v>228</v>
      </c>
      <c r="I4510" s="40" t="s">
        <v>1300</v>
      </c>
    </row>
    <row r="4511" spans="1:9" x14ac:dyDescent="0.2">
      <c r="A4511" s="40" t="s">
        <v>106</v>
      </c>
      <c r="B4511" s="28">
        <v>9259</v>
      </c>
      <c r="C4511" s="28" t="s">
        <v>1244</v>
      </c>
      <c r="D4511" s="28"/>
      <c r="E4511" s="41">
        <v>46168</v>
      </c>
      <c r="F4511" s="47">
        <v>0.3972222222222222</v>
      </c>
      <c r="G4511" s="44">
        <v>6.3</v>
      </c>
      <c r="H4511" s="43" t="s">
        <v>230</v>
      </c>
      <c r="I4511" s="40" t="s">
        <v>1300</v>
      </c>
    </row>
    <row r="4512" spans="1:9" x14ac:dyDescent="0.2">
      <c r="A4512" s="40" t="s">
        <v>106</v>
      </c>
      <c r="B4512" s="28">
        <v>9259</v>
      </c>
      <c r="C4512" s="28" t="s">
        <v>1244</v>
      </c>
      <c r="D4512" s="28"/>
      <c r="E4512" s="41">
        <v>46168</v>
      </c>
      <c r="F4512" s="47">
        <v>0.40248842592592593</v>
      </c>
      <c r="G4512" s="44">
        <v>6.3</v>
      </c>
      <c r="H4512" s="43" t="s">
        <v>227</v>
      </c>
      <c r="I4512" s="40" t="s">
        <v>1300</v>
      </c>
    </row>
    <row r="4513" spans="1:9" x14ac:dyDescent="0.2">
      <c r="A4513" s="40" t="s">
        <v>1245</v>
      </c>
      <c r="B4513" s="28">
        <v>9281</v>
      </c>
      <c r="C4513" s="28">
        <v>10772622</v>
      </c>
      <c r="D4513" s="28"/>
      <c r="E4513" s="41">
        <v>46172</v>
      </c>
      <c r="F4513" s="47">
        <v>0.32123842592592594</v>
      </c>
      <c r="G4513" s="44">
        <v>6.3</v>
      </c>
      <c r="H4513" s="43" t="s">
        <v>226</v>
      </c>
      <c r="I4513" s="40" t="s">
        <v>1300</v>
      </c>
    </row>
    <row r="4514" spans="1:9" x14ac:dyDescent="0.2">
      <c r="A4514" s="40" t="s">
        <v>1245</v>
      </c>
      <c r="B4514" s="28">
        <v>9281</v>
      </c>
      <c r="C4514" s="28">
        <v>10772622</v>
      </c>
      <c r="D4514" s="28"/>
      <c r="E4514" s="41">
        <v>46172</v>
      </c>
      <c r="F4514" s="47">
        <v>0.32687500000000003</v>
      </c>
      <c r="G4514" s="44">
        <v>6.3</v>
      </c>
      <c r="H4514" s="43" t="s">
        <v>227</v>
      </c>
      <c r="I4514" s="40" t="s">
        <v>1300</v>
      </c>
    </row>
    <row r="4515" spans="1:9" x14ac:dyDescent="0.2">
      <c r="A4515" s="40" t="s">
        <v>1245</v>
      </c>
      <c r="B4515" s="28">
        <v>9281</v>
      </c>
      <c r="C4515" s="28" t="s">
        <v>1246</v>
      </c>
      <c r="D4515" s="28"/>
      <c r="E4515" s="41">
        <v>46172</v>
      </c>
      <c r="F4515" s="47">
        <v>0.41881944444444447</v>
      </c>
      <c r="G4515" s="44">
        <v>6.3</v>
      </c>
      <c r="H4515" s="43" t="s">
        <v>228</v>
      </c>
      <c r="I4515" s="40" t="s">
        <v>1300</v>
      </c>
    </row>
    <row r="4516" spans="1:9" x14ac:dyDescent="0.2">
      <c r="A4516" s="40" t="s">
        <v>1245</v>
      </c>
      <c r="B4516" s="28">
        <v>9281</v>
      </c>
      <c r="C4516" s="28" t="s">
        <v>1246</v>
      </c>
      <c r="D4516" s="28"/>
      <c r="E4516" s="41">
        <v>46172</v>
      </c>
      <c r="F4516" s="47">
        <v>0.42924768518518519</v>
      </c>
      <c r="G4516" s="44">
        <v>6.3</v>
      </c>
      <c r="H4516" s="43" t="s">
        <v>229</v>
      </c>
      <c r="I4516" s="40" t="s">
        <v>1300</v>
      </c>
    </row>
    <row r="4517" spans="1:9" x14ac:dyDescent="0.2">
      <c r="A4517" s="40" t="s">
        <v>1245</v>
      </c>
      <c r="B4517" s="28">
        <v>9281</v>
      </c>
      <c r="C4517" s="28">
        <v>5694496</v>
      </c>
      <c r="D4517" s="28"/>
      <c r="E4517" s="41">
        <v>46172</v>
      </c>
      <c r="F4517" s="47">
        <v>0.49844907407407407</v>
      </c>
      <c r="G4517" s="44">
        <v>6.3</v>
      </c>
      <c r="H4517" s="43" t="s">
        <v>230</v>
      </c>
      <c r="I4517" s="40" t="s">
        <v>1300</v>
      </c>
    </row>
    <row r="4518" spans="1:9" x14ac:dyDescent="0.2">
      <c r="A4518" s="40" t="s">
        <v>1245</v>
      </c>
      <c r="B4518" s="28">
        <v>9281</v>
      </c>
      <c r="C4518" s="28">
        <v>5694496</v>
      </c>
      <c r="D4518" s="28"/>
      <c r="E4518" s="41">
        <v>46172</v>
      </c>
      <c r="F4518" s="47">
        <v>0.50762731481481482</v>
      </c>
      <c r="G4518" s="44">
        <v>6.3</v>
      </c>
      <c r="H4518" s="43" t="s">
        <v>227</v>
      </c>
      <c r="I4518" s="40" t="s">
        <v>1300</v>
      </c>
    </row>
    <row r="4519" spans="1:9" x14ac:dyDescent="0.2">
      <c r="A4519" s="40" t="s">
        <v>1245</v>
      </c>
      <c r="B4519" s="28">
        <v>9281</v>
      </c>
      <c r="C4519" s="28" t="s">
        <v>1247</v>
      </c>
      <c r="D4519" s="28"/>
      <c r="E4519" s="41">
        <v>46173</v>
      </c>
      <c r="F4519" s="47">
        <v>0.29850694444444442</v>
      </c>
      <c r="G4519" s="44">
        <v>6.3</v>
      </c>
      <c r="H4519" s="43" t="s">
        <v>230</v>
      </c>
      <c r="I4519" s="40" t="s">
        <v>1300</v>
      </c>
    </row>
    <row r="4520" spans="1:9" x14ac:dyDescent="0.2">
      <c r="A4520" s="40" t="s">
        <v>1245</v>
      </c>
      <c r="B4520" s="28">
        <v>9281</v>
      </c>
      <c r="C4520" s="28" t="s">
        <v>1247</v>
      </c>
      <c r="D4520" s="28"/>
      <c r="E4520" s="41">
        <v>46173</v>
      </c>
      <c r="F4520" s="47">
        <v>0.30398148148148146</v>
      </c>
      <c r="G4520" s="44">
        <v>6.3</v>
      </c>
      <c r="H4520" s="43" t="s">
        <v>227</v>
      </c>
      <c r="I4520" s="40" t="s">
        <v>1300</v>
      </c>
    </row>
    <row r="4521" spans="1:9" x14ac:dyDescent="0.2">
      <c r="A4521" s="40" t="s">
        <v>1245</v>
      </c>
      <c r="B4521" s="28">
        <v>9281</v>
      </c>
      <c r="C4521" s="28" t="s">
        <v>35</v>
      </c>
      <c r="D4521" s="28" t="s">
        <v>38</v>
      </c>
      <c r="E4521" s="41">
        <v>46173</v>
      </c>
      <c r="F4521" s="47">
        <v>0.55548611111111112</v>
      </c>
      <c r="G4521" s="44">
        <v>6.3</v>
      </c>
      <c r="H4521" s="43" t="s">
        <v>230</v>
      </c>
      <c r="I4521" s="40" t="s">
        <v>1300</v>
      </c>
    </row>
    <row r="4522" spans="1:9" x14ac:dyDescent="0.2">
      <c r="A4522" s="40" t="s">
        <v>1245</v>
      </c>
      <c r="B4522" s="28">
        <v>9281</v>
      </c>
      <c r="C4522" s="28" t="s">
        <v>35</v>
      </c>
      <c r="D4522" s="28" t="s">
        <v>38</v>
      </c>
      <c r="E4522" s="41">
        <v>46173</v>
      </c>
      <c r="F4522" s="47">
        <v>0.56099537037037039</v>
      </c>
      <c r="G4522" s="44">
        <v>6.3</v>
      </c>
      <c r="H4522" s="43" t="s">
        <v>227</v>
      </c>
      <c r="I4522" s="40" t="s">
        <v>1300</v>
      </c>
    </row>
    <row r="4523" spans="1:9" x14ac:dyDescent="0.2">
      <c r="A4523" s="40" t="s">
        <v>476</v>
      </c>
      <c r="B4523" s="28">
        <v>9302</v>
      </c>
      <c r="C4523" s="28">
        <v>10736350</v>
      </c>
      <c r="D4523" s="28"/>
      <c r="E4523" s="41">
        <v>46167</v>
      </c>
      <c r="F4523" s="47">
        <v>0.32648148148148148</v>
      </c>
      <c r="G4523" s="44">
        <v>6.3</v>
      </c>
      <c r="H4523" s="43" t="s">
        <v>226</v>
      </c>
      <c r="I4523" s="40" t="s">
        <v>1300</v>
      </c>
    </row>
    <row r="4524" spans="1:9" x14ac:dyDescent="0.2">
      <c r="A4524" s="40" t="s">
        <v>476</v>
      </c>
      <c r="B4524" s="28">
        <v>9302</v>
      </c>
      <c r="C4524" s="28">
        <v>10736350</v>
      </c>
      <c r="D4524" s="28"/>
      <c r="E4524" s="41">
        <v>46167</v>
      </c>
      <c r="F4524" s="47">
        <v>0.33211805555555557</v>
      </c>
      <c r="G4524" s="44">
        <v>6.3</v>
      </c>
      <c r="H4524" s="43" t="s">
        <v>227</v>
      </c>
      <c r="I4524" s="40" t="s">
        <v>1300</v>
      </c>
    </row>
    <row r="4525" spans="1:9" x14ac:dyDescent="0.2">
      <c r="A4525" s="40" t="s">
        <v>476</v>
      </c>
      <c r="B4525" s="28">
        <v>9302</v>
      </c>
      <c r="C4525" s="28">
        <v>10736245</v>
      </c>
      <c r="D4525" s="28"/>
      <c r="E4525" s="41">
        <v>46167</v>
      </c>
      <c r="F4525" s="47">
        <v>0.56024305555555554</v>
      </c>
      <c r="G4525" s="44">
        <v>6.3</v>
      </c>
      <c r="H4525" s="43" t="s">
        <v>228</v>
      </c>
      <c r="I4525" s="40" t="s">
        <v>1300</v>
      </c>
    </row>
    <row r="4526" spans="1:9" x14ac:dyDescent="0.2">
      <c r="A4526" s="40" t="s">
        <v>476</v>
      </c>
      <c r="B4526" s="28">
        <v>9302</v>
      </c>
      <c r="C4526" s="28">
        <v>10736245</v>
      </c>
      <c r="D4526" s="28"/>
      <c r="E4526" s="41">
        <v>46167</v>
      </c>
      <c r="F4526" s="47">
        <v>0.5683449074074074</v>
      </c>
      <c r="G4526" s="44">
        <v>6.3</v>
      </c>
      <c r="H4526" s="43" t="s">
        <v>229</v>
      </c>
      <c r="I4526" s="40" t="s">
        <v>1300</v>
      </c>
    </row>
    <row r="4527" spans="1:9" x14ac:dyDescent="0.2">
      <c r="A4527" s="40" t="s">
        <v>476</v>
      </c>
      <c r="B4527" s="28">
        <v>9302</v>
      </c>
      <c r="C4527" s="28">
        <v>10753298</v>
      </c>
      <c r="D4527" s="28"/>
      <c r="E4527" s="41">
        <v>46169</v>
      </c>
      <c r="F4527" s="47">
        <v>0.25903935185185184</v>
      </c>
      <c r="G4527" s="44">
        <v>6.3</v>
      </c>
      <c r="H4527" s="43" t="s">
        <v>226</v>
      </c>
      <c r="I4527" s="40" t="s">
        <v>1300</v>
      </c>
    </row>
    <row r="4528" spans="1:9" x14ac:dyDescent="0.2">
      <c r="A4528" s="40" t="s">
        <v>476</v>
      </c>
      <c r="B4528" s="28">
        <v>9302</v>
      </c>
      <c r="C4528" s="28">
        <v>10753298</v>
      </c>
      <c r="D4528" s="28"/>
      <c r="E4528" s="41">
        <v>46169</v>
      </c>
      <c r="F4528" s="47">
        <v>0.26429398148148148</v>
      </c>
      <c r="G4528" s="44">
        <v>6.3</v>
      </c>
      <c r="H4528" s="43" t="s">
        <v>227</v>
      </c>
      <c r="I4528" s="40" t="s">
        <v>1300</v>
      </c>
    </row>
    <row r="4529" spans="1:9" x14ac:dyDescent="0.2">
      <c r="A4529" s="40" t="s">
        <v>476</v>
      </c>
      <c r="B4529" s="28">
        <v>9302</v>
      </c>
      <c r="C4529" s="28">
        <v>10753303</v>
      </c>
      <c r="D4529" s="28" t="s">
        <v>36</v>
      </c>
      <c r="E4529" s="41">
        <v>46169</v>
      </c>
      <c r="F4529" s="47">
        <v>0.64666666666666661</v>
      </c>
      <c r="G4529" s="44">
        <v>6.3</v>
      </c>
      <c r="H4529" s="43" t="s">
        <v>228</v>
      </c>
      <c r="I4529" s="40" t="s">
        <v>1300</v>
      </c>
    </row>
    <row r="4530" spans="1:9" x14ac:dyDescent="0.2">
      <c r="A4530" s="40" t="s">
        <v>476</v>
      </c>
      <c r="B4530" s="28">
        <v>9302</v>
      </c>
      <c r="C4530" s="28">
        <v>10753303</v>
      </c>
      <c r="D4530" s="28" t="s">
        <v>36</v>
      </c>
      <c r="E4530" s="41">
        <v>46169</v>
      </c>
      <c r="F4530" s="47">
        <v>0.65879629629629632</v>
      </c>
      <c r="G4530" s="44">
        <v>6.3</v>
      </c>
      <c r="H4530" s="43" t="s">
        <v>232</v>
      </c>
      <c r="I4530" s="40" t="s">
        <v>1300</v>
      </c>
    </row>
    <row r="4531" spans="1:9" x14ac:dyDescent="0.2">
      <c r="A4531" s="40" t="s">
        <v>476</v>
      </c>
      <c r="B4531" s="28">
        <v>9302</v>
      </c>
      <c r="C4531" s="28">
        <v>10760284</v>
      </c>
      <c r="D4531" s="28"/>
      <c r="E4531" s="41">
        <v>46170</v>
      </c>
      <c r="F4531" s="47">
        <v>0.27837962962962964</v>
      </c>
      <c r="G4531" s="44">
        <v>6.3</v>
      </c>
      <c r="H4531" s="43" t="s">
        <v>226</v>
      </c>
      <c r="I4531" s="40" t="s">
        <v>1300</v>
      </c>
    </row>
    <row r="4532" spans="1:9" x14ac:dyDescent="0.2">
      <c r="A4532" s="40" t="s">
        <v>476</v>
      </c>
      <c r="B4532" s="28">
        <v>9302</v>
      </c>
      <c r="C4532" s="28">
        <v>10760284</v>
      </c>
      <c r="D4532" s="28"/>
      <c r="E4532" s="41">
        <v>46170</v>
      </c>
      <c r="F4532" s="47">
        <v>0.28401620370370373</v>
      </c>
      <c r="G4532" s="44">
        <v>6.3</v>
      </c>
      <c r="H4532" s="43" t="s">
        <v>227</v>
      </c>
      <c r="I4532" s="40" t="s">
        <v>1300</v>
      </c>
    </row>
    <row r="4533" spans="1:9" x14ac:dyDescent="0.2">
      <c r="A4533" s="38" t="s">
        <v>476</v>
      </c>
      <c r="B4533" s="28">
        <v>9302</v>
      </c>
      <c r="C4533" s="28">
        <v>10769024</v>
      </c>
      <c r="D4533" s="46"/>
      <c r="E4533" s="35">
        <v>46171</v>
      </c>
      <c r="F4533" s="49">
        <v>0.47722222222222221</v>
      </c>
      <c r="G4533" s="37">
        <v>6.3</v>
      </c>
      <c r="H4533" s="36" t="s">
        <v>226</v>
      </c>
      <c r="I4533" s="36" t="s">
        <v>1300</v>
      </c>
    </row>
    <row r="4534" spans="1:9" x14ac:dyDescent="0.2">
      <c r="A4534" s="38" t="s">
        <v>476</v>
      </c>
      <c r="B4534" s="28">
        <v>9302</v>
      </c>
      <c r="C4534" s="28">
        <v>10769024</v>
      </c>
      <c r="D4534" s="46"/>
      <c r="E4534" s="35">
        <v>46171</v>
      </c>
      <c r="F4534" s="49">
        <v>0.48726851851851855</v>
      </c>
      <c r="G4534" s="37">
        <v>6.3</v>
      </c>
      <c r="H4534" s="36" t="s">
        <v>227</v>
      </c>
      <c r="I4534" s="36" t="s">
        <v>1300</v>
      </c>
    </row>
    <row r="4535" spans="1:9" x14ac:dyDescent="0.2">
      <c r="A4535" s="38" t="s">
        <v>476</v>
      </c>
      <c r="B4535" s="28">
        <v>9302</v>
      </c>
      <c r="C4535" s="28">
        <v>10772511</v>
      </c>
      <c r="D4535" s="46"/>
      <c r="E4535" s="35">
        <v>46172</v>
      </c>
      <c r="F4535" s="49">
        <v>0.65454861111111107</v>
      </c>
      <c r="G4535" s="37">
        <v>6.3</v>
      </c>
      <c r="H4535" s="36" t="s">
        <v>228</v>
      </c>
      <c r="I4535" s="36" t="s">
        <v>1300</v>
      </c>
    </row>
    <row r="4536" spans="1:9" x14ac:dyDescent="0.2">
      <c r="A4536" s="38" t="s">
        <v>476</v>
      </c>
      <c r="B4536" s="28">
        <v>9302</v>
      </c>
      <c r="C4536" s="28">
        <v>10772511</v>
      </c>
      <c r="D4536" s="46"/>
      <c r="E4536" s="35">
        <v>46172</v>
      </c>
      <c r="F4536" s="49">
        <v>0.66768518518518516</v>
      </c>
      <c r="G4536" s="37">
        <v>6.3</v>
      </c>
      <c r="H4536" s="36" t="s">
        <v>229</v>
      </c>
      <c r="I4536" s="36" t="s">
        <v>1300</v>
      </c>
    </row>
    <row r="4537" spans="1:9" x14ac:dyDescent="0.2">
      <c r="A4537" s="38" t="s">
        <v>476</v>
      </c>
      <c r="B4537" s="28">
        <v>9302</v>
      </c>
      <c r="C4537" s="28">
        <v>10778719</v>
      </c>
      <c r="D4537" s="46"/>
      <c r="E4537" s="35">
        <v>46173</v>
      </c>
      <c r="F4537" s="49">
        <v>0.51761574074074079</v>
      </c>
      <c r="G4537" s="37">
        <v>6.3</v>
      </c>
      <c r="H4537" s="36" t="s">
        <v>230</v>
      </c>
      <c r="I4537" s="36" t="s">
        <v>1300</v>
      </c>
    </row>
    <row r="4538" spans="1:9" x14ac:dyDescent="0.2">
      <c r="A4538" s="38" t="s">
        <v>476</v>
      </c>
      <c r="B4538" s="28">
        <v>9302</v>
      </c>
      <c r="C4538" s="28">
        <v>10778719</v>
      </c>
      <c r="D4538" s="46"/>
      <c r="E4538" s="35">
        <v>46173</v>
      </c>
      <c r="F4538" s="49">
        <v>0.52243055555555551</v>
      </c>
      <c r="G4538" s="37">
        <v>6.3</v>
      </c>
      <c r="H4538" s="36" t="s">
        <v>227</v>
      </c>
      <c r="I4538" s="36" t="s">
        <v>1300</v>
      </c>
    </row>
    <row r="4539" spans="1:9" x14ac:dyDescent="0.2">
      <c r="A4539" s="38" t="s">
        <v>476</v>
      </c>
      <c r="B4539" s="28">
        <v>9302</v>
      </c>
      <c r="C4539" s="28">
        <v>10784410</v>
      </c>
      <c r="D4539" s="46"/>
      <c r="E4539" s="35">
        <v>46173</v>
      </c>
      <c r="F4539" s="49">
        <v>0.57961805555555557</v>
      </c>
      <c r="G4539" s="37">
        <v>6.3</v>
      </c>
      <c r="H4539" s="36" t="s">
        <v>228</v>
      </c>
      <c r="I4539" s="36" t="s">
        <v>1300</v>
      </c>
    </row>
    <row r="4540" spans="1:9" x14ac:dyDescent="0.2">
      <c r="A4540" s="38" t="s">
        <v>476</v>
      </c>
      <c r="B4540" s="28">
        <v>9302</v>
      </c>
      <c r="C4540" s="28">
        <v>10784410</v>
      </c>
      <c r="D4540" s="46"/>
      <c r="E4540" s="35">
        <v>46173</v>
      </c>
      <c r="F4540" s="49">
        <v>0.58920138888888884</v>
      </c>
      <c r="G4540" s="37">
        <v>6.3</v>
      </c>
      <c r="H4540" s="36" t="s">
        <v>232</v>
      </c>
      <c r="I4540" s="36" t="s">
        <v>1300</v>
      </c>
    </row>
    <row r="4541" spans="1:9" x14ac:dyDescent="0.2">
      <c r="A4541" s="38" t="s">
        <v>476</v>
      </c>
      <c r="B4541" s="28">
        <v>9302</v>
      </c>
      <c r="C4541" s="28">
        <v>5695392</v>
      </c>
      <c r="D4541" s="46"/>
      <c r="E4541" s="35">
        <v>46173</v>
      </c>
      <c r="F4541" s="49">
        <v>0.69173611111111111</v>
      </c>
      <c r="G4541" s="37">
        <v>6.3</v>
      </c>
      <c r="H4541" s="36" t="s">
        <v>226</v>
      </c>
      <c r="I4541" s="36" t="s">
        <v>1300</v>
      </c>
    </row>
    <row r="4542" spans="1:9" x14ac:dyDescent="0.2">
      <c r="A4542" s="38" t="s">
        <v>476</v>
      </c>
      <c r="B4542" s="28">
        <v>9302</v>
      </c>
      <c r="C4542" s="28">
        <v>5695392</v>
      </c>
      <c r="D4542" s="46"/>
      <c r="E4542" s="35">
        <v>46173</v>
      </c>
      <c r="F4542" s="49">
        <v>0.69660879629629635</v>
      </c>
      <c r="G4542" s="37">
        <v>6.3</v>
      </c>
      <c r="H4542" s="36" t="s">
        <v>227</v>
      </c>
      <c r="I4542" s="36" t="s">
        <v>1300</v>
      </c>
    </row>
    <row r="4543" spans="1:9" x14ac:dyDescent="0.2">
      <c r="A4543" s="38" t="s">
        <v>161</v>
      </c>
      <c r="B4543" s="28">
        <v>9333</v>
      </c>
      <c r="C4543" s="28" t="s">
        <v>1248</v>
      </c>
      <c r="D4543" s="46"/>
      <c r="E4543" s="35">
        <v>46167</v>
      </c>
      <c r="F4543" s="49">
        <v>1.5879629629629629E-2</v>
      </c>
      <c r="G4543" s="37">
        <v>6.3</v>
      </c>
      <c r="H4543" s="36" t="s">
        <v>228</v>
      </c>
      <c r="I4543" s="36" t="s">
        <v>1300</v>
      </c>
    </row>
    <row r="4544" spans="1:9" x14ac:dyDescent="0.2">
      <c r="A4544" s="38" t="s">
        <v>161</v>
      </c>
      <c r="B4544" s="28">
        <v>9333</v>
      </c>
      <c r="C4544" s="28" t="s">
        <v>1248</v>
      </c>
      <c r="D4544" s="46"/>
      <c r="E4544" s="35">
        <v>46167</v>
      </c>
      <c r="F4544" s="49">
        <v>2.2974537037037036E-2</v>
      </c>
      <c r="G4544" s="37">
        <v>6.3</v>
      </c>
      <c r="H4544" s="36" t="s">
        <v>229</v>
      </c>
      <c r="I4544" s="36" t="s">
        <v>1300</v>
      </c>
    </row>
    <row r="4545" spans="1:9" x14ac:dyDescent="0.2">
      <c r="A4545" s="38" t="s">
        <v>161</v>
      </c>
      <c r="B4545" s="28">
        <v>9333</v>
      </c>
      <c r="C4545" s="28">
        <v>5685334</v>
      </c>
      <c r="D4545" s="46"/>
      <c r="E4545" s="35">
        <v>46167</v>
      </c>
      <c r="F4545" s="49">
        <v>0.13805555555555554</v>
      </c>
      <c r="G4545" s="37">
        <v>6.3</v>
      </c>
      <c r="H4545" s="36" t="s">
        <v>230</v>
      </c>
      <c r="I4545" s="36" t="s">
        <v>1300</v>
      </c>
    </row>
    <row r="4546" spans="1:9" x14ac:dyDescent="0.2">
      <c r="A4546" s="38" t="s">
        <v>161</v>
      </c>
      <c r="B4546" s="28">
        <v>9333</v>
      </c>
      <c r="C4546" s="28">
        <v>5685334</v>
      </c>
      <c r="D4546" s="46"/>
      <c r="E4546" s="35">
        <v>46167</v>
      </c>
      <c r="F4546" s="49">
        <v>0.14336805555555557</v>
      </c>
      <c r="G4546" s="37">
        <v>6.3</v>
      </c>
      <c r="H4546" s="36" t="s">
        <v>227</v>
      </c>
      <c r="I4546" s="36" t="s">
        <v>1300</v>
      </c>
    </row>
    <row r="4547" spans="1:9" x14ac:dyDescent="0.2">
      <c r="A4547" s="38" t="s">
        <v>161</v>
      </c>
      <c r="B4547" s="28">
        <v>9333</v>
      </c>
      <c r="C4547" s="28" t="s">
        <v>1249</v>
      </c>
      <c r="D4547" s="46"/>
      <c r="E4547" s="35">
        <v>46167</v>
      </c>
      <c r="F4547" s="49">
        <v>0.28216435185185185</v>
      </c>
      <c r="G4547" s="37">
        <v>6.3</v>
      </c>
      <c r="H4547" s="36" t="s">
        <v>228</v>
      </c>
      <c r="I4547" s="36" t="s">
        <v>1300</v>
      </c>
    </row>
    <row r="4548" spans="1:9" x14ac:dyDescent="0.2">
      <c r="A4548" s="38" t="s">
        <v>161</v>
      </c>
      <c r="B4548" s="28">
        <v>9333</v>
      </c>
      <c r="C4548" s="28" t="s">
        <v>1249</v>
      </c>
      <c r="D4548" s="46"/>
      <c r="E4548" s="35">
        <v>46167</v>
      </c>
      <c r="F4548" s="49">
        <v>0.29434027777777777</v>
      </c>
      <c r="G4548" s="37">
        <v>6.3</v>
      </c>
      <c r="H4548" s="36" t="s">
        <v>229</v>
      </c>
      <c r="I4548" s="36" t="s">
        <v>1300</v>
      </c>
    </row>
    <row r="4549" spans="1:9" x14ac:dyDescent="0.2">
      <c r="A4549" s="38" t="s">
        <v>161</v>
      </c>
      <c r="B4549" s="28">
        <v>9333</v>
      </c>
      <c r="C4549" s="28">
        <v>5682953</v>
      </c>
      <c r="D4549" s="46"/>
      <c r="E4549" s="35">
        <v>46167</v>
      </c>
      <c r="F4549" s="49">
        <v>0.34737268518518516</v>
      </c>
      <c r="G4549" s="37">
        <v>6.3</v>
      </c>
      <c r="H4549" s="36" t="s">
        <v>230</v>
      </c>
      <c r="I4549" s="36" t="s">
        <v>1300</v>
      </c>
    </row>
    <row r="4550" spans="1:9" x14ac:dyDescent="0.2">
      <c r="A4550" s="38" t="s">
        <v>161</v>
      </c>
      <c r="B4550" s="28">
        <v>9333</v>
      </c>
      <c r="C4550" s="28">
        <v>5682953</v>
      </c>
      <c r="D4550" s="46"/>
      <c r="E4550" s="35">
        <v>46167</v>
      </c>
      <c r="F4550" s="49">
        <v>0.35586805555555556</v>
      </c>
      <c r="G4550" s="37">
        <v>6.3</v>
      </c>
      <c r="H4550" s="36" t="s">
        <v>227</v>
      </c>
      <c r="I4550" s="36" t="s">
        <v>1300</v>
      </c>
    </row>
    <row r="4551" spans="1:9" x14ac:dyDescent="0.2">
      <c r="A4551" s="38" t="s">
        <v>161</v>
      </c>
      <c r="B4551" s="28">
        <v>9333</v>
      </c>
      <c r="C4551" s="28">
        <v>5684233</v>
      </c>
      <c r="D4551" s="46"/>
      <c r="E4551" s="35">
        <v>46167</v>
      </c>
      <c r="F4551" s="49">
        <v>0.83078703703703705</v>
      </c>
      <c r="G4551" s="37">
        <v>6.3</v>
      </c>
      <c r="H4551" s="36" t="s">
        <v>228</v>
      </c>
      <c r="I4551" s="36" t="s">
        <v>1300</v>
      </c>
    </row>
    <row r="4552" spans="1:9" x14ac:dyDescent="0.2">
      <c r="A4552" s="38" t="s">
        <v>161</v>
      </c>
      <c r="B4552" s="28">
        <v>9333</v>
      </c>
      <c r="C4552" s="28">
        <v>5684233</v>
      </c>
      <c r="D4552" s="46"/>
      <c r="E4552" s="35">
        <v>46167</v>
      </c>
      <c r="F4552" s="49">
        <v>0.84087962962962959</v>
      </c>
      <c r="G4552" s="37">
        <v>6.3</v>
      </c>
      <c r="H4552" s="36" t="s">
        <v>229</v>
      </c>
      <c r="I4552" s="36" t="s">
        <v>1300</v>
      </c>
    </row>
    <row r="4553" spans="1:9" x14ac:dyDescent="0.2">
      <c r="A4553" s="38" t="s">
        <v>161</v>
      </c>
      <c r="B4553" s="28">
        <v>9333</v>
      </c>
      <c r="C4553" s="28" t="s">
        <v>35</v>
      </c>
      <c r="D4553" s="46" t="s">
        <v>38</v>
      </c>
      <c r="E4553" s="35">
        <v>46170</v>
      </c>
      <c r="F4553" s="49">
        <v>0.66256944444444443</v>
      </c>
      <c r="G4553" s="37">
        <v>6.3</v>
      </c>
      <c r="H4553" s="36" t="s">
        <v>228</v>
      </c>
      <c r="I4553" s="36" t="s">
        <v>1300</v>
      </c>
    </row>
    <row r="4554" spans="1:9" x14ac:dyDescent="0.2">
      <c r="A4554" s="38" t="s">
        <v>161</v>
      </c>
      <c r="B4554" s="28">
        <v>9333</v>
      </c>
      <c r="C4554" s="28">
        <v>5693022</v>
      </c>
      <c r="D4554" s="46"/>
      <c r="E4554" s="35">
        <v>46171</v>
      </c>
      <c r="F4554" s="49">
        <v>0.51263888888888887</v>
      </c>
      <c r="G4554" s="37">
        <v>6.3</v>
      </c>
      <c r="H4554" s="36" t="s">
        <v>228</v>
      </c>
      <c r="I4554" s="36" t="s">
        <v>1300</v>
      </c>
    </row>
    <row r="4555" spans="1:9" x14ac:dyDescent="0.2">
      <c r="A4555" s="38" t="s">
        <v>161</v>
      </c>
      <c r="B4555" s="28">
        <v>9333</v>
      </c>
      <c r="C4555" s="28">
        <v>5693022</v>
      </c>
      <c r="D4555" s="46"/>
      <c r="E4555" s="35">
        <v>46171</v>
      </c>
      <c r="F4555" s="49">
        <v>0.53167824074074077</v>
      </c>
      <c r="G4555" s="37">
        <v>6.3</v>
      </c>
      <c r="H4555" s="36" t="s">
        <v>229</v>
      </c>
      <c r="I4555" s="36" t="s">
        <v>1300</v>
      </c>
    </row>
    <row r="4556" spans="1:9" x14ac:dyDescent="0.2">
      <c r="A4556" s="38" t="s">
        <v>161</v>
      </c>
      <c r="B4556" s="28">
        <v>9333</v>
      </c>
      <c r="C4556" s="28" t="s">
        <v>1250</v>
      </c>
      <c r="D4556" s="46"/>
      <c r="E4556" s="35">
        <v>46172</v>
      </c>
      <c r="F4556" s="49">
        <v>3.6458333333333334E-3</v>
      </c>
      <c r="G4556" s="37">
        <v>6.3</v>
      </c>
      <c r="H4556" s="36" t="s">
        <v>228</v>
      </c>
      <c r="I4556" s="36" t="s">
        <v>1300</v>
      </c>
    </row>
    <row r="4557" spans="1:9" x14ac:dyDescent="0.2">
      <c r="A4557" s="38" t="s">
        <v>161</v>
      </c>
      <c r="B4557" s="28">
        <v>9333</v>
      </c>
      <c r="C4557" s="28" t="s">
        <v>1250</v>
      </c>
      <c r="D4557" s="46"/>
      <c r="E4557" s="35">
        <v>46172</v>
      </c>
      <c r="F4557" s="49">
        <v>1.0104166666666666E-2</v>
      </c>
      <c r="G4557" s="37">
        <v>6.3</v>
      </c>
      <c r="H4557" s="36" t="s">
        <v>229</v>
      </c>
      <c r="I4557" s="36" t="s">
        <v>1300</v>
      </c>
    </row>
    <row r="4558" spans="1:9" x14ac:dyDescent="0.2">
      <c r="A4558" s="38" t="s">
        <v>161</v>
      </c>
      <c r="B4558" s="28">
        <v>9333</v>
      </c>
      <c r="C4558" s="28">
        <v>5694381</v>
      </c>
      <c r="D4558" s="46"/>
      <c r="E4558" s="35">
        <v>46172</v>
      </c>
      <c r="F4558" s="49">
        <v>0.26251157407407405</v>
      </c>
      <c r="G4558" s="37">
        <v>6.3</v>
      </c>
      <c r="H4558" s="36" t="s">
        <v>230</v>
      </c>
      <c r="I4558" s="36" t="s">
        <v>1300</v>
      </c>
    </row>
    <row r="4559" spans="1:9" x14ac:dyDescent="0.2">
      <c r="A4559" s="38" t="s">
        <v>161</v>
      </c>
      <c r="B4559" s="28">
        <v>9333</v>
      </c>
      <c r="C4559" s="28">
        <v>5694381</v>
      </c>
      <c r="D4559" s="46"/>
      <c r="E4559" s="35">
        <v>46172</v>
      </c>
      <c r="F4559" s="49">
        <v>0.26799768518518519</v>
      </c>
      <c r="G4559" s="37">
        <v>6.3</v>
      </c>
      <c r="H4559" s="36" t="s">
        <v>227</v>
      </c>
      <c r="I4559" s="36" t="s">
        <v>1300</v>
      </c>
    </row>
    <row r="4560" spans="1:9" x14ac:dyDescent="0.2">
      <c r="A4560" s="38" t="s">
        <v>161</v>
      </c>
      <c r="B4560" s="28">
        <v>9333</v>
      </c>
      <c r="C4560" s="28" t="s">
        <v>35</v>
      </c>
      <c r="D4560" s="46" t="s">
        <v>38</v>
      </c>
      <c r="E4560" s="35">
        <v>46173</v>
      </c>
      <c r="F4560" s="49">
        <v>0.20707175925925925</v>
      </c>
      <c r="G4560" s="37">
        <v>6.3</v>
      </c>
      <c r="H4560" s="36" t="s">
        <v>229</v>
      </c>
      <c r="I4560" s="36" t="s">
        <v>1300</v>
      </c>
    </row>
    <row r="4561" spans="1:9" x14ac:dyDescent="0.2">
      <c r="A4561" s="38" t="s">
        <v>161</v>
      </c>
      <c r="B4561" s="28">
        <v>9333</v>
      </c>
      <c r="C4561" s="28">
        <v>5695088</v>
      </c>
      <c r="D4561" s="46"/>
      <c r="E4561" s="35">
        <v>46173</v>
      </c>
      <c r="F4561" s="49">
        <v>0.21784722222222222</v>
      </c>
      <c r="G4561" s="37">
        <v>6.3</v>
      </c>
      <c r="H4561" s="36" t="s">
        <v>230</v>
      </c>
      <c r="I4561" s="36" t="s">
        <v>1300</v>
      </c>
    </row>
    <row r="4562" spans="1:9" x14ac:dyDescent="0.2">
      <c r="A4562" s="38" t="s">
        <v>161</v>
      </c>
      <c r="B4562" s="28">
        <v>9333</v>
      </c>
      <c r="C4562" s="28">
        <v>5695088</v>
      </c>
      <c r="D4562" s="46"/>
      <c r="E4562" s="35">
        <v>46173</v>
      </c>
      <c r="F4562" s="49">
        <v>0.22298611111111111</v>
      </c>
      <c r="G4562" s="37">
        <v>6.3</v>
      </c>
      <c r="H4562" s="36" t="s">
        <v>227</v>
      </c>
      <c r="I4562" s="36" t="s">
        <v>1300</v>
      </c>
    </row>
    <row r="4563" spans="1:9" x14ac:dyDescent="0.2">
      <c r="A4563" s="38" t="s">
        <v>161</v>
      </c>
      <c r="B4563" s="28">
        <v>9333</v>
      </c>
      <c r="C4563" s="28" t="s">
        <v>35</v>
      </c>
      <c r="D4563" s="46" t="s">
        <v>38</v>
      </c>
      <c r="E4563" s="35">
        <v>46173</v>
      </c>
      <c r="F4563" s="49">
        <v>0.57449074074074069</v>
      </c>
      <c r="G4563" s="37">
        <v>6.3</v>
      </c>
      <c r="H4563" s="36" t="s">
        <v>233</v>
      </c>
      <c r="I4563" s="36" t="s">
        <v>1300</v>
      </c>
    </row>
    <row r="4564" spans="1:9" x14ac:dyDescent="0.2">
      <c r="A4564" s="38" t="s">
        <v>477</v>
      </c>
      <c r="B4564" s="28">
        <v>9354</v>
      </c>
      <c r="C4564" s="28" t="s">
        <v>35</v>
      </c>
      <c r="D4564" s="46" t="s">
        <v>38</v>
      </c>
      <c r="E4564" s="35">
        <v>46173</v>
      </c>
      <c r="F4564" s="49">
        <v>0.67822916666666666</v>
      </c>
      <c r="G4564" s="37">
        <v>6.3</v>
      </c>
      <c r="H4564" s="36" t="s">
        <v>232</v>
      </c>
      <c r="I4564" s="36" t="s">
        <v>1300</v>
      </c>
    </row>
    <row r="4565" spans="1:9" x14ac:dyDescent="0.2">
      <c r="A4565" s="38" t="s">
        <v>477</v>
      </c>
      <c r="B4565" s="28">
        <v>9354</v>
      </c>
      <c r="C4565" s="28" t="s">
        <v>35</v>
      </c>
      <c r="D4565" s="46" t="s">
        <v>38</v>
      </c>
      <c r="E4565" s="35">
        <v>46173</v>
      </c>
      <c r="F4565" s="49">
        <v>0.90778935185185183</v>
      </c>
      <c r="G4565" s="37">
        <v>6.3</v>
      </c>
      <c r="H4565" s="36" t="s">
        <v>226</v>
      </c>
      <c r="I4565" s="36" t="s">
        <v>1300</v>
      </c>
    </row>
    <row r="4566" spans="1:9" x14ac:dyDescent="0.2">
      <c r="A4566" s="38" t="s">
        <v>284</v>
      </c>
      <c r="B4566" s="28">
        <v>9376</v>
      </c>
      <c r="C4566" s="28" t="s">
        <v>35</v>
      </c>
      <c r="D4566" s="46" t="s">
        <v>38</v>
      </c>
      <c r="E4566" s="35">
        <v>46167</v>
      </c>
      <c r="F4566" s="49">
        <v>0.41211805555555553</v>
      </c>
      <c r="G4566" s="37">
        <v>6.3</v>
      </c>
      <c r="H4566" s="36" t="s">
        <v>227</v>
      </c>
      <c r="I4566" s="36" t="s">
        <v>1300</v>
      </c>
    </row>
    <row r="4567" spans="1:9" x14ac:dyDescent="0.2">
      <c r="A4567" s="38" t="s">
        <v>284</v>
      </c>
      <c r="B4567" s="28">
        <v>9376</v>
      </c>
      <c r="C4567" s="28" t="s">
        <v>1251</v>
      </c>
      <c r="D4567" s="46"/>
      <c r="E4567" s="35">
        <v>46167</v>
      </c>
      <c r="F4567" s="49">
        <v>0.58392361111111113</v>
      </c>
      <c r="G4567" s="37">
        <v>6.3</v>
      </c>
      <c r="H4567" s="36" t="s">
        <v>228</v>
      </c>
      <c r="I4567" s="36" t="s">
        <v>1300</v>
      </c>
    </row>
    <row r="4568" spans="1:9" x14ac:dyDescent="0.2">
      <c r="A4568" s="38" t="s">
        <v>284</v>
      </c>
      <c r="B4568" s="28">
        <v>9376</v>
      </c>
      <c r="C4568" s="28">
        <v>5684326</v>
      </c>
      <c r="D4568" s="46"/>
      <c r="E4568" s="35">
        <v>46167</v>
      </c>
      <c r="F4568" s="49">
        <v>0.70295138888888886</v>
      </c>
      <c r="G4568" s="37">
        <v>6.3</v>
      </c>
      <c r="H4568" s="36" t="s">
        <v>226</v>
      </c>
      <c r="I4568" s="36" t="s">
        <v>1300</v>
      </c>
    </row>
    <row r="4569" spans="1:9" x14ac:dyDescent="0.2">
      <c r="A4569" s="38" t="s">
        <v>284</v>
      </c>
      <c r="B4569" s="28">
        <v>9376</v>
      </c>
      <c r="C4569" s="28">
        <v>5684326</v>
      </c>
      <c r="D4569" s="46"/>
      <c r="E4569" s="35">
        <v>46167</v>
      </c>
      <c r="F4569" s="49">
        <v>0.71151620370370372</v>
      </c>
      <c r="G4569" s="37">
        <v>6.3</v>
      </c>
      <c r="H4569" s="36" t="s">
        <v>227</v>
      </c>
      <c r="I4569" s="36" t="s">
        <v>1300</v>
      </c>
    </row>
    <row r="4570" spans="1:9" x14ac:dyDescent="0.2">
      <c r="A4570" s="38" t="s">
        <v>284</v>
      </c>
      <c r="B4570" s="28">
        <v>9376</v>
      </c>
      <c r="C4570" s="28" t="s">
        <v>35</v>
      </c>
      <c r="D4570" s="46" t="s">
        <v>38</v>
      </c>
      <c r="E4570" s="35">
        <v>46168</v>
      </c>
      <c r="F4570" s="49">
        <v>0.40331018518518519</v>
      </c>
      <c r="G4570" s="37">
        <v>6.3</v>
      </c>
      <c r="H4570" s="36" t="s">
        <v>227</v>
      </c>
      <c r="I4570" s="36" t="s">
        <v>1300</v>
      </c>
    </row>
    <row r="4571" spans="1:9" x14ac:dyDescent="0.2">
      <c r="A4571" s="38" t="s">
        <v>284</v>
      </c>
      <c r="B4571" s="28">
        <v>9376</v>
      </c>
      <c r="C4571" s="28" t="s">
        <v>1252</v>
      </c>
      <c r="D4571" s="46"/>
      <c r="E4571" s="35">
        <v>46168</v>
      </c>
      <c r="F4571" s="49">
        <v>0.55427083333333338</v>
      </c>
      <c r="G4571" s="37">
        <v>6.3</v>
      </c>
      <c r="H4571" s="36" t="s">
        <v>228</v>
      </c>
      <c r="I4571" s="36" t="s">
        <v>1300</v>
      </c>
    </row>
    <row r="4572" spans="1:9" x14ac:dyDescent="0.2">
      <c r="A4572" s="38" t="s">
        <v>284</v>
      </c>
      <c r="B4572" s="28">
        <v>9376</v>
      </c>
      <c r="C4572" s="28" t="s">
        <v>1252</v>
      </c>
      <c r="D4572" s="46"/>
      <c r="E4572" s="35">
        <v>46168</v>
      </c>
      <c r="F4572" s="49">
        <v>0.56528935185185181</v>
      </c>
      <c r="G4572" s="37">
        <v>6.3</v>
      </c>
      <c r="H4572" s="36" t="s">
        <v>229</v>
      </c>
      <c r="I4572" s="36" t="s">
        <v>1300</v>
      </c>
    </row>
    <row r="4573" spans="1:9" x14ac:dyDescent="0.2">
      <c r="A4573" s="38" t="s">
        <v>284</v>
      </c>
      <c r="B4573" s="28">
        <v>9376</v>
      </c>
      <c r="C4573" s="28" t="s">
        <v>1253</v>
      </c>
      <c r="D4573" s="46"/>
      <c r="E4573" s="35">
        <v>46168</v>
      </c>
      <c r="F4573" s="49">
        <v>0.68747685185185181</v>
      </c>
      <c r="G4573" s="37">
        <v>6.3</v>
      </c>
      <c r="H4573" s="36" t="s">
        <v>230</v>
      </c>
      <c r="I4573" s="36" t="s">
        <v>1300</v>
      </c>
    </row>
    <row r="4574" spans="1:9" x14ac:dyDescent="0.2">
      <c r="A4574" s="38" t="s">
        <v>284</v>
      </c>
      <c r="B4574" s="28">
        <v>9376</v>
      </c>
      <c r="C4574" s="28" t="s">
        <v>1253</v>
      </c>
      <c r="D4574" s="46"/>
      <c r="E4574" s="35">
        <v>46168</v>
      </c>
      <c r="F4574" s="49">
        <v>0.69403935185185184</v>
      </c>
      <c r="G4574" s="37">
        <v>6.3</v>
      </c>
      <c r="H4574" s="36" t="s">
        <v>227</v>
      </c>
      <c r="I4574" s="36" t="s">
        <v>1300</v>
      </c>
    </row>
    <row r="4575" spans="1:9" x14ac:dyDescent="0.2">
      <c r="A4575" s="38" t="s">
        <v>284</v>
      </c>
      <c r="B4575" s="28">
        <v>9376</v>
      </c>
      <c r="C4575" s="28" t="s">
        <v>35</v>
      </c>
      <c r="D4575" s="46" t="s">
        <v>38</v>
      </c>
      <c r="E4575" s="35">
        <v>46169</v>
      </c>
      <c r="F4575" s="49">
        <v>0.39583333333333331</v>
      </c>
      <c r="G4575" s="37">
        <v>6.3</v>
      </c>
      <c r="H4575" s="36" t="s">
        <v>227</v>
      </c>
      <c r="I4575" s="36" t="s">
        <v>1300</v>
      </c>
    </row>
    <row r="4576" spans="1:9" x14ac:dyDescent="0.2">
      <c r="A4576" s="38" t="s">
        <v>284</v>
      </c>
      <c r="B4576" s="28">
        <v>9376</v>
      </c>
      <c r="C4576" s="28" t="s">
        <v>1254</v>
      </c>
      <c r="D4576" s="46"/>
      <c r="E4576" s="35">
        <v>46169</v>
      </c>
      <c r="F4576" s="49">
        <v>0.60018518518518515</v>
      </c>
      <c r="G4576" s="37">
        <v>6.3</v>
      </c>
      <c r="H4576" s="36" t="s">
        <v>228</v>
      </c>
      <c r="I4576" s="36" t="s">
        <v>1300</v>
      </c>
    </row>
    <row r="4577" spans="1:9" x14ac:dyDescent="0.2">
      <c r="A4577" s="38" t="s">
        <v>284</v>
      </c>
      <c r="B4577" s="28">
        <v>9376</v>
      </c>
      <c r="C4577" s="28" t="s">
        <v>1254</v>
      </c>
      <c r="D4577" s="46"/>
      <c r="E4577" s="35">
        <v>46169</v>
      </c>
      <c r="F4577" s="49">
        <v>0.61021990740740739</v>
      </c>
      <c r="G4577" s="37">
        <v>6.3</v>
      </c>
      <c r="H4577" s="36" t="s">
        <v>229</v>
      </c>
      <c r="I4577" s="36" t="s">
        <v>1300</v>
      </c>
    </row>
    <row r="4578" spans="1:9" x14ac:dyDescent="0.2">
      <c r="A4578" s="38" t="s">
        <v>284</v>
      </c>
      <c r="B4578" s="28">
        <v>9376</v>
      </c>
      <c r="C4578" s="28">
        <v>5686801</v>
      </c>
      <c r="D4578" s="46"/>
      <c r="E4578" s="35">
        <v>46169</v>
      </c>
      <c r="F4578" s="49">
        <v>0.66689814814814818</v>
      </c>
      <c r="G4578" s="37">
        <v>6.3</v>
      </c>
      <c r="H4578" s="36" t="s">
        <v>230</v>
      </c>
      <c r="I4578" s="36" t="s">
        <v>1300</v>
      </c>
    </row>
    <row r="4579" spans="1:9" x14ac:dyDescent="0.2">
      <c r="A4579" s="38" t="s">
        <v>284</v>
      </c>
      <c r="B4579" s="28">
        <v>9376</v>
      </c>
      <c r="C4579" s="28">
        <v>5686801</v>
      </c>
      <c r="D4579" s="46"/>
      <c r="E4579" s="35">
        <v>46169</v>
      </c>
      <c r="F4579" s="49">
        <v>0.67331018518518515</v>
      </c>
      <c r="G4579" s="37">
        <v>6.3</v>
      </c>
      <c r="H4579" s="36" t="s">
        <v>227</v>
      </c>
      <c r="I4579" s="36" t="s">
        <v>1300</v>
      </c>
    </row>
    <row r="4580" spans="1:9" x14ac:dyDescent="0.2">
      <c r="A4580" s="38" t="s">
        <v>284</v>
      </c>
      <c r="B4580" s="28">
        <v>9376</v>
      </c>
      <c r="C4580" s="28" t="s">
        <v>1255</v>
      </c>
      <c r="D4580" s="28"/>
      <c r="E4580" s="35">
        <v>46169</v>
      </c>
      <c r="F4580" s="49">
        <v>0.73635416666666664</v>
      </c>
      <c r="G4580" s="37">
        <v>6.3</v>
      </c>
      <c r="H4580" s="36" t="s">
        <v>228</v>
      </c>
      <c r="I4580" s="36" t="s">
        <v>1300</v>
      </c>
    </row>
    <row r="4581" spans="1:9" x14ac:dyDescent="0.2">
      <c r="A4581" s="38" t="s">
        <v>284</v>
      </c>
      <c r="B4581" s="28">
        <v>9376</v>
      </c>
      <c r="C4581" s="28">
        <v>5687538</v>
      </c>
      <c r="D4581" s="28"/>
      <c r="E4581" s="35">
        <v>46169</v>
      </c>
      <c r="F4581" s="49">
        <v>0.81524305555555554</v>
      </c>
      <c r="G4581" s="37">
        <v>6.3</v>
      </c>
      <c r="H4581" s="36" t="s">
        <v>230</v>
      </c>
      <c r="I4581" s="36" t="s">
        <v>1300</v>
      </c>
    </row>
    <row r="4582" spans="1:9" x14ac:dyDescent="0.2">
      <c r="A4582" s="38" t="s">
        <v>284</v>
      </c>
      <c r="B4582" s="28">
        <v>9376</v>
      </c>
      <c r="C4582" s="28">
        <v>5687538</v>
      </c>
      <c r="D4582" s="46"/>
      <c r="E4582" s="35">
        <v>46169</v>
      </c>
      <c r="F4582" s="49">
        <v>0.83636574074074077</v>
      </c>
      <c r="G4582" s="37">
        <v>6.3</v>
      </c>
      <c r="H4582" s="36" t="s">
        <v>227</v>
      </c>
      <c r="I4582" s="36" t="s">
        <v>1300</v>
      </c>
    </row>
    <row r="4583" spans="1:9" x14ac:dyDescent="0.2">
      <c r="A4583" s="38" t="s">
        <v>284</v>
      </c>
      <c r="B4583" s="28">
        <v>9376</v>
      </c>
      <c r="C4583" s="28" t="s">
        <v>35</v>
      </c>
      <c r="D4583" s="46" t="s">
        <v>38</v>
      </c>
      <c r="E4583" s="35">
        <v>46170</v>
      </c>
      <c r="F4583" s="49">
        <v>0.39893518518518517</v>
      </c>
      <c r="G4583" s="37">
        <v>6.3</v>
      </c>
      <c r="H4583" s="36" t="s">
        <v>227</v>
      </c>
      <c r="I4583" s="36" t="s">
        <v>1300</v>
      </c>
    </row>
    <row r="4584" spans="1:9" x14ac:dyDescent="0.2">
      <c r="A4584" s="38" t="s">
        <v>284</v>
      </c>
      <c r="B4584" s="28">
        <v>9376</v>
      </c>
      <c r="C4584" s="28" t="s">
        <v>1256</v>
      </c>
      <c r="D4584" s="46"/>
      <c r="E4584" s="35">
        <v>46170</v>
      </c>
      <c r="F4584" s="49">
        <v>0.54402777777777778</v>
      </c>
      <c r="G4584" s="37">
        <v>6.3</v>
      </c>
      <c r="H4584" s="36" t="s">
        <v>228</v>
      </c>
      <c r="I4584" s="36" t="s">
        <v>1300</v>
      </c>
    </row>
    <row r="4585" spans="1:9" x14ac:dyDescent="0.2">
      <c r="A4585" s="38" t="s">
        <v>284</v>
      </c>
      <c r="B4585" s="28">
        <v>9376</v>
      </c>
      <c r="C4585" s="28" t="s">
        <v>1256</v>
      </c>
      <c r="D4585" s="46"/>
      <c r="E4585" s="35">
        <v>46170</v>
      </c>
      <c r="F4585" s="49">
        <v>0.5541666666666667</v>
      </c>
      <c r="G4585" s="37">
        <v>6.3</v>
      </c>
      <c r="H4585" s="36" t="s">
        <v>229</v>
      </c>
      <c r="I4585" s="36" t="s">
        <v>1300</v>
      </c>
    </row>
    <row r="4586" spans="1:9" x14ac:dyDescent="0.2">
      <c r="A4586" s="38" t="s">
        <v>284</v>
      </c>
      <c r="B4586" s="28">
        <v>9376</v>
      </c>
      <c r="C4586" s="28" t="s">
        <v>1257</v>
      </c>
      <c r="D4586" s="46"/>
      <c r="E4586" s="35">
        <v>46170</v>
      </c>
      <c r="F4586" s="49">
        <v>0.70129629629629631</v>
      </c>
      <c r="G4586" s="37">
        <v>6.3</v>
      </c>
      <c r="H4586" s="36" t="s">
        <v>228</v>
      </c>
      <c r="I4586" s="36" t="s">
        <v>1300</v>
      </c>
    </row>
    <row r="4587" spans="1:9" x14ac:dyDescent="0.2">
      <c r="A4587" s="38" t="s">
        <v>284</v>
      </c>
      <c r="B4587" s="28">
        <v>9376</v>
      </c>
      <c r="C4587" s="28" t="s">
        <v>1257</v>
      </c>
      <c r="D4587" s="46"/>
      <c r="E4587" s="35">
        <v>46170</v>
      </c>
      <c r="F4587" s="49">
        <v>0.71313657407407405</v>
      </c>
      <c r="G4587" s="37">
        <v>6.3</v>
      </c>
      <c r="H4587" s="36" t="s">
        <v>229</v>
      </c>
      <c r="I4587" s="36" t="s">
        <v>1300</v>
      </c>
    </row>
    <row r="4588" spans="1:9" x14ac:dyDescent="0.2">
      <c r="A4588" s="38" t="s">
        <v>284</v>
      </c>
      <c r="B4588" s="28">
        <v>9376</v>
      </c>
      <c r="C4588" s="28" t="s">
        <v>35</v>
      </c>
      <c r="D4588" s="46" t="s">
        <v>38</v>
      </c>
      <c r="E4588" s="35">
        <v>46171</v>
      </c>
      <c r="F4588" s="49">
        <v>0.39576388888888892</v>
      </c>
      <c r="G4588" s="37">
        <v>6.3</v>
      </c>
      <c r="H4588" s="36" t="s">
        <v>232</v>
      </c>
      <c r="I4588" s="36" t="s">
        <v>1300</v>
      </c>
    </row>
    <row r="4589" spans="1:9" x14ac:dyDescent="0.2">
      <c r="A4589" s="38" t="s">
        <v>284</v>
      </c>
      <c r="B4589" s="28">
        <v>9376</v>
      </c>
      <c r="C4589" s="28" t="s">
        <v>35</v>
      </c>
      <c r="D4589" s="46" t="s">
        <v>38</v>
      </c>
      <c r="E4589" s="35">
        <v>46172</v>
      </c>
      <c r="F4589" s="49">
        <v>0.39031250000000001</v>
      </c>
      <c r="G4589" s="37">
        <v>6.3</v>
      </c>
      <c r="H4589" s="36" t="s">
        <v>227</v>
      </c>
      <c r="I4589" s="36" t="s">
        <v>1300</v>
      </c>
    </row>
    <row r="4590" spans="1:9" x14ac:dyDescent="0.2">
      <c r="A4590" s="38" t="s">
        <v>299</v>
      </c>
      <c r="B4590" s="28">
        <v>9377</v>
      </c>
      <c r="C4590" s="28">
        <v>10736346</v>
      </c>
      <c r="D4590" s="46"/>
      <c r="E4590" s="35">
        <v>46167</v>
      </c>
      <c r="F4590" s="49">
        <v>0.33560185185185187</v>
      </c>
      <c r="G4590" s="37">
        <v>6.3</v>
      </c>
      <c r="H4590" s="36" t="s">
        <v>230</v>
      </c>
      <c r="I4590" s="36" t="s">
        <v>1300</v>
      </c>
    </row>
    <row r="4591" spans="1:9" x14ac:dyDescent="0.2">
      <c r="A4591" s="38" t="s">
        <v>299</v>
      </c>
      <c r="B4591" s="28">
        <v>9377</v>
      </c>
      <c r="C4591" s="28">
        <v>10736346</v>
      </c>
      <c r="D4591" s="46"/>
      <c r="E4591" s="35">
        <v>46167</v>
      </c>
      <c r="F4591" s="49">
        <v>0.34119212962962964</v>
      </c>
      <c r="G4591" s="37">
        <v>6.3</v>
      </c>
      <c r="H4591" s="36" t="s">
        <v>227</v>
      </c>
      <c r="I4591" s="36" t="s">
        <v>1300</v>
      </c>
    </row>
    <row r="4592" spans="1:9" x14ac:dyDescent="0.2">
      <c r="A4592" s="38" t="s">
        <v>299</v>
      </c>
      <c r="B4592" s="28">
        <v>9377</v>
      </c>
      <c r="C4592" s="28">
        <v>10744258</v>
      </c>
      <c r="D4592" s="46" t="s">
        <v>36</v>
      </c>
      <c r="E4592" s="35">
        <v>46168</v>
      </c>
      <c r="F4592" s="49">
        <v>0.3417013888888889</v>
      </c>
      <c r="G4592" s="37">
        <v>6.3</v>
      </c>
      <c r="H4592" s="36" t="s">
        <v>230</v>
      </c>
      <c r="I4592" s="36" t="s">
        <v>1300</v>
      </c>
    </row>
    <row r="4593" spans="1:9" x14ac:dyDescent="0.2">
      <c r="A4593" s="38" t="s">
        <v>299</v>
      </c>
      <c r="B4593" s="28">
        <v>9377</v>
      </c>
      <c r="C4593" s="28">
        <v>10744066</v>
      </c>
      <c r="D4593" s="46" t="s">
        <v>36</v>
      </c>
      <c r="E4593" s="35">
        <v>46168</v>
      </c>
      <c r="F4593" s="49">
        <v>0.34849537037037037</v>
      </c>
      <c r="G4593" s="37">
        <v>6.3</v>
      </c>
      <c r="H4593" s="36" t="s">
        <v>227</v>
      </c>
      <c r="I4593" s="36" t="s">
        <v>1300</v>
      </c>
    </row>
    <row r="4594" spans="1:9" x14ac:dyDescent="0.2">
      <c r="A4594" s="38" t="s">
        <v>299</v>
      </c>
      <c r="B4594" s="28">
        <v>9377</v>
      </c>
      <c r="C4594" s="28" t="s">
        <v>35</v>
      </c>
      <c r="D4594" s="46" t="s">
        <v>38</v>
      </c>
      <c r="E4594" s="35">
        <v>46168</v>
      </c>
      <c r="F4594" s="49">
        <v>0.81410879629629629</v>
      </c>
      <c r="G4594" s="37">
        <v>6.3</v>
      </c>
      <c r="H4594" s="36" t="s">
        <v>228</v>
      </c>
      <c r="I4594" s="36" t="s">
        <v>1300</v>
      </c>
    </row>
    <row r="4595" spans="1:9" x14ac:dyDescent="0.2">
      <c r="A4595" s="38" t="s">
        <v>299</v>
      </c>
      <c r="B4595" s="28">
        <v>9377</v>
      </c>
      <c r="C4595" s="28" t="s">
        <v>35</v>
      </c>
      <c r="D4595" s="46" t="s">
        <v>38</v>
      </c>
      <c r="E4595" s="35">
        <v>46168</v>
      </c>
      <c r="F4595" s="49">
        <v>0.82601851851851849</v>
      </c>
      <c r="G4595" s="37">
        <v>6.3</v>
      </c>
      <c r="H4595" s="36" t="s">
        <v>232</v>
      </c>
      <c r="I4595" s="36" t="s">
        <v>1300</v>
      </c>
    </row>
    <row r="4596" spans="1:9" x14ac:dyDescent="0.2">
      <c r="A4596" s="38" t="s">
        <v>299</v>
      </c>
      <c r="B4596" s="28">
        <v>9377</v>
      </c>
      <c r="C4596" s="28" t="s">
        <v>35</v>
      </c>
      <c r="D4596" s="46" t="s">
        <v>38</v>
      </c>
      <c r="E4596" s="35">
        <v>46168</v>
      </c>
      <c r="F4596" s="49">
        <v>0.86907407407407411</v>
      </c>
      <c r="G4596" s="37">
        <v>6.3</v>
      </c>
      <c r="H4596" s="36" t="s">
        <v>226</v>
      </c>
      <c r="I4596" s="36" t="s">
        <v>1300</v>
      </c>
    </row>
    <row r="4597" spans="1:9" x14ac:dyDescent="0.2">
      <c r="A4597" s="38" t="s">
        <v>299</v>
      </c>
      <c r="B4597" s="28">
        <v>9377</v>
      </c>
      <c r="C4597" s="28" t="s">
        <v>35</v>
      </c>
      <c r="D4597" s="46" t="s">
        <v>38</v>
      </c>
      <c r="E4597" s="35">
        <v>46168</v>
      </c>
      <c r="F4597" s="49">
        <v>0.875462962962963</v>
      </c>
      <c r="G4597" s="37">
        <v>6.3</v>
      </c>
      <c r="H4597" s="36" t="s">
        <v>227</v>
      </c>
      <c r="I4597" s="36" t="s">
        <v>1300</v>
      </c>
    </row>
    <row r="4598" spans="1:9" x14ac:dyDescent="0.2">
      <c r="A4598" s="38" t="s">
        <v>299</v>
      </c>
      <c r="B4598" s="28">
        <v>9377</v>
      </c>
      <c r="C4598" s="28" t="s">
        <v>35</v>
      </c>
      <c r="D4598" s="46" t="s">
        <v>38</v>
      </c>
      <c r="E4598" s="35">
        <v>46168</v>
      </c>
      <c r="F4598" s="49">
        <v>0.96137731481481481</v>
      </c>
      <c r="G4598" s="37">
        <v>6.3</v>
      </c>
      <c r="H4598" s="36" t="s">
        <v>228</v>
      </c>
      <c r="I4598" s="36" t="s">
        <v>1300</v>
      </c>
    </row>
    <row r="4599" spans="1:9" x14ac:dyDescent="0.2">
      <c r="A4599" s="38" t="s">
        <v>299</v>
      </c>
      <c r="B4599" s="28">
        <v>9377</v>
      </c>
      <c r="C4599" s="28" t="s">
        <v>35</v>
      </c>
      <c r="D4599" s="46" t="s">
        <v>38</v>
      </c>
      <c r="E4599" s="35">
        <v>46168</v>
      </c>
      <c r="F4599" s="49">
        <v>0.96807870370370375</v>
      </c>
      <c r="G4599" s="37">
        <v>6.3</v>
      </c>
      <c r="H4599" s="36" t="s">
        <v>232</v>
      </c>
      <c r="I4599" s="36" t="s">
        <v>1300</v>
      </c>
    </row>
    <row r="4600" spans="1:9" x14ac:dyDescent="0.2">
      <c r="A4600" s="38" t="s">
        <v>299</v>
      </c>
      <c r="B4600" s="28">
        <v>9377</v>
      </c>
      <c r="C4600" s="28" t="s">
        <v>35</v>
      </c>
      <c r="D4600" s="46" t="s">
        <v>38</v>
      </c>
      <c r="E4600" s="35">
        <v>46168</v>
      </c>
      <c r="F4600" s="49">
        <v>0.98606481481481478</v>
      </c>
      <c r="G4600" s="37">
        <v>6.3</v>
      </c>
      <c r="H4600" s="36" t="s">
        <v>226</v>
      </c>
      <c r="I4600" s="36" t="s">
        <v>1300</v>
      </c>
    </row>
    <row r="4601" spans="1:9" x14ac:dyDescent="0.2">
      <c r="A4601" s="38" t="s">
        <v>299</v>
      </c>
      <c r="B4601" s="28">
        <v>9377</v>
      </c>
      <c r="C4601" s="28" t="s">
        <v>35</v>
      </c>
      <c r="D4601" s="46" t="s">
        <v>38</v>
      </c>
      <c r="E4601" s="35">
        <v>46168</v>
      </c>
      <c r="F4601" s="49">
        <v>0.99141203703703706</v>
      </c>
      <c r="G4601" s="37">
        <v>6.3</v>
      </c>
      <c r="H4601" s="36" t="s">
        <v>227</v>
      </c>
      <c r="I4601" s="36" t="s">
        <v>1300</v>
      </c>
    </row>
    <row r="4602" spans="1:9" x14ac:dyDescent="0.2">
      <c r="A4602" s="38" t="s">
        <v>299</v>
      </c>
      <c r="B4602" s="28">
        <v>9377</v>
      </c>
      <c r="C4602" s="28">
        <v>10759056</v>
      </c>
      <c r="D4602" s="46"/>
      <c r="E4602" s="35">
        <v>46170</v>
      </c>
      <c r="F4602" s="49">
        <v>0.49582175925925925</v>
      </c>
      <c r="G4602" s="37">
        <v>6.3</v>
      </c>
      <c r="H4602" s="36" t="s">
        <v>230</v>
      </c>
      <c r="I4602" s="36" t="s">
        <v>1300</v>
      </c>
    </row>
    <row r="4603" spans="1:9" x14ac:dyDescent="0.2">
      <c r="A4603" s="38" t="s">
        <v>299</v>
      </c>
      <c r="B4603" s="28">
        <v>9377</v>
      </c>
      <c r="C4603" s="28">
        <v>10759056</v>
      </c>
      <c r="D4603" s="46"/>
      <c r="E4603" s="35">
        <v>46170</v>
      </c>
      <c r="F4603" s="49">
        <v>0.50143518518518515</v>
      </c>
      <c r="G4603" s="37">
        <v>6.3</v>
      </c>
      <c r="H4603" s="36" t="s">
        <v>227</v>
      </c>
      <c r="I4603" s="36" t="s">
        <v>1300</v>
      </c>
    </row>
    <row r="4604" spans="1:9" x14ac:dyDescent="0.2">
      <c r="A4604" s="38" t="s">
        <v>299</v>
      </c>
      <c r="B4604" s="28">
        <v>9377</v>
      </c>
      <c r="C4604" s="28" t="s">
        <v>35</v>
      </c>
      <c r="D4604" s="46" t="s">
        <v>38</v>
      </c>
      <c r="E4604" s="35">
        <v>46172</v>
      </c>
      <c r="F4604" s="49">
        <v>0.62046296296296299</v>
      </c>
      <c r="G4604" s="37">
        <v>6.3</v>
      </c>
      <c r="H4604" s="36" t="s">
        <v>228</v>
      </c>
      <c r="I4604" s="36" t="s">
        <v>1300</v>
      </c>
    </row>
    <row r="4605" spans="1:9" x14ac:dyDescent="0.2">
      <c r="A4605" s="38" t="s">
        <v>299</v>
      </c>
      <c r="B4605" s="28">
        <v>9377</v>
      </c>
      <c r="C4605" s="28" t="s">
        <v>35</v>
      </c>
      <c r="D4605" s="46" t="s">
        <v>38</v>
      </c>
      <c r="E4605" s="35">
        <v>46172</v>
      </c>
      <c r="F4605" s="49">
        <v>0.63268518518518524</v>
      </c>
      <c r="G4605" s="37">
        <v>6.3</v>
      </c>
      <c r="H4605" s="36" t="s">
        <v>232</v>
      </c>
      <c r="I4605" s="36" t="s">
        <v>1300</v>
      </c>
    </row>
    <row r="4606" spans="1:9" x14ac:dyDescent="0.2">
      <c r="A4606" s="38" t="s">
        <v>299</v>
      </c>
      <c r="B4606" s="28">
        <v>9377</v>
      </c>
      <c r="C4606" s="28" t="s">
        <v>35</v>
      </c>
      <c r="D4606" s="46" t="s">
        <v>38</v>
      </c>
      <c r="E4606" s="35">
        <v>46172</v>
      </c>
      <c r="F4606" s="49">
        <v>0.81491898148148145</v>
      </c>
      <c r="G4606" s="37">
        <v>6.3</v>
      </c>
      <c r="H4606" s="36" t="s">
        <v>235</v>
      </c>
      <c r="I4606" s="36" t="s">
        <v>1300</v>
      </c>
    </row>
    <row r="4607" spans="1:9" x14ac:dyDescent="0.2">
      <c r="A4607" s="38" t="s">
        <v>299</v>
      </c>
      <c r="B4607" s="28">
        <v>9377</v>
      </c>
      <c r="C4607" s="28" t="s">
        <v>35</v>
      </c>
      <c r="D4607" s="46" t="s">
        <v>38</v>
      </c>
      <c r="E4607" s="35">
        <v>46173</v>
      </c>
      <c r="F4607" s="49">
        <v>0.10340277777777777</v>
      </c>
      <c r="G4607" s="37">
        <v>6.3</v>
      </c>
      <c r="H4607" s="36" t="s">
        <v>232</v>
      </c>
      <c r="I4607" s="36" t="s">
        <v>1300</v>
      </c>
    </row>
    <row r="4608" spans="1:9" x14ac:dyDescent="0.2">
      <c r="A4608" s="38" t="s">
        <v>299</v>
      </c>
      <c r="B4608" s="28">
        <v>9377</v>
      </c>
      <c r="C4608" s="28" t="s">
        <v>35</v>
      </c>
      <c r="D4608" s="46" t="s">
        <v>38</v>
      </c>
      <c r="E4608" s="35">
        <v>46173</v>
      </c>
      <c r="F4608" s="49">
        <v>0.12142361111111111</v>
      </c>
      <c r="G4608" s="37">
        <v>6.3</v>
      </c>
      <c r="H4608" s="36" t="s">
        <v>226</v>
      </c>
      <c r="I4608" s="36" t="s">
        <v>1300</v>
      </c>
    </row>
    <row r="4609" spans="1:9" x14ac:dyDescent="0.2">
      <c r="A4609" s="38" t="s">
        <v>299</v>
      </c>
      <c r="B4609" s="28">
        <v>9377</v>
      </c>
      <c r="C4609" s="28" t="s">
        <v>35</v>
      </c>
      <c r="D4609" s="46" t="s">
        <v>38</v>
      </c>
      <c r="E4609" s="35">
        <v>46173</v>
      </c>
      <c r="F4609" s="49">
        <v>0.12655092592592593</v>
      </c>
      <c r="G4609" s="37">
        <v>6.3</v>
      </c>
      <c r="H4609" s="36" t="s">
        <v>227</v>
      </c>
      <c r="I4609" s="36" t="s">
        <v>1300</v>
      </c>
    </row>
    <row r="4610" spans="1:9" x14ac:dyDescent="0.2">
      <c r="A4610" s="38" t="s">
        <v>174</v>
      </c>
      <c r="B4610" s="28">
        <v>9382</v>
      </c>
      <c r="C4610" s="28">
        <v>5685320</v>
      </c>
      <c r="D4610" s="46"/>
      <c r="E4610" s="35">
        <v>46167</v>
      </c>
      <c r="F4610" s="49">
        <v>3.2118055555555552E-2</v>
      </c>
      <c r="G4610" s="37">
        <v>6.3</v>
      </c>
      <c r="H4610" s="36" t="s">
        <v>228</v>
      </c>
      <c r="I4610" s="36" t="s">
        <v>1300</v>
      </c>
    </row>
    <row r="4611" spans="1:9" x14ac:dyDescent="0.2">
      <c r="A4611" s="38" t="s">
        <v>174</v>
      </c>
      <c r="B4611" s="28">
        <v>9382</v>
      </c>
      <c r="C4611" s="28">
        <v>5685320</v>
      </c>
      <c r="D4611" s="46"/>
      <c r="E4611" s="35">
        <v>46167</v>
      </c>
      <c r="F4611" s="49">
        <v>3.8900462962962963E-2</v>
      </c>
      <c r="G4611" s="37">
        <v>6.3</v>
      </c>
      <c r="H4611" s="36" t="s">
        <v>229</v>
      </c>
      <c r="I4611" s="36" t="s">
        <v>1300</v>
      </c>
    </row>
    <row r="4612" spans="1:9" x14ac:dyDescent="0.2">
      <c r="A4612" s="38" t="s">
        <v>174</v>
      </c>
      <c r="B4612" s="28">
        <v>9382</v>
      </c>
      <c r="C4612" s="28">
        <v>5685066</v>
      </c>
      <c r="D4612" s="46"/>
      <c r="E4612" s="35">
        <v>46167</v>
      </c>
      <c r="F4612" s="49">
        <v>0.3414814814814815</v>
      </c>
      <c r="G4612" s="37">
        <v>6.3</v>
      </c>
      <c r="H4612" s="36" t="s">
        <v>228</v>
      </c>
      <c r="I4612" s="36" t="s">
        <v>1300</v>
      </c>
    </row>
    <row r="4613" spans="1:9" x14ac:dyDescent="0.2">
      <c r="A4613" s="38" t="s">
        <v>174</v>
      </c>
      <c r="B4613" s="28">
        <v>9382</v>
      </c>
      <c r="C4613" s="28">
        <v>5685066</v>
      </c>
      <c r="D4613" s="46"/>
      <c r="E4613" s="35">
        <v>46167</v>
      </c>
      <c r="F4613" s="49">
        <v>0.35072916666666665</v>
      </c>
      <c r="G4613" s="37">
        <v>6.3</v>
      </c>
      <c r="H4613" s="36" t="s">
        <v>229</v>
      </c>
      <c r="I4613" s="36" t="s">
        <v>1300</v>
      </c>
    </row>
    <row r="4614" spans="1:9" x14ac:dyDescent="0.2">
      <c r="A4614" s="38" t="s">
        <v>174</v>
      </c>
      <c r="B4614" s="28">
        <v>9382</v>
      </c>
      <c r="C4614" s="28">
        <v>5685516</v>
      </c>
      <c r="D4614" s="46"/>
      <c r="E4614" s="35">
        <v>46167</v>
      </c>
      <c r="F4614" s="49">
        <v>0.39473379629629629</v>
      </c>
      <c r="G4614" s="37">
        <v>6.3</v>
      </c>
      <c r="H4614" s="36" t="s">
        <v>230</v>
      </c>
      <c r="I4614" s="36" t="s">
        <v>1300</v>
      </c>
    </row>
    <row r="4615" spans="1:9" x14ac:dyDescent="0.2">
      <c r="A4615" s="38" t="s">
        <v>174</v>
      </c>
      <c r="B4615" s="28">
        <v>9382</v>
      </c>
      <c r="C4615" s="28">
        <v>5685516</v>
      </c>
      <c r="D4615" s="46"/>
      <c r="E4615" s="35">
        <v>46167</v>
      </c>
      <c r="F4615" s="49">
        <v>0.40295138888888887</v>
      </c>
      <c r="G4615" s="37">
        <v>6.3</v>
      </c>
      <c r="H4615" s="36" t="s">
        <v>227</v>
      </c>
      <c r="I4615" s="36" t="s">
        <v>1300</v>
      </c>
    </row>
    <row r="4616" spans="1:9" x14ac:dyDescent="0.2">
      <c r="A4616" s="38" t="s">
        <v>174</v>
      </c>
      <c r="B4616" s="28">
        <v>9382</v>
      </c>
      <c r="C4616" s="28" t="s">
        <v>1258</v>
      </c>
      <c r="D4616" s="46"/>
      <c r="E4616" s="35">
        <v>46170</v>
      </c>
      <c r="F4616" s="49">
        <v>0.40472222222222221</v>
      </c>
      <c r="G4616" s="37">
        <v>6.3</v>
      </c>
      <c r="H4616" s="36" t="s">
        <v>228</v>
      </c>
      <c r="I4616" s="36" t="s">
        <v>1300</v>
      </c>
    </row>
    <row r="4617" spans="1:9" x14ac:dyDescent="0.2">
      <c r="A4617" s="38" t="s">
        <v>174</v>
      </c>
      <c r="B4617" s="28">
        <v>9382</v>
      </c>
      <c r="C4617" s="28" t="s">
        <v>1258</v>
      </c>
      <c r="D4617" s="46"/>
      <c r="E4617" s="35">
        <v>46170</v>
      </c>
      <c r="F4617" s="49">
        <v>0.41375000000000001</v>
      </c>
      <c r="G4617" s="37">
        <v>6.3</v>
      </c>
      <c r="H4617" s="36" t="s">
        <v>229</v>
      </c>
      <c r="I4617" s="36" t="s">
        <v>1300</v>
      </c>
    </row>
    <row r="4618" spans="1:9" x14ac:dyDescent="0.2">
      <c r="A4618" s="38" t="s">
        <v>174</v>
      </c>
      <c r="B4618" s="28">
        <v>9382</v>
      </c>
      <c r="C4618" s="28" t="s">
        <v>1259</v>
      </c>
      <c r="D4618" s="46"/>
      <c r="E4618" s="35">
        <v>46170</v>
      </c>
      <c r="F4618" s="49">
        <v>0.88686342592592593</v>
      </c>
      <c r="G4618" s="37">
        <v>6.3</v>
      </c>
      <c r="H4618" s="36" t="s">
        <v>228</v>
      </c>
      <c r="I4618" s="36" t="s">
        <v>1300</v>
      </c>
    </row>
    <row r="4619" spans="1:9" x14ac:dyDescent="0.2">
      <c r="A4619" s="38" t="s">
        <v>174</v>
      </c>
      <c r="B4619" s="28">
        <v>9382</v>
      </c>
      <c r="C4619" s="28" t="s">
        <v>1259</v>
      </c>
      <c r="D4619" s="28"/>
      <c r="E4619" s="35">
        <v>46170</v>
      </c>
      <c r="F4619" s="49">
        <v>0.89424768518518516</v>
      </c>
      <c r="G4619" s="37">
        <v>6.3</v>
      </c>
      <c r="H4619" s="36" t="s">
        <v>229</v>
      </c>
      <c r="I4619" s="36" t="s">
        <v>1300</v>
      </c>
    </row>
    <row r="4620" spans="1:9" x14ac:dyDescent="0.2">
      <c r="A4620" s="38" t="s">
        <v>174</v>
      </c>
      <c r="B4620" s="28">
        <v>9382</v>
      </c>
      <c r="C4620" s="28" t="s">
        <v>35</v>
      </c>
      <c r="D4620" s="46" t="s">
        <v>38</v>
      </c>
      <c r="E4620" s="35">
        <v>46170</v>
      </c>
      <c r="F4620" s="49">
        <v>0.90585648148148146</v>
      </c>
      <c r="G4620" s="37">
        <v>6.3</v>
      </c>
      <c r="H4620" s="36" t="s">
        <v>230</v>
      </c>
      <c r="I4620" s="36" t="s">
        <v>1300</v>
      </c>
    </row>
    <row r="4621" spans="1:9" x14ac:dyDescent="0.2">
      <c r="A4621" s="38" t="s">
        <v>174</v>
      </c>
      <c r="B4621" s="28">
        <v>9382</v>
      </c>
      <c r="C4621" s="28" t="s">
        <v>35</v>
      </c>
      <c r="D4621" s="46" t="s">
        <v>38</v>
      </c>
      <c r="E4621" s="35">
        <v>46170</v>
      </c>
      <c r="F4621" s="49">
        <v>0.91068287037037032</v>
      </c>
      <c r="G4621" s="37">
        <v>6.3</v>
      </c>
      <c r="H4621" s="36" t="s">
        <v>227</v>
      </c>
      <c r="I4621" s="36" t="s">
        <v>1300</v>
      </c>
    </row>
    <row r="4622" spans="1:9" x14ac:dyDescent="0.2">
      <c r="A4622" s="38" t="s">
        <v>174</v>
      </c>
      <c r="B4622" s="28">
        <v>9382</v>
      </c>
      <c r="C4622" s="28" t="s">
        <v>35</v>
      </c>
      <c r="D4622" s="46" t="s">
        <v>38</v>
      </c>
      <c r="E4622" s="35">
        <v>46171</v>
      </c>
      <c r="F4622" s="49">
        <v>0.49539351851851854</v>
      </c>
      <c r="G4622" s="37">
        <v>6.3</v>
      </c>
      <c r="H4622" s="36" t="s">
        <v>230</v>
      </c>
      <c r="I4622" s="36" t="s">
        <v>1300</v>
      </c>
    </row>
    <row r="4623" spans="1:9" x14ac:dyDescent="0.2">
      <c r="A4623" s="38" t="s">
        <v>174</v>
      </c>
      <c r="B4623" s="28">
        <v>9382</v>
      </c>
      <c r="C4623" s="28" t="s">
        <v>35</v>
      </c>
      <c r="D4623" s="46" t="s">
        <v>38</v>
      </c>
      <c r="E4623" s="35">
        <v>46171</v>
      </c>
      <c r="F4623" s="49">
        <v>0.50767361111111109</v>
      </c>
      <c r="G4623" s="37">
        <v>6.3</v>
      </c>
      <c r="H4623" s="36" t="s">
        <v>227</v>
      </c>
      <c r="I4623" s="36" t="s">
        <v>1300</v>
      </c>
    </row>
    <row r="4624" spans="1:9" x14ac:dyDescent="0.2">
      <c r="A4624" s="38" t="s">
        <v>174</v>
      </c>
      <c r="B4624" s="28">
        <v>9382</v>
      </c>
      <c r="C4624" s="28">
        <v>5694261</v>
      </c>
      <c r="D4624" s="46"/>
      <c r="E4624" s="35">
        <v>46172</v>
      </c>
      <c r="F4624" s="49">
        <v>6.1689814814814819E-3</v>
      </c>
      <c r="G4624" s="37">
        <v>6.3</v>
      </c>
      <c r="H4624" s="36" t="s">
        <v>228</v>
      </c>
      <c r="I4624" s="36" t="s">
        <v>1300</v>
      </c>
    </row>
    <row r="4625" spans="1:9" x14ac:dyDescent="0.2">
      <c r="A4625" s="38" t="s">
        <v>174</v>
      </c>
      <c r="B4625" s="28">
        <v>9382</v>
      </c>
      <c r="C4625" s="28">
        <v>5694261</v>
      </c>
      <c r="D4625" s="46"/>
      <c r="E4625" s="35">
        <v>46172</v>
      </c>
      <c r="F4625" s="49">
        <v>1.3148148148148148E-2</v>
      </c>
      <c r="G4625" s="37">
        <v>6.3</v>
      </c>
      <c r="H4625" s="36" t="s">
        <v>229</v>
      </c>
      <c r="I4625" s="36" t="s">
        <v>1300</v>
      </c>
    </row>
    <row r="4626" spans="1:9" x14ac:dyDescent="0.2">
      <c r="A4626" s="38" t="s">
        <v>174</v>
      </c>
      <c r="B4626" s="28">
        <v>9382</v>
      </c>
      <c r="C4626" s="28" t="s">
        <v>35</v>
      </c>
      <c r="D4626" s="46" t="s">
        <v>38</v>
      </c>
      <c r="E4626" s="35">
        <v>46172</v>
      </c>
      <c r="F4626" s="49">
        <v>0.92299768518518521</v>
      </c>
      <c r="G4626" s="37">
        <v>6.3</v>
      </c>
      <c r="H4626" s="36" t="s">
        <v>230</v>
      </c>
      <c r="I4626" s="36" t="s">
        <v>1300</v>
      </c>
    </row>
    <row r="4627" spans="1:9" x14ac:dyDescent="0.2">
      <c r="A4627" s="38" t="s">
        <v>174</v>
      </c>
      <c r="B4627" s="28">
        <v>9382</v>
      </c>
      <c r="C4627" s="28" t="s">
        <v>35</v>
      </c>
      <c r="D4627" s="46" t="s">
        <v>38</v>
      </c>
      <c r="E4627" s="35">
        <v>46172</v>
      </c>
      <c r="F4627" s="49">
        <v>0.97092592592592597</v>
      </c>
      <c r="G4627" s="37">
        <v>6.3</v>
      </c>
      <c r="H4627" s="36" t="s">
        <v>234</v>
      </c>
      <c r="I4627" s="36" t="s">
        <v>1300</v>
      </c>
    </row>
    <row r="4628" spans="1:9" x14ac:dyDescent="0.2">
      <c r="A4628" s="38" t="s">
        <v>174</v>
      </c>
      <c r="B4628" s="28">
        <v>9382</v>
      </c>
      <c r="C4628" s="28" t="s">
        <v>35</v>
      </c>
      <c r="D4628" s="46" t="s">
        <v>38</v>
      </c>
      <c r="E4628" s="35">
        <v>46172</v>
      </c>
      <c r="F4628" s="49">
        <v>0.97384259259259254</v>
      </c>
      <c r="G4628" s="37">
        <v>6.3</v>
      </c>
      <c r="H4628" s="36" t="s">
        <v>227</v>
      </c>
      <c r="I4628" s="36" t="s">
        <v>1300</v>
      </c>
    </row>
    <row r="4629" spans="1:9" x14ac:dyDescent="0.2">
      <c r="A4629" s="38" t="s">
        <v>174</v>
      </c>
      <c r="B4629" s="28">
        <v>9382</v>
      </c>
      <c r="C4629" s="28" t="s">
        <v>35</v>
      </c>
      <c r="D4629" s="46" t="s">
        <v>38</v>
      </c>
      <c r="E4629" s="35">
        <v>46173</v>
      </c>
      <c r="F4629" s="49">
        <v>1.0150462962962964E-2</v>
      </c>
      <c r="G4629" s="37">
        <v>6.3</v>
      </c>
      <c r="H4629" s="36" t="s">
        <v>228</v>
      </c>
      <c r="I4629" s="36" t="s">
        <v>1300</v>
      </c>
    </row>
    <row r="4630" spans="1:9" x14ac:dyDescent="0.2">
      <c r="A4630" s="38" t="s">
        <v>174</v>
      </c>
      <c r="B4630" s="28">
        <v>9382</v>
      </c>
      <c r="C4630" s="28" t="s">
        <v>35</v>
      </c>
      <c r="D4630" s="46" t="s">
        <v>38</v>
      </c>
      <c r="E4630" s="35">
        <v>46173</v>
      </c>
      <c r="F4630" s="49">
        <v>1.7175925925925924E-2</v>
      </c>
      <c r="G4630" s="37">
        <v>6.3</v>
      </c>
      <c r="H4630" s="36" t="s">
        <v>232</v>
      </c>
      <c r="I4630" s="36" t="s">
        <v>1300</v>
      </c>
    </row>
    <row r="4631" spans="1:9" x14ac:dyDescent="0.2">
      <c r="A4631" s="38" t="s">
        <v>329</v>
      </c>
      <c r="B4631" s="28">
        <v>9424</v>
      </c>
      <c r="C4631" s="28" t="s">
        <v>35</v>
      </c>
      <c r="D4631" s="46" t="s">
        <v>38</v>
      </c>
      <c r="E4631" s="35">
        <v>46167</v>
      </c>
      <c r="F4631" s="49">
        <v>0.52415509259259263</v>
      </c>
      <c r="G4631" s="37">
        <v>6.3</v>
      </c>
      <c r="H4631" s="36" t="s">
        <v>226</v>
      </c>
      <c r="I4631" s="36" t="s">
        <v>1300</v>
      </c>
    </row>
    <row r="4632" spans="1:9" x14ac:dyDescent="0.2">
      <c r="A4632" s="38" t="s">
        <v>329</v>
      </c>
      <c r="B4632" s="28">
        <v>9424</v>
      </c>
      <c r="C4632" s="28" t="s">
        <v>35</v>
      </c>
      <c r="D4632" s="46" t="s">
        <v>38</v>
      </c>
      <c r="E4632" s="35">
        <v>46167</v>
      </c>
      <c r="F4632" s="49">
        <v>0.8131828703703704</v>
      </c>
      <c r="G4632" s="37">
        <v>6.3</v>
      </c>
      <c r="H4632" s="36" t="s">
        <v>229</v>
      </c>
      <c r="I4632" s="36" t="s">
        <v>1300</v>
      </c>
    </row>
    <row r="4633" spans="1:9" x14ac:dyDescent="0.2">
      <c r="A4633" s="38" t="s">
        <v>329</v>
      </c>
      <c r="B4633" s="28">
        <v>9424</v>
      </c>
      <c r="C4633" s="28" t="s">
        <v>35</v>
      </c>
      <c r="D4633" s="46" t="s">
        <v>38</v>
      </c>
      <c r="E4633" s="35">
        <v>46168</v>
      </c>
      <c r="F4633" s="49">
        <v>0.43885416666666666</v>
      </c>
      <c r="G4633" s="37">
        <v>6.3</v>
      </c>
      <c r="H4633" s="36" t="s">
        <v>226</v>
      </c>
      <c r="I4633" s="36" t="s">
        <v>1300</v>
      </c>
    </row>
    <row r="4634" spans="1:9" x14ac:dyDescent="0.2">
      <c r="A4634" s="38" t="s">
        <v>329</v>
      </c>
      <c r="B4634" s="28">
        <v>9424</v>
      </c>
      <c r="C4634" s="28" t="s">
        <v>35</v>
      </c>
      <c r="D4634" s="46" t="s">
        <v>38</v>
      </c>
      <c r="E4634" s="35">
        <v>46168</v>
      </c>
      <c r="F4634" s="49">
        <v>0.80540509259259263</v>
      </c>
      <c r="G4634" s="37">
        <v>6.3</v>
      </c>
      <c r="H4634" s="36" t="s">
        <v>229</v>
      </c>
      <c r="I4634" s="36" t="s">
        <v>1300</v>
      </c>
    </row>
    <row r="4635" spans="1:9" x14ac:dyDescent="0.2">
      <c r="A4635" s="38" t="s">
        <v>329</v>
      </c>
      <c r="B4635" s="28">
        <v>9424</v>
      </c>
      <c r="C4635" s="28" t="s">
        <v>1260</v>
      </c>
      <c r="D4635" s="46"/>
      <c r="E4635" s="35">
        <v>46172</v>
      </c>
      <c r="F4635" s="49">
        <v>0.46464120370370371</v>
      </c>
      <c r="G4635" s="37">
        <v>6.3</v>
      </c>
      <c r="H4635" s="36" t="s">
        <v>226</v>
      </c>
      <c r="I4635" s="36" t="s">
        <v>1300</v>
      </c>
    </row>
    <row r="4636" spans="1:9" x14ac:dyDescent="0.2">
      <c r="A4636" s="38" t="s">
        <v>329</v>
      </c>
      <c r="B4636" s="28">
        <v>9424</v>
      </c>
      <c r="C4636" s="28" t="s">
        <v>1260</v>
      </c>
      <c r="D4636" s="46"/>
      <c r="E4636" s="35">
        <v>46172</v>
      </c>
      <c r="F4636" s="49">
        <v>0.47030092592592593</v>
      </c>
      <c r="G4636" s="37">
        <v>6.3</v>
      </c>
      <c r="H4636" s="36" t="s">
        <v>227</v>
      </c>
      <c r="I4636" s="36" t="s">
        <v>1300</v>
      </c>
    </row>
    <row r="4637" spans="1:9" x14ac:dyDescent="0.2">
      <c r="A4637" s="38" t="s">
        <v>329</v>
      </c>
      <c r="B4637" s="28">
        <v>9424</v>
      </c>
      <c r="C4637" s="28" t="s">
        <v>35</v>
      </c>
      <c r="D4637" s="46" t="s">
        <v>38</v>
      </c>
      <c r="E4637" s="35">
        <v>46172</v>
      </c>
      <c r="F4637" s="49">
        <v>0.60586805555555556</v>
      </c>
      <c r="G4637" s="37">
        <v>6.3</v>
      </c>
      <c r="H4637" s="36" t="s">
        <v>228</v>
      </c>
      <c r="I4637" s="36" t="s">
        <v>1300</v>
      </c>
    </row>
    <row r="4638" spans="1:9" x14ac:dyDescent="0.2">
      <c r="A4638" s="38" t="s">
        <v>329</v>
      </c>
      <c r="B4638" s="28">
        <v>9424</v>
      </c>
      <c r="C4638" s="28" t="s">
        <v>35</v>
      </c>
      <c r="D4638" s="46" t="s">
        <v>38</v>
      </c>
      <c r="E4638" s="35">
        <v>46172</v>
      </c>
      <c r="F4638" s="49">
        <v>0.61722222222222223</v>
      </c>
      <c r="G4638" s="37">
        <v>6.3</v>
      </c>
      <c r="H4638" s="36" t="s">
        <v>229</v>
      </c>
      <c r="I4638" s="36" t="s">
        <v>1300</v>
      </c>
    </row>
    <row r="4639" spans="1:9" x14ac:dyDescent="0.2">
      <c r="A4639" s="38" t="s">
        <v>329</v>
      </c>
      <c r="B4639" s="28">
        <v>9424</v>
      </c>
      <c r="C4639" s="28" t="s">
        <v>1261</v>
      </c>
      <c r="D4639" s="46"/>
      <c r="E4639" s="35">
        <v>46172</v>
      </c>
      <c r="F4639" s="49">
        <v>0.9529050925925926</v>
      </c>
      <c r="G4639" s="37">
        <v>6.3</v>
      </c>
      <c r="H4639" s="36" t="s">
        <v>228</v>
      </c>
      <c r="I4639" s="36" t="s">
        <v>1300</v>
      </c>
    </row>
    <row r="4640" spans="1:9" x14ac:dyDescent="0.2">
      <c r="A4640" s="38" t="s">
        <v>329</v>
      </c>
      <c r="B4640" s="28">
        <v>9424</v>
      </c>
      <c r="C4640" s="28" t="s">
        <v>1261</v>
      </c>
      <c r="D4640" s="46"/>
      <c r="E4640" s="35">
        <v>46172</v>
      </c>
      <c r="F4640" s="49">
        <v>0.96078703703703705</v>
      </c>
      <c r="G4640" s="37">
        <v>6.3</v>
      </c>
      <c r="H4640" s="36" t="s">
        <v>229</v>
      </c>
      <c r="I4640" s="36" t="s">
        <v>1300</v>
      </c>
    </row>
    <row r="4641" spans="1:9" x14ac:dyDescent="0.2">
      <c r="A4641" s="38" t="s">
        <v>170</v>
      </c>
      <c r="B4641" s="28">
        <v>9434</v>
      </c>
      <c r="C4641" s="28" t="s">
        <v>35</v>
      </c>
      <c r="D4641" s="46" t="s">
        <v>38</v>
      </c>
      <c r="E4641" s="35">
        <v>46167</v>
      </c>
      <c r="F4641" s="49">
        <v>0.48761574074074077</v>
      </c>
      <c r="G4641" s="37">
        <v>6.3</v>
      </c>
      <c r="H4641" s="36" t="s">
        <v>227</v>
      </c>
      <c r="I4641" s="36" t="s">
        <v>1300</v>
      </c>
    </row>
    <row r="4642" spans="1:9" x14ac:dyDescent="0.2">
      <c r="A4642" s="38" t="s">
        <v>170</v>
      </c>
      <c r="B4642" s="28">
        <v>9434</v>
      </c>
      <c r="C4642" s="28" t="s">
        <v>35</v>
      </c>
      <c r="D4642" s="46" t="s">
        <v>38</v>
      </c>
      <c r="E4642" s="35">
        <v>46167</v>
      </c>
      <c r="F4642" s="49">
        <v>0.82145833333333329</v>
      </c>
      <c r="G4642" s="37">
        <v>6.3</v>
      </c>
      <c r="H4642" s="36" t="s">
        <v>228</v>
      </c>
      <c r="I4642" s="36" t="s">
        <v>1300</v>
      </c>
    </row>
    <row r="4643" spans="1:9" x14ac:dyDescent="0.2">
      <c r="A4643" s="38" t="s">
        <v>170</v>
      </c>
      <c r="B4643" s="28">
        <v>9434</v>
      </c>
      <c r="C4643" s="28" t="s">
        <v>35</v>
      </c>
      <c r="D4643" s="46" t="s">
        <v>38</v>
      </c>
      <c r="E4643" s="35">
        <v>46167</v>
      </c>
      <c r="F4643" s="49">
        <v>0.83255787037037032</v>
      </c>
      <c r="G4643" s="37">
        <v>6.3</v>
      </c>
      <c r="H4643" s="36" t="s">
        <v>229</v>
      </c>
      <c r="I4643" s="36" t="s">
        <v>1300</v>
      </c>
    </row>
    <row r="4644" spans="1:9" x14ac:dyDescent="0.2">
      <c r="A4644" s="38" t="s">
        <v>170</v>
      </c>
      <c r="B4644" s="28">
        <v>9434</v>
      </c>
      <c r="C4644" s="28">
        <v>5689116</v>
      </c>
      <c r="D4644" s="46"/>
      <c r="E4644" s="35">
        <v>46169</v>
      </c>
      <c r="F4644" s="49">
        <v>0.23961805555555554</v>
      </c>
      <c r="G4644" s="37">
        <v>6.3</v>
      </c>
      <c r="H4644" s="36" t="s">
        <v>228</v>
      </c>
      <c r="I4644" s="36" t="s">
        <v>1300</v>
      </c>
    </row>
    <row r="4645" spans="1:9" x14ac:dyDescent="0.2">
      <c r="A4645" s="38" t="s">
        <v>170</v>
      </c>
      <c r="B4645" s="28">
        <v>9434</v>
      </c>
      <c r="C4645" s="28">
        <v>5689116</v>
      </c>
      <c r="D4645" s="46"/>
      <c r="E4645" s="35">
        <v>46169</v>
      </c>
      <c r="F4645" s="49">
        <v>0.24934027777777779</v>
      </c>
      <c r="G4645" s="37">
        <v>6.3</v>
      </c>
      <c r="H4645" s="36" t="s">
        <v>232</v>
      </c>
      <c r="I4645" s="36" t="s">
        <v>1300</v>
      </c>
    </row>
    <row r="4646" spans="1:9" x14ac:dyDescent="0.2">
      <c r="A4646" s="38" t="s">
        <v>170</v>
      </c>
      <c r="B4646" s="28">
        <v>9434</v>
      </c>
      <c r="C4646" s="28" t="s">
        <v>35</v>
      </c>
      <c r="D4646" s="46" t="s">
        <v>38</v>
      </c>
      <c r="E4646" s="35">
        <v>46173</v>
      </c>
      <c r="F4646" s="49">
        <v>0.57197916666666671</v>
      </c>
      <c r="G4646" s="37">
        <v>6.3</v>
      </c>
      <c r="H4646" s="36" t="s">
        <v>227</v>
      </c>
      <c r="I4646" s="36" t="s">
        <v>1300</v>
      </c>
    </row>
    <row r="4647" spans="1:9" x14ac:dyDescent="0.2">
      <c r="A4647" s="38" t="s">
        <v>257</v>
      </c>
      <c r="B4647" s="28">
        <v>9470</v>
      </c>
      <c r="C4647" s="28" t="s">
        <v>35</v>
      </c>
      <c r="D4647" s="46" t="s">
        <v>38</v>
      </c>
      <c r="E4647" s="35">
        <v>46167</v>
      </c>
      <c r="F4647" s="49">
        <v>0.90281250000000002</v>
      </c>
      <c r="G4647" s="37">
        <v>6.3</v>
      </c>
      <c r="H4647" s="36" t="s">
        <v>228</v>
      </c>
      <c r="I4647" s="36" t="s">
        <v>1300</v>
      </c>
    </row>
    <row r="4648" spans="1:9" x14ac:dyDescent="0.2">
      <c r="A4648" s="38" t="s">
        <v>257</v>
      </c>
      <c r="B4648" s="28">
        <v>9470</v>
      </c>
      <c r="C4648" s="28" t="s">
        <v>35</v>
      </c>
      <c r="D4648" s="46" t="s">
        <v>38</v>
      </c>
      <c r="E4648" s="35">
        <v>46167</v>
      </c>
      <c r="F4648" s="49">
        <v>0.90957175925925926</v>
      </c>
      <c r="G4648" s="37">
        <v>6.3</v>
      </c>
      <c r="H4648" s="36" t="s">
        <v>232</v>
      </c>
      <c r="I4648" s="36" t="s">
        <v>1300</v>
      </c>
    </row>
    <row r="4649" spans="1:9" x14ac:dyDescent="0.2">
      <c r="A4649" s="38" t="s">
        <v>257</v>
      </c>
      <c r="B4649" s="28">
        <v>9470</v>
      </c>
      <c r="C4649" s="28" t="s">
        <v>35</v>
      </c>
      <c r="D4649" s="46" t="s">
        <v>38</v>
      </c>
      <c r="E4649" s="35">
        <v>46168</v>
      </c>
      <c r="F4649" s="49">
        <v>0.26423611111111112</v>
      </c>
      <c r="G4649" s="37">
        <v>6.3</v>
      </c>
      <c r="H4649" s="36" t="s">
        <v>228</v>
      </c>
      <c r="I4649" s="36" t="s">
        <v>1300</v>
      </c>
    </row>
    <row r="4650" spans="1:9" x14ac:dyDescent="0.2">
      <c r="A4650" s="38" t="s">
        <v>257</v>
      </c>
      <c r="B4650" s="28">
        <v>9470</v>
      </c>
      <c r="C4650" s="28" t="s">
        <v>35</v>
      </c>
      <c r="D4650" s="46" t="s">
        <v>38</v>
      </c>
      <c r="E4650" s="35">
        <v>46169</v>
      </c>
      <c r="F4650" s="49">
        <v>0.27673611111111113</v>
      </c>
      <c r="G4650" s="37">
        <v>6.3</v>
      </c>
      <c r="H4650" s="36" t="s">
        <v>228</v>
      </c>
      <c r="I4650" s="36" t="s">
        <v>1300</v>
      </c>
    </row>
    <row r="4651" spans="1:9" x14ac:dyDescent="0.2">
      <c r="A4651" s="38" t="s">
        <v>257</v>
      </c>
      <c r="B4651" s="28">
        <v>9470</v>
      </c>
      <c r="C4651" s="28">
        <v>5689665</v>
      </c>
      <c r="D4651" s="46"/>
      <c r="E4651" s="35">
        <v>46169</v>
      </c>
      <c r="F4651" s="49">
        <v>0.88824074074074078</v>
      </c>
      <c r="G4651" s="37">
        <v>6.3</v>
      </c>
      <c r="H4651" s="36" t="s">
        <v>228</v>
      </c>
      <c r="I4651" s="36" t="s">
        <v>1300</v>
      </c>
    </row>
    <row r="4652" spans="1:9" x14ac:dyDescent="0.2">
      <c r="A4652" s="38" t="s">
        <v>257</v>
      </c>
      <c r="B4652" s="28">
        <v>9470</v>
      </c>
      <c r="C4652" s="28">
        <v>5689665</v>
      </c>
      <c r="D4652" s="46"/>
      <c r="E4652" s="35">
        <v>46169</v>
      </c>
      <c r="F4652" s="49">
        <v>0.89732638888888894</v>
      </c>
      <c r="G4652" s="37">
        <v>6.3</v>
      </c>
      <c r="H4652" s="36" t="s">
        <v>229</v>
      </c>
      <c r="I4652" s="36" t="s">
        <v>1300</v>
      </c>
    </row>
    <row r="4653" spans="1:9" x14ac:dyDescent="0.2">
      <c r="A4653" s="38" t="s">
        <v>257</v>
      </c>
      <c r="B4653" s="28">
        <v>9470</v>
      </c>
      <c r="C4653" s="28" t="s">
        <v>35</v>
      </c>
      <c r="D4653" s="46" t="s">
        <v>38</v>
      </c>
      <c r="E4653" s="35">
        <v>46169</v>
      </c>
      <c r="F4653" s="49">
        <v>0.99252314814814813</v>
      </c>
      <c r="G4653" s="37">
        <v>6.3</v>
      </c>
      <c r="H4653" s="36" t="s">
        <v>230</v>
      </c>
      <c r="I4653" s="36" t="s">
        <v>1300</v>
      </c>
    </row>
    <row r="4654" spans="1:9" x14ac:dyDescent="0.2">
      <c r="A4654" s="38" t="s">
        <v>257</v>
      </c>
      <c r="B4654" s="28">
        <v>9470</v>
      </c>
      <c r="C4654" s="28" t="s">
        <v>35</v>
      </c>
      <c r="D4654" s="46" t="s">
        <v>38</v>
      </c>
      <c r="E4654" s="35">
        <v>46170</v>
      </c>
      <c r="F4654" s="49">
        <v>0.85274305555555552</v>
      </c>
      <c r="G4654" s="37">
        <v>6.3</v>
      </c>
      <c r="H4654" s="36" t="s">
        <v>227</v>
      </c>
      <c r="I4654" s="36" t="s">
        <v>1300</v>
      </c>
    </row>
    <row r="4655" spans="1:9" x14ac:dyDescent="0.2">
      <c r="A4655" s="38" t="s">
        <v>257</v>
      </c>
      <c r="B4655" s="28">
        <v>9470</v>
      </c>
      <c r="C4655" s="28" t="s">
        <v>35</v>
      </c>
      <c r="D4655" s="46" t="s">
        <v>38</v>
      </c>
      <c r="E4655" s="35">
        <v>46171</v>
      </c>
      <c r="F4655" s="49">
        <v>0.89496527777777779</v>
      </c>
      <c r="G4655" s="37">
        <v>6.3</v>
      </c>
      <c r="H4655" s="36" t="s">
        <v>227</v>
      </c>
      <c r="I4655" s="36" t="s">
        <v>1300</v>
      </c>
    </row>
    <row r="4656" spans="1:9" x14ac:dyDescent="0.2">
      <c r="A4656" s="38" t="s">
        <v>257</v>
      </c>
      <c r="B4656" s="28">
        <v>9470</v>
      </c>
      <c r="C4656" s="28">
        <v>5694116</v>
      </c>
      <c r="D4656" s="46"/>
      <c r="E4656" s="35">
        <v>46171</v>
      </c>
      <c r="F4656" s="49">
        <v>0.92682870370370374</v>
      </c>
      <c r="G4656" s="37">
        <v>6.3</v>
      </c>
      <c r="H4656" s="36" t="s">
        <v>228</v>
      </c>
      <c r="I4656" s="36" t="s">
        <v>1300</v>
      </c>
    </row>
    <row r="4657" spans="1:9" x14ac:dyDescent="0.2">
      <c r="A4657" s="38" t="s">
        <v>257</v>
      </c>
      <c r="B4657" s="28">
        <v>9470</v>
      </c>
      <c r="C4657" s="28">
        <v>5694116</v>
      </c>
      <c r="D4657" s="46"/>
      <c r="E4657" s="35">
        <v>46171</v>
      </c>
      <c r="F4657" s="49">
        <v>0.93437499999999996</v>
      </c>
      <c r="G4657" s="37">
        <v>6.3</v>
      </c>
      <c r="H4657" s="36" t="s">
        <v>229</v>
      </c>
      <c r="I4657" s="36" t="s">
        <v>1300</v>
      </c>
    </row>
    <row r="4658" spans="1:9" x14ac:dyDescent="0.2">
      <c r="A4658" s="38" t="s">
        <v>257</v>
      </c>
      <c r="B4658" s="28">
        <v>9470</v>
      </c>
      <c r="C4658" s="28">
        <v>5694288</v>
      </c>
      <c r="D4658" s="46"/>
      <c r="E4658" s="35">
        <v>46172</v>
      </c>
      <c r="F4658" s="49">
        <v>3.6921296296296299E-2</v>
      </c>
      <c r="G4658" s="37">
        <v>6.3</v>
      </c>
      <c r="H4658" s="36" t="s">
        <v>230</v>
      </c>
      <c r="I4658" s="36" t="s">
        <v>1300</v>
      </c>
    </row>
    <row r="4659" spans="1:9" x14ac:dyDescent="0.2">
      <c r="A4659" s="38" t="s">
        <v>257</v>
      </c>
      <c r="B4659" s="28">
        <v>9470</v>
      </c>
      <c r="C4659" s="28">
        <v>5695067</v>
      </c>
      <c r="D4659" s="46"/>
      <c r="E4659" s="35">
        <v>46172</v>
      </c>
      <c r="F4659" s="49">
        <v>0.83872685185185181</v>
      </c>
      <c r="G4659" s="37">
        <v>6.3</v>
      </c>
      <c r="H4659" s="36" t="s">
        <v>228</v>
      </c>
      <c r="I4659" s="36" t="s">
        <v>1300</v>
      </c>
    </row>
    <row r="4660" spans="1:9" x14ac:dyDescent="0.2">
      <c r="A4660" s="38" t="s">
        <v>257</v>
      </c>
      <c r="B4660" s="28">
        <v>9470</v>
      </c>
      <c r="C4660" s="28">
        <v>5695067</v>
      </c>
      <c r="D4660" s="46"/>
      <c r="E4660" s="35">
        <v>46172</v>
      </c>
      <c r="F4660" s="49">
        <v>0.85112268518518519</v>
      </c>
      <c r="G4660" s="37">
        <v>6.3</v>
      </c>
      <c r="H4660" s="36" t="s">
        <v>229</v>
      </c>
      <c r="I4660" s="36" t="s">
        <v>1300</v>
      </c>
    </row>
    <row r="4661" spans="1:9" x14ac:dyDescent="0.2">
      <c r="A4661" s="38" t="s">
        <v>204</v>
      </c>
      <c r="B4661" s="28">
        <v>9480</v>
      </c>
      <c r="C4661" s="28" t="s">
        <v>1262</v>
      </c>
      <c r="D4661" s="46"/>
      <c r="E4661" s="35">
        <v>46167</v>
      </c>
      <c r="F4661" s="49">
        <v>0.67429398148148145</v>
      </c>
      <c r="G4661" s="37">
        <v>6.3</v>
      </c>
      <c r="H4661" s="36" t="s">
        <v>227</v>
      </c>
      <c r="I4661" s="36" t="s">
        <v>1300</v>
      </c>
    </row>
    <row r="4662" spans="1:9" x14ac:dyDescent="0.2">
      <c r="A4662" s="38" t="s">
        <v>204</v>
      </c>
      <c r="B4662" s="28">
        <v>9480</v>
      </c>
      <c r="C4662" s="28" t="s">
        <v>1263</v>
      </c>
      <c r="D4662" s="46"/>
      <c r="E4662" s="35">
        <v>46167</v>
      </c>
      <c r="F4662" s="49">
        <v>0.89142361111111112</v>
      </c>
      <c r="G4662" s="37">
        <v>6.3</v>
      </c>
      <c r="H4662" s="36" t="s">
        <v>228</v>
      </c>
      <c r="I4662" s="36" t="s">
        <v>1300</v>
      </c>
    </row>
    <row r="4663" spans="1:9" x14ac:dyDescent="0.2">
      <c r="A4663" s="38" t="s">
        <v>204</v>
      </c>
      <c r="B4663" s="28">
        <v>9480</v>
      </c>
      <c r="C4663" s="28" t="s">
        <v>35</v>
      </c>
      <c r="D4663" s="46" t="s">
        <v>38</v>
      </c>
      <c r="E4663" s="35">
        <v>46167</v>
      </c>
      <c r="F4663" s="49">
        <v>0.91332175925925929</v>
      </c>
      <c r="G4663" s="37">
        <v>6.3</v>
      </c>
      <c r="H4663" s="36" t="s">
        <v>227</v>
      </c>
      <c r="I4663" s="36" t="s">
        <v>1300</v>
      </c>
    </row>
    <row r="4664" spans="1:9" x14ac:dyDescent="0.2">
      <c r="A4664" s="38" t="s">
        <v>204</v>
      </c>
      <c r="B4664" s="28">
        <v>9480</v>
      </c>
      <c r="C4664" s="28">
        <v>10736183</v>
      </c>
      <c r="D4664" s="46" t="s">
        <v>36</v>
      </c>
      <c r="E4664" s="35">
        <v>46167</v>
      </c>
      <c r="F4664" s="49">
        <v>0.99006944444444445</v>
      </c>
      <c r="G4664" s="37">
        <v>6.3</v>
      </c>
      <c r="H4664" s="36" t="s">
        <v>228</v>
      </c>
      <c r="I4664" s="36" t="s">
        <v>1300</v>
      </c>
    </row>
    <row r="4665" spans="1:9" x14ac:dyDescent="0.2">
      <c r="A4665" s="38" t="s">
        <v>171</v>
      </c>
      <c r="B4665" s="28">
        <v>9490</v>
      </c>
      <c r="C4665" s="28">
        <v>5687542</v>
      </c>
      <c r="D4665" s="46" t="s">
        <v>36</v>
      </c>
      <c r="E4665" s="35">
        <v>46168</v>
      </c>
      <c r="F4665" s="49">
        <v>0.47457175925925926</v>
      </c>
      <c r="G4665" s="37">
        <v>6.3</v>
      </c>
      <c r="H4665" s="36" t="s">
        <v>230</v>
      </c>
      <c r="I4665" s="36" t="s">
        <v>1300</v>
      </c>
    </row>
    <row r="4666" spans="1:9" x14ac:dyDescent="0.2">
      <c r="A4666" s="38" t="s">
        <v>171</v>
      </c>
      <c r="B4666" s="28">
        <v>9490</v>
      </c>
      <c r="C4666" s="28">
        <v>5687542</v>
      </c>
      <c r="D4666" s="46" t="s">
        <v>36</v>
      </c>
      <c r="E4666" s="35">
        <v>46168</v>
      </c>
      <c r="F4666" s="49">
        <v>0.48293981481481479</v>
      </c>
      <c r="G4666" s="37">
        <v>6.3</v>
      </c>
      <c r="H4666" s="36" t="s">
        <v>227</v>
      </c>
      <c r="I4666" s="36" t="s">
        <v>1300</v>
      </c>
    </row>
    <row r="4667" spans="1:9" x14ac:dyDescent="0.2">
      <c r="A4667" s="38" t="s">
        <v>171</v>
      </c>
      <c r="B4667" s="28">
        <v>9490</v>
      </c>
      <c r="C4667" s="28">
        <v>5686693</v>
      </c>
      <c r="D4667" s="46"/>
      <c r="E4667" s="35">
        <v>46168</v>
      </c>
      <c r="F4667" s="49">
        <v>0.77465277777777775</v>
      </c>
      <c r="G4667" s="37">
        <v>6.3</v>
      </c>
      <c r="H4667" s="36" t="s">
        <v>228</v>
      </c>
      <c r="I4667" s="36" t="s">
        <v>1300</v>
      </c>
    </row>
    <row r="4668" spans="1:9" x14ac:dyDescent="0.2">
      <c r="A4668" s="38" t="s">
        <v>171</v>
      </c>
      <c r="B4668" s="28">
        <v>9490</v>
      </c>
      <c r="C4668" s="28">
        <v>5690522</v>
      </c>
      <c r="D4668" s="46"/>
      <c r="E4668" s="35">
        <v>46169</v>
      </c>
      <c r="F4668" s="49">
        <v>0.88003472222222223</v>
      </c>
      <c r="G4668" s="37">
        <v>6.3</v>
      </c>
      <c r="H4668" s="36" t="s">
        <v>228</v>
      </c>
      <c r="I4668" s="36" t="s">
        <v>1300</v>
      </c>
    </row>
    <row r="4669" spans="1:9" x14ac:dyDescent="0.2">
      <c r="A4669" s="38" t="s">
        <v>171</v>
      </c>
      <c r="B4669" s="28">
        <v>9490</v>
      </c>
      <c r="C4669" s="28">
        <v>5690522</v>
      </c>
      <c r="D4669" s="46"/>
      <c r="E4669" s="35">
        <v>46169</v>
      </c>
      <c r="F4669" s="49">
        <v>0.88978009259259261</v>
      </c>
      <c r="G4669" s="37">
        <v>6.3</v>
      </c>
      <c r="H4669" s="36" t="s">
        <v>229</v>
      </c>
      <c r="I4669" s="36" t="s">
        <v>1300</v>
      </c>
    </row>
    <row r="4670" spans="1:9" x14ac:dyDescent="0.2">
      <c r="A4670" s="38" t="s">
        <v>171</v>
      </c>
      <c r="B4670" s="28">
        <v>9490</v>
      </c>
      <c r="C4670" s="28">
        <v>5693815</v>
      </c>
      <c r="D4670" s="46"/>
      <c r="E4670" s="35">
        <v>46171</v>
      </c>
      <c r="F4670" s="49">
        <v>0.88237268518518519</v>
      </c>
      <c r="G4670" s="37">
        <v>6.3</v>
      </c>
      <c r="H4670" s="36" t="s">
        <v>228</v>
      </c>
      <c r="I4670" s="36" t="s">
        <v>1300</v>
      </c>
    </row>
    <row r="4671" spans="1:9" x14ac:dyDescent="0.2">
      <c r="A4671" s="38" t="s">
        <v>171</v>
      </c>
      <c r="B4671" s="28">
        <v>9490</v>
      </c>
      <c r="C4671" s="28">
        <v>5693815</v>
      </c>
      <c r="D4671" s="46"/>
      <c r="E4671" s="35">
        <v>46171</v>
      </c>
      <c r="F4671" s="49">
        <v>0.89047453703703705</v>
      </c>
      <c r="G4671" s="37">
        <v>6.3</v>
      </c>
      <c r="H4671" s="36" t="s">
        <v>232</v>
      </c>
      <c r="I4671" s="36" t="s">
        <v>1300</v>
      </c>
    </row>
    <row r="4672" spans="1:9" x14ac:dyDescent="0.2">
      <c r="A4672" s="38" t="s">
        <v>171</v>
      </c>
      <c r="B4672" s="28">
        <v>9490</v>
      </c>
      <c r="C4672" s="28">
        <v>5693875</v>
      </c>
      <c r="D4672" s="46"/>
      <c r="E4672" s="35">
        <v>46172</v>
      </c>
      <c r="F4672" s="49">
        <v>0.41601851851851851</v>
      </c>
      <c r="G4672" s="37">
        <v>6.3</v>
      </c>
      <c r="H4672" s="36" t="s">
        <v>228</v>
      </c>
      <c r="I4672" s="36" t="s">
        <v>1300</v>
      </c>
    </row>
    <row r="4673" spans="1:9" x14ac:dyDescent="0.2">
      <c r="A4673" s="38" t="s">
        <v>171</v>
      </c>
      <c r="B4673" s="28">
        <v>9490</v>
      </c>
      <c r="C4673" s="28">
        <v>5693875</v>
      </c>
      <c r="D4673" s="46"/>
      <c r="E4673" s="35">
        <v>46172</v>
      </c>
      <c r="F4673" s="49">
        <v>0.4281712962962963</v>
      </c>
      <c r="G4673" s="37">
        <v>6.3</v>
      </c>
      <c r="H4673" s="36" t="s">
        <v>232</v>
      </c>
      <c r="I4673" s="36" t="s">
        <v>1300</v>
      </c>
    </row>
    <row r="4674" spans="1:9" x14ac:dyDescent="0.2">
      <c r="A4674" s="38" t="s">
        <v>171</v>
      </c>
      <c r="B4674" s="28">
        <v>9490</v>
      </c>
      <c r="C4674" s="28">
        <v>5694461</v>
      </c>
      <c r="D4674" s="46"/>
      <c r="E4674" s="35">
        <v>46172</v>
      </c>
      <c r="F4674" s="49">
        <v>0.51920138888888889</v>
      </c>
      <c r="G4674" s="37">
        <v>6.3</v>
      </c>
      <c r="H4674" s="36" t="s">
        <v>231</v>
      </c>
      <c r="I4674" s="36" t="s">
        <v>1300</v>
      </c>
    </row>
    <row r="4675" spans="1:9" x14ac:dyDescent="0.2">
      <c r="A4675" s="38" t="s">
        <v>171</v>
      </c>
      <c r="B4675" s="28">
        <v>9490</v>
      </c>
      <c r="C4675" s="28">
        <v>5694461</v>
      </c>
      <c r="D4675" s="46"/>
      <c r="E4675" s="35">
        <v>46172</v>
      </c>
      <c r="F4675" s="49">
        <v>0.52778935185185183</v>
      </c>
      <c r="G4675" s="37">
        <v>6.3</v>
      </c>
      <c r="H4675" s="36" t="s">
        <v>227</v>
      </c>
      <c r="I4675" s="36" t="s">
        <v>1300</v>
      </c>
    </row>
    <row r="4676" spans="1:9" x14ac:dyDescent="0.2">
      <c r="A4676" s="38" t="s">
        <v>171</v>
      </c>
      <c r="B4676" s="28">
        <v>9490</v>
      </c>
      <c r="C4676" s="28" t="s">
        <v>1264</v>
      </c>
      <c r="D4676" s="46"/>
      <c r="E4676" s="35">
        <v>46172</v>
      </c>
      <c r="F4676" s="49">
        <v>0.96702546296296299</v>
      </c>
      <c r="G4676" s="37">
        <v>6.3</v>
      </c>
      <c r="H4676" s="36" t="s">
        <v>228</v>
      </c>
      <c r="I4676" s="36" t="s">
        <v>1300</v>
      </c>
    </row>
    <row r="4677" spans="1:9" x14ac:dyDescent="0.2">
      <c r="A4677" s="38" t="s">
        <v>171</v>
      </c>
      <c r="B4677" s="28">
        <v>9490</v>
      </c>
      <c r="C4677" s="28" t="s">
        <v>1264</v>
      </c>
      <c r="D4677" s="46"/>
      <c r="E4677" s="35">
        <v>46172</v>
      </c>
      <c r="F4677" s="49">
        <v>0.97479166666666661</v>
      </c>
      <c r="G4677" s="37">
        <v>6.3</v>
      </c>
      <c r="H4677" s="36" t="s">
        <v>232</v>
      </c>
      <c r="I4677" s="36" t="s">
        <v>1300</v>
      </c>
    </row>
    <row r="4678" spans="1:9" x14ac:dyDescent="0.2">
      <c r="A4678" s="38" t="s">
        <v>171</v>
      </c>
      <c r="B4678" s="28">
        <v>9490</v>
      </c>
      <c r="C4678" s="28" t="s">
        <v>1265</v>
      </c>
      <c r="D4678" s="46"/>
      <c r="E4678" s="35">
        <v>46173</v>
      </c>
      <c r="F4678" s="49">
        <v>0.73032407407407407</v>
      </c>
      <c r="G4678" s="37">
        <v>6.3</v>
      </c>
      <c r="H4678" s="36" t="s">
        <v>228</v>
      </c>
      <c r="I4678" s="36" t="s">
        <v>1300</v>
      </c>
    </row>
    <row r="4679" spans="1:9" x14ac:dyDescent="0.2">
      <c r="A4679" s="38" t="s">
        <v>171</v>
      </c>
      <c r="B4679" s="28">
        <v>9490</v>
      </c>
      <c r="C4679" s="28" t="s">
        <v>1266</v>
      </c>
      <c r="D4679" s="46"/>
      <c r="E4679" s="35">
        <v>46173</v>
      </c>
      <c r="F4679" s="49">
        <v>0.88697916666666665</v>
      </c>
      <c r="G4679" s="37">
        <v>6.3</v>
      </c>
      <c r="H4679" s="36" t="s">
        <v>228</v>
      </c>
      <c r="I4679" s="36" t="s">
        <v>1300</v>
      </c>
    </row>
    <row r="4680" spans="1:9" x14ac:dyDescent="0.2">
      <c r="A4680" s="38" t="s">
        <v>345</v>
      </c>
      <c r="B4680" s="28">
        <v>9510</v>
      </c>
      <c r="C4680" s="28" t="s">
        <v>35</v>
      </c>
      <c r="D4680" s="46" t="s">
        <v>38</v>
      </c>
      <c r="E4680" s="35">
        <v>46167</v>
      </c>
      <c r="F4680" s="49">
        <v>7.9594907407407406E-2</v>
      </c>
      <c r="G4680" s="37">
        <v>6.3</v>
      </c>
      <c r="H4680" s="36" t="s">
        <v>230</v>
      </c>
      <c r="I4680" s="36" t="s">
        <v>1300</v>
      </c>
    </row>
    <row r="4681" spans="1:9" x14ac:dyDescent="0.2">
      <c r="A4681" s="38" t="s">
        <v>345</v>
      </c>
      <c r="B4681" s="28">
        <v>9510</v>
      </c>
      <c r="C4681" s="28" t="s">
        <v>35</v>
      </c>
      <c r="D4681" s="46" t="s">
        <v>38</v>
      </c>
      <c r="E4681" s="35">
        <v>46167</v>
      </c>
      <c r="F4681" s="49">
        <v>8.396990740740741E-2</v>
      </c>
      <c r="G4681" s="37">
        <v>6.3</v>
      </c>
      <c r="H4681" s="36" t="s">
        <v>227</v>
      </c>
      <c r="I4681" s="36" t="s">
        <v>1300</v>
      </c>
    </row>
    <row r="4682" spans="1:9" x14ac:dyDescent="0.2">
      <c r="A4682" s="38" t="s">
        <v>345</v>
      </c>
      <c r="B4682" s="28">
        <v>9510</v>
      </c>
      <c r="C4682" s="28">
        <v>5683897</v>
      </c>
      <c r="D4682" s="46" t="s">
        <v>36</v>
      </c>
      <c r="E4682" s="35">
        <v>46167</v>
      </c>
      <c r="F4682" s="49">
        <v>0.16820601851851852</v>
      </c>
      <c r="G4682" s="37">
        <v>6.3</v>
      </c>
      <c r="H4682" s="36" t="s">
        <v>227</v>
      </c>
      <c r="I4682" s="36" t="s">
        <v>1300</v>
      </c>
    </row>
    <row r="4683" spans="1:9" x14ac:dyDescent="0.2">
      <c r="A4683" s="38" t="s">
        <v>345</v>
      </c>
      <c r="B4683" s="28">
        <v>9510</v>
      </c>
      <c r="C4683" s="28">
        <v>5686889</v>
      </c>
      <c r="D4683" s="46"/>
      <c r="E4683" s="35">
        <v>46167</v>
      </c>
      <c r="F4683" s="49">
        <v>0.8903240740740741</v>
      </c>
      <c r="G4683" s="37">
        <v>6.3</v>
      </c>
      <c r="H4683" s="36" t="s">
        <v>228</v>
      </c>
      <c r="I4683" s="36" t="s">
        <v>1300</v>
      </c>
    </row>
    <row r="4684" spans="1:9" x14ac:dyDescent="0.2">
      <c r="A4684" s="38" t="s">
        <v>345</v>
      </c>
      <c r="B4684" s="28">
        <v>9510</v>
      </c>
      <c r="C4684" s="28">
        <v>5686889</v>
      </c>
      <c r="D4684" s="46"/>
      <c r="E4684" s="35">
        <v>46167</v>
      </c>
      <c r="F4684" s="49">
        <v>0.89709490740740738</v>
      </c>
      <c r="G4684" s="37">
        <v>6.3</v>
      </c>
      <c r="H4684" s="36" t="s">
        <v>229</v>
      </c>
      <c r="I4684" s="36" t="s">
        <v>1300</v>
      </c>
    </row>
    <row r="4685" spans="1:9" x14ac:dyDescent="0.2">
      <c r="A4685" s="38" t="s">
        <v>345</v>
      </c>
      <c r="B4685" s="28">
        <v>9510</v>
      </c>
      <c r="C4685" s="28" t="s">
        <v>35</v>
      </c>
      <c r="D4685" s="46" t="s">
        <v>38</v>
      </c>
      <c r="E4685" s="35">
        <v>46167</v>
      </c>
      <c r="F4685" s="49">
        <v>0.91861111111111116</v>
      </c>
      <c r="G4685" s="37">
        <v>6.3</v>
      </c>
      <c r="H4685" s="36" t="s">
        <v>230</v>
      </c>
      <c r="I4685" s="36" t="s">
        <v>1300</v>
      </c>
    </row>
    <row r="4686" spans="1:9" x14ac:dyDescent="0.2">
      <c r="A4686" s="38" t="s">
        <v>345</v>
      </c>
      <c r="B4686" s="28">
        <v>9510</v>
      </c>
      <c r="C4686" s="28" t="s">
        <v>35</v>
      </c>
      <c r="D4686" s="46" t="s">
        <v>38</v>
      </c>
      <c r="E4686" s="35">
        <v>46167</v>
      </c>
      <c r="F4686" s="49">
        <v>0.92396990740740736</v>
      </c>
      <c r="G4686" s="37">
        <v>6.3</v>
      </c>
      <c r="H4686" s="36" t="s">
        <v>227</v>
      </c>
      <c r="I4686" s="36" t="s">
        <v>1300</v>
      </c>
    </row>
    <row r="4687" spans="1:9" x14ac:dyDescent="0.2">
      <c r="A4687" s="38" t="s">
        <v>345</v>
      </c>
      <c r="B4687" s="28">
        <v>9510</v>
      </c>
      <c r="C4687" s="28">
        <v>5687110</v>
      </c>
      <c r="D4687" s="46"/>
      <c r="E4687" s="35">
        <v>46167</v>
      </c>
      <c r="F4687" s="49">
        <v>0.97454861111111113</v>
      </c>
      <c r="G4687" s="37">
        <v>6.3</v>
      </c>
      <c r="H4687" s="36" t="s">
        <v>228</v>
      </c>
      <c r="I4687" s="36" t="s">
        <v>1300</v>
      </c>
    </row>
    <row r="4688" spans="1:9" x14ac:dyDescent="0.2">
      <c r="A4688" s="38" t="s">
        <v>345</v>
      </c>
      <c r="B4688" s="28">
        <v>9510</v>
      </c>
      <c r="C4688" s="28">
        <v>5687110</v>
      </c>
      <c r="D4688" s="46"/>
      <c r="E4688" s="35">
        <v>46167</v>
      </c>
      <c r="F4688" s="49">
        <v>0.98152777777777778</v>
      </c>
      <c r="G4688" s="37">
        <v>6.3</v>
      </c>
      <c r="H4688" s="36" t="s">
        <v>229</v>
      </c>
      <c r="I4688" s="36" t="s">
        <v>1300</v>
      </c>
    </row>
    <row r="4689" spans="1:9" x14ac:dyDescent="0.2">
      <c r="A4689" s="38" t="s">
        <v>345</v>
      </c>
      <c r="B4689" s="28">
        <v>9510</v>
      </c>
      <c r="C4689" s="28" t="s">
        <v>35</v>
      </c>
      <c r="D4689" s="46" t="s">
        <v>38</v>
      </c>
      <c r="E4689" s="35">
        <v>46167</v>
      </c>
      <c r="F4689" s="49">
        <v>0.99834490740740744</v>
      </c>
      <c r="G4689" s="37">
        <v>6.3</v>
      </c>
      <c r="H4689" s="36" t="s">
        <v>226</v>
      </c>
      <c r="I4689" s="36" t="s">
        <v>1300</v>
      </c>
    </row>
    <row r="4690" spans="1:9" x14ac:dyDescent="0.2">
      <c r="A4690" s="38" t="s">
        <v>345</v>
      </c>
      <c r="B4690" s="28">
        <v>9510</v>
      </c>
      <c r="C4690" s="28" t="s">
        <v>35</v>
      </c>
      <c r="D4690" s="46" t="s">
        <v>38</v>
      </c>
      <c r="E4690" s="35">
        <v>46168</v>
      </c>
      <c r="F4690" s="49">
        <v>2.8124999999999999E-3</v>
      </c>
      <c r="G4690" s="37">
        <v>6.3</v>
      </c>
      <c r="H4690" s="36" t="s">
        <v>227</v>
      </c>
      <c r="I4690" s="36" t="s">
        <v>1300</v>
      </c>
    </row>
    <row r="4691" spans="1:9" x14ac:dyDescent="0.2">
      <c r="A4691" s="38" t="s">
        <v>345</v>
      </c>
      <c r="B4691" s="28">
        <v>9510</v>
      </c>
      <c r="C4691" s="28">
        <v>5694301</v>
      </c>
      <c r="D4691" s="46"/>
      <c r="E4691" s="35">
        <v>46172</v>
      </c>
      <c r="F4691" s="49">
        <v>4.5810185185185183E-2</v>
      </c>
      <c r="G4691" s="37">
        <v>6.3</v>
      </c>
      <c r="H4691" s="36" t="s">
        <v>230</v>
      </c>
      <c r="I4691" s="36" t="s">
        <v>1300</v>
      </c>
    </row>
    <row r="4692" spans="1:9" x14ac:dyDescent="0.2">
      <c r="A4692" s="38" t="s">
        <v>345</v>
      </c>
      <c r="B4692" s="28">
        <v>9510</v>
      </c>
      <c r="C4692" s="28" t="s">
        <v>35</v>
      </c>
      <c r="D4692" s="46" t="s">
        <v>38</v>
      </c>
      <c r="E4692" s="35">
        <v>46172</v>
      </c>
      <c r="F4692" s="49">
        <v>0.13184027777777776</v>
      </c>
      <c r="G4692" s="37">
        <v>6.3</v>
      </c>
      <c r="H4692" s="36" t="s">
        <v>232</v>
      </c>
      <c r="I4692" s="36" t="s">
        <v>1300</v>
      </c>
    </row>
    <row r="4693" spans="1:9" x14ac:dyDescent="0.2">
      <c r="A4693" s="38" t="s">
        <v>345</v>
      </c>
      <c r="B4693" s="28">
        <v>9510</v>
      </c>
      <c r="C4693" s="28" t="s">
        <v>35</v>
      </c>
      <c r="D4693" s="46" t="s">
        <v>38</v>
      </c>
      <c r="E4693" s="35">
        <v>46172</v>
      </c>
      <c r="F4693" s="49">
        <v>0.21189814814814814</v>
      </c>
      <c r="G4693" s="37">
        <v>6.3</v>
      </c>
      <c r="H4693" s="36" t="s">
        <v>231</v>
      </c>
      <c r="I4693" s="36" t="s">
        <v>1300</v>
      </c>
    </row>
    <row r="4694" spans="1:9" x14ac:dyDescent="0.2">
      <c r="A4694" s="38" t="s">
        <v>345</v>
      </c>
      <c r="B4694" s="28">
        <v>9510</v>
      </c>
      <c r="C4694" s="28" t="s">
        <v>1267</v>
      </c>
      <c r="D4694" s="46"/>
      <c r="E4694" s="35">
        <v>46172</v>
      </c>
      <c r="F4694" s="49">
        <v>0.97309027777777779</v>
      </c>
      <c r="G4694" s="37">
        <v>6.3</v>
      </c>
      <c r="H4694" s="36" t="s">
        <v>228</v>
      </c>
      <c r="I4694" s="36" t="s">
        <v>1300</v>
      </c>
    </row>
    <row r="4695" spans="1:9" x14ac:dyDescent="0.2">
      <c r="A4695" s="38" t="s">
        <v>345</v>
      </c>
      <c r="B4695" s="28">
        <v>9510</v>
      </c>
      <c r="C4695" s="28" t="s">
        <v>1267</v>
      </c>
      <c r="D4695" s="46"/>
      <c r="E4695" s="35">
        <v>46172</v>
      </c>
      <c r="F4695" s="49">
        <v>0.9800578703703704</v>
      </c>
      <c r="G4695" s="37">
        <v>6.3</v>
      </c>
      <c r="H4695" s="36" t="s">
        <v>229</v>
      </c>
      <c r="I4695" s="36" t="s">
        <v>1300</v>
      </c>
    </row>
    <row r="4696" spans="1:9" x14ac:dyDescent="0.2">
      <c r="A4696" s="38" t="s">
        <v>345</v>
      </c>
      <c r="B4696" s="28">
        <v>9510</v>
      </c>
      <c r="C4696" s="28" t="s">
        <v>35</v>
      </c>
      <c r="D4696" s="46" t="s">
        <v>38</v>
      </c>
      <c r="E4696" s="35">
        <v>46173</v>
      </c>
      <c r="F4696" s="49">
        <v>2.673611111111111E-3</v>
      </c>
      <c r="G4696" s="37">
        <v>6.3</v>
      </c>
      <c r="H4696" s="36" t="s">
        <v>226</v>
      </c>
      <c r="I4696" s="36" t="s">
        <v>1300</v>
      </c>
    </row>
    <row r="4697" spans="1:9" x14ac:dyDescent="0.2">
      <c r="A4697" s="38" t="s">
        <v>345</v>
      </c>
      <c r="B4697" s="28">
        <v>9510</v>
      </c>
      <c r="C4697" s="28" t="s">
        <v>35</v>
      </c>
      <c r="D4697" s="46" t="s">
        <v>38</v>
      </c>
      <c r="E4697" s="35">
        <v>46173</v>
      </c>
      <c r="F4697" s="49">
        <v>6.851851851851852E-3</v>
      </c>
      <c r="G4697" s="37">
        <v>6.3</v>
      </c>
      <c r="H4697" s="36" t="s">
        <v>227</v>
      </c>
      <c r="I4697" s="36" t="s">
        <v>1300</v>
      </c>
    </row>
    <row r="4698" spans="1:9" x14ac:dyDescent="0.2">
      <c r="A4698" s="38" t="s">
        <v>240</v>
      </c>
      <c r="B4698" s="28">
        <v>9527</v>
      </c>
      <c r="C4698" s="28" t="s">
        <v>1268</v>
      </c>
      <c r="D4698" s="46"/>
      <c r="E4698" s="35">
        <v>46167</v>
      </c>
      <c r="F4698" s="49">
        <v>4.5578703703703705E-2</v>
      </c>
      <c r="G4698" s="37">
        <v>6.3</v>
      </c>
      <c r="H4698" s="36" t="s">
        <v>228</v>
      </c>
      <c r="I4698" s="36" t="s">
        <v>1300</v>
      </c>
    </row>
    <row r="4699" spans="1:9" x14ac:dyDescent="0.2">
      <c r="A4699" s="38" t="s">
        <v>240</v>
      </c>
      <c r="B4699" s="28">
        <v>9527</v>
      </c>
      <c r="C4699" s="28" t="s">
        <v>1268</v>
      </c>
      <c r="D4699" s="46"/>
      <c r="E4699" s="35">
        <v>46167</v>
      </c>
      <c r="F4699" s="49">
        <v>5.2418981481481483E-2</v>
      </c>
      <c r="G4699" s="37">
        <v>6.3</v>
      </c>
      <c r="H4699" s="36" t="s">
        <v>229</v>
      </c>
      <c r="I4699" s="36" t="s">
        <v>1300</v>
      </c>
    </row>
    <row r="4700" spans="1:9" x14ac:dyDescent="0.2">
      <c r="A4700" s="38" t="s">
        <v>240</v>
      </c>
      <c r="B4700" s="28">
        <v>9527</v>
      </c>
      <c r="C4700" s="28">
        <v>5684816</v>
      </c>
      <c r="D4700" s="46"/>
      <c r="E4700" s="35">
        <v>46167</v>
      </c>
      <c r="F4700" s="49">
        <v>0.18642361111111111</v>
      </c>
      <c r="G4700" s="37">
        <v>6.3</v>
      </c>
      <c r="H4700" s="36" t="s">
        <v>230</v>
      </c>
      <c r="I4700" s="36" t="s">
        <v>1300</v>
      </c>
    </row>
    <row r="4701" spans="1:9" x14ac:dyDescent="0.2">
      <c r="A4701" s="38" t="s">
        <v>240</v>
      </c>
      <c r="B4701" s="28">
        <v>9527</v>
      </c>
      <c r="C4701" s="28">
        <v>5684816</v>
      </c>
      <c r="D4701" s="46"/>
      <c r="E4701" s="35">
        <v>46167</v>
      </c>
      <c r="F4701" s="49">
        <v>0.19172453703703704</v>
      </c>
      <c r="G4701" s="37">
        <v>6.3</v>
      </c>
      <c r="H4701" s="36" t="s">
        <v>227</v>
      </c>
      <c r="I4701" s="36" t="s">
        <v>1300</v>
      </c>
    </row>
    <row r="4702" spans="1:9" x14ac:dyDescent="0.2">
      <c r="A4702" s="38" t="s">
        <v>240</v>
      </c>
      <c r="B4702" s="28">
        <v>9527</v>
      </c>
      <c r="C4702" s="28">
        <v>5686855</v>
      </c>
      <c r="D4702" s="46" t="s">
        <v>37</v>
      </c>
      <c r="E4702" s="35">
        <v>46167</v>
      </c>
      <c r="F4702" s="49">
        <v>0.87766203703703705</v>
      </c>
      <c r="G4702" s="37">
        <v>6.3</v>
      </c>
      <c r="H4702" s="36" t="s">
        <v>228</v>
      </c>
      <c r="I4702" s="36" t="s">
        <v>1300</v>
      </c>
    </row>
    <row r="4703" spans="1:9" x14ac:dyDescent="0.2">
      <c r="A4703" s="38" t="s">
        <v>240</v>
      </c>
      <c r="B4703" s="28">
        <v>9527</v>
      </c>
      <c r="C4703" s="28">
        <v>5686855</v>
      </c>
      <c r="D4703" s="46" t="s">
        <v>37</v>
      </c>
      <c r="E4703" s="35">
        <v>46167</v>
      </c>
      <c r="F4703" s="49">
        <v>0.8853819444444444</v>
      </c>
      <c r="G4703" s="37">
        <v>6.3</v>
      </c>
      <c r="H4703" s="36" t="s">
        <v>229</v>
      </c>
      <c r="I4703" s="36" t="s">
        <v>1300</v>
      </c>
    </row>
    <row r="4704" spans="1:9" x14ac:dyDescent="0.2">
      <c r="A4704" s="38" t="s">
        <v>240</v>
      </c>
      <c r="B4704" s="28">
        <v>9527</v>
      </c>
      <c r="C4704" s="28">
        <v>5686893</v>
      </c>
      <c r="D4704" s="46"/>
      <c r="E4704" s="35">
        <v>46168</v>
      </c>
      <c r="F4704" s="49">
        <v>0.36627314814814815</v>
      </c>
      <c r="G4704" s="37">
        <v>6.3</v>
      </c>
      <c r="H4704" s="36" t="s">
        <v>230</v>
      </c>
      <c r="I4704" s="36" t="s">
        <v>1300</v>
      </c>
    </row>
    <row r="4705" spans="1:9" x14ac:dyDescent="0.2">
      <c r="A4705" s="38" t="s">
        <v>240</v>
      </c>
      <c r="B4705" s="28">
        <v>9527</v>
      </c>
      <c r="C4705" s="28">
        <v>5686893</v>
      </c>
      <c r="D4705" s="46"/>
      <c r="E4705" s="35">
        <v>46168</v>
      </c>
      <c r="F4705" s="49">
        <v>0.37230324074074073</v>
      </c>
      <c r="G4705" s="37">
        <v>6.3</v>
      </c>
      <c r="H4705" s="36" t="s">
        <v>227</v>
      </c>
      <c r="I4705" s="36" t="s">
        <v>1300</v>
      </c>
    </row>
    <row r="4706" spans="1:9" x14ac:dyDescent="0.2">
      <c r="A4706" s="38" t="s">
        <v>198</v>
      </c>
      <c r="B4706" s="28">
        <v>9575</v>
      </c>
      <c r="C4706" s="28">
        <v>5685380</v>
      </c>
      <c r="D4706" s="46" t="s">
        <v>36</v>
      </c>
      <c r="E4706" s="35">
        <v>46167</v>
      </c>
      <c r="F4706" s="49">
        <v>0.17719907407407406</v>
      </c>
      <c r="G4706" s="37">
        <v>6.3</v>
      </c>
      <c r="H4706" s="36" t="s">
        <v>230</v>
      </c>
      <c r="I4706" s="36" t="s">
        <v>1300</v>
      </c>
    </row>
    <row r="4707" spans="1:9" x14ac:dyDescent="0.2">
      <c r="A4707" s="38" t="s">
        <v>198</v>
      </c>
      <c r="B4707" s="28">
        <v>9575</v>
      </c>
      <c r="C4707" s="28">
        <v>5685380</v>
      </c>
      <c r="D4707" s="46" t="s">
        <v>36</v>
      </c>
      <c r="E4707" s="35">
        <v>46167</v>
      </c>
      <c r="F4707" s="49">
        <v>0.18237268518518518</v>
      </c>
      <c r="G4707" s="37">
        <v>6.3</v>
      </c>
      <c r="H4707" s="36" t="s">
        <v>227</v>
      </c>
      <c r="I4707" s="36" t="s">
        <v>1300</v>
      </c>
    </row>
    <row r="4708" spans="1:9" x14ac:dyDescent="0.2">
      <c r="A4708" s="38" t="s">
        <v>198</v>
      </c>
      <c r="B4708" s="28">
        <v>9575</v>
      </c>
      <c r="C4708" s="28" t="s">
        <v>35</v>
      </c>
      <c r="D4708" s="46" t="s">
        <v>38</v>
      </c>
      <c r="E4708" s="35">
        <v>46167</v>
      </c>
      <c r="F4708" s="49">
        <v>0.8357175925925926</v>
      </c>
      <c r="G4708" s="37">
        <v>6.3</v>
      </c>
      <c r="H4708" s="36" t="s">
        <v>230</v>
      </c>
      <c r="I4708" s="36" t="s">
        <v>1300</v>
      </c>
    </row>
    <row r="4709" spans="1:9" x14ac:dyDescent="0.2">
      <c r="A4709" s="38" t="s">
        <v>198</v>
      </c>
      <c r="B4709" s="28">
        <v>9575</v>
      </c>
      <c r="C4709" s="28" t="s">
        <v>35</v>
      </c>
      <c r="D4709" s="46" t="s">
        <v>38</v>
      </c>
      <c r="E4709" s="35">
        <v>46167</v>
      </c>
      <c r="F4709" s="49">
        <v>0.84447916666666667</v>
      </c>
      <c r="G4709" s="37">
        <v>6.3</v>
      </c>
      <c r="H4709" s="36" t="s">
        <v>227</v>
      </c>
      <c r="I4709" s="36" t="s">
        <v>1300</v>
      </c>
    </row>
    <row r="4710" spans="1:9" x14ac:dyDescent="0.2">
      <c r="A4710" s="38" t="s">
        <v>198</v>
      </c>
      <c r="B4710" s="28">
        <v>9575</v>
      </c>
      <c r="C4710" s="28" t="s">
        <v>35</v>
      </c>
      <c r="D4710" s="46" t="s">
        <v>38</v>
      </c>
      <c r="E4710" s="35">
        <v>46168</v>
      </c>
      <c r="F4710" s="49">
        <v>2.8009259259259258E-2</v>
      </c>
      <c r="G4710" s="37">
        <v>6.3</v>
      </c>
      <c r="H4710" s="36" t="s">
        <v>228</v>
      </c>
      <c r="I4710" s="36" t="s">
        <v>1300</v>
      </c>
    </row>
    <row r="4711" spans="1:9" x14ac:dyDescent="0.2">
      <c r="A4711" s="38" t="s">
        <v>198</v>
      </c>
      <c r="B4711" s="28">
        <v>9575</v>
      </c>
      <c r="C4711" s="28" t="s">
        <v>35</v>
      </c>
      <c r="D4711" s="46" t="s">
        <v>38</v>
      </c>
      <c r="E4711" s="35">
        <v>46168</v>
      </c>
      <c r="F4711" s="49">
        <v>3.5000000000000003E-2</v>
      </c>
      <c r="G4711" s="37">
        <v>6.3</v>
      </c>
      <c r="H4711" s="36" t="s">
        <v>229</v>
      </c>
      <c r="I4711" s="36" t="s">
        <v>1300</v>
      </c>
    </row>
    <row r="4712" spans="1:9" x14ac:dyDescent="0.2">
      <c r="A4712" s="38" t="s">
        <v>198</v>
      </c>
      <c r="B4712" s="28">
        <v>9575</v>
      </c>
      <c r="C4712" s="28" t="s">
        <v>1269</v>
      </c>
      <c r="D4712" s="46"/>
      <c r="E4712" s="35">
        <v>46168</v>
      </c>
      <c r="F4712" s="49">
        <v>0.78994212962962962</v>
      </c>
      <c r="G4712" s="37">
        <v>6.3</v>
      </c>
      <c r="H4712" s="36" t="s">
        <v>228</v>
      </c>
      <c r="I4712" s="36" t="s">
        <v>1300</v>
      </c>
    </row>
    <row r="4713" spans="1:9" x14ac:dyDescent="0.2">
      <c r="A4713" s="38" t="s">
        <v>198</v>
      </c>
      <c r="B4713" s="28">
        <v>9575</v>
      </c>
      <c r="C4713" s="28" t="s">
        <v>1269</v>
      </c>
      <c r="D4713" s="46"/>
      <c r="E4713" s="35">
        <v>46168</v>
      </c>
      <c r="F4713" s="49">
        <v>0.80429398148148146</v>
      </c>
      <c r="G4713" s="37">
        <v>6.3</v>
      </c>
      <c r="H4713" s="36" t="s">
        <v>229</v>
      </c>
      <c r="I4713" s="36" t="s">
        <v>1300</v>
      </c>
    </row>
    <row r="4714" spans="1:9" x14ac:dyDescent="0.2">
      <c r="A4714" s="38" t="s">
        <v>198</v>
      </c>
      <c r="B4714" s="28">
        <v>9575</v>
      </c>
      <c r="C4714" s="28" t="s">
        <v>35</v>
      </c>
      <c r="D4714" s="46" t="s">
        <v>38</v>
      </c>
      <c r="E4714" s="35">
        <v>46168</v>
      </c>
      <c r="F4714" s="49">
        <v>0.84603009259259254</v>
      </c>
      <c r="G4714" s="37">
        <v>6.3</v>
      </c>
      <c r="H4714" s="36" t="s">
        <v>230</v>
      </c>
      <c r="I4714" s="36" t="s">
        <v>1300</v>
      </c>
    </row>
    <row r="4715" spans="1:9" x14ac:dyDescent="0.2">
      <c r="A4715" s="38" t="s">
        <v>198</v>
      </c>
      <c r="B4715" s="28">
        <v>9575</v>
      </c>
      <c r="C4715" s="28" t="s">
        <v>35</v>
      </c>
      <c r="D4715" s="46" t="s">
        <v>38</v>
      </c>
      <c r="E4715" s="35">
        <v>46168</v>
      </c>
      <c r="F4715" s="49">
        <v>0.85512731481481485</v>
      </c>
      <c r="G4715" s="37">
        <v>6.3</v>
      </c>
      <c r="H4715" s="36" t="s">
        <v>227</v>
      </c>
      <c r="I4715" s="36" t="s">
        <v>1300</v>
      </c>
    </row>
    <row r="4716" spans="1:9" x14ac:dyDescent="0.2">
      <c r="A4716" s="38" t="s">
        <v>198</v>
      </c>
      <c r="B4716" s="28">
        <v>9575</v>
      </c>
      <c r="C4716" s="28" t="s">
        <v>35</v>
      </c>
      <c r="D4716" s="46" t="s">
        <v>38</v>
      </c>
      <c r="E4716" s="35">
        <v>46171</v>
      </c>
      <c r="F4716" s="49">
        <v>0.63644675925925931</v>
      </c>
      <c r="G4716" s="37">
        <v>6.3</v>
      </c>
      <c r="H4716" s="36" t="s">
        <v>230</v>
      </c>
      <c r="I4716" s="36" t="s">
        <v>1300</v>
      </c>
    </row>
    <row r="4717" spans="1:9" x14ac:dyDescent="0.2">
      <c r="A4717" s="38" t="s">
        <v>198</v>
      </c>
      <c r="B4717" s="28">
        <v>9575</v>
      </c>
      <c r="C4717" s="28" t="s">
        <v>35</v>
      </c>
      <c r="D4717" s="46" t="s">
        <v>38</v>
      </c>
      <c r="E4717" s="35">
        <v>46173</v>
      </c>
      <c r="F4717" s="49">
        <v>0.76637731481481486</v>
      </c>
      <c r="G4717" s="37">
        <v>6.3</v>
      </c>
      <c r="H4717" s="36" t="s">
        <v>227</v>
      </c>
      <c r="I4717" s="36" t="s">
        <v>1300</v>
      </c>
    </row>
    <row r="4718" spans="1:9" x14ac:dyDescent="0.2">
      <c r="A4718" s="38" t="s">
        <v>198</v>
      </c>
      <c r="B4718" s="28">
        <v>9575</v>
      </c>
      <c r="C4718" s="28" t="s">
        <v>35</v>
      </c>
      <c r="D4718" s="46" t="s">
        <v>38</v>
      </c>
      <c r="E4718" s="35">
        <v>46173</v>
      </c>
      <c r="F4718" s="49">
        <v>0.84598379629629628</v>
      </c>
      <c r="G4718" s="37">
        <v>6.3</v>
      </c>
      <c r="H4718" s="36" t="s">
        <v>230</v>
      </c>
      <c r="I4718" s="36" t="s">
        <v>1300</v>
      </c>
    </row>
    <row r="4719" spans="1:9" x14ac:dyDescent="0.2">
      <c r="A4719" s="38" t="s">
        <v>198</v>
      </c>
      <c r="B4719" s="28">
        <v>9575</v>
      </c>
      <c r="C4719" s="28" t="s">
        <v>35</v>
      </c>
      <c r="D4719" s="46" t="s">
        <v>38</v>
      </c>
      <c r="E4719" s="35">
        <v>46173</v>
      </c>
      <c r="F4719" s="49">
        <v>0.85135416666666663</v>
      </c>
      <c r="G4719" s="37">
        <v>6.3</v>
      </c>
      <c r="H4719" s="36" t="s">
        <v>227</v>
      </c>
      <c r="I4719" s="36" t="s">
        <v>1300</v>
      </c>
    </row>
    <row r="4720" spans="1:9" x14ac:dyDescent="0.2">
      <c r="A4720" s="38" t="s">
        <v>478</v>
      </c>
      <c r="B4720" s="28">
        <v>9599</v>
      </c>
      <c r="C4720" s="28">
        <v>5684373</v>
      </c>
      <c r="D4720" s="46"/>
      <c r="E4720" s="35">
        <v>46169</v>
      </c>
      <c r="F4720" s="49">
        <v>0.3283449074074074</v>
      </c>
      <c r="G4720" s="37">
        <v>6.3</v>
      </c>
      <c r="H4720" s="36" t="s">
        <v>229</v>
      </c>
      <c r="I4720" s="36" t="s">
        <v>1300</v>
      </c>
    </row>
    <row r="4721" spans="1:9" x14ac:dyDescent="0.2">
      <c r="A4721" s="38" t="s">
        <v>478</v>
      </c>
      <c r="B4721" s="28">
        <v>9599</v>
      </c>
      <c r="C4721" s="28" t="s">
        <v>35</v>
      </c>
      <c r="D4721" s="46" t="s">
        <v>38</v>
      </c>
      <c r="E4721" s="35">
        <v>46169</v>
      </c>
      <c r="F4721" s="49">
        <v>0.44967592592592592</v>
      </c>
      <c r="G4721" s="37">
        <v>6.3</v>
      </c>
      <c r="H4721" s="36" t="s">
        <v>226</v>
      </c>
      <c r="I4721" s="36" t="s">
        <v>1300</v>
      </c>
    </row>
    <row r="4722" spans="1:9" x14ac:dyDescent="0.2">
      <c r="A4722" s="38" t="s">
        <v>478</v>
      </c>
      <c r="B4722" s="28">
        <v>9599</v>
      </c>
      <c r="C4722" s="28">
        <v>5693199</v>
      </c>
      <c r="D4722" s="46"/>
      <c r="E4722" s="35">
        <v>46171</v>
      </c>
      <c r="F4722" s="49">
        <v>0.69846064814814812</v>
      </c>
      <c r="G4722" s="37">
        <v>6.3</v>
      </c>
      <c r="H4722" s="36" t="s">
        <v>229</v>
      </c>
      <c r="I4722" s="36" t="s">
        <v>1300</v>
      </c>
    </row>
    <row r="4723" spans="1:9" x14ac:dyDescent="0.2">
      <c r="A4723" s="38" t="s">
        <v>221</v>
      </c>
      <c r="B4723" s="28">
        <v>9604</v>
      </c>
      <c r="C4723" s="28">
        <v>5686408</v>
      </c>
      <c r="D4723" s="46" t="s">
        <v>37</v>
      </c>
      <c r="E4723" s="35">
        <v>46167</v>
      </c>
      <c r="F4723" s="49">
        <v>0.75197916666666664</v>
      </c>
      <c r="G4723" s="37">
        <v>6.3</v>
      </c>
      <c r="H4723" s="36" t="s">
        <v>230</v>
      </c>
      <c r="I4723" s="36" t="s">
        <v>1300</v>
      </c>
    </row>
    <row r="4724" spans="1:9" x14ac:dyDescent="0.2">
      <c r="A4724" s="38" t="s">
        <v>221</v>
      </c>
      <c r="B4724" s="28">
        <v>9604</v>
      </c>
      <c r="C4724" s="28">
        <v>5686408</v>
      </c>
      <c r="D4724" s="46" t="s">
        <v>37</v>
      </c>
      <c r="E4724" s="35">
        <v>46167</v>
      </c>
      <c r="F4724" s="49">
        <v>0.76728009259259256</v>
      </c>
      <c r="G4724" s="37">
        <v>6.3</v>
      </c>
      <c r="H4724" s="36" t="s">
        <v>227</v>
      </c>
      <c r="I4724" s="36" t="s">
        <v>1300</v>
      </c>
    </row>
    <row r="4725" spans="1:9" x14ac:dyDescent="0.2">
      <c r="A4725" s="38" t="s">
        <v>221</v>
      </c>
      <c r="B4725" s="28">
        <v>9604</v>
      </c>
      <c r="C4725" s="28">
        <v>5695988</v>
      </c>
      <c r="D4725" s="46" t="s">
        <v>37</v>
      </c>
      <c r="E4725" s="35">
        <v>46173</v>
      </c>
      <c r="F4725" s="49">
        <v>0.66362268518518519</v>
      </c>
      <c r="G4725" s="37">
        <v>6.3</v>
      </c>
      <c r="H4725" s="36" t="s">
        <v>230</v>
      </c>
      <c r="I4725" s="36" t="s">
        <v>1300</v>
      </c>
    </row>
    <row r="4726" spans="1:9" x14ac:dyDescent="0.2">
      <c r="A4726" s="38" t="s">
        <v>221</v>
      </c>
      <c r="B4726" s="28">
        <v>9604</v>
      </c>
      <c r="C4726" s="28">
        <v>5695988</v>
      </c>
      <c r="D4726" s="46" t="s">
        <v>37</v>
      </c>
      <c r="E4726" s="35">
        <v>46173</v>
      </c>
      <c r="F4726" s="49">
        <v>0.66877314814814814</v>
      </c>
      <c r="G4726" s="37">
        <v>6.3</v>
      </c>
      <c r="H4726" s="36" t="s">
        <v>227</v>
      </c>
      <c r="I4726" s="36" t="s">
        <v>1300</v>
      </c>
    </row>
    <row r="4727" spans="1:9" x14ac:dyDescent="0.2">
      <c r="A4727" s="38" t="s">
        <v>175</v>
      </c>
      <c r="B4727" s="28">
        <v>9617</v>
      </c>
      <c r="C4727" s="28">
        <v>5685127</v>
      </c>
      <c r="D4727" s="46"/>
      <c r="E4727" s="35">
        <v>46167</v>
      </c>
      <c r="F4727" s="49">
        <v>0.26099537037037035</v>
      </c>
      <c r="G4727" s="37">
        <v>6.3</v>
      </c>
      <c r="H4727" s="36" t="s">
        <v>230</v>
      </c>
      <c r="I4727" s="36" t="s">
        <v>1300</v>
      </c>
    </row>
    <row r="4728" spans="1:9" x14ac:dyDescent="0.2">
      <c r="A4728" s="38" t="s">
        <v>175</v>
      </c>
      <c r="B4728" s="28">
        <v>9617</v>
      </c>
      <c r="C4728" s="28">
        <v>5689253</v>
      </c>
      <c r="D4728" s="46"/>
      <c r="E4728" s="35">
        <v>46169</v>
      </c>
      <c r="F4728" s="49">
        <v>0.39574074074074073</v>
      </c>
      <c r="G4728" s="37">
        <v>6.3</v>
      </c>
      <c r="H4728" s="36" t="s">
        <v>230</v>
      </c>
      <c r="I4728" s="36" t="s">
        <v>1300</v>
      </c>
    </row>
    <row r="4729" spans="1:9" x14ac:dyDescent="0.2">
      <c r="A4729" s="38" t="s">
        <v>175</v>
      </c>
      <c r="B4729" s="28">
        <v>9617</v>
      </c>
      <c r="C4729" s="28">
        <v>5689253</v>
      </c>
      <c r="D4729" s="46"/>
      <c r="E4729" s="35">
        <v>46169</v>
      </c>
      <c r="F4729" s="49">
        <v>0.40203703703703703</v>
      </c>
      <c r="G4729" s="37">
        <v>6.3</v>
      </c>
      <c r="H4729" s="36" t="s">
        <v>227</v>
      </c>
      <c r="I4729" s="36" t="s">
        <v>1300</v>
      </c>
    </row>
    <row r="4730" spans="1:9" x14ac:dyDescent="0.2">
      <c r="A4730" s="38" t="s">
        <v>175</v>
      </c>
      <c r="B4730" s="28">
        <v>9617</v>
      </c>
      <c r="C4730" s="28" t="s">
        <v>35</v>
      </c>
      <c r="D4730" s="46" t="s">
        <v>38</v>
      </c>
      <c r="E4730" s="35">
        <v>46170</v>
      </c>
      <c r="F4730" s="49">
        <v>0.37844907407407408</v>
      </c>
      <c r="G4730" s="37">
        <v>6.3</v>
      </c>
      <c r="H4730" s="36" t="s">
        <v>231</v>
      </c>
      <c r="I4730" s="36" t="s">
        <v>1300</v>
      </c>
    </row>
    <row r="4731" spans="1:9" x14ac:dyDescent="0.2">
      <c r="A4731" s="38" t="s">
        <v>175</v>
      </c>
      <c r="B4731" s="28">
        <v>9617</v>
      </c>
      <c r="C4731" s="28" t="s">
        <v>35</v>
      </c>
      <c r="D4731" s="46" t="s">
        <v>38</v>
      </c>
      <c r="E4731" s="35">
        <v>46170</v>
      </c>
      <c r="F4731" s="49">
        <v>0.38359953703703703</v>
      </c>
      <c r="G4731" s="37">
        <v>6.3</v>
      </c>
      <c r="H4731" s="36" t="s">
        <v>227</v>
      </c>
      <c r="I4731" s="36" t="s">
        <v>1300</v>
      </c>
    </row>
    <row r="4732" spans="1:9" x14ac:dyDescent="0.2">
      <c r="A4732" s="38" t="s">
        <v>175</v>
      </c>
      <c r="B4732" s="28">
        <v>9617</v>
      </c>
      <c r="C4732" s="28">
        <v>5691635</v>
      </c>
      <c r="D4732" s="46"/>
      <c r="E4732" s="35">
        <v>46170</v>
      </c>
      <c r="F4732" s="49">
        <v>0.6927430555555556</v>
      </c>
      <c r="G4732" s="37">
        <v>6.3</v>
      </c>
      <c r="H4732" s="36" t="s">
        <v>234</v>
      </c>
      <c r="I4732" s="36" t="s">
        <v>1300</v>
      </c>
    </row>
    <row r="4733" spans="1:9" x14ac:dyDescent="0.2">
      <c r="A4733" s="38" t="s">
        <v>175</v>
      </c>
      <c r="B4733" s="28">
        <v>9617</v>
      </c>
      <c r="C4733" s="28">
        <v>5692172</v>
      </c>
      <c r="D4733" s="46"/>
      <c r="E4733" s="35">
        <v>46170</v>
      </c>
      <c r="F4733" s="49">
        <v>0.98038194444444449</v>
      </c>
      <c r="G4733" s="37">
        <v>6.3</v>
      </c>
      <c r="H4733" s="36" t="s">
        <v>228</v>
      </c>
      <c r="I4733" s="36" t="s">
        <v>1300</v>
      </c>
    </row>
    <row r="4734" spans="1:9" x14ac:dyDescent="0.2">
      <c r="A4734" s="38" t="s">
        <v>175</v>
      </c>
      <c r="B4734" s="28">
        <v>9617</v>
      </c>
      <c r="C4734" s="28">
        <v>5692172</v>
      </c>
      <c r="D4734" s="46"/>
      <c r="E4734" s="35">
        <v>46170</v>
      </c>
      <c r="F4734" s="49">
        <v>0.98815972222222226</v>
      </c>
      <c r="G4734" s="37">
        <v>6.3</v>
      </c>
      <c r="H4734" s="36" t="s">
        <v>229</v>
      </c>
      <c r="I4734" s="36" t="s">
        <v>1300</v>
      </c>
    </row>
    <row r="4735" spans="1:9" x14ac:dyDescent="0.2">
      <c r="A4735" s="38" t="s">
        <v>175</v>
      </c>
      <c r="B4735" s="28">
        <v>9617</v>
      </c>
      <c r="C4735" s="28" t="s">
        <v>35</v>
      </c>
      <c r="D4735" s="46" t="s">
        <v>38</v>
      </c>
      <c r="E4735" s="35">
        <v>46171</v>
      </c>
      <c r="F4735" s="49">
        <v>0.41378472222222223</v>
      </c>
      <c r="G4735" s="37">
        <v>6.3</v>
      </c>
      <c r="H4735" s="36" t="s">
        <v>231</v>
      </c>
      <c r="I4735" s="36" t="s">
        <v>1300</v>
      </c>
    </row>
    <row r="4736" spans="1:9" x14ac:dyDescent="0.2">
      <c r="A4736" s="38" t="s">
        <v>175</v>
      </c>
      <c r="B4736" s="28">
        <v>9617</v>
      </c>
      <c r="C4736" s="28" t="s">
        <v>35</v>
      </c>
      <c r="D4736" s="46" t="s">
        <v>38</v>
      </c>
      <c r="E4736" s="35">
        <v>46171</v>
      </c>
      <c r="F4736" s="49">
        <v>0.77483796296296292</v>
      </c>
      <c r="G4736" s="37">
        <v>6.3</v>
      </c>
      <c r="H4736" s="36" t="s">
        <v>234</v>
      </c>
      <c r="I4736" s="36" t="s">
        <v>1300</v>
      </c>
    </row>
    <row r="4737" spans="1:9" x14ac:dyDescent="0.2">
      <c r="A4737" s="38" t="s">
        <v>175</v>
      </c>
      <c r="B4737" s="28">
        <v>9617</v>
      </c>
      <c r="C4737" s="28" t="s">
        <v>35</v>
      </c>
      <c r="D4737" s="46" t="s">
        <v>38</v>
      </c>
      <c r="E4737" s="35">
        <v>46173</v>
      </c>
      <c r="F4737" s="49">
        <v>0.25494212962962964</v>
      </c>
      <c r="G4737" s="37">
        <v>6.3</v>
      </c>
      <c r="H4737" s="36" t="s">
        <v>227</v>
      </c>
      <c r="I4737" s="36" t="s">
        <v>1300</v>
      </c>
    </row>
    <row r="4738" spans="1:9" x14ac:dyDescent="0.2">
      <c r="A4738" s="38" t="s">
        <v>175</v>
      </c>
      <c r="B4738" s="28">
        <v>9617</v>
      </c>
      <c r="C4738" s="28" t="s">
        <v>35</v>
      </c>
      <c r="D4738" s="46" t="s">
        <v>38</v>
      </c>
      <c r="E4738" s="35">
        <v>46173</v>
      </c>
      <c r="F4738" s="49">
        <v>0.3567939814814815</v>
      </c>
      <c r="G4738" s="37">
        <v>6.3</v>
      </c>
      <c r="H4738" s="36" t="s">
        <v>228</v>
      </c>
      <c r="I4738" s="36" t="s">
        <v>1300</v>
      </c>
    </row>
    <row r="4739" spans="1:9" x14ac:dyDescent="0.2">
      <c r="A4739" s="38" t="s">
        <v>175</v>
      </c>
      <c r="B4739" s="28">
        <v>9617</v>
      </c>
      <c r="C4739" s="28" t="s">
        <v>35</v>
      </c>
      <c r="D4739" s="46" t="s">
        <v>38</v>
      </c>
      <c r="E4739" s="35">
        <v>46173</v>
      </c>
      <c r="F4739" s="49">
        <v>0.36342592592592593</v>
      </c>
      <c r="G4739" s="37">
        <v>6.3</v>
      </c>
      <c r="H4739" s="36" t="s">
        <v>229</v>
      </c>
      <c r="I4739" s="36" t="s">
        <v>1300</v>
      </c>
    </row>
    <row r="4740" spans="1:9" x14ac:dyDescent="0.2">
      <c r="A4740" s="38" t="s">
        <v>175</v>
      </c>
      <c r="B4740" s="28">
        <v>9617</v>
      </c>
      <c r="C4740" s="28" t="s">
        <v>35</v>
      </c>
      <c r="D4740" s="46" t="s">
        <v>38</v>
      </c>
      <c r="E4740" s="35">
        <v>46173</v>
      </c>
      <c r="F4740" s="49">
        <v>0.43917824074074074</v>
      </c>
      <c r="G4740" s="37">
        <v>6.3</v>
      </c>
      <c r="H4740" s="36" t="s">
        <v>230</v>
      </c>
      <c r="I4740" s="36" t="s">
        <v>1300</v>
      </c>
    </row>
    <row r="4741" spans="1:9" x14ac:dyDescent="0.2">
      <c r="A4741" s="38" t="s">
        <v>175</v>
      </c>
      <c r="B4741" s="28">
        <v>9617</v>
      </c>
      <c r="C4741" s="28" t="s">
        <v>35</v>
      </c>
      <c r="D4741" s="46" t="s">
        <v>38</v>
      </c>
      <c r="E4741" s="35">
        <v>46173</v>
      </c>
      <c r="F4741" s="49">
        <v>0.44474537037037037</v>
      </c>
      <c r="G4741" s="37">
        <v>6.3</v>
      </c>
      <c r="H4741" s="36" t="s">
        <v>227</v>
      </c>
      <c r="I4741" s="36" t="s">
        <v>1300</v>
      </c>
    </row>
    <row r="4742" spans="1:9" x14ac:dyDescent="0.2">
      <c r="A4742" s="38" t="s">
        <v>183</v>
      </c>
      <c r="B4742" s="28">
        <v>9624</v>
      </c>
      <c r="C4742" s="28">
        <v>5685312</v>
      </c>
      <c r="D4742" s="46" t="s">
        <v>37</v>
      </c>
      <c r="E4742" s="35">
        <v>46167</v>
      </c>
      <c r="F4742" s="49">
        <v>2.9479166666666667E-2</v>
      </c>
      <c r="G4742" s="37">
        <v>6.3</v>
      </c>
      <c r="H4742" s="36" t="s">
        <v>228</v>
      </c>
      <c r="I4742" s="36" t="s">
        <v>1300</v>
      </c>
    </row>
    <row r="4743" spans="1:9" x14ac:dyDescent="0.2">
      <c r="A4743" s="38" t="s">
        <v>183</v>
      </c>
      <c r="B4743" s="28">
        <v>9624</v>
      </c>
      <c r="C4743" s="28">
        <v>5685312</v>
      </c>
      <c r="D4743" s="46" t="s">
        <v>37</v>
      </c>
      <c r="E4743" s="35">
        <v>46167</v>
      </c>
      <c r="F4743" s="49">
        <v>3.6296296296296299E-2</v>
      </c>
      <c r="G4743" s="37">
        <v>6.3</v>
      </c>
      <c r="H4743" s="36" t="s">
        <v>232</v>
      </c>
      <c r="I4743" s="36" t="s">
        <v>1300</v>
      </c>
    </row>
    <row r="4744" spans="1:9" x14ac:dyDescent="0.2">
      <c r="A4744" s="38" t="s">
        <v>183</v>
      </c>
      <c r="B4744" s="28">
        <v>9624</v>
      </c>
      <c r="C4744" s="28">
        <v>5686977</v>
      </c>
      <c r="D4744" s="46"/>
      <c r="E4744" s="35">
        <v>46168</v>
      </c>
      <c r="F4744" s="49">
        <v>0.23064814814814816</v>
      </c>
      <c r="G4744" s="37">
        <v>6.3</v>
      </c>
      <c r="H4744" s="36" t="s">
        <v>230</v>
      </c>
      <c r="I4744" s="36" t="s">
        <v>1300</v>
      </c>
    </row>
    <row r="4745" spans="1:9" x14ac:dyDescent="0.2">
      <c r="A4745" s="38" t="s">
        <v>183</v>
      </c>
      <c r="B4745" s="28">
        <v>9624</v>
      </c>
      <c r="C4745" s="28">
        <v>5686977</v>
      </c>
      <c r="D4745" s="46"/>
      <c r="E4745" s="35">
        <v>46168</v>
      </c>
      <c r="F4745" s="49">
        <v>0.23614583333333333</v>
      </c>
      <c r="G4745" s="37">
        <v>6.3</v>
      </c>
      <c r="H4745" s="36" t="s">
        <v>227</v>
      </c>
      <c r="I4745" s="36" t="s">
        <v>1300</v>
      </c>
    </row>
    <row r="4746" spans="1:9" x14ac:dyDescent="0.2">
      <c r="A4746" s="38" t="s">
        <v>183</v>
      </c>
      <c r="B4746" s="28">
        <v>9624</v>
      </c>
      <c r="C4746" s="28">
        <v>5689396</v>
      </c>
      <c r="D4746" s="46"/>
      <c r="E4746" s="35">
        <v>46169</v>
      </c>
      <c r="F4746" s="49">
        <v>0.43321759259259257</v>
      </c>
      <c r="G4746" s="37">
        <v>6.3</v>
      </c>
      <c r="H4746" s="36" t="s">
        <v>228</v>
      </c>
      <c r="I4746" s="36" t="s">
        <v>1300</v>
      </c>
    </row>
    <row r="4747" spans="1:9" x14ac:dyDescent="0.2">
      <c r="A4747" s="38" t="s">
        <v>261</v>
      </c>
      <c r="B4747" s="28">
        <v>9626</v>
      </c>
      <c r="C4747" s="28" t="s">
        <v>35</v>
      </c>
      <c r="D4747" s="46" t="s">
        <v>38</v>
      </c>
      <c r="E4747" s="35">
        <v>46172</v>
      </c>
      <c r="F4747" s="49">
        <v>0.4684490740740741</v>
      </c>
      <c r="G4747" s="37">
        <v>6.3</v>
      </c>
      <c r="H4747" s="36" t="s">
        <v>228</v>
      </c>
      <c r="I4747" s="36" t="s">
        <v>1300</v>
      </c>
    </row>
    <row r="4748" spans="1:9" x14ac:dyDescent="0.2">
      <c r="A4748" s="38" t="s">
        <v>261</v>
      </c>
      <c r="B4748" s="28">
        <v>9626</v>
      </c>
      <c r="C4748" s="28" t="s">
        <v>35</v>
      </c>
      <c r="D4748" s="46" t="s">
        <v>38</v>
      </c>
      <c r="E4748" s="35">
        <v>46172</v>
      </c>
      <c r="F4748" s="49">
        <v>0.55297453703703703</v>
      </c>
      <c r="G4748" s="37">
        <v>6.3</v>
      </c>
      <c r="H4748" s="36" t="s">
        <v>227</v>
      </c>
      <c r="I4748" s="36" t="s">
        <v>1300</v>
      </c>
    </row>
    <row r="4749" spans="1:9" x14ac:dyDescent="0.2">
      <c r="A4749" s="38" t="s">
        <v>261</v>
      </c>
      <c r="B4749" s="28">
        <v>9626</v>
      </c>
      <c r="C4749" s="28" t="s">
        <v>1270</v>
      </c>
      <c r="D4749" s="46"/>
      <c r="E4749" s="35">
        <v>46173</v>
      </c>
      <c r="F4749" s="49">
        <v>0.76758101851851857</v>
      </c>
      <c r="G4749" s="37">
        <v>6.3</v>
      </c>
      <c r="H4749" s="36" t="s">
        <v>228</v>
      </c>
      <c r="I4749" s="36" t="s">
        <v>1300</v>
      </c>
    </row>
    <row r="4750" spans="1:9" x14ac:dyDescent="0.2">
      <c r="A4750" s="38" t="s">
        <v>248</v>
      </c>
      <c r="B4750" s="28">
        <v>9630</v>
      </c>
      <c r="C4750" s="28">
        <v>10744051</v>
      </c>
      <c r="D4750" s="46"/>
      <c r="E4750" s="35">
        <v>46168</v>
      </c>
      <c r="F4750" s="49">
        <v>0.36662037037037037</v>
      </c>
      <c r="G4750" s="37">
        <v>6.3</v>
      </c>
      <c r="H4750" s="36" t="s">
        <v>228</v>
      </c>
      <c r="I4750" s="36" t="s">
        <v>1300</v>
      </c>
    </row>
    <row r="4751" spans="1:9" x14ac:dyDescent="0.2">
      <c r="A4751" s="38" t="s">
        <v>248</v>
      </c>
      <c r="B4751" s="28">
        <v>9630</v>
      </c>
      <c r="C4751" s="28">
        <v>10744051</v>
      </c>
      <c r="D4751" s="46"/>
      <c r="E4751" s="35">
        <v>46168</v>
      </c>
      <c r="F4751" s="49">
        <v>0.38234953703703706</v>
      </c>
      <c r="G4751" s="37">
        <v>6.3</v>
      </c>
      <c r="H4751" s="36" t="s">
        <v>229</v>
      </c>
      <c r="I4751" s="36" t="s">
        <v>1300</v>
      </c>
    </row>
    <row r="4752" spans="1:9" x14ac:dyDescent="0.2">
      <c r="A4752" s="38" t="s">
        <v>248</v>
      </c>
      <c r="B4752" s="28">
        <v>9630</v>
      </c>
      <c r="C4752" s="28">
        <v>10744280</v>
      </c>
      <c r="D4752" s="46"/>
      <c r="E4752" s="35">
        <v>46168</v>
      </c>
      <c r="F4752" s="49">
        <v>0.52006944444444447</v>
      </c>
      <c r="G4752" s="37">
        <v>6.3</v>
      </c>
      <c r="H4752" s="36" t="s">
        <v>230</v>
      </c>
      <c r="I4752" s="36" t="s">
        <v>1300</v>
      </c>
    </row>
    <row r="4753" spans="1:9" x14ac:dyDescent="0.2">
      <c r="A4753" s="38" t="s">
        <v>248</v>
      </c>
      <c r="B4753" s="28">
        <v>9630</v>
      </c>
      <c r="C4753" s="28">
        <v>10744280</v>
      </c>
      <c r="D4753" s="46"/>
      <c r="E4753" s="35">
        <v>46168</v>
      </c>
      <c r="F4753" s="49">
        <v>0.52554398148148151</v>
      </c>
      <c r="G4753" s="37">
        <v>6.3</v>
      </c>
      <c r="H4753" s="36" t="s">
        <v>227</v>
      </c>
      <c r="I4753" s="36" t="s">
        <v>1300</v>
      </c>
    </row>
    <row r="4754" spans="1:9" x14ac:dyDescent="0.2">
      <c r="A4754" s="38" t="s">
        <v>248</v>
      </c>
      <c r="B4754" s="28">
        <v>9630</v>
      </c>
      <c r="C4754" s="28">
        <v>10756258</v>
      </c>
      <c r="D4754" s="46" t="s">
        <v>36</v>
      </c>
      <c r="E4754" s="35">
        <v>46169</v>
      </c>
      <c r="F4754" s="49">
        <v>0.50328703703703703</v>
      </c>
      <c r="G4754" s="37">
        <v>6.3</v>
      </c>
      <c r="H4754" s="36" t="s">
        <v>230</v>
      </c>
      <c r="I4754" s="36" t="s">
        <v>1300</v>
      </c>
    </row>
    <row r="4755" spans="1:9" x14ac:dyDescent="0.2">
      <c r="A4755" s="38" t="s">
        <v>248</v>
      </c>
      <c r="B4755" s="28">
        <v>9630</v>
      </c>
      <c r="C4755" s="28">
        <v>10756258</v>
      </c>
      <c r="D4755" s="46" t="s">
        <v>36</v>
      </c>
      <c r="E4755" s="35">
        <v>46169</v>
      </c>
      <c r="F4755" s="49">
        <v>0.50872685185185185</v>
      </c>
      <c r="G4755" s="37">
        <v>6.3</v>
      </c>
      <c r="H4755" s="36" t="s">
        <v>227</v>
      </c>
      <c r="I4755" s="36" t="s">
        <v>1300</v>
      </c>
    </row>
    <row r="4756" spans="1:9" x14ac:dyDescent="0.2">
      <c r="A4756" s="38" t="s">
        <v>248</v>
      </c>
      <c r="B4756" s="28">
        <v>9630</v>
      </c>
      <c r="C4756" s="28">
        <v>10751669</v>
      </c>
      <c r="D4756" s="46" t="s">
        <v>36</v>
      </c>
      <c r="E4756" s="35">
        <v>46169</v>
      </c>
      <c r="F4756" s="49">
        <v>0.61986111111111108</v>
      </c>
      <c r="G4756" s="37">
        <v>6.3</v>
      </c>
      <c r="H4756" s="36" t="s">
        <v>228</v>
      </c>
      <c r="I4756" s="36" t="s">
        <v>1300</v>
      </c>
    </row>
    <row r="4757" spans="1:9" x14ac:dyDescent="0.2">
      <c r="A4757" s="38" t="s">
        <v>248</v>
      </c>
      <c r="B4757" s="28">
        <v>9630</v>
      </c>
      <c r="C4757" s="28">
        <v>10768823</v>
      </c>
      <c r="D4757" s="46"/>
      <c r="E4757" s="35">
        <v>46171</v>
      </c>
      <c r="F4757" s="49">
        <v>0.17784722222222221</v>
      </c>
      <c r="G4757" s="37">
        <v>6.3</v>
      </c>
      <c r="H4757" s="36" t="s">
        <v>227</v>
      </c>
      <c r="I4757" s="36" t="s">
        <v>1300</v>
      </c>
    </row>
    <row r="4758" spans="1:9" x14ac:dyDescent="0.2">
      <c r="A4758" s="38" t="s">
        <v>248</v>
      </c>
      <c r="B4758" s="28">
        <v>9630</v>
      </c>
      <c r="C4758" s="28">
        <v>10769511</v>
      </c>
      <c r="D4758" s="46"/>
      <c r="E4758" s="35">
        <v>46171</v>
      </c>
      <c r="F4758" s="49">
        <v>0.26347222222222222</v>
      </c>
      <c r="G4758" s="37">
        <v>6.3</v>
      </c>
      <c r="H4758" s="36" t="s">
        <v>228</v>
      </c>
      <c r="I4758" s="36" t="s">
        <v>1300</v>
      </c>
    </row>
    <row r="4759" spans="1:9" x14ac:dyDescent="0.2">
      <c r="A4759" s="38" t="s">
        <v>248</v>
      </c>
      <c r="B4759" s="28">
        <v>9630</v>
      </c>
      <c r="C4759" s="28">
        <v>10769511</v>
      </c>
      <c r="D4759" s="46"/>
      <c r="E4759" s="35">
        <v>46171</v>
      </c>
      <c r="F4759" s="49">
        <v>0.27460648148148148</v>
      </c>
      <c r="G4759" s="37">
        <v>6.3</v>
      </c>
      <c r="H4759" s="36" t="s">
        <v>229</v>
      </c>
      <c r="I4759" s="36" t="s">
        <v>1300</v>
      </c>
    </row>
    <row r="4760" spans="1:9" x14ac:dyDescent="0.2">
      <c r="A4760" s="38" t="s">
        <v>248</v>
      </c>
      <c r="B4760" s="28">
        <v>9630</v>
      </c>
      <c r="C4760" s="28" t="s">
        <v>35</v>
      </c>
      <c r="D4760" s="46" t="s">
        <v>38</v>
      </c>
      <c r="E4760" s="35">
        <v>46171</v>
      </c>
      <c r="F4760" s="49">
        <v>0.6275115740740741</v>
      </c>
      <c r="G4760" s="37">
        <v>6.3</v>
      </c>
      <c r="H4760" s="36" t="s">
        <v>228</v>
      </c>
      <c r="I4760" s="36" t="s">
        <v>1300</v>
      </c>
    </row>
    <row r="4761" spans="1:9" x14ac:dyDescent="0.2">
      <c r="A4761" s="38" t="s">
        <v>248</v>
      </c>
      <c r="B4761" s="28">
        <v>9630</v>
      </c>
      <c r="C4761" s="28">
        <v>10772567</v>
      </c>
      <c r="D4761" s="46" t="s">
        <v>36</v>
      </c>
      <c r="E4761" s="35">
        <v>46172</v>
      </c>
      <c r="F4761" s="49">
        <v>0.3465625</v>
      </c>
      <c r="G4761" s="37">
        <v>6.3</v>
      </c>
      <c r="H4761" s="36" t="s">
        <v>228</v>
      </c>
      <c r="I4761" s="36" t="s">
        <v>1300</v>
      </c>
    </row>
    <row r="4762" spans="1:9" x14ac:dyDescent="0.2">
      <c r="A4762" s="38" t="s">
        <v>248</v>
      </c>
      <c r="B4762" s="28">
        <v>9630</v>
      </c>
      <c r="C4762" s="28">
        <v>10772567</v>
      </c>
      <c r="D4762" s="46" t="s">
        <v>36</v>
      </c>
      <c r="E4762" s="35">
        <v>46172</v>
      </c>
      <c r="F4762" s="49">
        <v>0.35614583333333333</v>
      </c>
      <c r="G4762" s="37">
        <v>6.3</v>
      </c>
      <c r="H4762" s="36" t="s">
        <v>229</v>
      </c>
      <c r="I4762" s="36" t="s">
        <v>1300</v>
      </c>
    </row>
    <row r="4763" spans="1:9" x14ac:dyDescent="0.2">
      <c r="A4763" s="38" t="s">
        <v>248</v>
      </c>
      <c r="B4763" s="28">
        <v>9630</v>
      </c>
      <c r="C4763" s="28" t="s">
        <v>35</v>
      </c>
      <c r="D4763" s="46" t="s">
        <v>38</v>
      </c>
      <c r="E4763" s="35">
        <v>46172</v>
      </c>
      <c r="F4763" s="49">
        <v>0.43949074074074074</v>
      </c>
      <c r="G4763" s="37">
        <v>6.3</v>
      </c>
      <c r="H4763" s="36" t="s">
        <v>231</v>
      </c>
      <c r="I4763" s="36" t="s">
        <v>1300</v>
      </c>
    </row>
    <row r="4764" spans="1:9" x14ac:dyDescent="0.2">
      <c r="A4764" s="38" t="s">
        <v>248</v>
      </c>
      <c r="B4764" s="28">
        <v>9630</v>
      </c>
      <c r="C4764" s="28">
        <v>10772658</v>
      </c>
      <c r="D4764" s="46"/>
      <c r="E4764" s="35">
        <v>46172</v>
      </c>
      <c r="F4764" s="49">
        <v>0.52189814814814817</v>
      </c>
      <c r="G4764" s="37">
        <v>6.3</v>
      </c>
      <c r="H4764" s="36" t="s">
        <v>234</v>
      </c>
      <c r="I4764" s="36" t="s">
        <v>1300</v>
      </c>
    </row>
    <row r="4765" spans="1:9" x14ac:dyDescent="0.2">
      <c r="A4765" s="38" t="s">
        <v>248</v>
      </c>
      <c r="B4765" s="28">
        <v>9630</v>
      </c>
      <c r="C4765" s="28">
        <v>10772658</v>
      </c>
      <c r="D4765" s="46"/>
      <c r="E4765" s="35">
        <v>46172</v>
      </c>
      <c r="F4765" s="49">
        <v>0.52835648148148151</v>
      </c>
      <c r="G4765" s="37">
        <v>6.3</v>
      </c>
      <c r="H4765" s="36" t="s">
        <v>227</v>
      </c>
      <c r="I4765" s="36" t="s">
        <v>1300</v>
      </c>
    </row>
    <row r="4766" spans="1:9" x14ac:dyDescent="0.2">
      <c r="A4766" s="38" t="s">
        <v>248</v>
      </c>
      <c r="B4766" s="28">
        <v>9630</v>
      </c>
      <c r="C4766" s="28">
        <v>10778733</v>
      </c>
      <c r="D4766" s="46"/>
      <c r="E4766" s="35">
        <v>46173</v>
      </c>
      <c r="F4766" s="49">
        <v>0.50070601851851848</v>
      </c>
      <c r="G4766" s="37">
        <v>6.3</v>
      </c>
      <c r="H4766" s="36" t="s">
        <v>230</v>
      </c>
      <c r="I4766" s="36" t="s">
        <v>1300</v>
      </c>
    </row>
    <row r="4767" spans="1:9" x14ac:dyDescent="0.2">
      <c r="A4767" s="38" t="s">
        <v>248</v>
      </c>
      <c r="B4767" s="28">
        <v>9630</v>
      </c>
      <c r="C4767" s="28">
        <v>10778733</v>
      </c>
      <c r="D4767" s="46"/>
      <c r="E4767" s="35">
        <v>46173</v>
      </c>
      <c r="F4767" s="49">
        <v>0.50597222222222227</v>
      </c>
      <c r="G4767" s="37">
        <v>6.3</v>
      </c>
      <c r="H4767" s="36" t="s">
        <v>227</v>
      </c>
      <c r="I4767" s="36" t="s">
        <v>1300</v>
      </c>
    </row>
    <row r="4768" spans="1:9" x14ac:dyDescent="0.2">
      <c r="A4768" s="38" t="s">
        <v>393</v>
      </c>
      <c r="B4768" s="28">
        <v>9633</v>
      </c>
      <c r="C4768" s="28" t="s">
        <v>1271</v>
      </c>
      <c r="D4768" s="46"/>
      <c r="E4768" s="35">
        <v>46172</v>
      </c>
      <c r="F4768" s="49">
        <v>0.33246527777777779</v>
      </c>
      <c r="G4768" s="37">
        <v>6.3</v>
      </c>
      <c r="H4768" s="36" t="s">
        <v>228</v>
      </c>
      <c r="I4768" s="36" t="s">
        <v>1300</v>
      </c>
    </row>
    <row r="4769" spans="1:9" x14ac:dyDescent="0.2">
      <c r="A4769" s="38" t="s">
        <v>393</v>
      </c>
      <c r="B4769" s="28">
        <v>9633</v>
      </c>
      <c r="C4769" s="28" t="s">
        <v>1271</v>
      </c>
      <c r="D4769" s="46"/>
      <c r="E4769" s="35">
        <v>46172</v>
      </c>
      <c r="F4769" s="49">
        <v>0.34027777777777779</v>
      </c>
      <c r="G4769" s="37">
        <v>6.3</v>
      </c>
      <c r="H4769" s="36" t="s">
        <v>229</v>
      </c>
      <c r="I4769" s="36" t="s">
        <v>1300</v>
      </c>
    </row>
    <row r="4770" spans="1:9" x14ac:dyDescent="0.2">
      <c r="A4770" s="38" t="s">
        <v>393</v>
      </c>
      <c r="B4770" s="28">
        <v>9633</v>
      </c>
      <c r="C4770" s="28" t="s">
        <v>1272</v>
      </c>
      <c r="D4770" s="46"/>
      <c r="E4770" s="35">
        <v>46172</v>
      </c>
      <c r="F4770" s="49">
        <v>0.3979050925925926</v>
      </c>
      <c r="G4770" s="37">
        <v>6.3</v>
      </c>
      <c r="H4770" s="36" t="s">
        <v>226</v>
      </c>
      <c r="I4770" s="36" t="s">
        <v>1300</v>
      </c>
    </row>
    <row r="4771" spans="1:9" x14ac:dyDescent="0.2">
      <c r="A4771" s="38" t="s">
        <v>393</v>
      </c>
      <c r="B4771" s="28">
        <v>9633</v>
      </c>
      <c r="C4771" s="28" t="s">
        <v>1272</v>
      </c>
      <c r="D4771" s="46"/>
      <c r="E4771" s="35">
        <v>46172</v>
      </c>
      <c r="F4771" s="49">
        <v>0.40372685185185186</v>
      </c>
      <c r="G4771" s="37">
        <v>6.3</v>
      </c>
      <c r="H4771" s="36" t="s">
        <v>227</v>
      </c>
      <c r="I4771" s="36" t="s">
        <v>1300</v>
      </c>
    </row>
    <row r="4772" spans="1:9" x14ac:dyDescent="0.2">
      <c r="A4772" s="38" t="s">
        <v>193</v>
      </c>
      <c r="B4772" s="28">
        <v>9636</v>
      </c>
      <c r="C4772" s="28">
        <v>5684979</v>
      </c>
      <c r="D4772" s="46"/>
      <c r="E4772" s="35">
        <v>46167</v>
      </c>
      <c r="F4772" s="49">
        <v>0.25628472222222221</v>
      </c>
      <c r="G4772" s="37">
        <v>6.3</v>
      </c>
      <c r="H4772" s="36" t="s">
        <v>232</v>
      </c>
      <c r="I4772" s="36" t="s">
        <v>1300</v>
      </c>
    </row>
    <row r="4773" spans="1:9" x14ac:dyDescent="0.2">
      <c r="A4773" s="38" t="s">
        <v>193</v>
      </c>
      <c r="B4773" s="28">
        <v>9636</v>
      </c>
      <c r="C4773" s="28" t="s">
        <v>35</v>
      </c>
      <c r="D4773" s="46" t="s">
        <v>38</v>
      </c>
      <c r="E4773" s="35">
        <v>46167</v>
      </c>
      <c r="F4773" s="49">
        <v>0.47863425925925923</v>
      </c>
      <c r="G4773" s="37">
        <v>6.3</v>
      </c>
      <c r="H4773" s="36" t="s">
        <v>230</v>
      </c>
      <c r="I4773" s="36" t="s">
        <v>1300</v>
      </c>
    </row>
    <row r="4774" spans="1:9" x14ac:dyDescent="0.2">
      <c r="A4774" s="38" t="s">
        <v>193</v>
      </c>
      <c r="B4774" s="28">
        <v>9636</v>
      </c>
      <c r="C4774" s="28">
        <v>5686498</v>
      </c>
      <c r="D4774" s="46"/>
      <c r="E4774" s="35">
        <v>46168</v>
      </c>
      <c r="F4774" s="49">
        <v>0.24979166666666666</v>
      </c>
      <c r="G4774" s="37">
        <v>6.3</v>
      </c>
      <c r="H4774" s="36" t="s">
        <v>232</v>
      </c>
      <c r="I4774" s="36" t="s">
        <v>1300</v>
      </c>
    </row>
    <row r="4775" spans="1:9" x14ac:dyDescent="0.2">
      <c r="A4775" s="38" t="s">
        <v>193</v>
      </c>
      <c r="B4775" s="28">
        <v>9636</v>
      </c>
      <c r="C4775" s="28">
        <v>5686256</v>
      </c>
      <c r="D4775" s="46"/>
      <c r="E4775" s="35">
        <v>46168</v>
      </c>
      <c r="F4775" s="49">
        <v>0.33349537037037036</v>
      </c>
      <c r="G4775" s="37">
        <v>6.3</v>
      </c>
      <c r="H4775" s="36" t="s">
        <v>226</v>
      </c>
      <c r="I4775" s="36" t="s">
        <v>1300</v>
      </c>
    </row>
    <row r="4776" spans="1:9" x14ac:dyDescent="0.2">
      <c r="A4776" s="38" t="s">
        <v>193</v>
      </c>
      <c r="B4776" s="28">
        <v>9636</v>
      </c>
      <c r="C4776" s="28">
        <v>5688841</v>
      </c>
      <c r="D4776" s="46"/>
      <c r="E4776" s="35">
        <v>46169</v>
      </c>
      <c r="F4776" s="49">
        <v>0.24038194444444444</v>
      </c>
      <c r="G4776" s="37">
        <v>6.3</v>
      </c>
      <c r="H4776" s="36" t="s">
        <v>232</v>
      </c>
      <c r="I4776" s="36" t="s">
        <v>1300</v>
      </c>
    </row>
    <row r="4777" spans="1:9" x14ac:dyDescent="0.2">
      <c r="A4777" s="38" t="s">
        <v>193</v>
      </c>
      <c r="B4777" s="28">
        <v>9636</v>
      </c>
      <c r="C4777" s="28">
        <v>5690490</v>
      </c>
      <c r="D4777" s="46"/>
      <c r="E4777" s="35">
        <v>46170</v>
      </c>
      <c r="F4777" s="49">
        <v>0.36178240740740741</v>
      </c>
      <c r="G4777" s="37">
        <v>6.3</v>
      </c>
      <c r="H4777" s="36" t="s">
        <v>227</v>
      </c>
      <c r="I4777" s="36" t="s">
        <v>1300</v>
      </c>
    </row>
    <row r="4778" spans="1:9" x14ac:dyDescent="0.2">
      <c r="A4778" s="38" t="s">
        <v>193</v>
      </c>
      <c r="B4778" s="28">
        <v>9636</v>
      </c>
      <c r="C4778" s="28">
        <v>5688308</v>
      </c>
      <c r="D4778" s="46"/>
      <c r="E4778" s="35">
        <v>46170</v>
      </c>
      <c r="F4778" s="49">
        <v>0.68262731481481487</v>
      </c>
      <c r="G4778" s="37">
        <v>6.3</v>
      </c>
      <c r="H4778" s="36" t="s">
        <v>230</v>
      </c>
      <c r="I4778" s="36" t="s">
        <v>1300</v>
      </c>
    </row>
    <row r="4779" spans="1:9" x14ac:dyDescent="0.2">
      <c r="A4779" s="38" t="s">
        <v>176</v>
      </c>
      <c r="B4779" s="28">
        <v>9637</v>
      </c>
      <c r="C4779" s="28" t="s">
        <v>1273</v>
      </c>
      <c r="D4779" s="46"/>
      <c r="E4779" s="35">
        <v>46167</v>
      </c>
      <c r="F4779" s="49">
        <v>0.80991898148148145</v>
      </c>
      <c r="G4779" s="37">
        <v>6.3</v>
      </c>
      <c r="H4779" s="36" t="s">
        <v>232</v>
      </c>
      <c r="I4779" s="36" t="s">
        <v>1300</v>
      </c>
    </row>
    <row r="4780" spans="1:9" x14ac:dyDescent="0.2">
      <c r="A4780" s="38" t="s">
        <v>176</v>
      </c>
      <c r="B4780" s="28">
        <v>9637</v>
      </c>
      <c r="C4780" s="28" t="s">
        <v>1273</v>
      </c>
      <c r="D4780" s="46"/>
      <c r="E4780" s="35">
        <v>46167</v>
      </c>
      <c r="F4780" s="49">
        <v>0.82075231481481481</v>
      </c>
      <c r="G4780" s="37">
        <v>6.3</v>
      </c>
      <c r="H4780" s="36" t="s">
        <v>231</v>
      </c>
      <c r="I4780" s="36" t="s">
        <v>1300</v>
      </c>
    </row>
    <row r="4781" spans="1:9" x14ac:dyDescent="0.2">
      <c r="A4781" s="38" t="s">
        <v>176</v>
      </c>
      <c r="B4781" s="28">
        <v>9637</v>
      </c>
      <c r="C4781" s="28">
        <v>5687688</v>
      </c>
      <c r="D4781" s="46"/>
      <c r="E4781" s="35">
        <v>46169</v>
      </c>
      <c r="F4781" s="49">
        <v>0.42678240740740742</v>
      </c>
      <c r="G4781" s="37">
        <v>6.3</v>
      </c>
      <c r="H4781" s="36" t="s">
        <v>227</v>
      </c>
      <c r="I4781" s="36" t="s">
        <v>1300</v>
      </c>
    </row>
    <row r="4782" spans="1:9" x14ac:dyDescent="0.2">
      <c r="A4782" s="38" t="s">
        <v>176</v>
      </c>
      <c r="B4782" s="28">
        <v>9637</v>
      </c>
      <c r="C4782" s="28" t="s">
        <v>1274</v>
      </c>
      <c r="D4782" s="46"/>
      <c r="E4782" s="35">
        <v>46172</v>
      </c>
      <c r="F4782" s="49">
        <v>0.46339120370370368</v>
      </c>
      <c r="G4782" s="37">
        <v>6.3</v>
      </c>
      <c r="H4782" s="36" t="s">
        <v>228</v>
      </c>
      <c r="I4782" s="36" t="s">
        <v>1300</v>
      </c>
    </row>
    <row r="4783" spans="1:9" x14ac:dyDescent="0.2">
      <c r="A4783" s="38" t="s">
        <v>176</v>
      </c>
      <c r="B4783" s="28">
        <v>9637</v>
      </c>
      <c r="C4783" s="28" t="s">
        <v>1274</v>
      </c>
      <c r="D4783" s="46"/>
      <c r="E4783" s="35">
        <v>46172</v>
      </c>
      <c r="F4783" s="49">
        <v>0.47259259259259262</v>
      </c>
      <c r="G4783" s="37">
        <v>6.3</v>
      </c>
      <c r="H4783" s="36" t="s">
        <v>232</v>
      </c>
      <c r="I4783" s="36" t="s">
        <v>1300</v>
      </c>
    </row>
    <row r="4784" spans="1:9" x14ac:dyDescent="0.2">
      <c r="A4784" s="38" t="s">
        <v>176</v>
      </c>
      <c r="B4784" s="28">
        <v>9637</v>
      </c>
      <c r="C4784" s="28">
        <v>5695099</v>
      </c>
      <c r="D4784" s="46"/>
      <c r="E4784" s="35">
        <v>46172</v>
      </c>
      <c r="F4784" s="49">
        <v>0.83717592592592593</v>
      </c>
      <c r="G4784" s="37">
        <v>6.3</v>
      </c>
      <c r="H4784" s="36" t="s">
        <v>228</v>
      </c>
      <c r="I4784" s="36" t="s">
        <v>1300</v>
      </c>
    </row>
    <row r="4785" spans="1:9" x14ac:dyDescent="0.2">
      <c r="A4785" s="38" t="s">
        <v>176</v>
      </c>
      <c r="B4785" s="28">
        <v>9637</v>
      </c>
      <c r="C4785" s="28">
        <v>5695099</v>
      </c>
      <c r="D4785" s="46"/>
      <c r="E4785" s="35">
        <v>46172</v>
      </c>
      <c r="F4785" s="49">
        <v>0.84574074074074079</v>
      </c>
      <c r="G4785" s="37">
        <v>6.3</v>
      </c>
      <c r="H4785" s="36" t="s">
        <v>229</v>
      </c>
      <c r="I4785" s="36" t="s">
        <v>1300</v>
      </c>
    </row>
    <row r="4786" spans="1:9" x14ac:dyDescent="0.2">
      <c r="A4786" s="38" t="s">
        <v>197</v>
      </c>
      <c r="B4786" s="28">
        <v>9645</v>
      </c>
      <c r="C4786" s="28">
        <v>5686964</v>
      </c>
      <c r="D4786" s="46"/>
      <c r="E4786" s="35">
        <v>46167</v>
      </c>
      <c r="F4786" s="49">
        <v>0.93104166666666666</v>
      </c>
      <c r="G4786" s="37">
        <v>6.3</v>
      </c>
      <c r="H4786" s="36" t="s">
        <v>228</v>
      </c>
      <c r="I4786" s="36" t="s">
        <v>1300</v>
      </c>
    </row>
    <row r="4787" spans="1:9" x14ac:dyDescent="0.2">
      <c r="A4787" s="38" t="s">
        <v>197</v>
      </c>
      <c r="B4787" s="28">
        <v>9645</v>
      </c>
      <c r="C4787" s="28">
        <v>5686964</v>
      </c>
      <c r="D4787" s="46"/>
      <c r="E4787" s="35">
        <v>46167</v>
      </c>
      <c r="F4787" s="49">
        <v>0.93784722222222228</v>
      </c>
      <c r="G4787" s="37">
        <v>6.3</v>
      </c>
      <c r="H4787" s="36" t="s">
        <v>229</v>
      </c>
      <c r="I4787" s="36" t="s">
        <v>1300</v>
      </c>
    </row>
    <row r="4788" spans="1:9" x14ac:dyDescent="0.2">
      <c r="A4788" s="38" t="s">
        <v>197</v>
      </c>
      <c r="B4788" s="28">
        <v>9645</v>
      </c>
      <c r="C4788" s="28">
        <v>5687195</v>
      </c>
      <c r="D4788" s="46"/>
      <c r="E4788" s="35">
        <v>46168</v>
      </c>
      <c r="F4788" s="49">
        <v>3.1446759259259258E-2</v>
      </c>
      <c r="G4788" s="37">
        <v>6.3</v>
      </c>
      <c r="H4788" s="36" t="s">
        <v>228</v>
      </c>
      <c r="I4788" s="36" t="s">
        <v>1300</v>
      </c>
    </row>
    <row r="4789" spans="1:9" x14ac:dyDescent="0.2">
      <c r="A4789" s="38" t="s">
        <v>197</v>
      </c>
      <c r="B4789" s="28">
        <v>9645</v>
      </c>
      <c r="C4789" s="28">
        <v>5693794</v>
      </c>
      <c r="D4789" s="46"/>
      <c r="E4789" s="35">
        <v>46171</v>
      </c>
      <c r="F4789" s="49">
        <v>0.78039351851851857</v>
      </c>
      <c r="G4789" s="37">
        <v>6.3</v>
      </c>
      <c r="H4789" s="36" t="s">
        <v>228</v>
      </c>
      <c r="I4789" s="36" t="s">
        <v>1300</v>
      </c>
    </row>
    <row r="4790" spans="1:9" x14ac:dyDescent="0.2">
      <c r="A4790" s="38" t="s">
        <v>197</v>
      </c>
      <c r="B4790" s="28">
        <v>9645</v>
      </c>
      <c r="C4790" s="28">
        <v>5693794</v>
      </c>
      <c r="D4790" s="46"/>
      <c r="E4790" s="35">
        <v>46171</v>
      </c>
      <c r="F4790" s="49">
        <v>0.79079861111111116</v>
      </c>
      <c r="G4790" s="37">
        <v>6.3</v>
      </c>
      <c r="H4790" s="36" t="s">
        <v>229</v>
      </c>
      <c r="I4790" s="36" t="s">
        <v>1300</v>
      </c>
    </row>
    <row r="4791" spans="1:9" x14ac:dyDescent="0.2">
      <c r="A4791" s="38" t="s">
        <v>197</v>
      </c>
      <c r="B4791" s="28">
        <v>9645</v>
      </c>
      <c r="C4791" s="28" t="s">
        <v>1275</v>
      </c>
      <c r="D4791" s="46"/>
      <c r="E4791" s="35">
        <v>46172</v>
      </c>
      <c r="F4791" s="49">
        <v>0.74076388888888889</v>
      </c>
      <c r="G4791" s="37">
        <v>6.3</v>
      </c>
      <c r="H4791" s="36" t="s">
        <v>228</v>
      </c>
      <c r="I4791" s="36" t="s">
        <v>1300</v>
      </c>
    </row>
    <row r="4792" spans="1:9" x14ac:dyDescent="0.2">
      <c r="A4792" s="38" t="s">
        <v>197</v>
      </c>
      <c r="B4792" s="28">
        <v>9645</v>
      </c>
      <c r="C4792" s="28" t="s">
        <v>1275</v>
      </c>
      <c r="D4792" s="46"/>
      <c r="E4792" s="35">
        <v>46172</v>
      </c>
      <c r="F4792" s="49">
        <v>0.74872685185185184</v>
      </c>
      <c r="G4792" s="37">
        <v>6.3</v>
      </c>
      <c r="H4792" s="36" t="s">
        <v>229</v>
      </c>
      <c r="I4792" s="36" t="s">
        <v>1300</v>
      </c>
    </row>
    <row r="4793" spans="1:9" x14ac:dyDescent="0.2">
      <c r="A4793" s="38" t="s">
        <v>252</v>
      </c>
      <c r="B4793" s="28">
        <v>9658</v>
      </c>
      <c r="C4793" s="28" t="s">
        <v>1276</v>
      </c>
      <c r="D4793" s="46"/>
      <c r="E4793" s="35">
        <v>46170</v>
      </c>
      <c r="F4793" s="49">
        <v>0.32481481481481483</v>
      </c>
      <c r="G4793" s="37">
        <v>6.3</v>
      </c>
      <c r="H4793" s="36" t="s">
        <v>228</v>
      </c>
      <c r="I4793" s="36" t="s">
        <v>1300</v>
      </c>
    </row>
    <row r="4794" spans="1:9" x14ac:dyDescent="0.2">
      <c r="A4794" s="38" t="s">
        <v>252</v>
      </c>
      <c r="B4794" s="28">
        <v>9658</v>
      </c>
      <c r="C4794" s="28" t="s">
        <v>1276</v>
      </c>
      <c r="D4794" s="46"/>
      <c r="E4794" s="35">
        <v>46170</v>
      </c>
      <c r="F4794" s="49">
        <v>0.33817129629629628</v>
      </c>
      <c r="G4794" s="37">
        <v>6.3</v>
      </c>
      <c r="H4794" s="36" t="s">
        <v>229</v>
      </c>
      <c r="I4794" s="36" t="s">
        <v>1300</v>
      </c>
    </row>
    <row r="4795" spans="1:9" x14ac:dyDescent="0.2">
      <c r="A4795" s="38" t="s">
        <v>292</v>
      </c>
      <c r="B4795" s="28">
        <v>9665</v>
      </c>
      <c r="C4795" s="28">
        <v>5683142</v>
      </c>
      <c r="D4795" s="46"/>
      <c r="E4795" s="35">
        <v>46167</v>
      </c>
      <c r="F4795" s="49">
        <v>0.53020833333333328</v>
      </c>
      <c r="G4795" s="37">
        <v>6.3</v>
      </c>
      <c r="H4795" s="36" t="s">
        <v>230</v>
      </c>
      <c r="I4795" s="36" t="s">
        <v>1300</v>
      </c>
    </row>
    <row r="4796" spans="1:9" x14ac:dyDescent="0.2">
      <c r="A4796" s="38" t="s">
        <v>292</v>
      </c>
      <c r="B4796" s="28">
        <v>9665</v>
      </c>
      <c r="C4796" s="28">
        <v>5683142</v>
      </c>
      <c r="D4796" s="46"/>
      <c r="E4796" s="35">
        <v>46167</v>
      </c>
      <c r="F4796" s="49">
        <v>0.53597222222222218</v>
      </c>
      <c r="G4796" s="37">
        <v>6.3</v>
      </c>
      <c r="H4796" s="36" t="s">
        <v>227</v>
      </c>
      <c r="I4796" s="36" t="s">
        <v>1300</v>
      </c>
    </row>
    <row r="4797" spans="1:9" x14ac:dyDescent="0.2">
      <c r="A4797" s="38" t="s">
        <v>292</v>
      </c>
      <c r="B4797" s="28">
        <v>9665</v>
      </c>
      <c r="C4797" s="28">
        <v>5686229</v>
      </c>
      <c r="D4797" s="46"/>
      <c r="E4797" s="35">
        <v>46167</v>
      </c>
      <c r="F4797" s="49">
        <v>0.63832175925925927</v>
      </c>
      <c r="G4797" s="37">
        <v>6.3</v>
      </c>
      <c r="H4797" s="36" t="s">
        <v>228</v>
      </c>
      <c r="I4797" s="36" t="s">
        <v>1300</v>
      </c>
    </row>
    <row r="4798" spans="1:9" x14ac:dyDescent="0.2">
      <c r="A4798" s="38" t="s">
        <v>292</v>
      </c>
      <c r="B4798" s="28">
        <v>9665</v>
      </c>
      <c r="C4798" s="28">
        <v>5686229</v>
      </c>
      <c r="D4798" s="46"/>
      <c r="E4798" s="35">
        <v>46167</v>
      </c>
      <c r="F4798" s="49">
        <v>0.6495023148148148</v>
      </c>
      <c r="G4798" s="37">
        <v>6.3</v>
      </c>
      <c r="H4798" s="36" t="s">
        <v>229</v>
      </c>
      <c r="I4798" s="36" t="s">
        <v>1300</v>
      </c>
    </row>
    <row r="4799" spans="1:9" x14ac:dyDescent="0.2">
      <c r="A4799" s="38" t="s">
        <v>292</v>
      </c>
      <c r="B4799" s="28">
        <v>9665</v>
      </c>
      <c r="C4799" s="28">
        <v>5688984</v>
      </c>
      <c r="D4799" s="46"/>
      <c r="E4799" s="35">
        <v>46168</v>
      </c>
      <c r="F4799" s="49">
        <v>0.99216435185185181</v>
      </c>
      <c r="G4799" s="37">
        <v>6.3</v>
      </c>
      <c r="H4799" s="36" t="s">
        <v>228</v>
      </c>
      <c r="I4799" s="36" t="s">
        <v>1300</v>
      </c>
    </row>
    <row r="4800" spans="1:9" x14ac:dyDescent="0.2">
      <c r="A4800" s="38" t="s">
        <v>292</v>
      </c>
      <c r="B4800" s="28">
        <v>9665</v>
      </c>
      <c r="C4800" s="28">
        <v>5689373</v>
      </c>
      <c r="D4800" s="46"/>
      <c r="E4800" s="35">
        <v>46169</v>
      </c>
      <c r="F4800" s="49">
        <v>0.42465277777777777</v>
      </c>
      <c r="G4800" s="37">
        <v>6.3</v>
      </c>
      <c r="H4800" s="36" t="s">
        <v>228</v>
      </c>
      <c r="I4800" s="36" t="s">
        <v>1300</v>
      </c>
    </row>
    <row r="4801" spans="1:9" x14ac:dyDescent="0.2">
      <c r="A4801" s="38" t="s">
        <v>292</v>
      </c>
      <c r="B4801" s="28">
        <v>9665</v>
      </c>
      <c r="C4801" s="28">
        <v>5689373</v>
      </c>
      <c r="D4801" s="46"/>
      <c r="E4801" s="35">
        <v>46169</v>
      </c>
      <c r="F4801" s="49">
        <v>0.43163194444444447</v>
      </c>
      <c r="G4801" s="37">
        <v>6.3</v>
      </c>
      <c r="H4801" s="36" t="s">
        <v>233</v>
      </c>
      <c r="I4801" s="36" t="s">
        <v>1300</v>
      </c>
    </row>
    <row r="4802" spans="1:9" x14ac:dyDescent="0.2">
      <c r="A4802" s="38" t="s">
        <v>292</v>
      </c>
      <c r="B4802" s="28">
        <v>9665</v>
      </c>
      <c r="C4802" s="28">
        <v>5694871</v>
      </c>
      <c r="D4802" s="46"/>
      <c r="E4802" s="35">
        <v>46173</v>
      </c>
      <c r="F4802" s="49">
        <v>0.28755787037037039</v>
      </c>
      <c r="G4802" s="37">
        <v>6.3</v>
      </c>
      <c r="H4802" s="36" t="s">
        <v>228</v>
      </c>
      <c r="I4802" s="36" t="s">
        <v>1300</v>
      </c>
    </row>
    <row r="4803" spans="1:9" x14ac:dyDescent="0.2">
      <c r="A4803" s="38" t="s">
        <v>292</v>
      </c>
      <c r="B4803" s="28">
        <v>9665</v>
      </c>
      <c r="C4803" s="28">
        <v>5694871</v>
      </c>
      <c r="D4803" s="46"/>
      <c r="E4803" s="35">
        <v>46173</v>
      </c>
      <c r="F4803" s="49">
        <v>0.29423611111111109</v>
      </c>
      <c r="G4803" s="37">
        <v>6.3</v>
      </c>
      <c r="H4803" s="36" t="s">
        <v>229</v>
      </c>
      <c r="I4803" s="36" t="s">
        <v>1300</v>
      </c>
    </row>
    <row r="4804" spans="1:9" x14ac:dyDescent="0.2">
      <c r="A4804" s="38" t="s">
        <v>184</v>
      </c>
      <c r="B4804" s="28">
        <v>9672</v>
      </c>
      <c r="C4804" s="28">
        <v>5684970</v>
      </c>
      <c r="D4804" s="46"/>
      <c r="E4804" s="35">
        <v>46167</v>
      </c>
      <c r="F4804" s="49">
        <v>0.1267824074074074</v>
      </c>
      <c r="G4804" s="37">
        <v>6.3</v>
      </c>
      <c r="H4804" s="36" t="s">
        <v>227</v>
      </c>
      <c r="I4804" s="36" t="s">
        <v>1300</v>
      </c>
    </row>
    <row r="4805" spans="1:9" x14ac:dyDescent="0.2">
      <c r="A4805" s="38" t="s">
        <v>1277</v>
      </c>
      <c r="B4805" s="28">
        <v>9684</v>
      </c>
      <c r="C4805" s="28" t="s">
        <v>1278</v>
      </c>
      <c r="D4805" s="46"/>
      <c r="E4805" s="35">
        <v>46167</v>
      </c>
      <c r="F4805" s="49">
        <v>0.44646990740740738</v>
      </c>
      <c r="G4805" s="37">
        <v>6.3</v>
      </c>
      <c r="H4805" s="36" t="s">
        <v>228</v>
      </c>
      <c r="I4805" s="36" t="s">
        <v>1300</v>
      </c>
    </row>
    <row r="4806" spans="1:9" x14ac:dyDescent="0.2">
      <c r="A4806" s="38" t="s">
        <v>1277</v>
      </c>
      <c r="B4806" s="28">
        <v>9684</v>
      </c>
      <c r="C4806" s="28" t="s">
        <v>1278</v>
      </c>
      <c r="D4806" s="46"/>
      <c r="E4806" s="35">
        <v>46167</v>
      </c>
      <c r="F4806" s="49">
        <v>0.45671296296296299</v>
      </c>
      <c r="G4806" s="37">
        <v>6.3</v>
      </c>
      <c r="H4806" s="36" t="s">
        <v>229</v>
      </c>
      <c r="I4806" s="36" t="s">
        <v>1300</v>
      </c>
    </row>
    <row r="4807" spans="1:9" x14ac:dyDescent="0.2">
      <c r="A4807" s="38" t="s">
        <v>1277</v>
      </c>
      <c r="B4807" s="28">
        <v>9684</v>
      </c>
      <c r="C4807" s="28">
        <v>5692126</v>
      </c>
      <c r="D4807" s="46"/>
      <c r="E4807" s="35">
        <v>46171</v>
      </c>
      <c r="F4807" s="49">
        <v>0.20645833333333333</v>
      </c>
      <c r="G4807" s="37">
        <v>6.3</v>
      </c>
      <c r="H4807" s="36" t="s">
        <v>227</v>
      </c>
      <c r="I4807" s="36" t="s">
        <v>1300</v>
      </c>
    </row>
    <row r="4808" spans="1:9" x14ac:dyDescent="0.2">
      <c r="A4808" s="38" t="s">
        <v>1277</v>
      </c>
      <c r="B4808" s="28">
        <v>9684</v>
      </c>
      <c r="C4808" s="28" t="s">
        <v>35</v>
      </c>
      <c r="D4808" s="46" t="s">
        <v>38</v>
      </c>
      <c r="E4808" s="35">
        <v>46173</v>
      </c>
      <c r="F4808" s="49">
        <v>0.33107638888888891</v>
      </c>
      <c r="G4808" s="37">
        <v>6.3</v>
      </c>
      <c r="H4808" s="36" t="s">
        <v>233</v>
      </c>
      <c r="I4808" s="36" t="s">
        <v>1300</v>
      </c>
    </row>
    <row r="4809" spans="1:9" x14ac:dyDescent="0.2">
      <c r="A4809" s="38" t="s">
        <v>1277</v>
      </c>
      <c r="B4809" s="28">
        <v>9684</v>
      </c>
      <c r="C4809" s="28">
        <v>5695244</v>
      </c>
      <c r="D4809" s="46"/>
      <c r="E4809" s="35">
        <v>46173</v>
      </c>
      <c r="F4809" s="49">
        <v>0.36002314814814818</v>
      </c>
      <c r="G4809" s="37">
        <v>6.3</v>
      </c>
      <c r="H4809" s="36" t="s">
        <v>234</v>
      </c>
      <c r="I4809" s="36" t="s">
        <v>1300</v>
      </c>
    </row>
    <row r="4810" spans="1:9" x14ac:dyDescent="0.2">
      <c r="A4810" s="38" t="s">
        <v>1277</v>
      </c>
      <c r="B4810" s="28">
        <v>9684</v>
      </c>
      <c r="C4810" s="28">
        <v>5695244</v>
      </c>
      <c r="D4810" s="46"/>
      <c r="E4810" s="35">
        <v>46173</v>
      </c>
      <c r="F4810" s="49">
        <v>0.36267361111111113</v>
      </c>
      <c r="G4810" s="37">
        <v>6.3</v>
      </c>
      <c r="H4810" s="36" t="s">
        <v>227</v>
      </c>
      <c r="I4810" s="36" t="s">
        <v>1300</v>
      </c>
    </row>
    <row r="4811" spans="1:9" x14ac:dyDescent="0.2">
      <c r="A4811" s="38" t="s">
        <v>217</v>
      </c>
      <c r="B4811" s="28">
        <v>9685</v>
      </c>
      <c r="C4811" s="28" t="s">
        <v>1279</v>
      </c>
      <c r="D4811" s="46"/>
      <c r="E4811" s="35">
        <v>46167</v>
      </c>
      <c r="F4811" s="49">
        <v>0.80962962962962959</v>
      </c>
      <c r="G4811" s="37">
        <v>6.3</v>
      </c>
      <c r="H4811" s="36" t="s">
        <v>228</v>
      </c>
      <c r="I4811" s="36" t="s">
        <v>1300</v>
      </c>
    </row>
    <row r="4812" spans="1:9" x14ac:dyDescent="0.2">
      <c r="A4812" s="38" t="s">
        <v>217</v>
      </c>
      <c r="B4812" s="28">
        <v>9685</v>
      </c>
      <c r="C4812" s="28" t="s">
        <v>1279</v>
      </c>
      <c r="D4812" s="46"/>
      <c r="E4812" s="35">
        <v>46167</v>
      </c>
      <c r="F4812" s="49">
        <v>0.81883101851851847</v>
      </c>
      <c r="G4812" s="37">
        <v>6.3</v>
      </c>
      <c r="H4812" s="36" t="s">
        <v>229</v>
      </c>
      <c r="I4812" s="36" t="s">
        <v>1300</v>
      </c>
    </row>
    <row r="4813" spans="1:9" x14ac:dyDescent="0.2">
      <c r="A4813" s="38" t="s">
        <v>217</v>
      </c>
      <c r="B4813" s="28">
        <v>9685</v>
      </c>
      <c r="C4813" s="28" t="s">
        <v>1280</v>
      </c>
      <c r="D4813" s="46"/>
      <c r="E4813" s="35">
        <v>46167</v>
      </c>
      <c r="F4813" s="49">
        <v>0.94133101851851853</v>
      </c>
      <c r="G4813" s="37">
        <v>6.3</v>
      </c>
      <c r="H4813" s="36" t="s">
        <v>228</v>
      </c>
      <c r="I4813" s="36" t="s">
        <v>1300</v>
      </c>
    </row>
    <row r="4814" spans="1:9" x14ac:dyDescent="0.2">
      <c r="A4814" s="38" t="s">
        <v>217</v>
      </c>
      <c r="B4814" s="28">
        <v>9685</v>
      </c>
      <c r="C4814" s="28" t="s">
        <v>1280</v>
      </c>
      <c r="D4814" s="46"/>
      <c r="E4814" s="35">
        <v>46167</v>
      </c>
      <c r="F4814" s="49">
        <v>0.94784722222222217</v>
      </c>
      <c r="G4814" s="37">
        <v>6.3</v>
      </c>
      <c r="H4814" s="36" t="s">
        <v>232</v>
      </c>
      <c r="I4814" s="36" t="s">
        <v>1300</v>
      </c>
    </row>
    <row r="4815" spans="1:9" x14ac:dyDescent="0.2">
      <c r="A4815" s="38" t="s">
        <v>217</v>
      </c>
      <c r="B4815" s="28">
        <v>9685</v>
      </c>
      <c r="C4815" s="28">
        <v>5687187</v>
      </c>
      <c r="D4815" s="46"/>
      <c r="E4815" s="35">
        <v>46168</v>
      </c>
      <c r="F4815" s="49">
        <v>2.4386574074074074E-2</v>
      </c>
      <c r="G4815" s="37">
        <v>6.3</v>
      </c>
      <c r="H4815" s="36" t="s">
        <v>228</v>
      </c>
      <c r="I4815" s="36" t="s">
        <v>1300</v>
      </c>
    </row>
    <row r="4816" spans="1:9" x14ac:dyDescent="0.2">
      <c r="A4816" s="38" t="s">
        <v>217</v>
      </c>
      <c r="B4816" s="28">
        <v>9685</v>
      </c>
      <c r="C4816" s="28">
        <v>5687187</v>
      </c>
      <c r="D4816" s="46"/>
      <c r="E4816" s="35">
        <v>46168</v>
      </c>
      <c r="F4816" s="49">
        <v>3.1446759259259258E-2</v>
      </c>
      <c r="G4816" s="37">
        <v>6.3</v>
      </c>
      <c r="H4816" s="36" t="s">
        <v>229</v>
      </c>
      <c r="I4816" s="36" t="s">
        <v>1300</v>
      </c>
    </row>
    <row r="4817" spans="1:9" x14ac:dyDescent="0.2">
      <c r="A4817" s="38" t="s">
        <v>217</v>
      </c>
      <c r="B4817" s="28">
        <v>9685</v>
      </c>
      <c r="C4817" s="28">
        <v>5689618</v>
      </c>
      <c r="D4817" s="46"/>
      <c r="E4817" s="35">
        <v>46169</v>
      </c>
      <c r="F4817" s="49">
        <v>0.59408564814814813</v>
      </c>
      <c r="G4817" s="37">
        <v>6.3</v>
      </c>
      <c r="H4817" s="36" t="s">
        <v>229</v>
      </c>
      <c r="I4817" s="36" t="s">
        <v>1300</v>
      </c>
    </row>
    <row r="4818" spans="1:9" x14ac:dyDescent="0.2">
      <c r="A4818" s="38" t="s">
        <v>217</v>
      </c>
      <c r="B4818" s="28">
        <v>9685</v>
      </c>
      <c r="C4818" s="28">
        <v>5689595</v>
      </c>
      <c r="D4818" s="46"/>
      <c r="E4818" s="35">
        <v>46169</v>
      </c>
      <c r="F4818" s="49">
        <v>0.67236111111111108</v>
      </c>
      <c r="G4818" s="37">
        <v>6.3</v>
      </c>
      <c r="H4818" s="36" t="s">
        <v>230</v>
      </c>
      <c r="I4818" s="36" t="s">
        <v>1300</v>
      </c>
    </row>
    <row r="4819" spans="1:9" x14ac:dyDescent="0.2">
      <c r="A4819" s="38" t="s">
        <v>479</v>
      </c>
      <c r="B4819" s="28">
        <v>9701</v>
      </c>
      <c r="C4819" s="28">
        <v>5688741</v>
      </c>
      <c r="D4819" s="46"/>
      <c r="E4819" s="35">
        <v>46169</v>
      </c>
      <c r="F4819" s="49">
        <v>0.15961805555555555</v>
      </c>
      <c r="G4819" s="37">
        <v>6.3</v>
      </c>
      <c r="H4819" s="36" t="s">
        <v>234</v>
      </c>
      <c r="I4819" s="36" t="s">
        <v>1300</v>
      </c>
    </row>
    <row r="4820" spans="1:9" x14ac:dyDescent="0.2">
      <c r="A4820" s="38" t="s">
        <v>479</v>
      </c>
      <c r="B4820" s="28">
        <v>9701</v>
      </c>
      <c r="C4820" s="28">
        <v>5688741</v>
      </c>
      <c r="D4820" s="46"/>
      <c r="E4820" s="35">
        <v>46169</v>
      </c>
      <c r="F4820" s="49">
        <v>0.16240740740740742</v>
      </c>
      <c r="G4820" s="37">
        <v>6.3</v>
      </c>
      <c r="H4820" s="36" t="s">
        <v>227</v>
      </c>
      <c r="I4820" s="36" t="s">
        <v>1300</v>
      </c>
    </row>
    <row r="4821" spans="1:9" x14ac:dyDescent="0.2">
      <c r="A4821" s="38" t="s">
        <v>479</v>
      </c>
      <c r="B4821" s="28">
        <v>9701</v>
      </c>
      <c r="C4821" s="28" t="s">
        <v>35</v>
      </c>
      <c r="D4821" s="46" t="s">
        <v>38</v>
      </c>
      <c r="E4821" s="35">
        <v>46169</v>
      </c>
      <c r="F4821" s="49">
        <v>0.31149305555555556</v>
      </c>
      <c r="G4821" s="37">
        <v>6.3</v>
      </c>
      <c r="H4821" s="36" t="s">
        <v>230</v>
      </c>
      <c r="I4821" s="36" t="s">
        <v>1300</v>
      </c>
    </row>
    <row r="4822" spans="1:9" x14ac:dyDescent="0.2">
      <c r="A4822" s="38" t="s">
        <v>479</v>
      </c>
      <c r="B4822" s="28">
        <v>9701</v>
      </c>
      <c r="C4822" s="28" t="s">
        <v>35</v>
      </c>
      <c r="D4822" s="46" t="s">
        <v>38</v>
      </c>
      <c r="E4822" s="35">
        <v>46170</v>
      </c>
      <c r="F4822" s="49">
        <v>0.1527662037037037</v>
      </c>
      <c r="G4822" s="37">
        <v>6.3</v>
      </c>
      <c r="H4822" s="36" t="s">
        <v>234</v>
      </c>
      <c r="I4822" s="36" t="s">
        <v>1300</v>
      </c>
    </row>
    <row r="4823" spans="1:9" x14ac:dyDescent="0.2">
      <c r="A4823" s="38" t="s">
        <v>479</v>
      </c>
      <c r="B4823" s="28">
        <v>9701</v>
      </c>
      <c r="C4823" s="28" t="s">
        <v>35</v>
      </c>
      <c r="D4823" s="46" t="s">
        <v>38</v>
      </c>
      <c r="E4823" s="35">
        <v>46170</v>
      </c>
      <c r="F4823" s="49">
        <v>0.15562500000000001</v>
      </c>
      <c r="G4823" s="37">
        <v>6.3</v>
      </c>
      <c r="H4823" s="36" t="s">
        <v>227</v>
      </c>
      <c r="I4823" s="36" t="s">
        <v>1300</v>
      </c>
    </row>
    <row r="4824" spans="1:9" x14ac:dyDescent="0.2">
      <c r="A4824" s="38" t="s">
        <v>479</v>
      </c>
      <c r="B4824" s="28">
        <v>9701</v>
      </c>
      <c r="C4824" s="28" t="s">
        <v>35</v>
      </c>
      <c r="D4824" s="46" t="s">
        <v>38</v>
      </c>
      <c r="E4824" s="35">
        <v>46170</v>
      </c>
      <c r="F4824" s="49">
        <v>0.28862268518518519</v>
      </c>
      <c r="G4824" s="37">
        <v>6.3</v>
      </c>
      <c r="H4824" s="36" t="s">
        <v>228</v>
      </c>
      <c r="I4824" s="36" t="s">
        <v>1300</v>
      </c>
    </row>
    <row r="4825" spans="1:9" x14ac:dyDescent="0.2">
      <c r="A4825" s="38" t="s">
        <v>479</v>
      </c>
      <c r="B4825" s="28">
        <v>9701</v>
      </c>
      <c r="C4825" s="28" t="s">
        <v>35</v>
      </c>
      <c r="D4825" s="46" t="s">
        <v>38</v>
      </c>
      <c r="E4825" s="35">
        <v>46170</v>
      </c>
      <c r="F4825" s="49">
        <v>0.29417824074074073</v>
      </c>
      <c r="G4825" s="37">
        <v>6.3</v>
      </c>
      <c r="H4825" s="36" t="s">
        <v>233</v>
      </c>
      <c r="I4825" s="36" t="s">
        <v>1300</v>
      </c>
    </row>
    <row r="4826" spans="1:9" x14ac:dyDescent="0.2">
      <c r="A4826" s="38" t="s">
        <v>479</v>
      </c>
      <c r="B4826" s="28">
        <v>9701</v>
      </c>
      <c r="C4826" s="28">
        <v>5692303</v>
      </c>
      <c r="D4826" s="46"/>
      <c r="E4826" s="35">
        <v>46171</v>
      </c>
      <c r="F4826" s="49">
        <v>0.15988425925925925</v>
      </c>
      <c r="G4826" s="37">
        <v>6.3</v>
      </c>
      <c r="H4826" s="36" t="s">
        <v>231</v>
      </c>
      <c r="I4826" s="36" t="s">
        <v>1300</v>
      </c>
    </row>
    <row r="4827" spans="1:9" x14ac:dyDescent="0.2">
      <c r="A4827" s="38" t="s">
        <v>479</v>
      </c>
      <c r="B4827" s="28">
        <v>9701</v>
      </c>
      <c r="C4827" s="28">
        <v>5692303</v>
      </c>
      <c r="D4827" s="46"/>
      <c r="E4827" s="35">
        <v>46171</v>
      </c>
      <c r="F4827" s="49">
        <v>0.16439814814814815</v>
      </c>
      <c r="G4827" s="37">
        <v>6.3</v>
      </c>
      <c r="H4827" s="36" t="s">
        <v>227</v>
      </c>
      <c r="I4827" s="36" t="s">
        <v>1300</v>
      </c>
    </row>
    <row r="4828" spans="1:9" x14ac:dyDescent="0.2">
      <c r="A4828" s="38" t="s">
        <v>479</v>
      </c>
      <c r="B4828" s="28">
        <v>9701</v>
      </c>
      <c r="C4828" s="28">
        <v>5692160</v>
      </c>
      <c r="D4828" s="46"/>
      <c r="E4828" s="35">
        <v>46171</v>
      </c>
      <c r="F4828" s="49">
        <v>0.32922453703703702</v>
      </c>
      <c r="G4828" s="37">
        <v>6.3</v>
      </c>
      <c r="H4828" s="36" t="s">
        <v>233</v>
      </c>
      <c r="I4828" s="36" t="s">
        <v>1300</v>
      </c>
    </row>
    <row r="4829" spans="1:9" x14ac:dyDescent="0.2">
      <c r="A4829" s="38" t="s">
        <v>479</v>
      </c>
      <c r="B4829" s="28">
        <v>9701</v>
      </c>
      <c r="C4829" s="28" t="s">
        <v>35</v>
      </c>
      <c r="D4829" s="46" t="s">
        <v>38</v>
      </c>
      <c r="E4829" s="35">
        <v>46172</v>
      </c>
      <c r="F4829" s="49">
        <v>0.26763888888888887</v>
      </c>
      <c r="G4829" s="37">
        <v>6.3</v>
      </c>
      <c r="H4829" s="36" t="s">
        <v>234</v>
      </c>
      <c r="I4829" s="36" t="s">
        <v>1300</v>
      </c>
    </row>
    <row r="4830" spans="1:9" x14ac:dyDescent="0.2">
      <c r="A4830" s="38" t="s">
        <v>479</v>
      </c>
      <c r="B4830" s="28">
        <v>9701</v>
      </c>
      <c r="C4830" s="28" t="s">
        <v>35</v>
      </c>
      <c r="D4830" s="46" t="s">
        <v>38</v>
      </c>
      <c r="E4830" s="35">
        <v>46172</v>
      </c>
      <c r="F4830" s="49">
        <v>0.31341435185185185</v>
      </c>
      <c r="G4830" s="37">
        <v>6.3</v>
      </c>
      <c r="H4830" s="36" t="s">
        <v>233</v>
      </c>
      <c r="I4830" s="36" t="s">
        <v>1300</v>
      </c>
    </row>
    <row r="4831" spans="1:9" x14ac:dyDescent="0.2">
      <c r="A4831" s="38" t="s">
        <v>222</v>
      </c>
      <c r="B4831" s="28">
        <v>9720</v>
      </c>
      <c r="C4831" s="28">
        <v>5688808</v>
      </c>
      <c r="D4831" s="46"/>
      <c r="E4831" s="35">
        <v>46168</v>
      </c>
      <c r="F4831" s="49">
        <v>0.95719907407407412</v>
      </c>
      <c r="G4831" s="37">
        <v>6.3</v>
      </c>
      <c r="H4831" s="36" t="s">
        <v>228</v>
      </c>
      <c r="I4831" s="36" t="s">
        <v>1300</v>
      </c>
    </row>
    <row r="4832" spans="1:9" x14ac:dyDescent="0.2">
      <c r="A4832" s="38" t="s">
        <v>222</v>
      </c>
      <c r="B4832" s="28">
        <v>9720</v>
      </c>
      <c r="C4832" s="28">
        <v>5688808</v>
      </c>
      <c r="D4832" s="46"/>
      <c r="E4832" s="35">
        <v>46168</v>
      </c>
      <c r="F4832" s="49">
        <v>0.96445601851851848</v>
      </c>
      <c r="G4832" s="37">
        <v>6.3</v>
      </c>
      <c r="H4832" s="36" t="s">
        <v>229</v>
      </c>
      <c r="I4832" s="36" t="s">
        <v>1300</v>
      </c>
    </row>
    <row r="4833" spans="1:9" x14ac:dyDescent="0.2">
      <c r="A4833" s="38" t="s">
        <v>222</v>
      </c>
      <c r="B4833" s="28">
        <v>9720</v>
      </c>
      <c r="C4833" s="28" t="s">
        <v>35</v>
      </c>
      <c r="D4833" s="46" t="s">
        <v>38</v>
      </c>
      <c r="E4833" s="35">
        <v>46173</v>
      </c>
      <c r="F4833" s="49">
        <v>0.35530092592592594</v>
      </c>
      <c r="G4833" s="37">
        <v>6.3</v>
      </c>
      <c r="H4833" s="36" t="s">
        <v>230</v>
      </c>
      <c r="I4833" s="36" t="s">
        <v>1300</v>
      </c>
    </row>
    <row r="4834" spans="1:9" x14ac:dyDescent="0.2">
      <c r="A4834" s="38" t="s">
        <v>360</v>
      </c>
      <c r="B4834" s="28">
        <v>9740</v>
      </c>
      <c r="C4834" s="28" t="s">
        <v>35</v>
      </c>
      <c r="D4834" s="46" t="s">
        <v>38</v>
      </c>
      <c r="E4834" s="35">
        <v>46167</v>
      </c>
      <c r="F4834" s="49">
        <v>0.1320949074074074</v>
      </c>
      <c r="G4834" s="37">
        <v>6.3</v>
      </c>
      <c r="H4834" s="36" t="s">
        <v>230</v>
      </c>
      <c r="I4834" s="36" t="s">
        <v>1300</v>
      </c>
    </row>
    <row r="4835" spans="1:9" x14ac:dyDescent="0.2">
      <c r="A4835" s="38" t="s">
        <v>360</v>
      </c>
      <c r="B4835" s="28">
        <v>9740</v>
      </c>
      <c r="C4835" s="28" t="s">
        <v>35</v>
      </c>
      <c r="D4835" s="46" t="s">
        <v>38</v>
      </c>
      <c r="E4835" s="35">
        <v>46167</v>
      </c>
      <c r="F4835" s="49">
        <v>0.13725694444444445</v>
      </c>
      <c r="G4835" s="37">
        <v>6.3</v>
      </c>
      <c r="H4835" s="36" t="s">
        <v>227</v>
      </c>
      <c r="I4835" s="36" t="s">
        <v>1300</v>
      </c>
    </row>
    <row r="4836" spans="1:9" x14ac:dyDescent="0.2">
      <c r="A4836" s="38" t="s">
        <v>360</v>
      </c>
      <c r="B4836" s="28">
        <v>9740</v>
      </c>
      <c r="C4836" s="28">
        <v>10763495</v>
      </c>
      <c r="D4836" s="46" t="s">
        <v>36</v>
      </c>
      <c r="E4836" s="35">
        <v>46170</v>
      </c>
      <c r="F4836" s="49">
        <v>0.12842592592592592</v>
      </c>
      <c r="G4836" s="37">
        <v>6.3</v>
      </c>
      <c r="H4836" s="36" t="s">
        <v>227</v>
      </c>
      <c r="I4836" s="36" t="s">
        <v>1300</v>
      </c>
    </row>
    <row r="4837" spans="1:9" x14ac:dyDescent="0.2">
      <c r="A4837" s="38" t="s">
        <v>360</v>
      </c>
      <c r="B4837" s="28">
        <v>9740</v>
      </c>
      <c r="C4837" s="28" t="s">
        <v>35</v>
      </c>
      <c r="D4837" s="46" t="s">
        <v>38</v>
      </c>
      <c r="E4837" s="35">
        <v>46171</v>
      </c>
      <c r="F4837" s="49">
        <v>0.14445601851851853</v>
      </c>
      <c r="G4837" s="37">
        <v>6.3</v>
      </c>
      <c r="H4837" s="36" t="s">
        <v>228</v>
      </c>
      <c r="I4837" s="36" t="s">
        <v>1300</v>
      </c>
    </row>
    <row r="4838" spans="1:9" x14ac:dyDescent="0.2">
      <c r="A4838" s="38" t="s">
        <v>360</v>
      </c>
      <c r="B4838" s="28">
        <v>9740</v>
      </c>
      <c r="C4838" s="28" t="s">
        <v>35</v>
      </c>
      <c r="D4838" s="46" t="s">
        <v>38</v>
      </c>
      <c r="E4838" s="35">
        <v>46171</v>
      </c>
      <c r="F4838" s="49">
        <v>0.17885416666666668</v>
      </c>
      <c r="G4838" s="37">
        <v>6.3</v>
      </c>
      <c r="H4838" s="36" t="s">
        <v>227</v>
      </c>
      <c r="I4838" s="36" t="s">
        <v>1300</v>
      </c>
    </row>
    <row r="4839" spans="1:9" x14ac:dyDescent="0.2">
      <c r="A4839" s="38" t="s">
        <v>360</v>
      </c>
      <c r="B4839" s="28">
        <v>9740</v>
      </c>
      <c r="C4839" s="28" t="s">
        <v>35</v>
      </c>
      <c r="D4839" s="46" t="s">
        <v>38</v>
      </c>
      <c r="E4839" s="35">
        <v>46172</v>
      </c>
      <c r="F4839" s="49">
        <v>0.91239583333333329</v>
      </c>
      <c r="G4839" s="37">
        <v>6.3</v>
      </c>
      <c r="H4839" s="36" t="s">
        <v>228</v>
      </c>
      <c r="I4839" s="36" t="s">
        <v>1300</v>
      </c>
    </row>
    <row r="4840" spans="1:9" x14ac:dyDescent="0.2">
      <c r="A4840" s="38" t="s">
        <v>360</v>
      </c>
      <c r="B4840" s="28">
        <v>9740</v>
      </c>
      <c r="C4840" s="28" t="s">
        <v>35</v>
      </c>
      <c r="D4840" s="46" t="s">
        <v>38</v>
      </c>
      <c r="E4840" s="35">
        <v>46172</v>
      </c>
      <c r="F4840" s="49">
        <v>0.91870370370370369</v>
      </c>
      <c r="G4840" s="37">
        <v>6.3</v>
      </c>
      <c r="H4840" s="36" t="s">
        <v>229</v>
      </c>
      <c r="I4840" s="36" t="s">
        <v>1300</v>
      </c>
    </row>
    <row r="4841" spans="1:9" x14ac:dyDescent="0.2">
      <c r="A4841" s="38" t="s">
        <v>360</v>
      </c>
      <c r="B4841" s="28">
        <v>9740</v>
      </c>
      <c r="C4841" s="28" t="s">
        <v>35</v>
      </c>
      <c r="D4841" s="46" t="s">
        <v>38</v>
      </c>
      <c r="E4841" s="35">
        <v>46172</v>
      </c>
      <c r="F4841" s="49">
        <v>0.9450115740740741</v>
      </c>
      <c r="G4841" s="37">
        <v>6.3</v>
      </c>
      <c r="H4841" s="36" t="s">
        <v>230</v>
      </c>
      <c r="I4841" s="36" t="s">
        <v>1300</v>
      </c>
    </row>
    <row r="4842" spans="1:9" x14ac:dyDescent="0.2">
      <c r="A4842" s="38" t="s">
        <v>277</v>
      </c>
      <c r="B4842" s="28">
        <v>9742</v>
      </c>
      <c r="C4842" s="28">
        <v>5689979</v>
      </c>
      <c r="D4842" s="46"/>
      <c r="E4842" s="35">
        <v>46169</v>
      </c>
      <c r="F4842" s="49">
        <v>0.6642824074074074</v>
      </c>
      <c r="G4842" s="37">
        <v>6.3</v>
      </c>
      <c r="H4842" s="36" t="s">
        <v>228</v>
      </c>
      <c r="I4842" s="36" t="s">
        <v>1300</v>
      </c>
    </row>
    <row r="4843" spans="1:9" x14ac:dyDescent="0.2">
      <c r="A4843" s="38" t="s">
        <v>277</v>
      </c>
      <c r="B4843" s="28">
        <v>9742</v>
      </c>
      <c r="C4843" s="28">
        <v>5689979</v>
      </c>
      <c r="D4843" s="46"/>
      <c r="E4843" s="35">
        <v>46169</v>
      </c>
      <c r="F4843" s="49">
        <v>0.67746527777777776</v>
      </c>
      <c r="G4843" s="37">
        <v>6.3</v>
      </c>
      <c r="H4843" s="36" t="s">
        <v>229</v>
      </c>
      <c r="I4843" s="36" t="s">
        <v>1300</v>
      </c>
    </row>
    <row r="4844" spans="1:9" x14ac:dyDescent="0.2">
      <c r="A4844" s="38" t="s">
        <v>277</v>
      </c>
      <c r="B4844" s="28">
        <v>9742</v>
      </c>
      <c r="C4844" s="28">
        <v>5690441</v>
      </c>
      <c r="D4844" s="46"/>
      <c r="E4844" s="35">
        <v>46169</v>
      </c>
      <c r="F4844" s="49">
        <v>0.84668981481481487</v>
      </c>
      <c r="G4844" s="37">
        <v>6.3</v>
      </c>
      <c r="H4844" s="36" t="s">
        <v>228</v>
      </c>
      <c r="I4844" s="36" t="s">
        <v>1300</v>
      </c>
    </row>
    <row r="4845" spans="1:9" x14ac:dyDescent="0.2">
      <c r="A4845" s="38" t="s">
        <v>277</v>
      </c>
      <c r="B4845" s="28">
        <v>9742</v>
      </c>
      <c r="C4845" s="28" t="s">
        <v>35</v>
      </c>
      <c r="D4845" s="46" t="s">
        <v>38</v>
      </c>
      <c r="E4845" s="35">
        <v>46173</v>
      </c>
      <c r="F4845" s="49">
        <v>0.41718749999999999</v>
      </c>
      <c r="G4845" s="37">
        <v>6.3</v>
      </c>
      <c r="H4845" s="36" t="s">
        <v>228</v>
      </c>
      <c r="I4845" s="36" t="s">
        <v>1300</v>
      </c>
    </row>
    <row r="4846" spans="1:9" x14ac:dyDescent="0.2">
      <c r="A4846" s="38" t="s">
        <v>277</v>
      </c>
      <c r="B4846" s="28">
        <v>9742</v>
      </c>
      <c r="C4846" s="28" t="s">
        <v>35</v>
      </c>
      <c r="D4846" s="46" t="s">
        <v>38</v>
      </c>
      <c r="E4846" s="35">
        <v>46173</v>
      </c>
      <c r="F4846" s="49">
        <v>0.4233912037037037</v>
      </c>
      <c r="G4846" s="37">
        <v>6.3</v>
      </c>
      <c r="H4846" s="36" t="s">
        <v>229</v>
      </c>
      <c r="I4846" s="36" t="s">
        <v>1300</v>
      </c>
    </row>
    <row r="4847" spans="1:9" x14ac:dyDescent="0.2">
      <c r="A4847" s="38" t="s">
        <v>277</v>
      </c>
      <c r="B4847" s="28">
        <v>9742</v>
      </c>
      <c r="C4847" s="28" t="s">
        <v>1281</v>
      </c>
      <c r="D4847" s="46"/>
      <c r="E4847" s="35">
        <v>46173</v>
      </c>
      <c r="F4847" s="49">
        <v>0.69820601851851849</v>
      </c>
      <c r="G4847" s="37">
        <v>6.3</v>
      </c>
      <c r="H4847" s="36" t="s">
        <v>228</v>
      </c>
      <c r="I4847" s="36" t="s">
        <v>1300</v>
      </c>
    </row>
    <row r="4848" spans="1:9" x14ac:dyDescent="0.2">
      <c r="A4848" s="38" t="s">
        <v>243</v>
      </c>
      <c r="B4848" s="28">
        <v>9744</v>
      </c>
      <c r="C4848" s="28">
        <v>5695501</v>
      </c>
      <c r="D4848" s="46"/>
      <c r="E4848" s="35">
        <v>46173</v>
      </c>
      <c r="F4848" s="49">
        <v>0.36138888888888887</v>
      </c>
      <c r="G4848" s="37">
        <v>6.3</v>
      </c>
      <c r="H4848" s="36" t="s">
        <v>228</v>
      </c>
      <c r="I4848" s="36" t="s">
        <v>1300</v>
      </c>
    </row>
    <row r="4849" spans="1:9" x14ac:dyDescent="0.2">
      <c r="A4849" s="38" t="s">
        <v>243</v>
      </c>
      <c r="B4849" s="28">
        <v>9744</v>
      </c>
      <c r="C4849" s="28">
        <v>5695501</v>
      </c>
      <c r="D4849" s="46"/>
      <c r="E4849" s="35">
        <v>46173</v>
      </c>
      <c r="F4849" s="49">
        <v>0.36863425925925924</v>
      </c>
      <c r="G4849" s="37">
        <v>6.3</v>
      </c>
      <c r="H4849" s="36" t="s">
        <v>229</v>
      </c>
      <c r="I4849" s="36" t="s">
        <v>1300</v>
      </c>
    </row>
    <row r="4850" spans="1:9" x14ac:dyDescent="0.2">
      <c r="A4850" s="38" t="s">
        <v>243</v>
      </c>
      <c r="B4850" s="28">
        <v>9744</v>
      </c>
      <c r="C4850" s="28" t="s">
        <v>35</v>
      </c>
      <c r="D4850" s="46" t="s">
        <v>38</v>
      </c>
      <c r="E4850" s="35">
        <v>46173</v>
      </c>
      <c r="F4850" s="49">
        <v>0.71589120370370374</v>
      </c>
      <c r="G4850" s="37">
        <v>6.3</v>
      </c>
      <c r="H4850" s="36" t="s">
        <v>230</v>
      </c>
      <c r="I4850" s="36" t="s">
        <v>1300</v>
      </c>
    </row>
    <row r="4851" spans="1:9" x14ac:dyDescent="0.2">
      <c r="A4851" s="38" t="s">
        <v>243</v>
      </c>
      <c r="B4851" s="28">
        <v>9744</v>
      </c>
      <c r="C4851" s="28" t="s">
        <v>35</v>
      </c>
      <c r="D4851" s="46" t="s">
        <v>38</v>
      </c>
      <c r="E4851" s="35">
        <v>46173</v>
      </c>
      <c r="F4851" s="49">
        <v>0.82398148148148154</v>
      </c>
      <c r="G4851" s="37">
        <v>6.3</v>
      </c>
      <c r="H4851" s="36" t="s">
        <v>227</v>
      </c>
      <c r="I4851" s="36" t="s">
        <v>1300</v>
      </c>
    </row>
    <row r="4852" spans="1:9" x14ac:dyDescent="0.2">
      <c r="A4852" s="38" t="s">
        <v>189</v>
      </c>
      <c r="B4852" s="28">
        <v>9761</v>
      </c>
      <c r="C4852" s="28">
        <v>5689530</v>
      </c>
      <c r="D4852" s="46"/>
      <c r="E4852" s="35">
        <v>46169</v>
      </c>
      <c r="F4852" s="49">
        <v>0.51484953703703706</v>
      </c>
      <c r="G4852" s="37">
        <v>6.3</v>
      </c>
      <c r="H4852" s="36" t="s">
        <v>228</v>
      </c>
      <c r="I4852" s="36" t="s">
        <v>1300</v>
      </c>
    </row>
    <row r="4853" spans="1:9" x14ac:dyDescent="0.2">
      <c r="A4853" s="38" t="s">
        <v>189</v>
      </c>
      <c r="B4853" s="28">
        <v>9761</v>
      </c>
      <c r="C4853" s="28">
        <v>5689530</v>
      </c>
      <c r="D4853" s="46"/>
      <c r="E4853" s="35">
        <v>46169</v>
      </c>
      <c r="F4853" s="49">
        <v>0.52413194444444444</v>
      </c>
      <c r="G4853" s="37">
        <v>6.3</v>
      </c>
      <c r="H4853" s="36" t="s">
        <v>229</v>
      </c>
      <c r="I4853" s="36" t="s">
        <v>1300</v>
      </c>
    </row>
    <row r="4854" spans="1:9" x14ac:dyDescent="0.2">
      <c r="A4854" s="38" t="s">
        <v>189</v>
      </c>
      <c r="B4854" s="28">
        <v>9761</v>
      </c>
      <c r="C4854" s="28" t="s">
        <v>35</v>
      </c>
      <c r="D4854" s="46" t="s">
        <v>38</v>
      </c>
      <c r="E4854" s="35">
        <v>46172</v>
      </c>
      <c r="F4854" s="49">
        <v>0.97501157407407413</v>
      </c>
      <c r="G4854" s="37">
        <v>6.3</v>
      </c>
      <c r="H4854" s="36" t="s">
        <v>227</v>
      </c>
      <c r="I4854" s="36" t="s">
        <v>1300</v>
      </c>
    </row>
    <row r="4855" spans="1:9" x14ac:dyDescent="0.2">
      <c r="A4855" s="38" t="s">
        <v>188</v>
      </c>
      <c r="B4855" s="28">
        <v>9769</v>
      </c>
      <c r="C4855" s="28">
        <v>10744064</v>
      </c>
      <c r="D4855" s="46"/>
      <c r="E4855" s="35">
        <v>46168</v>
      </c>
      <c r="F4855" s="49">
        <v>0.40084490740740741</v>
      </c>
      <c r="G4855" s="37">
        <v>6.3</v>
      </c>
      <c r="H4855" s="36" t="s">
        <v>228</v>
      </c>
      <c r="I4855" s="36" t="s">
        <v>1300</v>
      </c>
    </row>
    <row r="4856" spans="1:9" x14ac:dyDescent="0.2">
      <c r="A4856" s="38" t="s">
        <v>188</v>
      </c>
      <c r="B4856" s="28">
        <v>9769</v>
      </c>
      <c r="C4856" s="28">
        <v>10744064</v>
      </c>
      <c r="D4856" s="46"/>
      <c r="E4856" s="35">
        <v>46168</v>
      </c>
      <c r="F4856" s="49">
        <v>0.41736111111111113</v>
      </c>
      <c r="G4856" s="37">
        <v>6.3</v>
      </c>
      <c r="H4856" s="36" t="s">
        <v>229</v>
      </c>
      <c r="I4856" s="36" t="s">
        <v>1300</v>
      </c>
    </row>
    <row r="4857" spans="1:9" x14ac:dyDescent="0.2">
      <c r="A4857" s="38" t="s">
        <v>188</v>
      </c>
      <c r="B4857" s="28">
        <v>9769</v>
      </c>
      <c r="C4857" s="28">
        <v>10744503</v>
      </c>
      <c r="D4857" s="46"/>
      <c r="E4857" s="35">
        <v>46168</v>
      </c>
      <c r="F4857" s="49">
        <v>0.50603009259259257</v>
      </c>
      <c r="G4857" s="37">
        <v>6.3</v>
      </c>
      <c r="H4857" s="36" t="s">
        <v>226</v>
      </c>
      <c r="I4857" s="36" t="s">
        <v>1300</v>
      </c>
    </row>
    <row r="4858" spans="1:9" x14ac:dyDescent="0.2">
      <c r="A4858" s="38" t="s">
        <v>188</v>
      </c>
      <c r="B4858" s="28">
        <v>9769</v>
      </c>
      <c r="C4858" s="28">
        <v>10744503</v>
      </c>
      <c r="D4858" s="46"/>
      <c r="E4858" s="35">
        <v>46168</v>
      </c>
      <c r="F4858" s="49">
        <v>0.51193287037037039</v>
      </c>
      <c r="G4858" s="37">
        <v>6.3</v>
      </c>
      <c r="H4858" s="36" t="s">
        <v>227</v>
      </c>
      <c r="I4858" s="36" t="s">
        <v>1300</v>
      </c>
    </row>
    <row r="4859" spans="1:9" x14ac:dyDescent="0.2">
      <c r="A4859" s="38" t="s">
        <v>188</v>
      </c>
      <c r="B4859" s="28">
        <v>9769</v>
      </c>
      <c r="C4859" s="28">
        <v>10744299</v>
      </c>
      <c r="D4859" s="46"/>
      <c r="E4859" s="35">
        <v>46168</v>
      </c>
      <c r="F4859" s="49">
        <v>0.68262731481481487</v>
      </c>
      <c r="G4859" s="37">
        <v>6.3</v>
      </c>
      <c r="H4859" s="36" t="s">
        <v>230</v>
      </c>
      <c r="I4859" s="36" t="s">
        <v>1300</v>
      </c>
    </row>
    <row r="4860" spans="1:9" x14ac:dyDescent="0.2">
      <c r="A4860" s="38" t="s">
        <v>188</v>
      </c>
      <c r="B4860" s="28">
        <v>9769</v>
      </c>
      <c r="C4860" s="28">
        <v>10744299</v>
      </c>
      <c r="D4860" s="46"/>
      <c r="E4860" s="35">
        <v>46168</v>
      </c>
      <c r="F4860" s="49">
        <v>0.6894675925925926</v>
      </c>
      <c r="G4860" s="37">
        <v>6.3</v>
      </c>
      <c r="H4860" s="36" t="s">
        <v>227</v>
      </c>
      <c r="I4860" s="36" t="s">
        <v>1300</v>
      </c>
    </row>
    <row r="4861" spans="1:9" x14ac:dyDescent="0.2">
      <c r="A4861" s="38" t="s">
        <v>188</v>
      </c>
      <c r="B4861" s="28">
        <v>9769</v>
      </c>
      <c r="C4861" s="28">
        <v>10751703</v>
      </c>
      <c r="D4861" s="46"/>
      <c r="E4861" s="35">
        <v>46169</v>
      </c>
      <c r="F4861" s="49">
        <v>0.55207175925925922</v>
      </c>
      <c r="G4861" s="37">
        <v>6.3</v>
      </c>
      <c r="H4861" s="36" t="s">
        <v>228</v>
      </c>
      <c r="I4861" s="36" t="s">
        <v>1300</v>
      </c>
    </row>
    <row r="4862" spans="1:9" x14ac:dyDescent="0.2">
      <c r="A4862" s="38" t="s">
        <v>188</v>
      </c>
      <c r="B4862" s="28">
        <v>9769</v>
      </c>
      <c r="C4862" s="28">
        <v>10751703</v>
      </c>
      <c r="D4862" s="46"/>
      <c r="E4862" s="35">
        <v>46169</v>
      </c>
      <c r="F4862" s="49">
        <v>0.56216435185185187</v>
      </c>
      <c r="G4862" s="37">
        <v>6.3</v>
      </c>
      <c r="H4862" s="36" t="s">
        <v>229</v>
      </c>
      <c r="I4862" s="36" t="s">
        <v>1300</v>
      </c>
    </row>
    <row r="4863" spans="1:9" x14ac:dyDescent="0.2">
      <c r="A4863" s="38" t="s">
        <v>188</v>
      </c>
      <c r="B4863" s="28">
        <v>9769</v>
      </c>
      <c r="C4863" s="28">
        <v>10760589</v>
      </c>
      <c r="D4863" s="46"/>
      <c r="E4863" s="35">
        <v>46169</v>
      </c>
      <c r="F4863" s="49">
        <v>0.69740740740740736</v>
      </c>
      <c r="G4863" s="37">
        <v>6.3</v>
      </c>
      <c r="H4863" s="36" t="s">
        <v>226</v>
      </c>
      <c r="I4863" s="36" t="s">
        <v>1300</v>
      </c>
    </row>
    <row r="4864" spans="1:9" x14ac:dyDescent="0.2">
      <c r="A4864" s="38" t="s">
        <v>190</v>
      </c>
      <c r="B4864" s="28">
        <v>9795</v>
      </c>
      <c r="C4864" s="28" t="s">
        <v>35</v>
      </c>
      <c r="D4864" s="46" t="s">
        <v>38</v>
      </c>
      <c r="E4864" s="35">
        <v>46167</v>
      </c>
      <c r="F4864" s="49">
        <v>0.55893518518518515</v>
      </c>
      <c r="G4864" s="37">
        <v>6.3</v>
      </c>
      <c r="H4864" s="36" t="s">
        <v>230</v>
      </c>
      <c r="I4864" s="36" t="s">
        <v>1300</v>
      </c>
    </row>
    <row r="4865" spans="1:9" x14ac:dyDescent="0.2">
      <c r="A4865" s="38" t="s">
        <v>190</v>
      </c>
      <c r="B4865" s="28">
        <v>9795</v>
      </c>
      <c r="C4865" s="28" t="s">
        <v>35</v>
      </c>
      <c r="D4865" s="46" t="s">
        <v>38</v>
      </c>
      <c r="E4865" s="35">
        <v>46167</v>
      </c>
      <c r="F4865" s="49">
        <v>0.56459490740740736</v>
      </c>
      <c r="G4865" s="37">
        <v>6.3</v>
      </c>
      <c r="H4865" s="36" t="s">
        <v>227</v>
      </c>
      <c r="I4865" s="36" t="s">
        <v>1300</v>
      </c>
    </row>
    <row r="4866" spans="1:9" x14ac:dyDescent="0.2">
      <c r="A4866" s="38" t="s">
        <v>190</v>
      </c>
      <c r="B4866" s="28">
        <v>9795</v>
      </c>
      <c r="C4866" s="28">
        <v>5686583</v>
      </c>
      <c r="D4866" s="46"/>
      <c r="E4866" s="35">
        <v>46167</v>
      </c>
      <c r="F4866" s="49">
        <v>0.97024305555555557</v>
      </c>
      <c r="G4866" s="37">
        <v>6.3</v>
      </c>
      <c r="H4866" s="36" t="s">
        <v>228</v>
      </c>
      <c r="I4866" s="36" t="s">
        <v>1300</v>
      </c>
    </row>
    <row r="4867" spans="1:9" x14ac:dyDescent="0.2">
      <c r="A4867" s="38" t="s">
        <v>190</v>
      </c>
      <c r="B4867" s="28">
        <v>9795</v>
      </c>
      <c r="C4867" s="28">
        <v>5686583</v>
      </c>
      <c r="D4867" s="46"/>
      <c r="E4867" s="35">
        <v>46167</v>
      </c>
      <c r="F4867" s="49">
        <v>0.97648148148148151</v>
      </c>
      <c r="G4867" s="37">
        <v>6.3</v>
      </c>
      <c r="H4867" s="36" t="s">
        <v>229</v>
      </c>
      <c r="I4867" s="36" t="s">
        <v>1300</v>
      </c>
    </row>
    <row r="4868" spans="1:9" x14ac:dyDescent="0.2">
      <c r="A4868" s="38" t="s">
        <v>190</v>
      </c>
      <c r="B4868" s="28">
        <v>9795</v>
      </c>
      <c r="C4868" s="28" t="s">
        <v>35</v>
      </c>
      <c r="D4868" s="46" t="s">
        <v>38</v>
      </c>
      <c r="E4868" s="35">
        <v>46168</v>
      </c>
      <c r="F4868" s="49">
        <v>0.34969907407407408</v>
      </c>
      <c r="G4868" s="37">
        <v>6.3</v>
      </c>
      <c r="H4868" s="36" t="s">
        <v>230</v>
      </c>
      <c r="I4868" s="36" t="s">
        <v>1300</v>
      </c>
    </row>
    <row r="4869" spans="1:9" x14ac:dyDescent="0.2">
      <c r="A4869" s="38" t="s">
        <v>190</v>
      </c>
      <c r="B4869" s="28">
        <v>9795</v>
      </c>
      <c r="C4869" s="28" t="s">
        <v>35</v>
      </c>
      <c r="D4869" s="46" t="s">
        <v>38</v>
      </c>
      <c r="E4869" s="35">
        <v>46168</v>
      </c>
      <c r="F4869" s="49">
        <v>0.35520833333333335</v>
      </c>
      <c r="G4869" s="37">
        <v>6.3</v>
      </c>
      <c r="H4869" s="36" t="s">
        <v>227</v>
      </c>
      <c r="I4869" s="36" t="s">
        <v>1300</v>
      </c>
    </row>
    <row r="4870" spans="1:9" x14ac:dyDescent="0.2">
      <c r="A4870" s="38" t="s">
        <v>190</v>
      </c>
      <c r="B4870" s="28">
        <v>9795</v>
      </c>
      <c r="C4870" s="28" t="s">
        <v>1282</v>
      </c>
      <c r="D4870" s="46"/>
      <c r="E4870" s="35">
        <v>46169</v>
      </c>
      <c r="F4870" s="49">
        <v>0.78062500000000001</v>
      </c>
      <c r="G4870" s="37">
        <v>6.3</v>
      </c>
      <c r="H4870" s="36" t="s">
        <v>228</v>
      </c>
      <c r="I4870" s="36" t="s">
        <v>1300</v>
      </c>
    </row>
    <row r="4871" spans="1:9" x14ac:dyDescent="0.2">
      <c r="A4871" s="38" t="s">
        <v>190</v>
      </c>
      <c r="B4871" s="28">
        <v>9795</v>
      </c>
      <c r="C4871" s="28" t="s">
        <v>1282</v>
      </c>
      <c r="D4871" s="46"/>
      <c r="E4871" s="35">
        <v>46169</v>
      </c>
      <c r="F4871" s="49">
        <v>0.78905092592592596</v>
      </c>
      <c r="G4871" s="37">
        <v>6.3</v>
      </c>
      <c r="H4871" s="36" t="s">
        <v>229</v>
      </c>
      <c r="I4871" s="36" t="s">
        <v>1300</v>
      </c>
    </row>
    <row r="4872" spans="1:9" x14ac:dyDescent="0.2">
      <c r="A4872" s="38" t="s">
        <v>190</v>
      </c>
      <c r="B4872" s="28">
        <v>9795</v>
      </c>
      <c r="C4872" s="28">
        <v>5694028</v>
      </c>
      <c r="D4872" s="46"/>
      <c r="E4872" s="35">
        <v>46171</v>
      </c>
      <c r="F4872" s="49">
        <v>0.86251157407407408</v>
      </c>
      <c r="G4872" s="37">
        <v>6.3</v>
      </c>
      <c r="H4872" s="36" t="s">
        <v>228</v>
      </c>
      <c r="I4872" s="36" t="s">
        <v>1300</v>
      </c>
    </row>
    <row r="4873" spans="1:9" x14ac:dyDescent="0.2">
      <c r="A4873" s="38" t="s">
        <v>190</v>
      </c>
      <c r="B4873" s="28">
        <v>9795</v>
      </c>
      <c r="C4873" s="28">
        <v>5694028</v>
      </c>
      <c r="D4873" s="46"/>
      <c r="E4873" s="35">
        <v>46171</v>
      </c>
      <c r="F4873" s="49">
        <v>0.86957175925925922</v>
      </c>
      <c r="G4873" s="37">
        <v>6.3</v>
      </c>
      <c r="H4873" s="36" t="s">
        <v>229</v>
      </c>
      <c r="I4873" s="36" t="s">
        <v>1300</v>
      </c>
    </row>
    <row r="4874" spans="1:9" x14ac:dyDescent="0.2">
      <c r="A4874" s="38" t="s">
        <v>480</v>
      </c>
      <c r="B4874" s="28">
        <v>9820</v>
      </c>
      <c r="C4874" s="28">
        <v>5684538</v>
      </c>
      <c r="D4874" s="46" t="s">
        <v>37</v>
      </c>
      <c r="E4874" s="35">
        <v>46167</v>
      </c>
      <c r="F4874" s="49">
        <v>0.23266203703703703</v>
      </c>
      <c r="G4874" s="37">
        <v>6.3</v>
      </c>
      <c r="H4874" s="36" t="s">
        <v>228</v>
      </c>
      <c r="I4874" s="36" t="s">
        <v>1300</v>
      </c>
    </row>
    <row r="4875" spans="1:9" x14ac:dyDescent="0.2">
      <c r="A4875" s="38" t="s">
        <v>480</v>
      </c>
      <c r="B4875" s="28">
        <v>9820</v>
      </c>
      <c r="C4875" s="28">
        <v>5684538</v>
      </c>
      <c r="D4875" s="46" t="s">
        <v>37</v>
      </c>
      <c r="E4875" s="35">
        <v>46167</v>
      </c>
      <c r="F4875" s="49">
        <v>0.24187500000000001</v>
      </c>
      <c r="G4875" s="37">
        <v>6.3</v>
      </c>
      <c r="H4875" s="36" t="s">
        <v>229</v>
      </c>
      <c r="I4875" s="36" t="s">
        <v>1300</v>
      </c>
    </row>
    <row r="4876" spans="1:9" x14ac:dyDescent="0.2">
      <c r="A4876" s="38" t="s">
        <v>480</v>
      </c>
      <c r="B4876" s="28">
        <v>9820</v>
      </c>
      <c r="C4876" s="28">
        <v>5684969</v>
      </c>
      <c r="D4876" s="46" t="s">
        <v>37</v>
      </c>
      <c r="E4876" s="35">
        <v>46167</v>
      </c>
      <c r="F4876" s="49">
        <v>0.32238425925925923</v>
      </c>
      <c r="G4876" s="37">
        <v>6.3</v>
      </c>
      <c r="H4876" s="36" t="s">
        <v>231</v>
      </c>
      <c r="I4876" s="36" t="s">
        <v>1300</v>
      </c>
    </row>
    <row r="4877" spans="1:9" x14ac:dyDescent="0.2">
      <c r="A4877" s="38" t="s">
        <v>480</v>
      </c>
      <c r="B4877" s="28">
        <v>9820</v>
      </c>
      <c r="C4877" s="28">
        <v>5684969</v>
      </c>
      <c r="D4877" s="46" t="s">
        <v>37</v>
      </c>
      <c r="E4877" s="35">
        <v>46167</v>
      </c>
      <c r="F4877" s="49">
        <v>0.3275925925925926</v>
      </c>
      <c r="G4877" s="37">
        <v>6.3</v>
      </c>
      <c r="H4877" s="36" t="s">
        <v>227</v>
      </c>
      <c r="I4877" s="36" t="s">
        <v>1300</v>
      </c>
    </row>
    <row r="4878" spans="1:9" x14ac:dyDescent="0.2">
      <c r="A4878" s="38" t="s">
        <v>480</v>
      </c>
      <c r="B4878" s="28">
        <v>9820</v>
      </c>
      <c r="C4878" s="28">
        <v>5685842</v>
      </c>
      <c r="D4878" s="46"/>
      <c r="E4878" s="35">
        <v>46167</v>
      </c>
      <c r="F4878" s="49">
        <v>0.48476851851851854</v>
      </c>
      <c r="G4878" s="37">
        <v>6.3</v>
      </c>
      <c r="H4878" s="36" t="s">
        <v>228</v>
      </c>
      <c r="I4878" s="36" t="s">
        <v>1300</v>
      </c>
    </row>
    <row r="4879" spans="1:9" x14ac:dyDescent="0.2">
      <c r="A4879" s="38" t="s">
        <v>480</v>
      </c>
      <c r="B4879" s="28">
        <v>9820</v>
      </c>
      <c r="C4879" s="28">
        <v>5685842</v>
      </c>
      <c r="D4879" s="46"/>
      <c r="E4879" s="35">
        <v>46167</v>
      </c>
      <c r="F4879" s="49">
        <v>0.49466435185185187</v>
      </c>
      <c r="G4879" s="37">
        <v>6.3</v>
      </c>
      <c r="H4879" s="36" t="s">
        <v>229</v>
      </c>
      <c r="I4879" s="36" t="s">
        <v>1300</v>
      </c>
    </row>
    <row r="4880" spans="1:9" x14ac:dyDescent="0.2">
      <c r="A4880" s="38" t="s">
        <v>480</v>
      </c>
      <c r="B4880" s="28">
        <v>9820</v>
      </c>
      <c r="C4880" s="28" t="s">
        <v>35</v>
      </c>
      <c r="D4880" s="46" t="s">
        <v>38</v>
      </c>
      <c r="E4880" s="35">
        <v>46168</v>
      </c>
      <c r="F4880" s="49">
        <v>3.1921296296296295E-2</v>
      </c>
      <c r="G4880" s="37">
        <v>6.3</v>
      </c>
      <c r="H4880" s="36" t="s">
        <v>233</v>
      </c>
      <c r="I4880" s="36" t="s">
        <v>1300</v>
      </c>
    </row>
    <row r="4881" spans="1:9" x14ac:dyDescent="0.2">
      <c r="A4881" s="38" t="s">
        <v>480</v>
      </c>
      <c r="B4881" s="28">
        <v>9820</v>
      </c>
      <c r="C4881" s="28" t="s">
        <v>35</v>
      </c>
      <c r="D4881" s="46" t="s">
        <v>38</v>
      </c>
      <c r="E4881" s="35">
        <v>46168</v>
      </c>
      <c r="F4881" s="49">
        <v>0.71357638888888886</v>
      </c>
      <c r="G4881" s="37">
        <v>6.3</v>
      </c>
      <c r="H4881" s="36" t="s">
        <v>232</v>
      </c>
      <c r="I4881" s="36" t="s">
        <v>1300</v>
      </c>
    </row>
    <row r="4882" spans="1:9" x14ac:dyDescent="0.2">
      <c r="A4882" s="38" t="s">
        <v>480</v>
      </c>
      <c r="B4882" s="28">
        <v>9820</v>
      </c>
      <c r="C4882" s="28" t="s">
        <v>35</v>
      </c>
      <c r="D4882" s="46" t="s">
        <v>38</v>
      </c>
      <c r="E4882" s="35">
        <v>46168</v>
      </c>
      <c r="F4882" s="49">
        <v>0.89263888888888887</v>
      </c>
      <c r="G4882" s="37">
        <v>6.3</v>
      </c>
      <c r="H4882" s="36" t="s">
        <v>227</v>
      </c>
      <c r="I4882" s="36" t="s">
        <v>1300</v>
      </c>
    </row>
    <row r="4883" spans="1:9" x14ac:dyDescent="0.2">
      <c r="A4883" s="38" t="s">
        <v>480</v>
      </c>
      <c r="B4883" s="28">
        <v>9820</v>
      </c>
      <c r="C4883" s="28" t="s">
        <v>35</v>
      </c>
      <c r="D4883" s="46" t="s">
        <v>38</v>
      </c>
      <c r="E4883" s="35">
        <v>46169</v>
      </c>
      <c r="F4883" s="49">
        <v>0.85106481481481477</v>
      </c>
      <c r="G4883" s="37">
        <v>6.3</v>
      </c>
      <c r="H4883" s="36" t="s">
        <v>227</v>
      </c>
      <c r="I4883" s="36" t="s">
        <v>1300</v>
      </c>
    </row>
    <row r="4884" spans="1:9" x14ac:dyDescent="0.2">
      <c r="A4884" s="38" t="s">
        <v>480</v>
      </c>
      <c r="B4884" s="28">
        <v>9820</v>
      </c>
      <c r="C4884" s="28" t="s">
        <v>35</v>
      </c>
      <c r="D4884" s="46" t="s">
        <v>38</v>
      </c>
      <c r="E4884" s="35">
        <v>46169</v>
      </c>
      <c r="F4884" s="49">
        <v>0.98167824074074073</v>
      </c>
      <c r="G4884" s="37">
        <v>6.3</v>
      </c>
      <c r="H4884" s="36" t="s">
        <v>233</v>
      </c>
      <c r="I4884" s="36" t="s">
        <v>1300</v>
      </c>
    </row>
    <row r="4885" spans="1:9" x14ac:dyDescent="0.2">
      <c r="A4885" s="38" t="s">
        <v>480</v>
      </c>
      <c r="B4885" s="28">
        <v>9820</v>
      </c>
      <c r="C4885" s="28" t="s">
        <v>35</v>
      </c>
      <c r="D4885" s="46" t="s">
        <v>38</v>
      </c>
      <c r="E4885" s="35">
        <v>46170</v>
      </c>
      <c r="F4885" s="49">
        <v>0.55843750000000003</v>
      </c>
      <c r="G4885" s="37">
        <v>6.3</v>
      </c>
      <c r="H4885" s="36" t="s">
        <v>229</v>
      </c>
      <c r="I4885" s="36" t="s">
        <v>1300</v>
      </c>
    </row>
    <row r="4886" spans="1:9" x14ac:dyDescent="0.2">
      <c r="A4886" s="38" t="s">
        <v>480</v>
      </c>
      <c r="B4886" s="28">
        <v>9820</v>
      </c>
      <c r="C4886" s="28">
        <v>5690035</v>
      </c>
      <c r="D4886" s="46" t="s">
        <v>37</v>
      </c>
      <c r="E4886" s="35">
        <v>46171</v>
      </c>
      <c r="F4886" s="49">
        <v>0.18968750000000001</v>
      </c>
      <c r="G4886" s="37">
        <v>6.3</v>
      </c>
      <c r="H4886" s="36" t="s">
        <v>228</v>
      </c>
      <c r="I4886" s="36" t="s">
        <v>1300</v>
      </c>
    </row>
    <row r="4887" spans="1:9" x14ac:dyDescent="0.2">
      <c r="A4887" s="38" t="s">
        <v>480</v>
      </c>
      <c r="B4887" s="28">
        <v>9820</v>
      </c>
      <c r="C4887" s="28">
        <v>5690035</v>
      </c>
      <c r="D4887" s="46" t="s">
        <v>37</v>
      </c>
      <c r="E4887" s="35">
        <v>46171</v>
      </c>
      <c r="F4887" s="49">
        <v>0.19645833333333335</v>
      </c>
      <c r="G4887" s="37">
        <v>6.3</v>
      </c>
      <c r="H4887" s="36" t="s">
        <v>232</v>
      </c>
      <c r="I4887" s="36" t="s">
        <v>1300</v>
      </c>
    </row>
    <row r="4888" spans="1:9" x14ac:dyDescent="0.2">
      <c r="A4888" s="38" t="s">
        <v>480</v>
      </c>
      <c r="B4888" s="28">
        <v>9820</v>
      </c>
      <c r="C4888" s="28">
        <v>5693962</v>
      </c>
      <c r="D4888" s="46"/>
      <c r="E4888" s="35">
        <v>46172</v>
      </c>
      <c r="F4888" s="49">
        <v>0.20149305555555555</v>
      </c>
      <c r="G4888" s="37">
        <v>6.3</v>
      </c>
      <c r="H4888" s="36" t="s">
        <v>227</v>
      </c>
      <c r="I4888" s="36" t="s">
        <v>1300</v>
      </c>
    </row>
    <row r="4889" spans="1:9" x14ac:dyDescent="0.2">
      <c r="A4889" s="38" t="s">
        <v>480</v>
      </c>
      <c r="B4889" s="28">
        <v>9820</v>
      </c>
      <c r="C4889" s="28" t="s">
        <v>35</v>
      </c>
      <c r="D4889" s="46" t="s">
        <v>38</v>
      </c>
      <c r="E4889" s="35">
        <v>46173</v>
      </c>
      <c r="F4889" s="49">
        <v>5.1446759259259262E-2</v>
      </c>
      <c r="G4889" s="37">
        <v>6.3</v>
      </c>
      <c r="H4889" s="36" t="s">
        <v>228</v>
      </c>
      <c r="I4889" s="36" t="s">
        <v>1300</v>
      </c>
    </row>
    <row r="4890" spans="1:9" x14ac:dyDescent="0.2">
      <c r="A4890" s="38" t="s">
        <v>480</v>
      </c>
      <c r="B4890" s="28">
        <v>9820</v>
      </c>
      <c r="C4890" s="28" t="s">
        <v>35</v>
      </c>
      <c r="D4890" s="46" t="s">
        <v>38</v>
      </c>
      <c r="E4890" s="35">
        <v>46173</v>
      </c>
      <c r="F4890" s="49">
        <v>6.0405092592592594E-2</v>
      </c>
      <c r="G4890" s="37">
        <v>6.3</v>
      </c>
      <c r="H4890" s="36" t="s">
        <v>229</v>
      </c>
      <c r="I4890" s="36" t="s">
        <v>1300</v>
      </c>
    </row>
    <row r="4891" spans="1:9" x14ac:dyDescent="0.2">
      <c r="A4891" s="38" t="s">
        <v>480</v>
      </c>
      <c r="B4891" s="28">
        <v>9820</v>
      </c>
      <c r="C4891" s="28" t="s">
        <v>35</v>
      </c>
      <c r="D4891" s="46" t="s">
        <v>38</v>
      </c>
      <c r="E4891" s="35">
        <v>46173</v>
      </c>
      <c r="F4891" s="49">
        <v>8.2129629629629636E-2</v>
      </c>
      <c r="G4891" s="37">
        <v>6.3</v>
      </c>
      <c r="H4891" s="36" t="s">
        <v>227</v>
      </c>
      <c r="I4891" s="36" t="s">
        <v>1300</v>
      </c>
    </row>
    <row r="4892" spans="1:9" x14ac:dyDescent="0.2">
      <c r="A4892" s="38" t="s">
        <v>394</v>
      </c>
      <c r="B4892" s="28">
        <v>9821</v>
      </c>
      <c r="C4892" s="28" t="s">
        <v>35</v>
      </c>
      <c r="D4892" s="46" t="s">
        <v>38</v>
      </c>
      <c r="E4892" s="35">
        <v>46167</v>
      </c>
      <c r="F4892" s="49">
        <v>0.2361574074074074</v>
      </c>
      <c r="G4892" s="37">
        <v>6.3</v>
      </c>
      <c r="H4892" s="36" t="s">
        <v>226</v>
      </c>
      <c r="I4892" s="36" t="s">
        <v>1300</v>
      </c>
    </row>
    <row r="4893" spans="1:9" x14ac:dyDescent="0.2">
      <c r="A4893" s="38" t="s">
        <v>394</v>
      </c>
      <c r="B4893" s="28">
        <v>9821</v>
      </c>
      <c r="C4893" s="28" t="s">
        <v>35</v>
      </c>
      <c r="D4893" s="46" t="s">
        <v>38</v>
      </c>
      <c r="E4893" s="35">
        <v>46167</v>
      </c>
      <c r="F4893" s="49">
        <v>0.24334490740740741</v>
      </c>
      <c r="G4893" s="37">
        <v>6.3</v>
      </c>
      <c r="H4893" s="36" t="s">
        <v>227</v>
      </c>
      <c r="I4893" s="36" t="s">
        <v>1300</v>
      </c>
    </row>
    <row r="4894" spans="1:9" x14ac:dyDescent="0.2">
      <c r="A4894" s="38" t="s">
        <v>394</v>
      </c>
      <c r="B4894" s="28">
        <v>9821</v>
      </c>
      <c r="C4894" s="28" t="s">
        <v>1283</v>
      </c>
      <c r="D4894" s="46"/>
      <c r="E4894" s="35">
        <v>46167</v>
      </c>
      <c r="F4894" s="49">
        <v>0.43738425925925928</v>
      </c>
      <c r="G4894" s="37">
        <v>6.3</v>
      </c>
      <c r="H4894" s="36" t="s">
        <v>228</v>
      </c>
      <c r="I4894" s="36" t="s">
        <v>1300</v>
      </c>
    </row>
    <row r="4895" spans="1:9" x14ac:dyDescent="0.2">
      <c r="A4895" s="38" t="s">
        <v>394</v>
      </c>
      <c r="B4895" s="28">
        <v>9821</v>
      </c>
      <c r="C4895" s="28" t="s">
        <v>1283</v>
      </c>
      <c r="D4895" s="46"/>
      <c r="E4895" s="35">
        <v>46167</v>
      </c>
      <c r="F4895" s="49">
        <v>0.44972222222222225</v>
      </c>
      <c r="G4895" s="37">
        <v>6.3</v>
      </c>
      <c r="H4895" s="36" t="s">
        <v>229</v>
      </c>
      <c r="I4895" s="36" t="s">
        <v>1300</v>
      </c>
    </row>
    <row r="4896" spans="1:9" x14ac:dyDescent="0.2">
      <c r="A4896" s="38" t="s">
        <v>394</v>
      </c>
      <c r="B4896" s="28">
        <v>9821</v>
      </c>
      <c r="C4896" s="28" t="s">
        <v>35</v>
      </c>
      <c r="D4896" s="46" t="s">
        <v>38</v>
      </c>
      <c r="E4896" s="35">
        <v>46167</v>
      </c>
      <c r="F4896" s="49">
        <v>0.45347222222222222</v>
      </c>
      <c r="G4896" s="37">
        <v>6.3</v>
      </c>
      <c r="H4896" s="36" t="s">
        <v>229</v>
      </c>
      <c r="I4896" s="36" t="s">
        <v>1300</v>
      </c>
    </row>
    <row r="4897" spans="1:9" x14ac:dyDescent="0.2">
      <c r="A4897" s="38" t="s">
        <v>394</v>
      </c>
      <c r="B4897" s="28">
        <v>9821</v>
      </c>
      <c r="C4897" s="28">
        <v>5689345</v>
      </c>
      <c r="D4897" s="46"/>
      <c r="E4897" s="35">
        <v>46169</v>
      </c>
      <c r="F4897" s="49">
        <v>0.42986111111111114</v>
      </c>
      <c r="G4897" s="37">
        <v>6.3</v>
      </c>
      <c r="H4897" s="36" t="s">
        <v>228</v>
      </c>
      <c r="I4897" s="36" t="s">
        <v>1300</v>
      </c>
    </row>
    <row r="4898" spans="1:9" x14ac:dyDescent="0.2">
      <c r="A4898" s="38" t="s">
        <v>394</v>
      </c>
      <c r="B4898" s="28">
        <v>9821</v>
      </c>
      <c r="C4898" s="28" t="s">
        <v>35</v>
      </c>
      <c r="D4898" s="46" t="s">
        <v>38</v>
      </c>
      <c r="E4898" s="35">
        <v>46170</v>
      </c>
      <c r="F4898" s="49">
        <v>0.92888888888888888</v>
      </c>
      <c r="G4898" s="37">
        <v>6.3</v>
      </c>
      <c r="H4898" s="36" t="s">
        <v>226</v>
      </c>
      <c r="I4898" s="36" t="s">
        <v>1300</v>
      </c>
    </row>
    <row r="4899" spans="1:9" x14ac:dyDescent="0.2">
      <c r="A4899" s="38" t="s">
        <v>394</v>
      </c>
      <c r="B4899" s="28">
        <v>9821</v>
      </c>
      <c r="C4899" s="28" t="s">
        <v>35</v>
      </c>
      <c r="D4899" s="46" t="s">
        <v>38</v>
      </c>
      <c r="E4899" s="35">
        <v>46170</v>
      </c>
      <c r="F4899" s="49">
        <v>0.9339467592592593</v>
      </c>
      <c r="G4899" s="37">
        <v>6.3</v>
      </c>
      <c r="H4899" s="36" t="s">
        <v>227</v>
      </c>
      <c r="I4899" s="36" t="s">
        <v>1300</v>
      </c>
    </row>
    <row r="4900" spans="1:9" x14ac:dyDescent="0.2">
      <c r="A4900" s="38" t="s">
        <v>394</v>
      </c>
      <c r="B4900" s="28">
        <v>9821</v>
      </c>
      <c r="C4900" s="28" t="s">
        <v>35</v>
      </c>
      <c r="D4900" s="46" t="s">
        <v>38</v>
      </c>
      <c r="E4900" s="35">
        <v>46171</v>
      </c>
      <c r="F4900" s="49">
        <v>0.35672453703703705</v>
      </c>
      <c r="G4900" s="37">
        <v>6.3</v>
      </c>
      <c r="H4900" s="36" t="s">
        <v>226</v>
      </c>
      <c r="I4900" s="36" t="s">
        <v>1300</v>
      </c>
    </row>
    <row r="4901" spans="1:9" x14ac:dyDescent="0.2">
      <c r="A4901" s="38" t="s">
        <v>394</v>
      </c>
      <c r="B4901" s="28">
        <v>9821</v>
      </c>
      <c r="C4901" s="28" t="s">
        <v>35</v>
      </c>
      <c r="D4901" s="46" t="s">
        <v>38</v>
      </c>
      <c r="E4901" s="35">
        <v>46171</v>
      </c>
      <c r="F4901" s="49">
        <v>0.36636574074074074</v>
      </c>
      <c r="G4901" s="37">
        <v>6.3</v>
      </c>
      <c r="H4901" s="36" t="s">
        <v>227</v>
      </c>
      <c r="I4901" s="36" t="s">
        <v>1300</v>
      </c>
    </row>
    <row r="4902" spans="1:9" x14ac:dyDescent="0.2">
      <c r="A4902" s="38" t="s">
        <v>394</v>
      </c>
      <c r="B4902" s="28">
        <v>9821</v>
      </c>
      <c r="C4902" s="28" t="s">
        <v>35</v>
      </c>
      <c r="D4902" s="46" t="s">
        <v>38</v>
      </c>
      <c r="E4902" s="35">
        <v>46171</v>
      </c>
      <c r="F4902" s="49">
        <v>0.48030092592592594</v>
      </c>
      <c r="G4902" s="37">
        <v>6.3</v>
      </c>
      <c r="H4902" s="36" t="s">
        <v>228</v>
      </c>
      <c r="I4902" s="36" t="s">
        <v>1300</v>
      </c>
    </row>
    <row r="4903" spans="1:9" x14ac:dyDescent="0.2">
      <c r="A4903" s="38" t="s">
        <v>394</v>
      </c>
      <c r="B4903" s="28">
        <v>9821</v>
      </c>
      <c r="C4903" s="28" t="s">
        <v>35</v>
      </c>
      <c r="D4903" s="46" t="s">
        <v>38</v>
      </c>
      <c r="E4903" s="35">
        <v>46171</v>
      </c>
      <c r="F4903" s="49">
        <v>0.4989351851851852</v>
      </c>
      <c r="G4903" s="37">
        <v>6.3</v>
      </c>
      <c r="H4903" s="36" t="s">
        <v>229</v>
      </c>
      <c r="I4903" s="36" t="s">
        <v>1300</v>
      </c>
    </row>
    <row r="4904" spans="1:9" x14ac:dyDescent="0.2">
      <c r="A4904" s="38" t="s">
        <v>394</v>
      </c>
      <c r="B4904" s="28">
        <v>9821</v>
      </c>
      <c r="C4904" s="28" t="s">
        <v>35</v>
      </c>
      <c r="D4904" s="46" t="s">
        <v>38</v>
      </c>
      <c r="E4904" s="35">
        <v>46173</v>
      </c>
      <c r="F4904" s="49">
        <v>0.30912037037037038</v>
      </c>
      <c r="G4904" s="37">
        <v>6.3</v>
      </c>
      <c r="H4904" s="36" t="s">
        <v>227</v>
      </c>
      <c r="I4904" s="36" t="s">
        <v>1300</v>
      </c>
    </row>
    <row r="4905" spans="1:9" x14ac:dyDescent="0.2">
      <c r="A4905" s="38" t="s">
        <v>394</v>
      </c>
      <c r="B4905" s="28">
        <v>9821</v>
      </c>
      <c r="C4905" s="28" t="s">
        <v>35</v>
      </c>
      <c r="D4905" s="46" t="s">
        <v>38</v>
      </c>
      <c r="E4905" s="35">
        <v>46173</v>
      </c>
      <c r="F4905" s="49">
        <v>0.34192129629629631</v>
      </c>
      <c r="G4905" s="37">
        <v>6.3</v>
      </c>
      <c r="H4905" s="36" t="s">
        <v>228</v>
      </c>
      <c r="I4905" s="36" t="s">
        <v>1300</v>
      </c>
    </row>
    <row r="4906" spans="1:9" x14ac:dyDescent="0.2">
      <c r="A4906" s="38" t="s">
        <v>394</v>
      </c>
      <c r="B4906" s="28">
        <v>9821</v>
      </c>
      <c r="C4906" s="28" t="s">
        <v>35</v>
      </c>
      <c r="D4906" s="46" t="s">
        <v>38</v>
      </c>
      <c r="E4906" s="35">
        <v>46173</v>
      </c>
      <c r="F4906" s="49">
        <v>0.34847222222222224</v>
      </c>
      <c r="G4906" s="37">
        <v>6.3</v>
      </c>
      <c r="H4906" s="36" t="s">
        <v>229</v>
      </c>
      <c r="I4906" s="36" t="s">
        <v>1300</v>
      </c>
    </row>
    <row r="4907" spans="1:9" x14ac:dyDescent="0.2">
      <c r="A4907" s="38" t="s">
        <v>394</v>
      </c>
      <c r="B4907" s="28">
        <v>9821</v>
      </c>
      <c r="C4907" s="28" t="s">
        <v>35</v>
      </c>
      <c r="D4907" s="46" t="s">
        <v>38</v>
      </c>
      <c r="E4907" s="35">
        <v>46173</v>
      </c>
      <c r="F4907" s="49">
        <v>0.72458333333333336</v>
      </c>
      <c r="G4907" s="37">
        <v>6.3</v>
      </c>
      <c r="H4907" s="36" t="s">
        <v>230</v>
      </c>
      <c r="I4907" s="36" t="s">
        <v>1300</v>
      </c>
    </row>
    <row r="4908" spans="1:9" x14ac:dyDescent="0.2">
      <c r="A4908" s="38" t="s">
        <v>394</v>
      </c>
      <c r="B4908" s="28">
        <v>9821</v>
      </c>
      <c r="C4908" s="28" t="s">
        <v>35</v>
      </c>
      <c r="D4908" s="46" t="s">
        <v>38</v>
      </c>
      <c r="E4908" s="35">
        <v>46173</v>
      </c>
      <c r="F4908" s="49">
        <v>0.7301157407407407</v>
      </c>
      <c r="G4908" s="37">
        <v>6.3</v>
      </c>
      <c r="H4908" s="36" t="s">
        <v>227</v>
      </c>
      <c r="I4908" s="36" t="s">
        <v>1300</v>
      </c>
    </row>
    <row r="4909" spans="1:9" x14ac:dyDescent="0.2">
      <c r="A4909" s="38" t="s">
        <v>481</v>
      </c>
      <c r="B4909" s="28">
        <v>9834</v>
      </c>
      <c r="C4909" s="28">
        <v>5683163</v>
      </c>
      <c r="D4909" s="46"/>
      <c r="E4909" s="35">
        <v>46167</v>
      </c>
      <c r="F4909" s="49">
        <v>0.25059027777777776</v>
      </c>
      <c r="G4909" s="37">
        <v>6.3</v>
      </c>
      <c r="H4909" s="36" t="s">
        <v>230</v>
      </c>
      <c r="I4909" s="36" t="s">
        <v>1300</v>
      </c>
    </row>
    <row r="4910" spans="1:9" x14ac:dyDescent="0.2">
      <c r="A4910" s="38" t="s">
        <v>481</v>
      </c>
      <c r="B4910" s="28">
        <v>9834</v>
      </c>
      <c r="C4910" s="28">
        <v>5683163</v>
      </c>
      <c r="D4910" s="46"/>
      <c r="E4910" s="35">
        <v>46167</v>
      </c>
      <c r="F4910" s="49">
        <v>0.2562962962962963</v>
      </c>
      <c r="G4910" s="37">
        <v>6.3</v>
      </c>
      <c r="H4910" s="36" t="s">
        <v>227</v>
      </c>
      <c r="I4910" s="36" t="s">
        <v>1300</v>
      </c>
    </row>
    <row r="4911" spans="1:9" x14ac:dyDescent="0.2">
      <c r="A4911" s="38" t="s">
        <v>481</v>
      </c>
      <c r="B4911" s="28">
        <v>9834</v>
      </c>
      <c r="C4911" s="28">
        <v>5684576</v>
      </c>
      <c r="D4911" s="46" t="s">
        <v>37</v>
      </c>
      <c r="E4911" s="35">
        <v>46167</v>
      </c>
      <c r="F4911" s="49">
        <v>0.36890046296296297</v>
      </c>
      <c r="G4911" s="37">
        <v>6.3</v>
      </c>
      <c r="H4911" s="36" t="s">
        <v>228</v>
      </c>
      <c r="I4911" s="36" t="s">
        <v>1300</v>
      </c>
    </row>
    <row r="4912" spans="1:9" x14ac:dyDescent="0.2">
      <c r="A4912" s="38" t="s">
        <v>481</v>
      </c>
      <c r="B4912" s="28">
        <v>9834</v>
      </c>
      <c r="C4912" s="28">
        <v>5684576</v>
      </c>
      <c r="D4912" s="46" t="s">
        <v>37</v>
      </c>
      <c r="E4912" s="35">
        <v>46167</v>
      </c>
      <c r="F4912" s="49">
        <v>0.3871412037037037</v>
      </c>
      <c r="G4912" s="37">
        <v>6.3</v>
      </c>
      <c r="H4912" s="36" t="s">
        <v>229</v>
      </c>
      <c r="I4912" s="36" t="s">
        <v>1300</v>
      </c>
    </row>
    <row r="4913" spans="1:9" x14ac:dyDescent="0.2">
      <c r="A4913" s="38" t="s">
        <v>481</v>
      </c>
      <c r="B4913" s="28">
        <v>9834</v>
      </c>
      <c r="C4913" s="28" t="s">
        <v>1284</v>
      </c>
      <c r="D4913" s="46"/>
      <c r="E4913" s="35">
        <v>46167</v>
      </c>
      <c r="F4913" s="49">
        <v>0.69884259259259263</v>
      </c>
      <c r="G4913" s="37">
        <v>6.3</v>
      </c>
      <c r="H4913" s="36" t="s">
        <v>228</v>
      </c>
      <c r="I4913" s="36" t="s">
        <v>1300</v>
      </c>
    </row>
    <row r="4914" spans="1:9" x14ac:dyDescent="0.2">
      <c r="A4914" s="38" t="s">
        <v>481</v>
      </c>
      <c r="B4914" s="28">
        <v>9834</v>
      </c>
      <c r="C4914" s="28" t="s">
        <v>1284</v>
      </c>
      <c r="D4914" s="46"/>
      <c r="E4914" s="35">
        <v>46167</v>
      </c>
      <c r="F4914" s="49">
        <v>0.71178240740740739</v>
      </c>
      <c r="G4914" s="37">
        <v>6.3</v>
      </c>
      <c r="H4914" s="36" t="s">
        <v>229</v>
      </c>
      <c r="I4914" s="36" t="s">
        <v>1300</v>
      </c>
    </row>
    <row r="4915" spans="1:9" x14ac:dyDescent="0.2">
      <c r="A4915" s="38" t="s">
        <v>481</v>
      </c>
      <c r="B4915" s="28">
        <v>9834</v>
      </c>
      <c r="C4915" s="28" t="s">
        <v>35</v>
      </c>
      <c r="D4915" s="46" t="s">
        <v>38</v>
      </c>
      <c r="E4915" s="35">
        <v>46167</v>
      </c>
      <c r="F4915" s="49">
        <v>0.7288310185185185</v>
      </c>
      <c r="G4915" s="37">
        <v>6.3</v>
      </c>
      <c r="H4915" s="36" t="s">
        <v>230</v>
      </c>
      <c r="I4915" s="36" t="s">
        <v>1300</v>
      </c>
    </row>
    <row r="4916" spans="1:9" x14ac:dyDescent="0.2">
      <c r="A4916" s="38" t="s">
        <v>481</v>
      </c>
      <c r="B4916" s="28">
        <v>9834</v>
      </c>
      <c r="C4916" s="28" t="s">
        <v>35</v>
      </c>
      <c r="D4916" s="46" t="s">
        <v>38</v>
      </c>
      <c r="E4916" s="35">
        <v>46167</v>
      </c>
      <c r="F4916" s="49">
        <v>0.7384722222222222</v>
      </c>
      <c r="G4916" s="37">
        <v>6.3</v>
      </c>
      <c r="H4916" s="36" t="s">
        <v>227</v>
      </c>
      <c r="I4916" s="36" t="s">
        <v>1300</v>
      </c>
    </row>
    <row r="4917" spans="1:9" x14ac:dyDescent="0.2">
      <c r="A4917" s="38" t="s">
        <v>481</v>
      </c>
      <c r="B4917" s="28">
        <v>9834</v>
      </c>
      <c r="C4917" s="28" t="s">
        <v>35</v>
      </c>
      <c r="D4917" s="46" t="s">
        <v>38</v>
      </c>
      <c r="E4917" s="35">
        <v>46168</v>
      </c>
      <c r="F4917" s="49">
        <v>0.45450231481481479</v>
      </c>
      <c r="G4917" s="37">
        <v>6.3</v>
      </c>
      <c r="H4917" s="36" t="s">
        <v>227</v>
      </c>
      <c r="I4917" s="36" t="s">
        <v>1300</v>
      </c>
    </row>
    <row r="4918" spans="1:9" x14ac:dyDescent="0.2">
      <c r="A4918" s="38" t="s">
        <v>481</v>
      </c>
      <c r="B4918" s="28">
        <v>9834</v>
      </c>
      <c r="C4918" s="28">
        <v>5688058</v>
      </c>
      <c r="D4918" s="46" t="s">
        <v>37</v>
      </c>
      <c r="E4918" s="35">
        <v>46168</v>
      </c>
      <c r="F4918" s="49">
        <v>0.63798611111111114</v>
      </c>
      <c r="G4918" s="37">
        <v>6.3</v>
      </c>
      <c r="H4918" s="36" t="s">
        <v>228</v>
      </c>
      <c r="I4918" s="36" t="s">
        <v>1300</v>
      </c>
    </row>
    <row r="4919" spans="1:9" x14ac:dyDescent="0.2">
      <c r="A4919" s="38" t="s">
        <v>481</v>
      </c>
      <c r="B4919" s="28">
        <v>9834</v>
      </c>
      <c r="C4919" s="28">
        <v>5688058</v>
      </c>
      <c r="D4919" s="46" t="s">
        <v>37</v>
      </c>
      <c r="E4919" s="35">
        <v>46168</v>
      </c>
      <c r="F4919" s="49">
        <v>0.64837962962962958</v>
      </c>
      <c r="G4919" s="37">
        <v>6.3</v>
      </c>
      <c r="H4919" s="36" t="s">
        <v>229</v>
      </c>
      <c r="I4919" s="36" t="s">
        <v>1300</v>
      </c>
    </row>
    <row r="4920" spans="1:9" x14ac:dyDescent="0.2">
      <c r="A4920" s="38" t="s">
        <v>481</v>
      </c>
      <c r="B4920" s="28">
        <v>9834</v>
      </c>
      <c r="C4920" s="28">
        <v>5688905</v>
      </c>
      <c r="D4920" s="46" t="s">
        <v>36</v>
      </c>
      <c r="E4920" s="35">
        <v>46169</v>
      </c>
      <c r="F4920" s="49">
        <v>0.29572916666666665</v>
      </c>
      <c r="G4920" s="37">
        <v>6.3</v>
      </c>
      <c r="H4920" s="36" t="s">
        <v>227</v>
      </c>
      <c r="I4920" s="36" t="s">
        <v>1300</v>
      </c>
    </row>
    <row r="4921" spans="1:9" x14ac:dyDescent="0.2">
      <c r="A4921" s="38" t="s">
        <v>481</v>
      </c>
      <c r="B4921" s="28">
        <v>9834</v>
      </c>
      <c r="C4921" s="28">
        <v>5689342</v>
      </c>
      <c r="D4921" s="46"/>
      <c r="E4921" s="35">
        <v>46169</v>
      </c>
      <c r="F4921" s="49">
        <v>0.41137731481481482</v>
      </c>
      <c r="G4921" s="37">
        <v>6.3</v>
      </c>
      <c r="H4921" s="36" t="s">
        <v>228</v>
      </c>
      <c r="I4921" s="36" t="s">
        <v>1300</v>
      </c>
    </row>
    <row r="4922" spans="1:9" x14ac:dyDescent="0.2">
      <c r="A4922" s="38" t="s">
        <v>481</v>
      </c>
      <c r="B4922" s="28">
        <v>9834</v>
      </c>
      <c r="C4922" s="28">
        <v>5689342</v>
      </c>
      <c r="D4922" s="46"/>
      <c r="E4922" s="35">
        <v>46169</v>
      </c>
      <c r="F4922" s="49">
        <v>0.42409722222222224</v>
      </c>
      <c r="G4922" s="37">
        <v>6.3</v>
      </c>
      <c r="H4922" s="36" t="s">
        <v>229</v>
      </c>
      <c r="I4922" s="36" t="s">
        <v>1300</v>
      </c>
    </row>
    <row r="4923" spans="1:9" x14ac:dyDescent="0.2">
      <c r="A4923" s="38" t="s">
        <v>481</v>
      </c>
      <c r="B4923" s="28">
        <v>9834</v>
      </c>
      <c r="C4923" s="28">
        <v>5689307</v>
      </c>
      <c r="D4923" s="46"/>
      <c r="E4923" s="35">
        <v>46169</v>
      </c>
      <c r="F4923" s="49">
        <v>0.56097222222222221</v>
      </c>
      <c r="G4923" s="37">
        <v>6.3</v>
      </c>
      <c r="H4923" s="36" t="s">
        <v>228</v>
      </c>
      <c r="I4923" s="36" t="s">
        <v>1300</v>
      </c>
    </row>
    <row r="4924" spans="1:9" x14ac:dyDescent="0.2">
      <c r="A4924" s="38" t="s">
        <v>481</v>
      </c>
      <c r="B4924" s="28">
        <v>9834</v>
      </c>
      <c r="C4924" s="28">
        <v>5689307</v>
      </c>
      <c r="D4924" s="46"/>
      <c r="E4924" s="35">
        <v>46169</v>
      </c>
      <c r="F4924" s="49">
        <v>0.56965277777777779</v>
      </c>
      <c r="G4924" s="37">
        <v>6.3</v>
      </c>
      <c r="H4924" s="36" t="s">
        <v>229</v>
      </c>
      <c r="I4924" s="36" t="s">
        <v>1300</v>
      </c>
    </row>
    <row r="4925" spans="1:9" x14ac:dyDescent="0.2">
      <c r="A4925" s="38" t="s">
        <v>481</v>
      </c>
      <c r="B4925" s="28">
        <v>9834</v>
      </c>
      <c r="C4925" s="28">
        <v>5687609</v>
      </c>
      <c r="D4925" s="46"/>
      <c r="E4925" s="35">
        <v>46169</v>
      </c>
      <c r="F4925" s="49">
        <v>0.64291666666666669</v>
      </c>
      <c r="G4925" s="37">
        <v>6.3</v>
      </c>
      <c r="H4925" s="36" t="s">
        <v>226</v>
      </c>
      <c r="I4925" s="36" t="s">
        <v>1300</v>
      </c>
    </row>
    <row r="4926" spans="1:9" x14ac:dyDescent="0.2">
      <c r="A4926" s="38" t="s">
        <v>481</v>
      </c>
      <c r="B4926" s="28">
        <v>9834</v>
      </c>
      <c r="C4926" s="28">
        <v>5687609</v>
      </c>
      <c r="D4926" s="46"/>
      <c r="E4926" s="35">
        <v>46169</v>
      </c>
      <c r="F4926" s="49">
        <v>0.64915509259259263</v>
      </c>
      <c r="G4926" s="37">
        <v>6.3</v>
      </c>
      <c r="H4926" s="36" t="s">
        <v>227</v>
      </c>
      <c r="I4926" s="36" t="s">
        <v>1300</v>
      </c>
    </row>
    <row r="4927" spans="1:9" x14ac:dyDescent="0.2">
      <c r="A4927" s="38" t="s">
        <v>481</v>
      </c>
      <c r="B4927" s="28">
        <v>9834</v>
      </c>
      <c r="C4927" s="28" t="s">
        <v>1285</v>
      </c>
      <c r="D4927" s="46"/>
      <c r="E4927" s="35">
        <v>46169</v>
      </c>
      <c r="F4927" s="49">
        <v>0.71006944444444442</v>
      </c>
      <c r="G4927" s="37">
        <v>6.3</v>
      </c>
      <c r="H4927" s="36" t="s">
        <v>228</v>
      </c>
      <c r="I4927" s="36" t="s">
        <v>1300</v>
      </c>
    </row>
    <row r="4928" spans="1:9" x14ac:dyDescent="0.2">
      <c r="A4928" s="38" t="s">
        <v>481</v>
      </c>
      <c r="B4928" s="28">
        <v>9834</v>
      </c>
      <c r="C4928" s="28">
        <v>5690870</v>
      </c>
      <c r="D4928" s="46"/>
      <c r="E4928" s="35">
        <v>46170</v>
      </c>
      <c r="F4928" s="49">
        <v>0.25976851851851851</v>
      </c>
      <c r="G4928" s="37">
        <v>6.3</v>
      </c>
      <c r="H4928" s="36" t="s">
        <v>230</v>
      </c>
      <c r="I4928" s="36" t="s">
        <v>1300</v>
      </c>
    </row>
    <row r="4929" spans="1:9" x14ac:dyDescent="0.2">
      <c r="A4929" s="38" t="s">
        <v>481</v>
      </c>
      <c r="B4929" s="28">
        <v>9834</v>
      </c>
      <c r="C4929" s="28">
        <v>5690870</v>
      </c>
      <c r="D4929" s="46"/>
      <c r="E4929" s="35">
        <v>46170</v>
      </c>
      <c r="F4929" s="49">
        <v>0.26577546296296295</v>
      </c>
      <c r="G4929" s="37">
        <v>6.3</v>
      </c>
      <c r="H4929" s="36" t="s">
        <v>227</v>
      </c>
      <c r="I4929" s="36" t="s">
        <v>1300</v>
      </c>
    </row>
    <row r="4930" spans="1:9" x14ac:dyDescent="0.2">
      <c r="A4930" s="38" t="s">
        <v>481</v>
      </c>
      <c r="B4930" s="28">
        <v>9834</v>
      </c>
      <c r="C4930" s="28">
        <v>5694382</v>
      </c>
      <c r="D4930" s="46"/>
      <c r="E4930" s="35">
        <v>46172</v>
      </c>
      <c r="F4930" s="49">
        <v>0.29317129629629629</v>
      </c>
      <c r="G4930" s="37">
        <v>6.3</v>
      </c>
      <c r="H4930" s="36" t="s">
        <v>230</v>
      </c>
      <c r="I4930" s="36" t="s">
        <v>1300</v>
      </c>
    </row>
    <row r="4931" spans="1:9" x14ac:dyDescent="0.2">
      <c r="A4931" s="38" t="s">
        <v>481</v>
      </c>
      <c r="B4931" s="28">
        <v>9834</v>
      </c>
      <c r="C4931" s="28">
        <v>5694382</v>
      </c>
      <c r="D4931" s="46"/>
      <c r="E4931" s="35">
        <v>46172</v>
      </c>
      <c r="F4931" s="49">
        <v>0.29849537037037038</v>
      </c>
      <c r="G4931" s="37">
        <v>6.3</v>
      </c>
      <c r="H4931" s="36" t="s">
        <v>227</v>
      </c>
      <c r="I4931" s="36" t="s">
        <v>1300</v>
      </c>
    </row>
    <row r="4932" spans="1:9" x14ac:dyDescent="0.2">
      <c r="A4932" s="38" t="s">
        <v>481</v>
      </c>
      <c r="B4932" s="28">
        <v>9834</v>
      </c>
      <c r="C4932" s="28">
        <v>5694842</v>
      </c>
      <c r="D4932" s="46"/>
      <c r="E4932" s="35">
        <v>46172</v>
      </c>
      <c r="F4932" s="49">
        <v>0.640625</v>
      </c>
      <c r="G4932" s="37">
        <v>6.3</v>
      </c>
      <c r="H4932" s="36" t="s">
        <v>228</v>
      </c>
      <c r="I4932" s="36" t="s">
        <v>1300</v>
      </c>
    </row>
    <row r="4933" spans="1:9" x14ac:dyDescent="0.2">
      <c r="A4933" s="38" t="s">
        <v>481</v>
      </c>
      <c r="B4933" s="28">
        <v>9834</v>
      </c>
      <c r="C4933" s="28">
        <v>5694842</v>
      </c>
      <c r="D4933" s="46"/>
      <c r="E4933" s="35">
        <v>46172</v>
      </c>
      <c r="F4933" s="49">
        <v>0.6509490740740741</v>
      </c>
      <c r="G4933" s="37">
        <v>6.3</v>
      </c>
      <c r="H4933" s="36" t="s">
        <v>232</v>
      </c>
      <c r="I4933" s="36" t="s">
        <v>1300</v>
      </c>
    </row>
    <row r="4934" spans="1:9" x14ac:dyDescent="0.2">
      <c r="A4934" s="38" t="s">
        <v>481</v>
      </c>
      <c r="B4934" s="28">
        <v>9834</v>
      </c>
      <c r="C4934" s="28">
        <v>5694924</v>
      </c>
      <c r="D4934" s="46"/>
      <c r="E4934" s="35">
        <v>46172</v>
      </c>
      <c r="F4934" s="49">
        <v>0.82365740740740745</v>
      </c>
      <c r="G4934" s="37">
        <v>6.3</v>
      </c>
      <c r="H4934" s="36" t="s">
        <v>230</v>
      </c>
      <c r="I4934" s="36" t="s">
        <v>1300</v>
      </c>
    </row>
    <row r="4935" spans="1:9" x14ac:dyDescent="0.2">
      <c r="A4935" s="38" t="s">
        <v>481</v>
      </c>
      <c r="B4935" s="28">
        <v>9834</v>
      </c>
      <c r="C4935" s="28">
        <v>5694924</v>
      </c>
      <c r="D4935" s="46"/>
      <c r="E4935" s="35">
        <v>46172</v>
      </c>
      <c r="F4935" s="49">
        <v>0.83004629629629634</v>
      </c>
      <c r="G4935" s="37">
        <v>6.3</v>
      </c>
      <c r="H4935" s="36" t="s">
        <v>227</v>
      </c>
      <c r="I4935" s="36" t="s">
        <v>1300</v>
      </c>
    </row>
    <row r="4936" spans="1:9" x14ac:dyDescent="0.2">
      <c r="A4936" s="38" t="s">
        <v>481</v>
      </c>
      <c r="B4936" s="28">
        <v>9834</v>
      </c>
      <c r="C4936" s="28">
        <v>5695017</v>
      </c>
      <c r="D4936" s="46"/>
      <c r="E4936" s="35">
        <v>46172</v>
      </c>
      <c r="F4936" s="49">
        <v>0.89569444444444446</v>
      </c>
      <c r="G4936" s="37">
        <v>6.3</v>
      </c>
      <c r="H4936" s="36" t="s">
        <v>228</v>
      </c>
      <c r="I4936" s="36" t="s">
        <v>1300</v>
      </c>
    </row>
    <row r="4937" spans="1:9" x14ac:dyDescent="0.2">
      <c r="A4937" s="38" t="s">
        <v>481</v>
      </c>
      <c r="B4937" s="28">
        <v>9834</v>
      </c>
      <c r="C4937" s="28">
        <v>5695017</v>
      </c>
      <c r="D4937" s="46"/>
      <c r="E4937" s="35">
        <v>46172</v>
      </c>
      <c r="F4937" s="49">
        <v>0.9034375</v>
      </c>
      <c r="G4937" s="37">
        <v>6.3</v>
      </c>
      <c r="H4937" s="36" t="s">
        <v>229</v>
      </c>
      <c r="I4937" s="36" t="s">
        <v>1300</v>
      </c>
    </row>
    <row r="4938" spans="1:9" x14ac:dyDescent="0.2">
      <c r="A4938" s="38" t="s">
        <v>481</v>
      </c>
      <c r="B4938" s="28">
        <v>9834</v>
      </c>
      <c r="C4938" s="28">
        <v>5695315</v>
      </c>
      <c r="D4938" s="46"/>
      <c r="E4938" s="35">
        <v>46173</v>
      </c>
      <c r="F4938" s="49">
        <v>0.2953587962962963</v>
      </c>
      <c r="G4938" s="37">
        <v>6.3</v>
      </c>
      <c r="H4938" s="36" t="s">
        <v>230</v>
      </c>
      <c r="I4938" s="36" t="s">
        <v>1300</v>
      </c>
    </row>
    <row r="4939" spans="1:9" x14ac:dyDescent="0.2">
      <c r="A4939" s="38" t="s">
        <v>481</v>
      </c>
      <c r="B4939" s="28">
        <v>9834</v>
      </c>
      <c r="C4939" s="28">
        <v>5695315</v>
      </c>
      <c r="D4939" s="46"/>
      <c r="E4939" s="35">
        <v>46173</v>
      </c>
      <c r="F4939" s="49">
        <v>0.30037037037037034</v>
      </c>
      <c r="G4939" s="37">
        <v>6.3</v>
      </c>
      <c r="H4939" s="36" t="s">
        <v>227</v>
      </c>
      <c r="I4939" s="36" t="s">
        <v>1300</v>
      </c>
    </row>
    <row r="4940" spans="1:9" x14ac:dyDescent="0.2">
      <c r="A4940" s="38" t="s">
        <v>262</v>
      </c>
      <c r="B4940" s="28">
        <v>9837</v>
      </c>
      <c r="C4940" s="28" t="s">
        <v>1286</v>
      </c>
      <c r="D4940" s="46"/>
      <c r="E4940" s="35">
        <v>46167</v>
      </c>
      <c r="F4940" s="49">
        <v>0.78483796296296293</v>
      </c>
      <c r="G4940" s="37">
        <v>6.3</v>
      </c>
      <c r="H4940" s="36" t="s">
        <v>228</v>
      </c>
      <c r="I4940" s="36" t="s">
        <v>1300</v>
      </c>
    </row>
    <row r="4941" spans="1:9" x14ac:dyDescent="0.2">
      <c r="A4941" s="38" t="s">
        <v>262</v>
      </c>
      <c r="B4941" s="28">
        <v>9837</v>
      </c>
      <c r="C4941" s="28" t="s">
        <v>1286</v>
      </c>
      <c r="D4941" s="46"/>
      <c r="E4941" s="35">
        <v>46167</v>
      </c>
      <c r="F4941" s="49">
        <v>0.79402777777777778</v>
      </c>
      <c r="G4941" s="37">
        <v>6.3</v>
      </c>
      <c r="H4941" s="36" t="s">
        <v>229</v>
      </c>
      <c r="I4941" s="36" t="s">
        <v>1300</v>
      </c>
    </row>
    <row r="4942" spans="1:9" x14ac:dyDescent="0.2">
      <c r="A4942" s="38" t="s">
        <v>262</v>
      </c>
      <c r="B4942" s="28">
        <v>9837</v>
      </c>
      <c r="C4942" s="28">
        <v>5688904</v>
      </c>
      <c r="D4942" s="46"/>
      <c r="E4942" s="35">
        <v>46169</v>
      </c>
      <c r="F4942" s="49">
        <v>0.29562500000000003</v>
      </c>
      <c r="G4942" s="37">
        <v>6.3</v>
      </c>
      <c r="H4942" s="36" t="s">
        <v>230</v>
      </c>
      <c r="I4942" s="36" t="s">
        <v>1300</v>
      </c>
    </row>
    <row r="4943" spans="1:9" x14ac:dyDescent="0.2">
      <c r="A4943" s="38" t="s">
        <v>262</v>
      </c>
      <c r="B4943" s="28">
        <v>9837</v>
      </c>
      <c r="C4943" s="28">
        <v>5688904</v>
      </c>
      <c r="D4943" s="46"/>
      <c r="E4943" s="35">
        <v>46169</v>
      </c>
      <c r="F4943" s="49">
        <v>0.30313657407407407</v>
      </c>
      <c r="G4943" s="37">
        <v>6.3</v>
      </c>
      <c r="H4943" s="36" t="s">
        <v>227</v>
      </c>
      <c r="I4943" s="36" t="s">
        <v>1300</v>
      </c>
    </row>
    <row r="4944" spans="1:9" x14ac:dyDescent="0.2">
      <c r="A4944" s="38" t="s">
        <v>262</v>
      </c>
      <c r="B4944" s="28">
        <v>9837</v>
      </c>
      <c r="C4944" s="28">
        <v>5691423</v>
      </c>
      <c r="D4944" s="46"/>
      <c r="E4944" s="35">
        <v>46170</v>
      </c>
      <c r="F4944" s="49">
        <v>0.66927083333333337</v>
      </c>
      <c r="G4944" s="37">
        <v>6.3</v>
      </c>
      <c r="H4944" s="36" t="s">
        <v>228</v>
      </c>
      <c r="I4944" s="36" t="s">
        <v>1300</v>
      </c>
    </row>
    <row r="4945" spans="1:9" x14ac:dyDescent="0.2">
      <c r="A4945" s="38" t="s">
        <v>262</v>
      </c>
      <c r="B4945" s="28">
        <v>9837</v>
      </c>
      <c r="C4945" s="28">
        <v>5691423</v>
      </c>
      <c r="D4945" s="46"/>
      <c r="E4945" s="35">
        <v>46170</v>
      </c>
      <c r="F4945" s="49">
        <v>0.67912037037037032</v>
      </c>
      <c r="G4945" s="37">
        <v>6.3</v>
      </c>
      <c r="H4945" s="36" t="s">
        <v>233</v>
      </c>
      <c r="I4945" s="36" t="s">
        <v>1300</v>
      </c>
    </row>
    <row r="4946" spans="1:9" x14ac:dyDescent="0.2">
      <c r="A4946" s="38" t="s">
        <v>225</v>
      </c>
      <c r="B4946" s="28">
        <v>9883</v>
      </c>
      <c r="C4946" s="28" t="s">
        <v>35</v>
      </c>
      <c r="D4946" s="46" t="s">
        <v>38</v>
      </c>
      <c r="E4946" s="35">
        <v>46167</v>
      </c>
      <c r="F4946" s="49">
        <v>0.37116898148148147</v>
      </c>
      <c r="G4946" s="37">
        <v>6.3</v>
      </c>
      <c r="H4946" s="36" t="s">
        <v>232</v>
      </c>
      <c r="I4946" s="36" t="s">
        <v>1300</v>
      </c>
    </row>
    <row r="4947" spans="1:9" x14ac:dyDescent="0.2">
      <c r="A4947" s="38" t="s">
        <v>225</v>
      </c>
      <c r="B4947" s="28">
        <v>9883</v>
      </c>
      <c r="C4947" s="28">
        <v>5685554</v>
      </c>
      <c r="D4947" s="46"/>
      <c r="E4947" s="35">
        <v>46167</v>
      </c>
      <c r="F4947" s="49">
        <v>0.38927083333333334</v>
      </c>
      <c r="G4947" s="37">
        <v>6.3</v>
      </c>
      <c r="H4947" s="36" t="s">
        <v>231</v>
      </c>
      <c r="I4947" s="36" t="s">
        <v>1300</v>
      </c>
    </row>
    <row r="4948" spans="1:9" x14ac:dyDescent="0.2">
      <c r="A4948" s="38" t="s">
        <v>225</v>
      </c>
      <c r="B4948" s="28">
        <v>9883</v>
      </c>
      <c r="C4948" s="28">
        <v>5685554</v>
      </c>
      <c r="D4948" s="46"/>
      <c r="E4948" s="35">
        <v>46167</v>
      </c>
      <c r="F4948" s="49">
        <v>0.39628472222222222</v>
      </c>
      <c r="G4948" s="37">
        <v>6.3</v>
      </c>
      <c r="H4948" s="36" t="s">
        <v>227</v>
      </c>
      <c r="I4948" s="36" t="s">
        <v>1300</v>
      </c>
    </row>
    <row r="4949" spans="1:9" x14ac:dyDescent="0.2">
      <c r="A4949" s="38" t="s">
        <v>225</v>
      </c>
      <c r="B4949" s="28">
        <v>9883</v>
      </c>
      <c r="C4949" s="28" t="s">
        <v>35</v>
      </c>
      <c r="D4949" s="46" t="s">
        <v>38</v>
      </c>
      <c r="E4949" s="35">
        <v>46168</v>
      </c>
      <c r="F4949" s="49">
        <v>0.72218749999999998</v>
      </c>
      <c r="G4949" s="37">
        <v>6.3</v>
      </c>
      <c r="H4949" s="36" t="s">
        <v>231</v>
      </c>
      <c r="I4949" s="36" t="s">
        <v>1300</v>
      </c>
    </row>
    <row r="4950" spans="1:9" x14ac:dyDescent="0.2">
      <c r="A4950" s="38" t="s">
        <v>225</v>
      </c>
      <c r="B4950" s="28">
        <v>9883</v>
      </c>
      <c r="C4950" s="28">
        <v>5686125</v>
      </c>
      <c r="D4950" s="46"/>
      <c r="E4950" s="35">
        <v>46168</v>
      </c>
      <c r="F4950" s="49">
        <v>0.88760416666666664</v>
      </c>
      <c r="G4950" s="37">
        <v>6.3</v>
      </c>
      <c r="H4950" s="36" t="s">
        <v>228</v>
      </c>
      <c r="I4950" s="36" t="s">
        <v>1300</v>
      </c>
    </row>
    <row r="4951" spans="1:9" x14ac:dyDescent="0.2">
      <c r="A4951" s="38" t="s">
        <v>225</v>
      </c>
      <c r="B4951" s="28">
        <v>9883</v>
      </c>
      <c r="C4951" s="28">
        <v>5686125</v>
      </c>
      <c r="D4951" s="46"/>
      <c r="E4951" s="35">
        <v>46168</v>
      </c>
      <c r="F4951" s="49">
        <v>0.89482638888888888</v>
      </c>
      <c r="G4951" s="37">
        <v>6.3</v>
      </c>
      <c r="H4951" s="36" t="s">
        <v>232</v>
      </c>
      <c r="I4951" s="36" t="s">
        <v>1300</v>
      </c>
    </row>
    <row r="4952" spans="1:9" x14ac:dyDescent="0.2">
      <c r="A4952" s="38" t="s">
        <v>225</v>
      </c>
      <c r="B4952" s="28">
        <v>9883</v>
      </c>
      <c r="C4952" s="28" t="s">
        <v>35</v>
      </c>
      <c r="D4952" s="46" t="s">
        <v>38</v>
      </c>
      <c r="E4952" s="35">
        <v>46169</v>
      </c>
      <c r="F4952" s="49">
        <v>0.19864583333333333</v>
      </c>
      <c r="G4952" s="37">
        <v>6.3</v>
      </c>
      <c r="H4952" s="36" t="s">
        <v>231</v>
      </c>
      <c r="I4952" s="36" t="s">
        <v>1300</v>
      </c>
    </row>
    <row r="4953" spans="1:9" x14ac:dyDescent="0.2">
      <c r="A4953" s="38" t="s">
        <v>225</v>
      </c>
      <c r="B4953" s="28">
        <v>9883</v>
      </c>
      <c r="C4953" s="28">
        <v>5688358</v>
      </c>
      <c r="D4953" s="46" t="s">
        <v>37</v>
      </c>
      <c r="E4953" s="35">
        <v>46169</v>
      </c>
      <c r="F4953" s="49">
        <v>0.25862268518518516</v>
      </c>
      <c r="G4953" s="37">
        <v>6.3</v>
      </c>
      <c r="H4953" s="36" t="s">
        <v>229</v>
      </c>
      <c r="I4953" s="36" t="s">
        <v>1300</v>
      </c>
    </row>
    <row r="4954" spans="1:9" x14ac:dyDescent="0.2">
      <c r="A4954" s="38" t="s">
        <v>482</v>
      </c>
      <c r="B4954" s="28">
        <v>9887</v>
      </c>
      <c r="C4954" s="28">
        <v>5690349</v>
      </c>
      <c r="D4954" s="46"/>
      <c r="E4954" s="35">
        <v>46169</v>
      </c>
      <c r="F4954" s="49">
        <v>0.8209143518518518</v>
      </c>
      <c r="G4954" s="37">
        <v>6.3</v>
      </c>
      <c r="H4954" s="36" t="s">
        <v>228</v>
      </c>
      <c r="I4954" s="36" t="s">
        <v>1300</v>
      </c>
    </row>
    <row r="4955" spans="1:9" x14ac:dyDescent="0.2">
      <c r="A4955" s="38" t="s">
        <v>482</v>
      </c>
      <c r="B4955" s="28">
        <v>9887</v>
      </c>
      <c r="C4955" s="28">
        <v>5691108</v>
      </c>
      <c r="D4955" s="46"/>
      <c r="E4955" s="35">
        <v>46170</v>
      </c>
      <c r="F4955" s="49">
        <v>0.49612268518518521</v>
      </c>
      <c r="G4955" s="37">
        <v>6.3</v>
      </c>
      <c r="H4955" s="36" t="s">
        <v>228</v>
      </c>
      <c r="I4955" s="36" t="s">
        <v>1300</v>
      </c>
    </row>
    <row r="4956" spans="1:9" x14ac:dyDescent="0.2">
      <c r="A4956" s="38" t="s">
        <v>482</v>
      </c>
      <c r="B4956" s="28">
        <v>9887</v>
      </c>
      <c r="C4956" s="28">
        <v>5691108</v>
      </c>
      <c r="D4956" s="46"/>
      <c r="E4956" s="35">
        <v>46170</v>
      </c>
      <c r="F4956" s="49">
        <v>0.50596064814814812</v>
      </c>
      <c r="G4956" s="37">
        <v>6.3</v>
      </c>
      <c r="H4956" s="36" t="s">
        <v>229</v>
      </c>
      <c r="I4956" s="36" t="s">
        <v>1300</v>
      </c>
    </row>
    <row r="4957" spans="1:9" x14ac:dyDescent="0.2">
      <c r="A4957" s="38" t="s">
        <v>482</v>
      </c>
      <c r="B4957" s="28">
        <v>9887</v>
      </c>
      <c r="C4957" s="28">
        <v>5691286</v>
      </c>
      <c r="D4957" s="46"/>
      <c r="E4957" s="35">
        <v>46170</v>
      </c>
      <c r="F4957" s="49">
        <v>0.8074189814814815</v>
      </c>
      <c r="G4957" s="37">
        <v>6.3</v>
      </c>
      <c r="H4957" s="36" t="s">
        <v>228</v>
      </c>
      <c r="I4957" s="36" t="s">
        <v>1300</v>
      </c>
    </row>
    <row r="4958" spans="1:9" x14ac:dyDescent="0.2">
      <c r="A4958" s="38" t="s">
        <v>482</v>
      </c>
      <c r="B4958" s="28">
        <v>9887</v>
      </c>
      <c r="C4958" s="28">
        <v>5691286</v>
      </c>
      <c r="D4958" s="46"/>
      <c r="E4958" s="35">
        <v>46170</v>
      </c>
      <c r="F4958" s="49">
        <v>0.81726851851851856</v>
      </c>
      <c r="G4958" s="37">
        <v>6.3</v>
      </c>
      <c r="H4958" s="36" t="s">
        <v>229</v>
      </c>
      <c r="I4958" s="36" t="s">
        <v>1300</v>
      </c>
    </row>
    <row r="4959" spans="1:9" x14ac:dyDescent="0.2">
      <c r="A4959" s="38" t="s">
        <v>482</v>
      </c>
      <c r="B4959" s="28">
        <v>9887</v>
      </c>
      <c r="C4959" s="28">
        <v>5692380</v>
      </c>
      <c r="D4959" s="46"/>
      <c r="E4959" s="35">
        <v>46170</v>
      </c>
      <c r="F4959" s="49">
        <v>0.94226851851851856</v>
      </c>
      <c r="G4959" s="37">
        <v>6.3</v>
      </c>
      <c r="H4959" s="36" t="s">
        <v>228</v>
      </c>
      <c r="I4959" s="36" t="s">
        <v>1300</v>
      </c>
    </row>
    <row r="4960" spans="1:9" x14ac:dyDescent="0.2">
      <c r="A4960" s="38" t="s">
        <v>482</v>
      </c>
      <c r="B4960" s="28">
        <v>9887</v>
      </c>
      <c r="C4960" s="28">
        <v>5692380</v>
      </c>
      <c r="D4960" s="46"/>
      <c r="E4960" s="35">
        <v>46170</v>
      </c>
      <c r="F4960" s="49">
        <v>0.94986111111111116</v>
      </c>
      <c r="G4960" s="37">
        <v>6.3</v>
      </c>
      <c r="H4960" s="36" t="s">
        <v>229</v>
      </c>
      <c r="I4960" s="36" t="s">
        <v>1300</v>
      </c>
    </row>
    <row r="4961" spans="1:9" x14ac:dyDescent="0.2">
      <c r="A4961" s="38" t="s">
        <v>482</v>
      </c>
      <c r="B4961" s="28">
        <v>9887</v>
      </c>
      <c r="C4961" s="28" t="s">
        <v>35</v>
      </c>
      <c r="D4961" s="46" t="s">
        <v>38</v>
      </c>
      <c r="E4961" s="35">
        <v>46170</v>
      </c>
      <c r="F4961" s="49">
        <v>0.98451388888888891</v>
      </c>
      <c r="G4961" s="37">
        <v>6.3</v>
      </c>
      <c r="H4961" s="36" t="s">
        <v>230</v>
      </c>
      <c r="I4961" s="36" t="s">
        <v>1300</v>
      </c>
    </row>
    <row r="4962" spans="1:9" x14ac:dyDescent="0.2">
      <c r="A4962" s="38" t="s">
        <v>483</v>
      </c>
      <c r="B4962" s="28">
        <v>9891</v>
      </c>
      <c r="C4962" s="28" t="s">
        <v>1287</v>
      </c>
      <c r="D4962" s="46"/>
      <c r="E4962" s="35">
        <v>46169</v>
      </c>
      <c r="F4962" s="49">
        <v>0.93950231481481483</v>
      </c>
      <c r="G4962" s="37">
        <v>6.3</v>
      </c>
      <c r="H4962" s="36" t="s">
        <v>233</v>
      </c>
      <c r="I4962" s="36" t="s">
        <v>1300</v>
      </c>
    </row>
    <row r="4963" spans="1:9" x14ac:dyDescent="0.2">
      <c r="A4963" s="38" t="s">
        <v>483</v>
      </c>
      <c r="B4963" s="28">
        <v>9891</v>
      </c>
      <c r="C4963" s="28" t="s">
        <v>35</v>
      </c>
      <c r="D4963" s="46" t="s">
        <v>38</v>
      </c>
      <c r="E4963" s="35">
        <v>46169</v>
      </c>
      <c r="F4963" s="49">
        <v>0.98141203703703705</v>
      </c>
      <c r="G4963" s="37">
        <v>6.3</v>
      </c>
      <c r="H4963" s="36" t="s">
        <v>234</v>
      </c>
      <c r="I4963" s="36" t="s">
        <v>1300</v>
      </c>
    </row>
    <row r="4964" spans="1:9" x14ac:dyDescent="0.2">
      <c r="A4964" s="38" t="s">
        <v>483</v>
      </c>
      <c r="B4964" s="28">
        <v>9891</v>
      </c>
      <c r="C4964" s="28">
        <v>5690954</v>
      </c>
      <c r="D4964" s="46"/>
      <c r="E4964" s="35">
        <v>46170</v>
      </c>
      <c r="F4964" s="49">
        <v>0.39037037037037037</v>
      </c>
      <c r="G4964" s="37">
        <v>6.3</v>
      </c>
      <c r="H4964" s="36" t="s">
        <v>228</v>
      </c>
      <c r="I4964" s="36" t="s">
        <v>1300</v>
      </c>
    </row>
    <row r="4965" spans="1:9" x14ac:dyDescent="0.2">
      <c r="A4965" s="38" t="s">
        <v>483</v>
      </c>
      <c r="B4965" s="28">
        <v>9891</v>
      </c>
      <c r="C4965" s="28">
        <v>5690954</v>
      </c>
      <c r="D4965" s="46"/>
      <c r="E4965" s="35">
        <v>46170</v>
      </c>
      <c r="F4965" s="49">
        <v>0.40456018518518516</v>
      </c>
      <c r="G4965" s="37">
        <v>6.3</v>
      </c>
      <c r="H4965" s="36" t="s">
        <v>229</v>
      </c>
      <c r="I4965" s="36" t="s">
        <v>1300</v>
      </c>
    </row>
    <row r="4966" spans="1:9" x14ac:dyDescent="0.2">
      <c r="A4966" s="38" t="s">
        <v>483</v>
      </c>
      <c r="B4966" s="28">
        <v>9891</v>
      </c>
      <c r="C4966" s="28">
        <v>5691232</v>
      </c>
      <c r="D4966" s="46"/>
      <c r="E4966" s="35">
        <v>46170</v>
      </c>
      <c r="F4966" s="49">
        <v>0.5046180555555555</v>
      </c>
      <c r="G4966" s="37">
        <v>6.3</v>
      </c>
      <c r="H4966" s="36" t="s">
        <v>227</v>
      </c>
      <c r="I4966" s="36" t="s">
        <v>1300</v>
      </c>
    </row>
    <row r="4967" spans="1:9" x14ac:dyDescent="0.2">
      <c r="A4967" s="38" t="s">
        <v>483</v>
      </c>
      <c r="B4967" s="28">
        <v>9891</v>
      </c>
      <c r="C4967" s="28">
        <v>5691925</v>
      </c>
      <c r="D4967" s="46"/>
      <c r="E4967" s="35">
        <v>46170</v>
      </c>
      <c r="F4967" s="49">
        <v>0.76927083333333335</v>
      </c>
      <c r="G4967" s="37">
        <v>6.3</v>
      </c>
      <c r="H4967" s="36" t="s">
        <v>228</v>
      </c>
      <c r="I4967" s="36" t="s">
        <v>1300</v>
      </c>
    </row>
    <row r="4968" spans="1:9" x14ac:dyDescent="0.2">
      <c r="A4968" s="38" t="s">
        <v>483</v>
      </c>
      <c r="B4968" s="28">
        <v>9891</v>
      </c>
      <c r="C4968" s="28">
        <v>5691925</v>
      </c>
      <c r="D4968" s="46"/>
      <c r="E4968" s="35">
        <v>46170</v>
      </c>
      <c r="F4968" s="49">
        <v>0.78189814814814818</v>
      </c>
      <c r="G4968" s="37">
        <v>6.3</v>
      </c>
      <c r="H4968" s="36" t="s">
        <v>229</v>
      </c>
      <c r="I4968" s="36" t="s">
        <v>1300</v>
      </c>
    </row>
    <row r="4969" spans="1:9" x14ac:dyDescent="0.2">
      <c r="A4969" s="38" t="s">
        <v>483</v>
      </c>
      <c r="B4969" s="28">
        <v>9891</v>
      </c>
      <c r="C4969" s="28" t="s">
        <v>1288</v>
      </c>
      <c r="D4969" s="46"/>
      <c r="E4969" s="35">
        <v>46171</v>
      </c>
      <c r="F4969" s="49">
        <v>0.41239583333333335</v>
      </c>
      <c r="G4969" s="37">
        <v>6.3</v>
      </c>
      <c r="H4969" s="36" t="s">
        <v>228</v>
      </c>
      <c r="I4969" s="36" t="s">
        <v>1300</v>
      </c>
    </row>
    <row r="4970" spans="1:9" x14ac:dyDescent="0.2">
      <c r="A4970" s="38" t="s">
        <v>483</v>
      </c>
      <c r="B4970" s="28">
        <v>9891</v>
      </c>
      <c r="C4970" s="28" t="s">
        <v>1288</v>
      </c>
      <c r="D4970" s="46"/>
      <c r="E4970" s="35">
        <v>46171</v>
      </c>
      <c r="F4970" s="49">
        <v>0.42993055555555554</v>
      </c>
      <c r="G4970" s="37">
        <v>6.3</v>
      </c>
      <c r="H4970" s="36" t="s">
        <v>229</v>
      </c>
      <c r="I4970" s="36" t="s">
        <v>1300</v>
      </c>
    </row>
    <row r="4971" spans="1:9" x14ac:dyDescent="0.2">
      <c r="A4971" s="38" t="s">
        <v>483</v>
      </c>
      <c r="B4971" s="28">
        <v>9891</v>
      </c>
      <c r="C4971" s="28" t="s">
        <v>1289</v>
      </c>
      <c r="D4971" s="46"/>
      <c r="E4971" s="35">
        <v>46171</v>
      </c>
      <c r="F4971" s="49">
        <v>0.8692361111111111</v>
      </c>
      <c r="G4971" s="37">
        <v>6.3</v>
      </c>
      <c r="H4971" s="36" t="s">
        <v>228</v>
      </c>
      <c r="I4971" s="36" t="s">
        <v>1300</v>
      </c>
    </row>
    <row r="4972" spans="1:9" x14ac:dyDescent="0.2">
      <c r="A4972" s="38" t="s">
        <v>483</v>
      </c>
      <c r="B4972" s="28">
        <v>9891</v>
      </c>
      <c r="C4972" s="28" t="s">
        <v>1289</v>
      </c>
      <c r="D4972" s="46"/>
      <c r="E4972" s="35">
        <v>46171</v>
      </c>
      <c r="F4972" s="49">
        <v>0.87703703703703706</v>
      </c>
      <c r="G4972" s="37">
        <v>6.3</v>
      </c>
      <c r="H4972" s="36" t="s">
        <v>229</v>
      </c>
      <c r="I4972" s="36" t="s">
        <v>1300</v>
      </c>
    </row>
    <row r="4973" spans="1:9" x14ac:dyDescent="0.2">
      <c r="A4973" s="38" t="s">
        <v>483</v>
      </c>
      <c r="B4973" s="28">
        <v>9891</v>
      </c>
      <c r="C4973" s="28">
        <v>5674742</v>
      </c>
      <c r="D4973" s="46"/>
      <c r="E4973" s="35">
        <v>46172</v>
      </c>
      <c r="F4973" s="49">
        <v>0.51556712962962958</v>
      </c>
      <c r="G4973" s="37">
        <v>6.3</v>
      </c>
      <c r="H4973" s="36" t="s">
        <v>228</v>
      </c>
      <c r="I4973" s="36" t="s">
        <v>1300</v>
      </c>
    </row>
    <row r="4974" spans="1:9" x14ac:dyDescent="0.2">
      <c r="A4974" s="38" t="s">
        <v>483</v>
      </c>
      <c r="B4974" s="28">
        <v>9891</v>
      </c>
      <c r="C4974" s="28">
        <v>5674742</v>
      </c>
      <c r="D4974" s="46"/>
      <c r="E4974" s="35">
        <v>46172</v>
      </c>
      <c r="F4974" s="49">
        <v>0.52603009259259259</v>
      </c>
      <c r="G4974" s="37">
        <v>6.3</v>
      </c>
      <c r="H4974" s="36" t="s">
        <v>229</v>
      </c>
      <c r="I4974" s="36" t="s">
        <v>1300</v>
      </c>
    </row>
    <row r="4975" spans="1:9" x14ac:dyDescent="0.2">
      <c r="A4975" s="38" t="s">
        <v>484</v>
      </c>
      <c r="B4975" s="28">
        <v>9896</v>
      </c>
      <c r="C4975" s="28">
        <v>5688286</v>
      </c>
      <c r="D4975" s="46"/>
      <c r="E4975" s="35">
        <v>46169</v>
      </c>
      <c r="F4975" s="49">
        <v>0.38437500000000002</v>
      </c>
      <c r="G4975" s="37">
        <v>6.3</v>
      </c>
      <c r="H4975" s="36" t="s">
        <v>230</v>
      </c>
      <c r="I4975" s="36" t="s">
        <v>1300</v>
      </c>
    </row>
    <row r="4976" spans="1:9" x14ac:dyDescent="0.2">
      <c r="A4976" s="38" t="s">
        <v>484</v>
      </c>
      <c r="B4976" s="28">
        <v>9896</v>
      </c>
      <c r="C4976" s="28" t="s">
        <v>35</v>
      </c>
      <c r="D4976" s="46" t="s">
        <v>38</v>
      </c>
      <c r="E4976" s="35">
        <v>46169</v>
      </c>
      <c r="F4976" s="49">
        <v>0.4917361111111111</v>
      </c>
      <c r="G4976" s="37">
        <v>6.3</v>
      </c>
      <c r="H4976" s="36" t="s">
        <v>229</v>
      </c>
      <c r="I4976" s="36" t="s">
        <v>1300</v>
      </c>
    </row>
    <row r="4977" spans="1:9" x14ac:dyDescent="0.2">
      <c r="A4977" s="38" t="s">
        <v>1290</v>
      </c>
      <c r="B4977" s="28">
        <v>9921</v>
      </c>
      <c r="C4977" s="28" t="s">
        <v>1291</v>
      </c>
      <c r="D4977" s="46"/>
      <c r="E4977" s="35">
        <v>46171</v>
      </c>
      <c r="F4977" s="49">
        <v>0.45019675925925928</v>
      </c>
      <c r="G4977" s="37">
        <v>6.3</v>
      </c>
      <c r="H4977" s="36" t="s">
        <v>229</v>
      </c>
      <c r="I4977" s="36" t="s">
        <v>1300</v>
      </c>
    </row>
    <row r="4978" spans="1:9" x14ac:dyDescent="0.2">
      <c r="A4978" s="38" t="s">
        <v>1290</v>
      </c>
      <c r="B4978" s="28">
        <v>9921</v>
      </c>
      <c r="C4978" s="28">
        <v>5693447</v>
      </c>
      <c r="D4978" s="46"/>
      <c r="E4978" s="35">
        <v>46171</v>
      </c>
      <c r="F4978" s="49">
        <v>0.70011574074074079</v>
      </c>
      <c r="G4978" s="37">
        <v>6.3</v>
      </c>
      <c r="H4978" s="36" t="s">
        <v>230</v>
      </c>
      <c r="I4978" s="36" t="s">
        <v>1300</v>
      </c>
    </row>
    <row r="4979" spans="1:9" x14ac:dyDescent="0.2">
      <c r="A4979" s="38" t="s">
        <v>1290</v>
      </c>
      <c r="B4979" s="28">
        <v>9921</v>
      </c>
      <c r="C4979" s="28">
        <v>5693447</v>
      </c>
      <c r="D4979" s="46"/>
      <c r="E4979" s="35">
        <v>46171</v>
      </c>
      <c r="F4979" s="49">
        <v>0.7330902777777778</v>
      </c>
      <c r="G4979" s="37">
        <v>6.3</v>
      </c>
      <c r="H4979" s="36" t="s">
        <v>227</v>
      </c>
      <c r="I4979" s="36" t="s">
        <v>1300</v>
      </c>
    </row>
    <row r="4980" spans="1:9" x14ac:dyDescent="0.2">
      <c r="A4980" s="38" t="s">
        <v>1290</v>
      </c>
      <c r="B4980" s="28">
        <v>9921</v>
      </c>
      <c r="C4980" s="28">
        <v>5691049</v>
      </c>
      <c r="D4980" s="46"/>
      <c r="E4980" s="35">
        <v>46172</v>
      </c>
      <c r="F4980" s="49">
        <v>0.32209490740740743</v>
      </c>
      <c r="G4980" s="37">
        <v>6.3</v>
      </c>
      <c r="H4980" s="36" t="s">
        <v>230</v>
      </c>
      <c r="I4980" s="36" t="s">
        <v>1300</v>
      </c>
    </row>
    <row r="4981" spans="1:9" x14ac:dyDescent="0.2">
      <c r="A4981" s="38" t="s">
        <v>1290</v>
      </c>
      <c r="B4981" s="28">
        <v>9921</v>
      </c>
      <c r="C4981" s="28">
        <v>5691049</v>
      </c>
      <c r="D4981" s="46"/>
      <c r="E4981" s="35">
        <v>46172</v>
      </c>
      <c r="F4981" s="49">
        <v>0.32751157407407405</v>
      </c>
      <c r="G4981" s="37">
        <v>6.3</v>
      </c>
      <c r="H4981" s="36" t="s">
        <v>227</v>
      </c>
      <c r="I4981" s="36" t="s">
        <v>1300</v>
      </c>
    </row>
    <row r="4982" spans="1:9" x14ac:dyDescent="0.2">
      <c r="A4982" s="38" t="s">
        <v>1290</v>
      </c>
      <c r="B4982" s="28">
        <v>9921</v>
      </c>
      <c r="C4982" s="28">
        <v>5692811</v>
      </c>
      <c r="D4982" s="46" t="s">
        <v>36</v>
      </c>
      <c r="E4982" s="35">
        <v>46172</v>
      </c>
      <c r="F4982" s="49">
        <v>0.41379629629629627</v>
      </c>
      <c r="G4982" s="37">
        <v>6.3</v>
      </c>
      <c r="H4982" s="36" t="s">
        <v>228</v>
      </c>
      <c r="I4982" s="36" t="s">
        <v>1300</v>
      </c>
    </row>
    <row r="4983" spans="1:9" x14ac:dyDescent="0.2">
      <c r="A4983" s="38" t="s">
        <v>1290</v>
      </c>
      <c r="B4983" s="28">
        <v>9921</v>
      </c>
      <c r="C4983" s="28">
        <v>5692811</v>
      </c>
      <c r="D4983" s="46" t="s">
        <v>36</v>
      </c>
      <c r="E4983" s="35">
        <v>46172</v>
      </c>
      <c r="F4983" s="49">
        <v>0.42310185185185184</v>
      </c>
      <c r="G4983" s="37">
        <v>6.3</v>
      </c>
      <c r="H4983" s="36" t="s">
        <v>229</v>
      </c>
      <c r="I4983" s="36" t="s">
        <v>1300</v>
      </c>
    </row>
    <row r="4984" spans="1:9" x14ac:dyDescent="0.2">
      <c r="A4984" s="38" t="s">
        <v>1290</v>
      </c>
      <c r="B4984" s="28">
        <v>9921</v>
      </c>
      <c r="C4984" s="28">
        <v>5693994</v>
      </c>
      <c r="D4984" s="46"/>
      <c r="E4984" s="35">
        <v>46172</v>
      </c>
      <c r="F4984" s="49">
        <v>0.5170717592592593</v>
      </c>
      <c r="G4984" s="37">
        <v>6.3</v>
      </c>
      <c r="H4984" s="36" t="s">
        <v>230</v>
      </c>
      <c r="I4984" s="36" t="s">
        <v>1300</v>
      </c>
    </row>
    <row r="4985" spans="1:9" x14ac:dyDescent="0.2">
      <c r="A4985" s="38" t="s">
        <v>1290</v>
      </c>
      <c r="B4985" s="28">
        <v>9921</v>
      </c>
      <c r="C4985" s="28">
        <v>5693994</v>
      </c>
      <c r="D4985" s="46"/>
      <c r="E4985" s="35">
        <v>46172</v>
      </c>
      <c r="F4985" s="49">
        <v>0.52638888888888891</v>
      </c>
      <c r="G4985" s="37">
        <v>6.3</v>
      </c>
      <c r="H4985" s="36" t="s">
        <v>227</v>
      </c>
      <c r="I4985" s="36" t="s">
        <v>1300</v>
      </c>
    </row>
    <row r="4986" spans="1:9" x14ac:dyDescent="0.2">
      <c r="A4986" s="38" t="s">
        <v>1292</v>
      </c>
      <c r="B4986" s="28">
        <v>9925</v>
      </c>
      <c r="C4986" s="28" t="s">
        <v>35</v>
      </c>
      <c r="D4986" s="46" t="s">
        <v>38</v>
      </c>
      <c r="E4986" s="35">
        <v>46172</v>
      </c>
      <c r="F4986" s="49">
        <v>0.48406250000000001</v>
      </c>
      <c r="G4986" s="37">
        <v>6.3</v>
      </c>
      <c r="H4986" s="36" t="s">
        <v>232</v>
      </c>
      <c r="I4986" s="36" t="s">
        <v>1300</v>
      </c>
    </row>
    <row r="4987" spans="1:9" x14ac:dyDescent="0.2">
      <c r="A4987" s="38" t="s">
        <v>1292</v>
      </c>
      <c r="B4987" s="28">
        <v>9925</v>
      </c>
      <c r="C4987" s="28" t="s">
        <v>35</v>
      </c>
      <c r="D4987" s="46" t="s">
        <v>38</v>
      </c>
      <c r="E4987" s="35">
        <v>46173</v>
      </c>
      <c r="F4987" s="49">
        <v>0.11012731481481482</v>
      </c>
      <c r="G4987" s="37">
        <v>6.3</v>
      </c>
      <c r="H4987" s="36" t="s">
        <v>230</v>
      </c>
      <c r="I4987" s="36" t="s">
        <v>1300</v>
      </c>
    </row>
    <row r="4988" spans="1:9" x14ac:dyDescent="0.2">
      <c r="A4988" s="38" t="s">
        <v>1292</v>
      </c>
      <c r="B4988" s="28">
        <v>9925</v>
      </c>
      <c r="C4988" s="28" t="s">
        <v>35</v>
      </c>
      <c r="D4988" s="46" t="s">
        <v>38</v>
      </c>
      <c r="E4988" s="35">
        <v>46173</v>
      </c>
      <c r="F4988" s="49">
        <v>0.29903935185185188</v>
      </c>
      <c r="G4988" s="37">
        <v>6.3</v>
      </c>
      <c r="H4988" s="36" t="s">
        <v>231</v>
      </c>
      <c r="I4988" s="36" t="s">
        <v>1300</v>
      </c>
    </row>
    <row r="4989" spans="1:9" x14ac:dyDescent="0.2">
      <c r="A4989" s="38" t="s">
        <v>1292</v>
      </c>
      <c r="B4989" s="28">
        <v>9925</v>
      </c>
      <c r="C4989" s="28" t="s">
        <v>35</v>
      </c>
      <c r="D4989" s="46" t="s">
        <v>38</v>
      </c>
      <c r="E4989" s="35">
        <v>46173</v>
      </c>
      <c r="F4989" s="49">
        <v>0.30355324074074075</v>
      </c>
      <c r="G4989" s="37">
        <v>6.3</v>
      </c>
      <c r="H4989" s="36" t="s">
        <v>227</v>
      </c>
      <c r="I4989" s="36" t="s">
        <v>1300</v>
      </c>
    </row>
    <row r="4990" spans="1:9" x14ac:dyDescent="0.2">
      <c r="A4990" s="38" t="s">
        <v>351</v>
      </c>
      <c r="B4990" s="28">
        <v>9935</v>
      </c>
      <c r="C4990" s="28" t="s">
        <v>1293</v>
      </c>
      <c r="D4990" s="46"/>
      <c r="E4990" s="35">
        <v>46167</v>
      </c>
      <c r="F4990" s="49">
        <v>0.8338888888888889</v>
      </c>
      <c r="G4990" s="37">
        <v>6.3</v>
      </c>
      <c r="H4990" s="36" t="s">
        <v>228</v>
      </c>
      <c r="I4990" s="36" t="s">
        <v>1300</v>
      </c>
    </row>
    <row r="4991" spans="1:9" x14ac:dyDescent="0.2">
      <c r="A4991" s="38" t="s">
        <v>351</v>
      </c>
      <c r="B4991" s="28">
        <v>9935</v>
      </c>
      <c r="C4991" s="28" t="s">
        <v>1293</v>
      </c>
      <c r="D4991" s="46"/>
      <c r="E4991" s="35">
        <v>46167</v>
      </c>
      <c r="F4991" s="49">
        <v>0.84166666666666667</v>
      </c>
      <c r="G4991" s="37">
        <v>6.3</v>
      </c>
      <c r="H4991" s="36" t="s">
        <v>229</v>
      </c>
      <c r="I4991" s="36" t="s">
        <v>1300</v>
      </c>
    </row>
    <row r="4992" spans="1:9" x14ac:dyDescent="0.2">
      <c r="A4992" s="38" t="s">
        <v>351</v>
      </c>
      <c r="B4992" s="28">
        <v>9935</v>
      </c>
      <c r="C4992" s="28" t="s">
        <v>35</v>
      </c>
      <c r="D4992" s="46" t="s">
        <v>38</v>
      </c>
      <c r="E4992" s="35">
        <v>46167</v>
      </c>
      <c r="F4992" s="49">
        <v>0.8712847222222222</v>
      </c>
      <c r="G4992" s="37">
        <v>6.3</v>
      </c>
      <c r="H4992" s="36" t="s">
        <v>226</v>
      </c>
      <c r="I4992" s="36" t="s">
        <v>1300</v>
      </c>
    </row>
    <row r="4993" spans="1:9" x14ac:dyDescent="0.2">
      <c r="A4993" s="38" t="s">
        <v>351</v>
      </c>
      <c r="B4993" s="28">
        <v>9935</v>
      </c>
      <c r="C4993" s="28" t="s">
        <v>35</v>
      </c>
      <c r="D4993" s="46" t="s">
        <v>38</v>
      </c>
      <c r="E4993" s="35">
        <v>46168</v>
      </c>
      <c r="F4993" s="49">
        <v>0.40175925925925926</v>
      </c>
      <c r="G4993" s="37">
        <v>6.3</v>
      </c>
      <c r="H4993" s="36" t="s">
        <v>228</v>
      </c>
      <c r="I4993" s="36" t="s">
        <v>1300</v>
      </c>
    </row>
    <row r="4994" spans="1:9" x14ac:dyDescent="0.2">
      <c r="A4994" s="38" t="s">
        <v>351</v>
      </c>
      <c r="B4994" s="28">
        <v>9935</v>
      </c>
      <c r="C4994" s="28" t="s">
        <v>35</v>
      </c>
      <c r="D4994" s="46" t="s">
        <v>38</v>
      </c>
      <c r="E4994" s="35">
        <v>46168</v>
      </c>
      <c r="F4994" s="49">
        <v>0.41682870370370373</v>
      </c>
      <c r="G4994" s="37">
        <v>6.3</v>
      </c>
      <c r="H4994" s="36" t="s">
        <v>229</v>
      </c>
      <c r="I4994" s="36" t="s">
        <v>1300</v>
      </c>
    </row>
    <row r="4995" spans="1:9" x14ac:dyDescent="0.2">
      <c r="A4995" s="38" t="s">
        <v>351</v>
      </c>
      <c r="B4995" s="28">
        <v>9935</v>
      </c>
      <c r="C4995" s="28" t="s">
        <v>1294</v>
      </c>
      <c r="D4995" s="46"/>
      <c r="E4995" s="35">
        <v>46170</v>
      </c>
      <c r="F4995" s="49">
        <v>0.10039351851851852</v>
      </c>
      <c r="G4995" s="37">
        <v>6.3</v>
      </c>
      <c r="H4995" s="36" t="s">
        <v>228</v>
      </c>
      <c r="I4995" s="36" t="s">
        <v>1300</v>
      </c>
    </row>
    <row r="4996" spans="1:9" x14ac:dyDescent="0.2">
      <c r="A4996" s="38" t="s">
        <v>351</v>
      </c>
      <c r="B4996" s="28">
        <v>9935</v>
      </c>
      <c r="C4996" s="28" t="s">
        <v>1294</v>
      </c>
      <c r="D4996" s="46"/>
      <c r="E4996" s="35">
        <v>46170</v>
      </c>
      <c r="F4996" s="49">
        <v>0.10719907407407407</v>
      </c>
      <c r="G4996" s="37">
        <v>6.3</v>
      </c>
      <c r="H4996" s="36" t="s">
        <v>229</v>
      </c>
      <c r="I4996" s="36" t="s">
        <v>1300</v>
      </c>
    </row>
    <row r="4997" spans="1:9" x14ac:dyDescent="0.2">
      <c r="A4997" s="38" t="s">
        <v>351</v>
      </c>
      <c r="B4997" s="28">
        <v>9935</v>
      </c>
      <c r="C4997" s="28">
        <v>5695353</v>
      </c>
      <c r="D4997" s="46"/>
      <c r="E4997" s="35">
        <v>46173</v>
      </c>
      <c r="F4997" s="49">
        <v>4.4467592592592593E-2</v>
      </c>
      <c r="G4997" s="37">
        <v>6.3</v>
      </c>
      <c r="H4997" s="36" t="s">
        <v>228</v>
      </c>
      <c r="I4997" s="36" t="s">
        <v>1300</v>
      </c>
    </row>
    <row r="4998" spans="1:9" x14ac:dyDescent="0.2">
      <c r="A4998" s="38" t="s">
        <v>351</v>
      </c>
      <c r="B4998" s="28">
        <v>9935</v>
      </c>
      <c r="C4998" s="28">
        <v>5695353</v>
      </c>
      <c r="D4998" s="46"/>
      <c r="E4998" s="35">
        <v>46173</v>
      </c>
      <c r="F4998" s="49">
        <v>5.1076388888888886E-2</v>
      </c>
      <c r="G4998" s="37">
        <v>6.3</v>
      </c>
      <c r="H4998" s="36" t="s">
        <v>229</v>
      </c>
      <c r="I4998" s="36" t="s">
        <v>1300</v>
      </c>
    </row>
    <row r="4999" spans="1:9" x14ac:dyDescent="0.2">
      <c r="A4999" s="38" t="s">
        <v>199</v>
      </c>
      <c r="B4999" s="28">
        <v>9938</v>
      </c>
      <c r="C4999" s="28">
        <v>5685928</v>
      </c>
      <c r="D4999" s="46" t="s">
        <v>37</v>
      </c>
      <c r="E4999" s="35">
        <v>46167</v>
      </c>
      <c r="F4999" s="49">
        <v>0.57105324074074071</v>
      </c>
      <c r="G4999" s="37">
        <v>6.3</v>
      </c>
      <c r="H4999" s="36" t="s">
        <v>226</v>
      </c>
      <c r="I4999" s="36" t="s">
        <v>1300</v>
      </c>
    </row>
    <row r="5000" spans="1:9" x14ac:dyDescent="0.2">
      <c r="A5000" s="38" t="s">
        <v>199</v>
      </c>
      <c r="B5000" s="28">
        <v>9938</v>
      </c>
      <c r="C5000" s="28">
        <v>5685928</v>
      </c>
      <c r="D5000" s="46" t="s">
        <v>37</v>
      </c>
      <c r="E5000" s="35">
        <v>46167</v>
      </c>
      <c r="F5000" s="49">
        <v>0.57709490740740743</v>
      </c>
      <c r="G5000" s="37">
        <v>6.3</v>
      </c>
      <c r="H5000" s="36" t="s">
        <v>227</v>
      </c>
      <c r="I5000" s="36" t="s">
        <v>1300</v>
      </c>
    </row>
    <row r="5001" spans="1:9" x14ac:dyDescent="0.2">
      <c r="A5001" s="38" t="s">
        <v>199</v>
      </c>
      <c r="B5001" s="28">
        <v>9938</v>
      </c>
      <c r="C5001" s="28">
        <v>5684687</v>
      </c>
      <c r="D5001" s="46"/>
      <c r="E5001" s="35">
        <v>46167</v>
      </c>
      <c r="F5001" s="49">
        <v>0.64953703703703702</v>
      </c>
      <c r="G5001" s="37">
        <v>6.3</v>
      </c>
      <c r="H5001" s="36" t="s">
        <v>228</v>
      </c>
      <c r="I5001" s="36" t="s">
        <v>1300</v>
      </c>
    </row>
    <row r="5002" spans="1:9" x14ac:dyDescent="0.2">
      <c r="A5002" s="38" t="s">
        <v>199</v>
      </c>
      <c r="B5002" s="28">
        <v>9938</v>
      </c>
      <c r="C5002" s="28">
        <v>5684687</v>
      </c>
      <c r="D5002" s="46"/>
      <c r="E5002" s="35">
        <v>46167</v>
      </c>
      <c r="F5002" s="49">
        <v>0.6603472222222222</v>
      </c>
      <c r="G5002" s="37">
        <v>6.3</v>
      </c>
      <c r="H5002" s="36" t="s">
        <v>229</v>
      </c>
      <c r="I5002" s="36" t="s">
        <v>1300</v>
      </c>
    </row>
    <row r="5003" spans="1:9" x14ac:dyDescent="0.2">
      <c r="A5003" s="38" t="s">
        <v>199</v>
      </c>
      <c r="B5003" s="28">
        <v>9938</v>
      </c>
      <c r="C5003" s="28">
        <v>5689966</v>
      </c>
      <c r="D5003" s="46"/>
      <c r="E5003" s="35">
        <v>46169</v>
      </c>
      <c r="F5003" s="49">
        <v>0.7729166666666667</v>
      </c>
      <c r="G5003" s="37">
        <v>6.3</v>
      </c>
      <c r="H5003" s="36" t="s">
        <v>228</v>
      </c>
      <c r="I5003" s="36" t="s">
        <v>1300</v>
      </c>
    </row>
    <row r="5004" spans="1:9" x14ac:dyDescent="0.2">
      <c r="A5004" s="38" t="s">
        <v>199</v>
      </c>
      <c r="B5004" s="28">
        <v>9938</v>
      </c>
      <c r="C5004" s="28">
        <v>5692331</v>
      </c>
      <c r="D5004" s="46"/>
      <c r="E5004" s="35">
        <v>46170</v>
      </c>
      <c r="F5004" s="49">
        <v>0.92094907407407411</v>
      </c>
      <c r="G5004" s="37">
        <v>6.3</v>
      </c>
      <c r="H5004" s="36" t="s">
        <v>228</v>
      </c>
      <c r="I5004" s="36" t="s">
        <v>1300</v>
      </c>
    </row>
    <row r="5005" spans="1:9" x14ac:dyDescent="0.2">
      <c r="A5005" s="38" t="s">
        <v>199</v>
      </c>
      <c r="B5005" s="28">
        <v>9938</v>
      </c>
      <c r="C5005" s="28">
        <v>5692331</v>
      </c>
      <c r="D5005" s="46"/>
      <c r="E5005" s="35">
        <v>46170</v>
      </c>
      <c r="F5005" s="49">
        <v>0.92643518518518519</v>
      </c>
      <c r="G5005" s="37">
        <v>6.3</v>
      </c>
      <c r="H5005" s="36" t="s">
        <v>233</v>
      </c>
      <c r="I5005" s="36" t="s">
        <v>1300</v>
      </c>
    </row>
    <row r="5006" spans="1:9" x14ac:dyDescent="0.2">
      <c r="A5006" s="38" t="s">
        <v>199</v>
      </c>
      <c r="B5006" s="28">
        <v>9938</v>
      </c>
      <c r="C5006" s="28">
        <v>5693615</v>
      </c>
      <c r="D5006" s="46"/>
      <c r="E5006" s="35">
        <v>46171</v>
      </c>
      <c r="F5006" s="49">
        <v>0.71082175925925928</v>
      </c>
      <c r="G5006" s="37">
        <v>6.3</v>
      </c>
      <c r="H5006" s="36" t="s">
        <v>228</v>
      </c>
      <c r="I5006" s="36" t="s">
        <v>1300</v>
      </c>
    </row>
    <row r="5007" spans="1:9" x14ac:dyDescent="0.2">
      <c r="A5007" s="38" t="s">
        <v>199</v>
      </c>
      <c r="B5007" s="28">
        <v>9938</v>
      </c>
      <c r="C5007" s="28">
        <v>5693615</v>
      </c>
      <c r="D5007" s="46"/>
      <c r="E5007" s="35">
        <v>46171</v>
      </c>
      <c r="F5007" s="49">
        <v>0.72673611111111114</v>
      </c>
      <c r="G5007" s="37">
        <v>6.3</v>
      </c>
      <c r="H5007" s="36" t="s">
        <v>229</v>
      </c>
      <c r="I5007" s="36" t="s">
        <v>1300</v>
      </c>
    </row>
    <row r="5008" spans="1:9" x14ac:dyDescent="0.2">
      <c r="A5008" s="38" t="s">
        <v>199</v>
      </c>
      <c r="B5008" s="28">
        <v>9938</v>
      </c>
      <c r="C5008" s="28">
        <v>5692671</v>
      </c>
      <c r="D5008" s="46"/>
      <c r="E5008" s="35">
        <v>46171</v>
      </c>
      <c r="F5008" s="49">
        <v>0.87797453703703698</v>
      </c>
      <c r="G5008" s="37">
        <v>6.3</v>
      </c>
      <c r="H5008" s="36" t="s">
        <v>228</v>
      </c>
      <c r="I5008" s="36" t="s">
        <v>1300</v>
      </c>
    </row>
    <row r="5009" spans="1:9" x14ac:dyDescent="0.2">
      <c r="A5009" s="38" t="s">
        <v>199</v>
      </c>
      <c r="B5009" s="28">
        <v>9938</v>
      </c>
      <c r="C5009" s="28">
        <v>5692671</v>
      </c>
      <c r="D5009" s="46"/>
      <c r="E5009" s="35">
        <v>46171</v>
      </c>
      <c r="F5009" s="49">
        <v>0.88780092592592597</v>
      </c>
      <c r="G5009" s="37">
        <v>6.3</v>
      </c>
      <c r="H5009" s="36" t="s">
        <v>233</v>
      </c>
      <c r="I5009" s="36" t="s">
        <v>1300</v>
      </c>
    </row>
    <row r="5010" spans="1:9" x14ac:dyDescent="0.2">
      <c r="A5010" s="38" t="s">
        <v>199</v>
      </c>
      <c r="B5010" s="28">
        <v>9938</v>
      </c>
      <c r="C5010" s="28">
        <v>5694598</v>
      </c>
      <c r="D5010" s="46"/>
      <c r="E5010" s="35">
        <v>46172</v>
      </c>
      <c r="F5010" s="49">
        <v>0.69362268518518522</v>
      </c>
      <c r="G5010" s="37">
        <v>6.3</v>
      </c>
      <c r="H5010" s="36" t="s">
        <v>227</v>
      </c>
      <c r="I5010" s="36" t="s">
        <v>1300</v>
      </c>
    </row>
    <row r="5011" spans="1:9" x14ac:dyDescent="0.2">
      <c r="A5011" s="38" t="s">
        <v>205</v>
      </c>
      <c r="B5011" s="28">
        <v>9950</v>
      </c>
      <c r="C5011" s="28">
        <v>5684559</v>
      </c>
      <c r="D5011" s="46"/>
      <c r="E5011" s="35">
        <v>46167</v>
      </c>
      <c r="F5011" s="49">
        <v>0.14621527777777779</v>
      </c>
      <c r="G5011" s="37">
        <v>6.3</v>
      </c>
      <c r="H5011" s="36" t="s">
        <v>230</v>
      </c>
      <c r="I5011" s="36" t="s">
        <v>1300</v>
      </c>
    </row>
    <row r="5012" spans="1:9" x14ac:dyDescent="0.2">
      <c r="A5012" s="38" t="s">
        <v>205</v>
      </c>
      <c r="B5012" s="28">
        <v>9950</v>
      </c>
      <c r="C5012" s="28">
        <v>5684559</v>
      </c>
      <c r="D5012" s="46"/>
      <c r="E5012" s="35">
        <v>46167</v>
      </c>
      <c r="F5012" s="49">
        <v>0.15096064814814814</v>
      </c>
      <c r="G5012" s="37">
        <v>6.3</v>
      </c>
      <c r="H5012" s="36" t="s">
        <v>227</v>
      </c>
      <c r="I5012" s="36" t="s">
        <v>1300</v>
      </c>
    </row>
    <row r="5013" spans="1:9" x14ac:dyDescent="0.2">
      <c r="A5013" s="38" t="s">
        <v>205</v>
      </c>
      <c r="B5013" s="28">
        <v>9950</v>
      </c>
      <c r="C5013" s="28" t="s">
        <v>35</v>
      </c>
      <c r="D5013" s="46" t="s">
        <v>38</v>
      </c>
      <c r="E5013" s="35">
        <v>46167</v>
      </c>
      <c r="F5013" s="49">
        <v>0.1784375</v>
      </c>
      <c r="G5013" s="37">
        <v>6.3</v>
      </c>
      <c r="H5013" s="36" t="s">
        <v>228</v>
      </c>
      <c r="I5013" s="36" t="s">
        <v>1300</v>
      </c>
    </row>
    <row r="5014" spans="1:9" x14ac:dyDescent="0.2">
      <c r="A5014" s="38" t="s">
        <v>205</v>
      </c>
      <c r="B5014" s="28">
        <v>9950</v>
      </c>
      <c r="C5014" s="28" t="s">
        <v>35</v>
      </c>
      <c r="D5014" s="46" t="s">
        <v>38</v>
      </c>
      <c r="E5014" s="35">
        <v>46167</v>
      </c>
      <c r="F5014" s="49">
        <v>0.18562500000000001</v>
      </c>
      <c r="G5014" s="37">
        <v>6.3</v>
      </c>
      <c r="H5014" s="36" t="s">
        <v>229</v>
      </c>
      <c r="I5014" s="36" t="s">
        <v>1300</v>
      </c>
    </row>
    <row r="5015" spans="1:9" x14ac:dyDescent="0.2">
      <c r="A5015" s="38" t="s">
        <v>205</v>
      </c>
      <c r="B5015" s="28">
        <v>9950</v>
      </c>
      <c r="C5015" s="28">
        <v>5685210</v>
      </c>
      <c r="D5015" s="46"/>
      <c r="E5015" s="35">
        <v>46167</v>
      </c>
      <c r="F5015" s="49">
        <v>0.20822916666666666</v>
      </c>
      <c r="G5015" s="37">
        <v>6.3</v>
      </c>
      <c r="H5015" s="36" t="s">
        <v>230</v>
      </c>
      <c r="I5015" s="36" t="s">
        <v>1300</v>
      </c>
    </row>
    <row r="5016" spans="1:9" x14ac:dyDescent="0.2">
      <c r="A5016" s="38" t="s">
        <v>205</v>
      </c>
      <c r="B5016" s="28">
        <v>9950</v>
      </c>
      <c r="C5016" s="28">
        <v>5685210</v>
      </c>
      <c r="D5016" s="46"/>
      <c r="E5016" s="35">
        <v>46167</v>
      </c>
      <c r="F5016" s="49">
        <v>0.21313657407407408</v>
      </c>
      <c r="G5016" s="37">
        <v>6.3</v>
      </c>
      <c r="H5016" s="36" t="s">
        <v>227</v>
      </c>
      <c r="I5016" s="36" t="s">
        <v>1300</v>
      </c>
    </row>
    <row r="5017" spans="1:9" x14ac:dyDescent="0.2">
      <c r="A5017" s="38" t="s">
        <v>205</v>
      </c>
      <c r="B5017" s="28">
        <v>9950</v>
      </c>
      <c r="C5017" s="28">
        <v>5685668</v>
      </c>
      <c r="D5017" s="46"/>
      <c r="E5017" s="35">
        <v>46167</v>
      </c>
      <c r="F5017" s="49">
        <v>0.41082175925925923</v>
      </c>
      <c r="G5017" s="37">
        <v>6.3</v>
      </c>
      <c r="H5017" s="36" t="s">
        <v>228</v>
      </c>
      <c r="I5017" s="36" t="s">
        <v>1300</v>
      </c>
    </row>
    <row r="5018" spans="1:9" x14ac:dyDescent="0.2">
      <c r="A5018" s="38" t="s">
        <v>205</v>
      </c>
      <c r="B5018" s="28">
        <v>9950</v>
      </c>
      <c r="C5018" s="28">
        <v>5685668</v>
      </c>
      <c r="D5018" s="46"/>
      <c r="E5018" s="35">
        <v>46167</v>
      </c>
      <c r="F5018" s="49">
        <v>0.42222222222222222</v>
      </c>
      <c r="G5018" s="37">
        <v>6.3</v>
      </c>
      <c r="H5018" s="36" t="s">
        <v>229</v>
      </c>
      <c r="I5018" s="36" t="s">
        <v>1300</v>
      </c>
    </row>
    <row r="5019" spans="1:9" x14ac:dyDescent="0.2">
      <c r="A5019" s="38" t="s">
        <v>205</v>
      </c>
      <c r="B5019" s="28">
        <v>9950</v>
      </c>
      <c r="C5019" s="28">
        <v>5686818</v>
      </c>
      <c r="D5019" s="46"/>
      <c r="E5019" s="35">
        <v>46168</v>
      </c>
      <c r="F5019" s="49">
        <v>0.18791666666666668</v>
      </c>
      <c r="G5019" s="37">
        <v>6.3</v>
      </c>
      <c r="H5019" s="36" t="s">
        <v>226</v>
      </c>
      <c r="I5019" s="36" t="s">
        <v>1300</v>
      </c>
    </row>
    <row r="5020" spans="1:9" x14ac:dyDescent="0.2">
      <c r="A5020" s="38" t="s">
        <v>205</v>
      </c>
      <c r="B5020" s="28">
        <v>9950</v>
      </c>
      <c r="C5020" s="28">
        <v>5686818</v>
      </c>
      <c r="D5020" s="46"/>
      <c r="E5020" s="35">
        <v>46168</v>
      </c>
      <c r="F5020" s="49">
        <v>0.19304398148148147</v>
      </c>
      <c r="G5020" s="37">
        <v>6.3</v>
      </c>
      <c r="H5020" s="36" t="s">
        <v>227</v>
      </c>
      <c r="I5020" s="36" t="s">
        <v>1300</v>
      </c>
    </row>
    <row r="5021" spans="1:9" x14ac:dyDescent="0.2">
      <c r="A5021" s="38" t="s">
        <v>205</v>
      </c>
      <c r="B5021" s="28">
        <v>9950</v>
      </c>
      <c r="C5021" s="28" t="s">
        <v>35</v>
      </c>
      <c r="D5021" s="46" t="s">
        <v>38</v>
      </c>
      <c r="E5021" s="35">
        <v>46169</v>
      </c>
      <c r="F5021" s="49">
        <v>0.25170138888888888</v>
      </c>
      <c r="G5021" s="37">
        <v>6.3</v>
      </c>
      <c r="H5021" s="36" t="s">
        <v>226</v>
      </c>
      <c r="I5021" s="36" t="s">
        <v>1300</v>
      </c>
    </row>
    <row r="5022" spans="1:9" x14ac:dyDescent="0.2">
      <c r="A5022" s="38" t="s">
        <v>205</v>
      </c>
      <c r="B5022" s="28">
        <v>9950</v>
      </c>
      <c r="C5022" s="28">
        <v>5689294</v>
      </c>
      <c r="D5022" s="46" t="s">
        <v>37</v>
      </c>
      <c r="E5022" s="35">
        <v>46169</v>
      </c>
      <c r="F5022" s="49">
        <v>0.37945601851851851</v>
      </c>
      <c r="G5022" s="37">
        <v>6.3</v>
      </c>
      <c r="H5022" s="36" t="s">
        <v>228</v>
      </c>
      <c r="I5022" s="36" t="s">
        <v>1300</v>
      </c>
    </row>
    <row r="5023" spans="1:9" x14ac:dyDescent="0.2">
      <c r="A5023" s="38" t="s">
        <v>205</v>
      </c>
      <c r="B5023" s="28">
        <v>9950</v>
      </c>
      <c r="C5023" s="28">
        <v>5689294</v>
      </c>
      <c r="D5023" s="46" t="s">
        <v>37</v>
      </c>
      <c r="E5023" s="35">
        <v>46169</v>
      </c>
      <c r="F5023" s="49">
        <v>0.39650462962962962</v>
      </c>
      <c r="G5023" s="37">
        <v>6.3</v>
      </c>
      <c r="H5023" s="36" t="s">
        <v>229</v>
      </c>
      <c r="I5023" s="36" t="s">
        <v>1300</v>
      </c>
    </row>
    <row r="5024" spans="1:9" x14ac:dyDescent="0.2">
      <c r="A5024" s="38" t="s">
        <v>205</v>
      </c>
      <c r="B5024" s="28">
        <v>9950</v>
      </c>
      <c r="C5024" s="28">
        <v>5689205</v>
      </c>
      <c r="D5024" s="46" t="s">
        <v>37</v>
      </c>
      <c r="E5024" s="35">
        <v>46170</v>
      </c>
      <c r="F5024" s="49">
        <v>0.32687500000000003</v>
      </c>
      <c r="G5024" s="37">
        <v>6.3</v>
      </c>
      <c r="H5024" s="36" t="s">
        <v>230</v>
      </c>
      <c r="I5024" s="36" t="s">
        <v>1300</v>
      </c>
    </row>
    <row r="5025" spans="1:9" x14ac:dyDescent="0.2">
      <c r="A5025" s="38" t="s">
        <v>205</v>
      </c>
      <c r="B5025" s="28">
        <v>9950</v>
      </c>
      <c r="C5025" s="28" t="s">
        <v>1295</v>
      </c>
      <c r="D5025" s="46"/>
      <c r="E5025" s="35">
        <v>46170</v>
      </c>
      <c r="F5025" s="49">
        <v>0.99071759259259262</v>
      </c>
      <c r="G5025" s="37">
        <v>6.3</v>
      </c>
      <c r="H5025" s="36" t="s">
        <v>228</v>
      </c>
      <c r="I5025" s="36" t="s">
        <v>1300</v>
      </c>
    </row>
    <row r="5026" spans="1:9" x14ac:dyDescent="0.2">
      <c r="A5026" s="38" t="s">
        <v>205</v>
      </c>
      <c r="B5026" s="28">
        <v>9950</v>
      </c>
      <c r="C5026" s="28" t="s">
        <v>1295</v>
      </c>
      <c r="D5026" s="46"/>
      <c r="E5026" s="35">
        <v>46171</v>
      </c>
      <c r="F5026" s="49">
        <v>1.4583333333333334E-3</v>
      </c>
      <c r="G5026" s="37">
        <v>6.3</v>
      </c>
      <c r="H5026" s="36" t="s">
        <v>229</v>
      </c>
      <c r="I5026" s="36" t="s">
        <v>1300</v>
      </c>
    </row>
    <row r="5027" spans="1:9" x14ac:dyDescent="0.2">
      <c r="A5027" s="38" t="s">
        <v>205</v>
      </c>
      <c r="B5027" s="28">
        <v>9950</v>
      </c>
      <c r="C5027" s="28" t="s">
        <v>1296</v>
      </c>
      <c r="D5027" s="46"/>
      <c r="E5027" s="35">
        <v>46171</v>
      </c>
      <c r="F5027" s="49">
        <v>0.93888888888888888</v>
      </c>
      <c r="G5027" s="37">
        <v>6.3</v>
      </c>
      <c r="H5027" s="36" t="s">
        <v>228</v>
      </c>
      <c r="I5027" s="36" t="s">
        <v>1300</v>
      </c>
    </row>
    <row r="5028" spans="1:9" x14ac:dyDescent="0.2">
      <c r="A5028" s="38" t="s">
        <v>205</v>
      </c>
      <c r="B5028" s="28">
        <v>9950</v>
      </c>
      <c r="C5028" s="28" t="s">
        <v>1296</v>
      </c>
      <c r="D5028" s="46"/>
      <c r="E5028" s="35">
        <v>46171</v>
      </c>
      <c r="F5028" s="49">
        <v>0.94649305555555552</v>
      </c>
      <c r="G5028" s="37">
        <v>6.3</v>
      </c>
      <c r="H5028" s="36" t="s">
        <v>229</v>
      </c>
      <c r="I5028" s="36" t="s">
        <v>1300</v>
      </c>
    </row>
    <row r="5029" spans="1:9" x14ac:dyDescent="0.2">
      <c r="A5029" s="38" t="s">
        <v>205</v>
      </c>
      <c r="B5029" s="28">
        <v>9950</v>
      </c>
      <c r="C5029" s="28">
        <v>5695895</v>
      </c>
      <c r="D5029" s="46" t="s">
        <v>36</v>
      </c>
      <c r="E5029" s="35">
        <v>46173</v>
      </c>
      <c r="F5029" s="49">
        <v>0.57237268518518514</v>
      </c>
      <c r="G5029" s="37">
        <v>6.3</v>
      </c>
      <c r="H5029" s="36" t="s">
        <v>228</v>
      </c>
      <c r="I5029" s="36" t="s">
        <v>1300</v>
      </c>
    </row>
    <row r="5030" spans="1:9" x14ac:dyDescent="0.2">
      <c r="A5030" s="38" t="s">
        <v>205</v>
      </c>
      <c r="B5030" s="28">
        <v>9950</v>
      </c>
      <c r="C5030" s="28">
        <v>5696025</v>
      </c>
      <c r="D5030" s="46" t="s">
        <v>37</v>
      </c>
      <c r="E5030" s="35">
        <v>46173</v>
      </c>
      <c r="F5030" s="49">
        <v>0.692962962962963</v>
      </c>
      <c r="G5030" s="37">
        <v>6.3</v>
      </c>
      <c r="H5030" s="36" t="s">
        <v>228</v>
      </c>
      <c r="I5030" s="36" t="s">
        <v>1300</v>
      </c>
    </row>
    <row r="5031" spans="1:9" x14ac:dyDescent="0.2">
      <c r="A5031" s="38" t="s">
        <v>206</v>
      </c>
      <c r="B5031" s="28">
        <v>9953</v>
      </c>
      <c r="C5031" s="28" t="s">
        <v>35</v>
      </c>
      <c r="D5031" s="46" t="s">
        <v>38</v>
      </c>
      <c r="E5031" s="35">
        <v>46167</v>
      </c>
      <c r="F5031" s="49">
        <v>4.866898148148148E-2</v>
      </c>
      <c r="G5031" s="37">
        <v>6.3</v>
      </c>
      <c r="H5031" s="36" t="s">
        <v>229</v>
      </c>
      <c r="I5031" s="36" t="s">
        <v>1300</v>
      </c>
    </row>
    <row r="5032" spans="1:9" x14ac:dyDescent="0.2">
      <c r="A5032" s="38" t="s">
        <v>206</v>
      </c>
      <c r="B5032" s="28">
        <v>9953</v>
      </c>
      <c r="C5032" s="28">
        <v>5684885</v>
      </c>
      <c r="D5032" s="46" t="s">
        <v>37</v>
      </c>
      <c r="E5032" s="35">
        <v>46167</v>
      </c>
      <c r="F5032" s="49">
        <v>0.14748842592592593</v>
      </c>
      <c r="G5032" s="37">
        <v>6.3</v>
      </c>
      <c r="H5032" s="36" t="s">
        <v>230</v>
      </c>
      <c r="I5032" s="36" t="s">
        <v>1300</v>
      </c>
    </row>
    <row r="5033" spans="1:9" x14ac:dyDescent="0.2">
      <c r="A5033" s="38" t="s">
        <v>206</v>
      </c>
      <c r="B5033" s="28">
        <v>9953</v>
      </c>
      <c r="C5033" s="28">
        <v>5684885</v>
      </c>
      <c r="D5033" s="46" t="s">
        <v>37</v>
      </c>
      <c r="E5033" s="35">
        <v>46167</v>
      </c>
      <c r="F5033" s="49">
        <v>0.15407407407407409</v>
      </c>
      <c r="G5033" s="37">
        <v>6.3</v>
      </c>
      <c r="H5033" s="36" t="s">
        <v>227</v>
      </c>
      <c r="I5033" s="36" t="s">
        <v>1300</v>
      </c>
    </row>
    <row r="5034" spans="1:9" x14ac:dyDescent="0.2">
      <c r="A5034" s="38" t="s">
        <v>206</v>
      </c>
      <c r="B5034" s="28">
        <v>9953</v>
      </c>
      <c r="C5034" s="28">
        <v>5688592</v>
      </c>
      <c r="D5034" s="46"/>
      <c r="E5034" s="35">
        <v>46169</v>
      </c>
      <c r="F5034" s="49">
        <v>0.62572916666666667</v>
      </c>
      <c r="G5034" s="37">
        <v>6.3</v>
      </c>
      <c r="H5034" s="36" t="s">
        <v>230</v>
      </c>
      <c r="I5034" s="36" t="s">
        <v>1300</v>
      </c>
    </row>
    <row r="5035" spans="1:9" x14ac:dyDescent="0.2">
      <c r="A5035" s="38" t="s">
        <v>207</v>
      </c>
      <c r="B5035" s="28">
        <v>9980</v>
      </c>
      <c r="C5035" s="28">
        <v>10736264</v>
      </c>
      <c r="D5035" s="46"/>
      <c r="E5035" s="35">
        <v>46167</v>
      </c>
      <c r="F5035" s="49">
        <v>0.18376157407407406</v>
      </c>
      <c r="G5035" s="37">
        <v>6.3</v>
      </c>
      <c r="H5035" s="36" t="s">
        <v>230</v>
      </c>
      <c r="I5035" s="36" t="s">
        <v>1300</v>
      </c>
    </row>
    <row r="5036" spans="1:9" x14ac:dyDescent="0.2">
      <c r="A5036" s="38" t="s">
        <v>207</v>
      </c>
      <c r="B5036" s="28">
        <v>9980</v>
      </c>
      <c r="C5036" s="28">
        <v>10736264</v>
      </c>
      <c r="D5036" s="46"/>
      <c r="E5036" s="35">
        <v>46167</v>
      </c>
      <c r="F5036" s="49">
        <v>0.18940972222222222</v>
      </c>
      <c r="G5036" s="37">
        <v>6.3</v>
      </c>
      <c r="H5036" s="36" t="s">
        <v>227</v>
      </c>
      <c r="I5036" s="36" t="s">
        <v>1300</v>
      </c>
    </row>
    <row r="5037" spans="1:9" x14ac:dyDescent="0.2">
      <c r="A5037" s="38" t="s">
        <v>207</v>
      </c>
      <c r="B5037" s="28">
        <v>9980</v>
      </c>
      <c r="C5037" s="28">
        <v>10744049</v>
      </c>
      <c r="D5037" s="46"/>
      <c r="E5037" s="35">
        <v>46168</v>
      </c>
      <c r="F5037" s="49">
        <v>0.36565972222222221</v>
      </c>
      <c r="G5037" s="37">
        <v>6.3</v>
      </c>
      <c r="H5037" s="36" t="s">
        <v>228</v>
      </c>
      <c r="I5037" s="36" t="s">
        <v>1300</v>
      </c>
    </row>
    <row r="5038" spans="1:9" x14ac:dyDescent="0.2">
      <c r="A5038" s="38" t="s">
        <v>207</v>
      </c>
      <c r="B5038" s="28">
        <v>9980</v>
      </c>
      <c r="C5038" s="28">
        <v>10744049</v>
      </c>
      <c r="D5038" s="46"/>
      <c r="E5038" s="35">
        <v>46168</v>
      </c>
      <c r="F5038" s="49">
        <v>0.38243055555555555</v>
      </c>
      <c r="G5038" s="37">
        <v>6.3</v>
      </c>
      <c r="H5038" s="36" t="s">
        <v>229</v>
      </c>
      <c r="I5038" s="36" t="s">
        <v>1300</v>
      </c>
    </row>
    <row r="5039" spans="1:9" x14ac:dyDescent="0.2">
      <c r="A5039" s="38" t="s">
        <v>207</v>
      </c>
      <c r="B5039" s="28">
        <v>9980</v>
      </c>
      <c r="C5039" s="28">
        <v>10744278</v>
      </c>
      <c r="D5039" s="46"/>
      <c r="E5039" s="35">
        <v>46168</v>
      </c>
      <c r="F5039" s="49">
        <v>0.5060069444444445</v>
      </c>
      <c r="G5039" s="37">
        <v>6.3</v>
      </c>
      <c r="H5039" s="36" t="s">
        <v>231</v>
      </c>
      <c r="I5039" s="36" t="s">
        <v>1300</v>
      </c>
    </row>
    <row r="5040" spans="1:9" x14ac:dyDescent="0.2">
      <c r="A5040" s="38" t="s">
        <v>207</v>
      </c>
      <c r="B5040" s="28">
        <v>9980</v>
      </c>
      <c r="C5040" s="28">
        <v>10744278</v>
      </c>
      <c r="D5040" s="46"/>
      <c r="E5040" s="35">
        <v>46168</v>
      </c>
      <c r="F5040" s="49">
        <v>0.51155092592592588</v>
      </c>
      <c r="G5040" s="37">
        <v>6.3</v>
      </c>
      <c r="H5040" s="36" t="s">
        <v>227</v>
      </c>
      <c r="I5040" s="36" t="s">
        <v>1300</v>
      </c>
    </row>
    <row r="5041" spans="1:9" x14ac:dyDescent="0.2">
      <c r="A5041" s="38" t="s">
        <v>207</v>
      </c>
      <c r="B5041" s="28">
        <v>9980</v>
      </c>
      <c r="C5041" s="28">
        <v>10744052</v>
      </c>
      <c r="D5041" s="46"/>
      <c r="E5041" s="35">
        <v>46168</v>
      </c>
      <c r="F5041" s="49">
        <v>0.58625000000000005</v>
      </c>
      <c r="G5041" s="37">
        <v>6.3</v>
      </c>
      <c r="H5041" s="36" t="s">
        <v>228</v>
      </c>
      <c r="I5041" s="36" t="s">
        <v>1300</v>
      </c>
    </row>
    <row r="5042" spans="1:9" x14ac:dyDescent="0.2">
      <c r="A5042" s="38" t="s">
        <v>207</v>
      </c>
      <c r="B5042" s="28">
        <v>9980</v>
      </c>
      <c r="C5042" s="28" t="s">
        <v>1297</v>
      </c>
      <c r="D5042" s="46"/>
      <c r="E5042" s="35">
        <v>46170</v>
      </c>
      <c r="F5042" s="49">
        <v>0.26476851851851851</v>
      </c>
      <c r="G5042" s="37">
        <v>6.3</v>
      </c>
      <c r="H5042" s="36" t="s">
        <v>230</v>
      </c>
      <c r="I5042" s="36" t="s">
        <v>1300</v>
      </c>
    </row>
    <row r="5043" spans="1:9" x14ac:dyDescent="0.2">
      <c r="A5043" s="38" t="s">
        <v>207</v>
      </c>
      <c r="B5043" s="28">
        <v>9980</v>
      </c>
      <c r="C5043" s="28" t="s">
        <v>1297</v>
      </c>
      <c r="D5043" s="46"/>
      <c r="E5043" s="35">
        <v>46170</v>
      </c>
      <c r="F5043" s="49">
        <v>0.27217592592592593</v>
      </c>
      <c r="G5043" s="37">
        <v>6.3</v>
      </c>
      <c r="H5043" s="36" t="s">
        <v>227</v>
      </c>
      <c r="I5043" s="36" t="s">
        <v>1300</v>
      </c>
    </row>
    <row r="5044" spans="1:9" x14ac:dyDescent="0.2">
      <c r="A5044" s="38" t="s">
        <v>207</v>
      </c>
      <c r="B5044" s="28">
        <v>9980</v>
      </c>
      <c r="C5044" s="28">
        <v>10765422</v>
      </c>
      <c r="D5044" s="46"/>
      <c r="E5044" s="35">
        <v>46171</v>
      </c>
      <c r="F5044" s="49">
        <v>0.17248842592592592</v>
      </c>
      <c r="G5044" s="37">
        <v>6.3</v>
      </c>
      <c r="H5044" s="36" t="s">
        <v>226</v>
      </c>
      <c r="I5044" s="36" t="s">
        <v>1300</v>
      </c>
    </row>
    <row r="5045" spans="1:9" x14ac:dyDescent="0.2">
      <c r="A5045" s="38" t="s">
        <v>207</v>
      </c>
      <c r="B5045" s="28">
        <v>9980</v>
      </c>
      <c r="C5045" s="28">
        <v>10765422</v>
      </c>
      <c r="D5045" s="46"/>
      <c r="E5045" s="35">
        <v>46171</v>
      </c>
      <c r="F5045" s="49">
        <v>0.17858796296296298</v>
      </c>
      <c r="G5045" s="37">
        <v>6.3</v>
      </c>
      <c r="H5045" s="36" t="s">
        <v>227</v>
      </c>
      <c r="I5045" s="36" t="s">
        <v>1300</v>
      </c>
    </row>
    <row r="5046" spans="1:9" x14ac:dyDescent="0.2">
      <c r="A5046" s="38" t="s">
        <v>207</v>
      </c>
      <c r="B5046" s="28">
        <v>9980</v>
      </c>
      <c r="C5046" s="28" t="s">
        <v>35</v>
      </c>
      <c r="D5046" s="46" t="s">
        <v>38</v>
      </c>
      <c r="E5046" s="35">
        <v>46171</v>
      </c>
      <c r="F5046" s="49">
        <v>0.32974537037037038</v>
      </c>
      <c r="G5046" s="37">
        <v>6.3</v>
      </c>
      <c r="H5046" s="36" t="s">
        <v>228</v>
      </c>
      <c r="I5046" s="36" t="s">
        <v>1300</v>
      </c>
    </row>
    <row r="5047" spans="1:9" x14ac:dyDescent="0.2">
      <c r="A5047" s="38" t="s">
        <v>207</v>
      </c>
      <c r="B5047" s="28">
        <v>9980</v>
      </c>
      <c r="C5047" s="28" t="s">
        <v>35</v>
      </c>
      <c r="D5047" s="46" t="s">
        <v>38</v>
      </c>
      <c r="E5047" s="35">
        <v>46171</v>
      </c>
      <c r="F5047" s="49">
        <v>0.34348379629629627</v>
      </c>
      <c r="G5047" s="37">
        <v>6.3</v>
      </c>
      <c r="H5047" s="36" t="s">
        <v>229</v>
      </c>
      <c r="I5047" s="36" t="s">
        <v>1300</v>
      </c>
    </row>
    <row r="5048" spans="1:9" x14ac:dyDescent="0.2">
      <c r="A5048" s="38" t="s">
        <v>207</v>
      </c>
      <c r="B5048" s="28">
        <v>9980</v>
      </c>
      <c r="C5048" s="28">
        <v>5692895</v>
      </c>
      <c r="D5048" s="46"/>
      <c r="E5048" s="35">
        <v>46172</v>
      </c>
      <c r="F5048" s="49">
        <v>0.22054398148148149</v>
      </c>
      <c r="G5048" s="37">
        <v>6.3</v>
      </c>
      <c r="H5048" s="36" t="s">
        <v>226</v>
      </c>
      <c r="I5048" s="36" t="s">
        <v>1300</v>
      </c>
    </row>
    <row r="5049" spans="1:9" x14ac:dyDescent="0.2">
      <c r="A5049" s="38" t="s">
        <v>207</v>
      </c>
      <c r="B5049" s="28">
        <v>9980</v>
      </c>
      <c r="C5049" s="28">
        <v>5692895</v>
      </c>
      <c r="D5049" s="46"/>
      <c r="E5049" s="35">
        <v>46172</v>
      </c>
      <c r="F5049" s="49">
        <v>0.22615740740740742</v>
      </c>
      <c r="G5049" s="37">
        <v>6.3</v>
      </c>
      <c r="H5049" s="36" t="s">
        <v>227</v>
      </c>
      <c r="I5049" s="36" t="s">
        <v>1300</v>
      </c>
    </row>
    <row r="5050" spans="1:9" x14ac:dyDescent="0.2">
      <c r="A5050" s="38" t="s">
        <v>207</v>
      </c>
      <c r="B5050" s="28">
        <v>9980</v>
      </c>
      <c r="C5050" s="28">
        <v>10772558</v>
      </c>
      <c r="D5050" s="46"/>
      <c r="E5050" s="35">
        <v>46172</v>
      </c>
      <c r="F5050" s="49">
        <v>0.57160879629629635</v>
      </c>
      <c r="G5050" s="37">
        <v>6.3</v>
      </c>
      <c r="H5050" s="36" t="s">
        <v>228</v>
      </c>
      <c r="I5050" s="36" t="s">
        <v>1300</v>
      </c>
    </row>
    <row r="5051" spans="1:9" x14ac:dyDescent="0.2">
      <c r="A5051" s="38" t="s">
        <v>207</v>
      </c>
      <c r="B5051" s="28">
        <v>9980</v>
      </c>
      <c r="C5051" s="28">
        <v>10772558</v>
      </c>
      <c r="D5051" s="46"/>
      <c r="E5051" s="35">
        <v>46172</v>
      </c>
      <c r="F5051" s="49">
        <v>0.58194444444444449</v>
      </c>
      <c r="G5051" s="37">
        <v>6.3</v>
      </c>
      <c r="H5051" s="36" t="s">
        <v>229</v>
      </c>
      <c r="I5051" s="36" t="s">
        <v>1300</v>
      </c>
    </row>
    <row r="5052" spans="1:9" x14ac:dyDescent="0.2">
      <c r="A5052" s="38" t="s">
        <v>207</v>
      </c>
      <c r="B5052" s="28">
        <v>9980</v>
      </c>
      <c r="C5052" s="28">
        <v>10778702</v>
      </c>
      <c r="D5052" s="46"/>
      <c r="E5052" s="35">
        <v>46173</v>
      </c>
      <c r="F5052" s="49">
        <v>0.32342592592592595</v>
      </c>
      <c r="G5052" s="37">
        <v>6.3</v>
      </c>
      <c r="H5052" s="36" t="s">
        <v>226</v>
      </c>
      <c r="I5052" s="36" t="s">
        <v>1300</v>
      </c>
    </row>
    <row r="5053" spans="1:9" x14ac:dyDescent="0.2">
      <c r="A5053" s="38" t="s">
        <v>207</v>
      </c>
      <c r="B5053" s="28">
        <v>9980</v>
      </c>
      <c r="C5053" s="28">
        <v>10778702</v>
      </c>
      <c r="D5053" s="46"/>
      <c r="E5053" s="35">
        <v>46173</v>
      </c>
      <c r="F5053" s="49">
        <v>0.32895833333333335</v>
      </c>
      <c r="G5053" s="37">
        <v>6.3</v>
      </c>
      <c r="H5053" s="36" t="s">
        <v>227</v>
      </c>
      <c r="I5053" s="36" t="s">
        <v>1300</v>
      </c>
    </row>
    <row r="5054" spans="1:9" x14ac:dyDescent="0.2">
      <c r="A5054" s="38" t="s">
        <v>133</v>
      </c>
      <c r="B5054" s="28">
        <v>9991</v>
      </c>
      <c r="C5054" s="28">
        <v>5684860</v>
      </c>
      <c r="D5054" s="46"/>
      <c r="E5054" s="35">
        <v>46167</v>
      </c>
      <c r="F5054" s="49">
        <v>0.25209490740740742</v>
      </c>
      <c r="G5054" s="37">
        <v>6.3</v>
      </c>
      <c r="H5054" s="36" t="s">
        <v>230</v>
      </c>
      <c r="I5054" s="36" t="s">
        <v>1300</v>
      </c>
    </row>
    <row r="5055" spans="1:9" x14ac:dyDescent="0.2">
      <c r="A5055" s="38" t="s">
        <v>133</v>
      </c>
      <c r="B5055" s="28">
        <v>9991</v>
      </c>
      <c r="C5055" s="28">
        <v>5684860</v>
      </c>
      <c r="D5055" s="46"/>
      <c r="E5055" s="35">
        <v>46167</v>
      </c>
      <c r="F5055" s="49">
        <v>0.25810185185185186</v>
      </c>
      <c r="G5055" s="37">
        <v>6.3</v>
      </c>
      <c r="H5055" s="36" t="s">
        <v>227</v>
      </c>
      <c r="I5055" s="36" t="s">
        <v>1300</v>
      </c>
    </row>
    <row r="5056" spans="1:9" x14ac:dyDescent="0.2">
      <c r="A5056" s="38" t="s">
        <v>133</v>
      </c>
      <c r="B5056" s="28">
        <v>9991</v>
      </c>
      <c r="C5056" s="28" t="s">
        <v>35</v>
      </c>
      <c r="D5056" s="46" t="s">
        <v>38</v>
      </c>
      <c r="E5056" s="35">
        <v>46167</v>
      </c>
      <c r="F5056" s="49">
        <v>0.30151620370370369</v>
      </c>
      <c r="G5056" s="37">
        <v>6.3</v>
      </c>
      <c r="H5056" s="36" t="s">
        <v>228</v>
      </c>
      <c r="I5056" s="36" t="s">
        <v>1300</v>
      </c>
    </row>
    <row r="5057" spans="1:9" x14ac:dyDescent="0.2">
      <c r="A5057" s="38" t="s">
        <v>133</v>
      </c>
      <c r="B5057" s="28">
        <v>9991</v>
      </c>
      <c r="C5057" s="28" t="s">
        <v>35</v>
      </c>
      <c r="D5057" s="46" t="s">
        <v>38</v>
      </c>
      <c r="E5057" s="35">
        <v>46167</v>
      </c>
      <c r="F5057" s="49">
        <v>0.31177083333333333</v>
      </c>
      <c r="G5057" s="37">
        <v>6.3</v>
      </c>
      <c r="H5057" s="36" t="s">
        <v>229</v>
      </c>
      <c r="I5057" s="36" t="s">
        <v>1300</v>
      </c>
    </row>
    <row r="5058" spans="1:9" x14ac:dyDescent="0.2">
      <c r="A5058" s="38" t="s">
        <v>133</v>
      </c>
      <c r="B5058" s="28">
        <v>9991</v>
      </c>
      <c r="C5058" s="28">
        <v>5684848</v>
      </c>
      <c r="D5058" s="46"/>
      <c r="E5058" s="35">
        <v>46167</v>
      </c>
      <c r="F5058" s="49">
        <v>0.37981481481481483</v>
      </c>
      <c r="G5058" s="37">
        <v>6.3</v>
      </c>
      <c r="H5058" s="36" t="s">
        <v>230</v>
      </c>
      <c r="I5058" s="36" t="s">
        <v>1300</v>
      </c>
    </row>
    <row r="5059" spans="1:9" x14ac:dyDescent="0.2">
      <c r="A5059" s="38" t="s">
        <v>133</v>
      </c>
      <c r="B5059" s="28">
        <v>9991</v>
      </c>
      <c r="C5059" s="28">
        <v>5684848</v>
      </c>
      <c r="D5059" s="46"/>
      <c r="E5059" s="35">
        <v>46167</v>
      </c>
      <c r="F5059" s="49">
        <v>0.38798611111111109</v>
      </c>
      <c r="G5059" s="37">
        <v>6.3</v>
      </c>
      <c r="H5059" s="36" t="s">
        <v>227</v>
      </c>
      <c r="I5059" s="36" t="s">
        <v>1300</v>
      </c>
    </row>
    <row r="5060" spans="1:9" x14ac:dyDescent="0.2">
      <c r="A5060" s="38" t="s">
        <v>133</v>
      </c>
      <c r="B5060" s="28">
        <v>9991</v>
      </c>
      <c r="C5060" s="28">
        <v>5683898</v>
      </c>
      <c r="D5060" s="46"/>
      <c r="E5060" s="35">
        <v>46170</v>
      </c>
      <c r="F5060" s="49">
        <v>0.64246527777777773</v>
      </c>
      <c r="G5060" s="37">
        <v>6.3</v>
      </c>
      <c r="H5060" s="36" t="s">
        <v>228</v>
      </c>
      <c r="I5060" s="36" t="s">
        <v>1300</v>
      </c>
    </row>
    <row r="5061" spans="1:9" x14ac:dyDescent="0.2">
      <c r="A5061" s="38" t="s">
        <v>133</v>
      </c>
      <c r="B5061" s="28">
        <v>9991</v>
      </c>
      <c r="C5061" s="28">
        <v>5683898</v>
      </c>
      <c r="D5061" s="46"/>
      <c r="E5061" s="35">
        <v>46170</v>
      </c>
      <c r="F5061" s="49">
        <v>0.65959490740740745</v>
      </c>
      <c r="G5061" s="37">
        <v>6.3</v>
      </c>
      <c r="H5061" s="36" t="s">
        <v>229</v>
      </c>
      <c r="I5061" s="36" t="s">
        <v>1300</v>
      </c>
    </row>
    <row r="5062" spans="1:9" x14ac:dyDescent="0.2">
      <c r="A5062" s="38" t="s">
        <v>133</v>
      </c>
      <c r="B5062" s="28">
        <v>9991</v>
      </c>
      <c r="C5062" s="28" t="s">
        <v>1298</v>
      </c>
      <c r="D5062" s="46"/>
      <c r="E5062" s="35">
        <v>46171</v>
      </c>
      <c r="F5062" s="49">
        <v>0.43177083333333333</v>
      </c>
      <c r="G5062" s="37">
        <v>6.3</v>
      </c>
      <c r="H5062" s="36" t="s">
        <v>228</v>
      </c>
      <c r="I5062" s="36" t="s">
        <v>1300</v>
      </c>
    </row>
    <row r="5063" spans="1:9" x14ac:dyDescent="0.2">
      <c r="A5063" s="38" t="s">
        <v>133</v>
      </c>
      <c r="B5063" s="28">
        <v>9991</v>
      </c>
      <c r="C5063" s="28" t="s">
        <v>1298</v>
      </c>
      <c r="D5063" s="46"/>
      <c r="E5063" s="35">
        <v>46171</v>
      </c>
      <c r="F5063" s="49">
        <v>0.44557870370370373</v>
      </c>
      <c r="G5063" s="37">
        <v>6.3</v>
      </c>
      <c r="H5063" s="36" t="s">
        <v>232</v>
      </c>
      <c r="I5063" s="36" t="s">
        <v>1300</v>
      </c>
    </row>
    <row r="5064" spans="1:9" x14ac:dyDescent="0.2">
      <c r="A5064" s="38" t="s">
        <v>133</v>
      </c>
      <c r="B5064" s="28">
        <v>9991</v>
      </c>
      <c r="C5064" s="28" t="s">
        <v>35</v>
      </c>
      <c r="D5064" s="46" t="s">
        <v>38</v>
      </c>
      <c r="E5064" s="35">
        <v>46171</v>
      </c>
      <c r="F5064" s="49">
        <v>0.46620370370370373</v>
      </c>
      <c r="G5064" s="37">
        <v>6.3</v>
      </c>
      <c r="H5064" s="36" t="s">
        <v>231</v>
      </c>
      <c r="I5064" s="36" t="s">
        <v>1300</v>
      </c>
    </row>
    <row r="5065" spans="1:9" x14ac:dyDescent="0.2">
      <c r="A5065" s="38" t="s">
        <v>133</v>
      </c>
      <c r="B5065" s="28">
        <v>9991</v>
      </c>
      <c r="C5065" s="28" t="s">
        <v>35</v>
      </c>
      <c r="D5065" s="46" t="s">
        <v>38</v>
      </c>
      <c r="E5065" s="35">
        <v>46171</v>
      </c>
      <c r="F5065" s="49">
        <v>0.47159722222222222</v>
      </c>
      <c r="G5065" s="37">
        <v>6.3</v>
      </c>
      <c r="H5065" s="36" t="s">
        <v>227</v>
      </c>
      <c r="I5065" s="36" t="s">
        <v>1300</v>
      </c>
    </row>
    <row r="5066" spans="1:9" x14ac:dyDescent="0.2">
      <c r="A5066" s="38" t="s">
        <v>133</v>
      </c>
      <c r="B5066" s="28">
        <v>9991</v>
      </c>
      <c r="C5066" s="28" t="s">
        <v>1299</v>
      </c>
      <c r="D5066" s="46"/>
      <c r="E5066" s="35">
        <v>46171</v>
      </c>
      <c r="F5066" s="49">
        <v>0.56353009259259257</v>
      </c>
      <c r="G5066" s="37">
        <v>6.3</v>
      </c>
      <c r="H5066" s="36" t="s">
        <v>228</v>
      </c>
      <c r="I5066" s="36" t="s">
        <v>1300</v>
      </c>
    </row>
    <row r="5067" spans="1:9" x14ac:dyDescent="0.2">
      <c r="A5067" s="38" t="s">
        <v>133</v>
      </c>
      <c r="B5067" s="28">
        <v>9991</v>
      </c>
      <c r="C5067" s="28" t="s">
        <v>1299</v>
      </c>
      <c r="D5067" s="46"/>
      <c r="E5067" s="35">
        <v>46171</v>
      </c>
      <c r="F5067" s="49">
        <v>0.57315972222222222</v>
      </c>
      <c r="G5067" s="37">
        <v>6.3</v>
      </c>
      <c r="H5067" s="36" t="s">
        <v>229</v>
      </c>
      <c r="I5067" s="36" t="s">
        <v>1300</v>
      </c>
    </row>
    <row r="5068" spans="1:9" x14ac:dyDescent="0.2">
      <c r="A5068" s="38" t="s">
        <v>133</v>
      </c>
      <c r="B5068" s="28">
        <v>9991</v>
      </c>
      <c r="C5068" s="28" t="s">
        <v>35</v>
      </c>
      <c r="D5068" s="46" t="s">
        <v>38</v>
      </c>
      <c r="E5068" s="35">
        <v>46171</v>
      </c>
      <c r="F5068" s="49">
        <v>0.59023148148148152</v>
      </c>
      <c r="G5068" s="37">
        <v>6.3</v>
      </c>
      <c r="H5068" s="36" t="s">
        <v>230</v>
      </c>
      <c r="I5068" s="36" t="s">
        <v>1300</v>
      </c>
    </row>
    <row r="5069" spans="1:9" x14ac:dyDescent="0.2">
      <c r="A5069" s="38" t="s">
        <v>133</v>
      </c>
      <c r="B5069" s="28">
        <v>9991</v>
      </c>
      <c r="C5069" s="28" t="s">
        <v>35</v>
      </c>
      <c r="D5069" s="46" t="s">
        <v>38</v>
      </c>
      <c r="E5069" s="35">
        <v>46171</v>
      </c>
      <c r="F5069" s="49">
        <v>0.60453703703703698</v>
      </c>
      <c r="G5069" s="37">
        <v>6.3</v>
      </c>
      <c r="H5069" s="36" t="s">
        <v>227</v>
      </c>
      <c r="I5069" s="36" t="s">
        <v>1300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baseColWidth="10" defaultColWidth="11.42578125" defaultRowHeight="15" x14ac:dyDescent="0.2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 x14ac:dyDescent="0.25">
      <c r="A1" s="65" t="s">
        <v>19</v>
      </c>
      <c r="B1" s="65"/>
      <c r="C1" s="65"/>
      <c r="D1" s="9">
        <f>GETPIVOTDATA("Suma Reembolso",$A$4)</f>
        <v>0</v>
      </c>
      <c r="F1" s="65" t="s">
        <v>20</v>
      </c>
      <c r="G1" s="65"/>
      <c r="H1" s="65"/>
      <c r="I1" s="9">
        <f>GETPIVOTDATA("Suma Reembolso",$F$4)</f>
        <v>0</v>
      </c>
      <c r="K1" s="65" t="s">
        <v>21</v>
      </c>
      <c r="L1" s="65"/>
      <c r="M1" s="65"/>
      <c r="N1" s="9">
        <f>GETPIVOTDATA("Suma Reembolso",$K$4)</f>
        <v>0</v>
      </c>
    </row>
    <row r="2" spans="1:14" x14ac:dyDescent="0.25">
      <c r="A2" s="1" t="s">
        <v>3</v>
      </c>
      <c r="B2" t="s">
        <v>22</v>
      </c>
      <c r="F2" s="1" t="s">
        <v>3</v>
      </c>
      <c r="G2" t="s">
        <v>23</v>
      </c>
      <c r="K2" s="1" t="s">
        <v>3</v>
      </c>
      <c r="L2" t="s">
        <v>24</v>
      </c>
    </row>
    <row r="4" spans="1:14" x14ac:dyDescent="0.25">
      <c r="A4" s="1" t="s">
        <v>25</v>
      </c>
      <c r="B4" t="s">
        <v>26</v>
      </c>
      <c r="C4" t="s">
        <v>27</v>
      </c>
      <c r="F4" s="1" t="s">
        <v>25</v>
      </c>
      <c r="G4" t="s">
        <v>26</v>
      </c>
      <c r="H4" t="s">
        <v>27</v>
      </c>
      <c r="K4" s="1" t="s">
        <v>25</v>
      </c>
      <c r="L4" t="s">
        <v>26</v>
      </c>
      <c r="M4" t="s">
        <v>27</v>
      </c>
    </row>
    <row r="5" spans="1:14" x14ac:dyDescent="0.25">
      <c r="A5" s="2">
        <v>1698</v>
      </c>
      <c r="F5" s="2">
        <v>404</v>
      </c>
      <c r="K5" s="2">
        <v>404</v>
      </c>
    </row>
    <row r="6" spans="1:14" x14ac:dyDescent="0.25">
      <c r="A6" s="2">
        <v>3386</v>
      </c>
      <c r="F6" s="2">
        <v>423</v>
      </c>
      <c r="K6" s="2">
        <v>423</v>
      </c>
    </row>
    <row r="7" spans="1:14" x14ac:dyDescent="0.25">
      <c r="A7" s="2">
        <v>1413</v>
      </c>
      <c r="F7" s="2">
        <v>561</v>
      </c>
      <c r="K7" s="2">
        <v>561</v>
      </c>
    </row>
    <row r="8" spans="1:14" x14ac:dyDescent="0.25">
      <c r="A8" s="2">
        <v>1615</v>
      </c>
      <c r="F8" s="2">
        <v>722</v>
      </c>
      <c r="K8" s="2">
        <v>722</v>
      </c>
    </row>
    <row r="9" spans="1:14" x14ac:dyDescent="0.25">
      <c r="A9" s="2">
        <v>1675</v>
      </c>
      <c r="F9" s="2">
        <v>1981</v>
      </c>
      <c r="K9" s="2">
        <v>1981</v>
      </c>
    </row>
    <row r="10" spans="1:14" x14ac:dyDescent="0.25">
      <c r="A10" s="2">
        <v>208</v>
      </c>
      <c r="F10" s="2">
        <v>2035</v>
      </c>
      <c r="K10" s="2">
        <v>2035</v>
      </c>
    </row>
    <row r="11" spans="1:14" x14ac:dyDescent="0.25">
      <c r="A11" s="2">
        <v>1440</v>
      </c>
      <c r="F11" s="2">
        <v>2501</v>
      </c>
      <c r="K11" s="2">
        <v>2501</v>
      </c>
    </row>
    <row r="12" spans="1:14" x14ac:dyDescent="0.25">
      <c r="A12" s="2">
        <v>769</v>
      </c>
      <c r="F12" s="2">
        <v>2631</v>
      </c>
      <c r="K12" s="2">
        <v>2631</v>
      </c>
    </row>
    <row r="13" spans="1:14" x14ac:dyDescent="0.25">
      <c r="A13" s="2">
        <v>923</v>
      </c>
      <c r="F13" s="2">
        <v>5032</v>
      </c>
      <c r="K13" s="2">
        <v>5032</v>
      </c>
    </row>
    <row r="14" spans="1:14" x14ac:dyDescent="0.25">
      <c r="A14" s="2">
        <v>229</v>
      </c>
      <c r="F14" s="2">
        <v>521</v>
      </c>
      <c r="K14" s="2">
        <v>2135</v>
      </c>
    </row>
    <row r="15" spans="1:14" x14ac:dyDescent="0.25">
      <c r="A15" s="2">
        <v>713</v>
      </c>
      <c r="F15" s="2">
        <v>2135</v>
      </c>
      <c r="K15" s="2">
        <v>2220</v>
      </c>
    </row>
    <row r="16" spans="1:14" x14ac:dyDescent="0.25">
      <c r="A16" s="2">
        <v>902</v>
      </c>
      <c r="F16" s="2">
        <v>2220</v>
      </c>
      <c r="K16" s="2">
        <v>2278</v>
      </c>
    </row>
    <row r="17" spans="1:11" x14ac:dyDescent="0.25">
      <c r="A17" s="2">
        <v>828</v>
      </c>
      <c r="F17" s="2">
        <v>2253</v>
      </c>
      <c r="K17" s="2">
        <v>3173</v>
      </c>
    </row>
    <row r="18" spans="1:11" x14ac:dyDescent="0.25">
      <c r="A18" s="2">
        <v>2703</v>
      </c>
      <c r="F18" s="2">
        <v>2278</v>
      </c>
      <c r="K18" s="2">
        <v>5130</v>
      </c>
    </row>
    <row r="19" spans="1:11" x14ac:dyDescent="0.25">
      <c r="A19" s="2">
        <v>223</v>
      </c>
      <c r="F19" s="2">
        <v>3173</v>
      </c>
      <c r="K19" s="2">
        <v>420</v>
      </c>
    </row>
    <row r="20" spans="1:11" x14ac:dyDescent="0.25">
      <c r="A20" s="2">
        <v>1567</v>
      </c>
      <c r="F20" s="2">
        <v>5130</v>
      </c>
      <c r="K20" s="2">
        <v>2246</v>
      </c>
    </row>
    <row r="21" spans="1:11" x14ac:dyDescent="0.25">
      <c r="A21" s="2" t="s">
        <v>28</v>
      </c>
      <c r="F21" s="2">
        <v>420</v>
      </c>
      <c r="K21" s="2">
        <v>627</v>
      </c>
    </row>
    <row r="22" spans="1:11" x14ac:dyDescent="0.25">
      <c r="F22" s="2">
        <v>2246</v>
      </c>
      <c r="K22" s="2">
        <v>688</v>
      </c>
    </row>
    <row r="23" spans="1:11" x14ac:dyDescent="0.25">
      <c r="F23" s="2">
        <v>627</v>
      </c>
      <c r="K23" s="2">
        <v>2254</v>
      </c>
    </row>
    <row r="24" spans="1:11" x14ac:dyDescent="0.25">
      <c r="F24" s="2">
        <v>688</v>
      </c>
      <c r="K24" s="2">
        <v>466</v>
      </c>
    </row>
    <row r="25" spans="1:11" x14ac:dyDescent="0.25">
      <c r="F25" s="2">
        <v>2254</v>
      </c>
      <c r="K25" s="2">
        <v>412</v>
      </c>
    </row>
    <row r="26" spans="1:11" x14ac:dyDescent="0.25">
      <c r="F26" s="2">
        <v>398</v>
      </c>
      <c r="K26" s="2">
        <v>2039</v>
      </c>
    </row>
    <row r="27" spans="1:11" x14ac:dyDescent="0.25">
      <c r="F27" s="2">
        <v>466</v>
      </c>
      <c r="K27" s="2">
        <v>3456</v>
      </c>
    </row>
    <row r="28" spans="1:11" x14ac:dyDescent="0.25">
      <c r="F28" s="2">
        <v>2647</v>
      </c>
      <c r="K28" s="2">
        <v>2701</v>
      </c>
    </row>
    <row r="29" spans="1:11" x14ac:dyDescent="0.25">
      <c r="F29" s="2">
        <v>412</v>
      </c>
      <c r="K29" s="2">
        <v>529</v>
      </c>
    </row>
    <row r="30" spans="1:11" x14ac:dyDescent="0.25">
      <c r="F30" s="2">
        <v>2039</v>
      </c>
      <c r="K30" s="2">
        <v>626</v>
      </c>
    </row>
    <row r="31" spans="1:11" x14ac:dyDescent="0.25">
      <c r="F31" s="2">
        <v>2627</v>
      </c>
      <c r="K31" s="2">
        <v>331</v>
      </c>
    </row>
    <row r="32" spans="1:11" x14ac:dyDescent="0.25">
      <c r="F32" s="2">
        <v>3456</v>
      </c>
      <c r="K32" s="2" t="s">
        <v>28</v>
      </c>
    </row>
    <row r="33" spans="6:6" x14ac:dyDescent="0.25">
      <c r="F33" s="2">
        <v>2701</v>
      </c>
    </row>
    <row r="34" spans="6:6" x14ac:dyDescent="0.25">
      <c r="F34" s="2">
        <v>529</v>
      </c>
    </row>
    <row r="35" spans="6:6" x14ac:dyDescent="0.25">
      <c r="F35" s="2">
        <v>626</v>
      </c>
    </row>
    <row r="36" spans="6:6" x14ac:dyDescent="0.25">
      <c r="F36" s="2">
        <v>331</v>
      </c>
    </row>
    <row r="37" spans="6:6" x14ac:dyDescent="0.25">
      <c r="F37" s="2">
        <v>7092</v>
      </c>
    </row>
    <row r="38" spans="6:6" x14ac:dyDescent="0.25">
      <c r="F38" s="2" t="s">
        <v>28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 x14ac:dyDescent="0.25">
      <c r="A1" s="65" t="s">
        <v>29</v>
      </c>
      <c r="B1" s="65"/>
      <c r="C1" s="9">
        <f>GETPIVOTDATA("Monto",$A$6)</f>
        <v>2237.3999999999996</v>
      </c>
      <c r="E1" s="65" t="s">
        <v>30</v>
      </c>
      <c r="F1" s="65"/>
      <c r="G1" s="9">
        <f>GETPIVOTDATA("Monto",$E$6)</f>
        <v>2600.3999999999996</v>
      </c>
      <c r="I1" s="65" t="s">
        <v>31</v>
      </c>
      <c r="J1" s="65"/>
      <c r="K1" s="9">
        <f>GETPIVOTDATA("Monto",$I$5)</f>
        <v>567.59999999999991</v>
      </c>
      <c r="M1" s="65" t="s">
        <v>32</v>
      </c>
      <c r="N1" s="65"/>
      <c r="O1" s="9">
        <f>GETPIVOTDATA("Monto",$M$5)</f>
        <v>759.00000000000034</v>
      </c>
      <c r="Q1" s="65" t="s">
        <v>33</v>
      </c>
      <c r="R1" s="65"/>
      <c r="S1" s="9">
        <f>GETPIVOTDATA("Monto",$Q$5)</f>
        <v>72.599999999999994</v>
      </c>
      <c r="U1" s="65" t="s">
        <v>34</v>
      </c>
      <c r="V1" s="65"/>
      <c r="W1" s="9">
        <f>GETPIVOTDATA("Monto",$U$5)</f>
        <v>257.39999999999992</v>
      </c>
    </row>
    <row r="2" spans="1:23" x14ac:dyDescent="0.25">
      <c r="A2" s="1" t="s">
        <v>12</v>
      </c>
      <c r="B2" t="s">
        <v>35</v>
      </c>
      <c r="E2" s="1" t="s">
        <v>12</v>
      </c>
      <c r="F2" t="s">
        <v>35</v>
      </c>
      <c r="I2" s="1" t="s">
        <v>13</v>
      </c>
      <c r="J2" t="s">
        <v>36</v>
      </c>
      <c r="M2" s="1" t="s">
        <v>13</v>
      </c>
      <c r="N2" t="s">
        <v>36</v>
      </c>
      <c r="Q2" s="1" t="s">
        <v>13</v>
      </c>
      <c r="R2" t="s">
        <v>37</v>
      </c>
      <c r="U2" s="1" t="s">
        <v>13</v>
      </c>
      <c r="V2" t="s">
        <v>37</v>
      </c>
    </row>
    <row r="3" spans="1:23" x14ac:dyDescent="0.25">
      <c r="A3" s="1" t="s">
        <v>13</v>
      </c>
      <c r="B3" t="s">
        <v>38</v>
      </c>
      <c r="E3" s="1" t="s">
        <v>13</v>
      </c>
      <c r="F3" t="s">
        <v>38</v>
      </c>
      <c r="I3" s="1" t="s">
        <v>39</v>
      </c>
      <c r="J3" t="s">
        <v>40</v>
      </c>
      <c r="M3" s="1" t="s">
        <v>39</v>
      </c>
      <c r="N3" t="s">
        <v>41</v>
      </c>
      <c r="Q3" s="1" t="s">
        <v>39</v>
      </c>
      <c r="R3" t="s">
        <v>40</v>
      </c>
      <c r="U3" s="1" t="s">
        <v>39</v>
      </c>
      <c r="V3" t="s">
        <v>41</v>
      </c>
    </row>
    <row r="4" spans="1:23" x14ac:dyDescent="0.25">
      <c r="A4" s="1" t="s">
        <v>39</v>
      </c>
      <c r="B4" t="s">
        <v>40</v>
      </c>
      <c r="E4" s="1" t="s">
        <v>39</v>
      </c>
      <c r="F4" t="s">
        <v>41</v>
      </c>
    </row>
    <row r="5" spans="1:23" x14ac:dyDescent="0.25">
      <c r="I5" s="1" t="s">
        <v>25</v>
      </c>
      <c r="J5" t="s">
        <v>42</v>
      </c>
      <c r="M5" s="1" t="s">
        <v>25</v>
      </c>
      <c r="N5" t="s">
        <v>42</v>
      </c>
      <c r="Q5" s="1" t="s">
        <v>25</v>
      </c>
      <c r="R5" t="s">
        <v>42</v>
      </c>
      <c r="U5" s="1" t="s">
        <v>25</v>
      </c>
      <c r="V5" t="s">
        <v>42</v>
      </c>
    </row>
    <row r="6" spans="1:23" x14ac:dyDescent="0.25">
      <c r="A6" s="1" t="s">
        <v>25</v>
      </c>
      <c r="B6" t="s">
        <v>42</v>
      </c>
      <c r="E6" s="1" t="s">
        <v>25</v>
      </c>
      <c r="F6" t="s">
        <v>42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 x14ac:dyDescent="0.25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 x14ac:dyDescent="0.25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 x14ac:dyDescent="0.25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 x14ac:dyDescent="0.25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 x14ac:dyDescent="0.25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28</v>
      </c>
      <c r="R11">
        <v>72.599999999999994</v>
      </c>
      <c r="U11" s="2">
        <v>790</v>
      </c>
      <c r="V11">
        <v>13.2</v>
      </c>
    </row>
    <row r="12" spans="1:23" x14ac:dyDescent="0.25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 x14ac:dyDescent="0.25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 x14ac:dyDescent="0.25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 x14ac:dyDescent="0.25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 x14ac:dyDescent="0.25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 x14ac:dyDescent="0.25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 x14ac:dyDescent="0.25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 x14ac:dyDescent="0.25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 x14ac:dyDescent="0.25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 x14ac:dyDescent="0.25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 x14ac:dyDescent="0.25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 x14ac:dyDescent="0.25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 x14ac:dyDescent="0.25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 x14ac:dyDescent="0.25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28</v>
      </c>
      <c r="V25">
        <v>257.39999999999992</v>
      </c>
    </row>
    <row r="26" spans="1:22" x14ac:dyDescent="0.25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 x14ac:dyDescent="0.25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 x14ac:dyDescent="0.25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 x14ac:dyDescent="0.25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 x14ac:dyDescent="0.25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 x14ac:dyDescent="0.25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 x14ac:dyDescent="0.25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 x14ac:dyDescent="0.25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 x14ac:dyDescent="0.25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 x14ac:dyDescent="0.25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 x14ac:dyDescent="0.25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 x14ac:dyDescent="0.25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 x14ac:dyDescent="0.25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 x14ac:dyDescent="0.25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 x14ac:dyDescent="0.25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 x14ac:dyDescent="0.25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 x14ac:dyDescent="0.25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 x14ac:dyDescent="0.25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 x14ac:dyDescent="0.25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28</v>
      </c>
      <c r="J44">
        <v>567.59999999999991</v>
      </c>
      <c r="M44" s="2">
        <v>1624</v>
      </c>
      <c r="N44">
        <v>13.2</v>
      </c>
    </row>
    <row r="45" spans="1:14" x14ac:dyDescent="0.25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 x14ac:dyDescent="0.25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 x14ac:dyDescent="0.25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 x14ac:dyDescent="0.25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 x14ac:dyDescent="0.25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 x14ac:dyDescent="0.25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 x14ac:dyDescent="0.25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 x14ac:dyDescent="0.25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 x14ac:dyDescent="0.25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 x14ac:dyDescent="0.25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 x14ac:dyDescent="0.25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 x14ac:dyDescent="0.25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 x14ac:dyDescent="0.25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 x14ac:dyDescent="0.25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 x14ac:dyDescent="0.25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 x14ac:dyDescent="0.25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 x14ac:dyDescent="0.25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 x14ac:dyDescent="0.25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 x14ac:dyDescent="0.25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28</v>
      </c>
      <c r="N63">
        <v>759.00000000000034</v>
      </c>
    </row>
    <row r="64" spans="1:14" x14ac:dyDescent="0.25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 x14ac:dyDescent="0.25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 x14ac:dyDescent="0.25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 x14ac:dyDescent="0.25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 x14ac:dyDescent="0.25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 x14ac:dyDescent="0.25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 x14ac:dyDescent="0.25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 x14ac:dyDescent="0.25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 x14ac:dyDescent="0.25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 x14ac:dyDescent="0.25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 x14ac:dyDescent="0.25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 x14ac:dyDescent="0.25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 x14ac:dyDescent="0.25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 x14ac:dyDescent="0.25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 x14ac:dyDescent="0.25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 x14ac:dyDescent="0.25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 x14ac:dyDescent="0.25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 x14ac:dyDescent="0.25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 x14ac:dyDescent="0.25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 x14ac:dyDescent="0.25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 x14ac:dyDescent="0.25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 x14ac:dyDescent="0.25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 x14ac:dyDescent="0.25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 x14ac:dyDescent="0.25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 x14ac:dyDescent="0.25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 x14ac:dyDescent="0.25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 x14ac:dyDescent="0.25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 x14ac:dyDescent="0.25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 x14ac:dyDescent="0.25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 x14ac:dyDescent="0.25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 x14ac:dyDescent="0.25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 x14ac:dyDescent="0.25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 x14ac:dyDescent="0.25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 x14ac:dyDescent="0.25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 x14ac:dyDescent="0.25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 x14ac:dyDescent="0.25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 x14ac:dyDescent="0.25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 x14ac:dyDescent="0.25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 x14ac:dyDescent="0.25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 x14ac:dyDescent="0.25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 x14ac:dyDescent="0.25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 x14ac:dyDescent="0.25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 x14ac:dyDescent="0.25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 x14ac:dyDescent="0.25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 x14ac:dyDescent="0.25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 x14ac:dyDescent="0.25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 x14ac:dyDescent="0.25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 x14ac:dyDescent="0.25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 x14ac:dyDescent="0.25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 x14ac:dyDescent="0.25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 x14ac:dyDescent="0.25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 x14ac:dyDescent="0.25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 x14ac:dyDescent="0.25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 x14ac:dyDescent="0.25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 x14ac:dyDescent="0.25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 x14ac:dyDescent="0.25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 x14ac:dyDescent="0.25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 x14ac:dyDescent="0.25">
      <c r="A121" s="2" t="s">
        <v>28</v>
      </c>
      <c r="B121">
        <v>2237.3999999999996</v>
      </c>
      <c r="C121" s="2"/>
      <c r="D121" s="2"/>
      <c r="E121" s="2">
        <v>9020</v>
      </c>
      <c r="F121">
        <v>13.2</v>
      </c>
    </row>
    <row r="122" spans="1:6" x14ac:dyDescent="0.25">
      <c r="C122" s="2"/>
      <c r="D122" s="2"/>
      <c r="E122" s="2" t="s">
        <v>28</v>
      </c>
      <c r="F122">
        <v>2600.3999999999996</v>
      </c>
    </row>
    <row r="123" spans="1:6" x14ac:dyDescent="0.25">
      <c r="C123" s="2"/>
      <c r="D123" s="2"/>
    </row>
    <row r="124" spans="1:6" x14ac:dyDescent="0.25">
      <c r="C124" s="2"/>
      <c r="D124" s="2"/>
    </row>
    <row r="125" spans="1:6" x14ac:dyDescent="0.25">
      <c r="C125" s="2"/>
      <c r="D125" s="2"/>
    </row>
    <row r="126" spans="1:6" x14ac:dyDescent="0.25">
      <c r="C126" s="2"/>
      <c r="D126" s="2"/>
    </row>
    <row r="127" spans="1:6" x14ac:dyDescent="0.25">
      <c r="C127" s="2"/>
      <c r="D127" s="2"/>
    </row>
    <row r="128" spans="1:6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97"/>
  <sheetViews>
    <sheetView tabSelected="1" zoomScale="85" zoomScaleNormal="85" workbookViewId="0">
      <selection activeCell="E460" sqref="E460"/>
    </sheetView>
  </sheetViews>
  <sheetFormatPr baseColWidth="10" defaultColWidth="11.42578125" defaultRowHeight="15" x14ac:dyDescent="0.25"/>
  <cols>
    <col min="2" max="5" width="39.42578125" customWidth="1"/>
    <col min="6" max="6" width="33" customWidth="1"/>
    <col min="7" max="7" width="18.28515625" bestFit="1" customWidth="1"/>
  </cols>
  <sheetData>
    <row r="1" spans="1:7" ht="23.45" customHeight="1" x14ac:dyDescent="0.25">
      <c r="A1" s="7" t="s">
        <v>11</v>
      </c>
      <c r="B1" s="3" t="s">
        <v>43</v>
      </c>
      <c r="C1" s="3" t="s">
        <v>44</v>
      </c>
      <c r="D1" s="4" t="s">
        <v>45</v>
      </c>
      <c r="E1" s="4" t="s">
        <v>46</v>
      </c>
      <c r="F1" s="3" t="s">
        <v>47</v>
      </c>
      <c r="G1" s="3" t="s">
        <v>3</v>
      </c>
    </row>
    <row r="2" spans="1:7" x14ac:dyDescent="0.25">
      <c r="A2" s="64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12.6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" s="5" t="str">
        <f>VLOOKUP(Tabla38[[#This Row],[MOVIL]],[1]BD!$A$1:$P$3557,13,0)</f>
        <v>AEROPUERTO</v>
      </c>
    </row>
    <row r="3" spans="1:7" x14ac:dyDescent="0.25">
      <c r="A3" s="64">
        <v>210</v>
      </c>
      <c r="B3" s="5">
        <f>+SUMIFS(Tabla16[Importe],Tabla16[MOVIL],Tabla38[[#This Row],[MOVIL]],Tabla16[OBSV],"DESCONTAR POR USO PERSONAL")</f>
        <v>12.6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" s="5" t="str">
        <f>VLOOKUP(Tabla38[[#This Row],[MOVIL]],[1]BD!$A$1:$P$3557,13,0)</f>
        <v>AEROPUERTO</v>
      </c>
    </row>
    <row r="4" spans="1:7" x14ac:dyDescent="0.25">
      <c r="A4" s="64">
        <v>2246</v>
      </c>
      <c r="B4" s="5">
        <f>+SUMIFS(Tabla16[Importe],Tabla16[MOVIL],Tabla38[[#This Row],[MOVIL]],Tabla16[OBSV],"DESCONTAR POR USO PERSONAL")</f>
        <v>6.3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12.6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" s="5" t="str">
        <f>VLOOKUP(Tabla38[[#This Row],[MOVIL]],[1]BD!$A$1:$P$3557,13,0)</f>
        <v>MEMBRESÍA URBANO</v>
      </c>
    </row>
    <row r="5" spans="1:7" x14ac:dyDescent="0.25">
      <c r="A5" s="64">
        <v>1981</v>
      </c>
      <c r="B5" s="5">
        <f>+SUMIFS(Tabla16[Importe],Tabla16[MOVIL],Tabla38[[#This Row],[MOVIL]],Tabla16[OBSV],"DESCONTAR POR USO PERSONAL")</f>
        <v>12.6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" s="5" t="str">
        <f>VLOOKUP(Tabla38[[#This Row],[MOVIL]],[1]BD!$A$1:$P$3557,13,0)</f>
        <v>URBANO</v>
      </c>
    </row>
    <row r="6" spans="1:7" x14ac:dyDescent="0.25">
      <c r="A6" s="64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" s="5" t="str">
        <f>VLOOKUP(Tabla38[[#This Row],[MOVIL]],[1]BD!$A$1:$P$3557,13,0)</f>
        <v>AEROPUERTO</v>
      </c>
    </row>
    <row r="7" spans="1:7" x14ac:dyDescent="0.25">
      <c r="A7" s="64">
        <v>3243</v>
      </c>
      <c r="B7" s="5">
        <f>+SUMIFS(Tabla16[Importe],Tabla16[MOVIL],Tabla38[[#This Row],[MOVIL]],Tabla16[OBSV],"DESCONTAR POR USO PERSONAL")</f>
        <v>6.3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" s="5" t="str">
        <f>VLOOKUP(Tabla38[[#This Row],[MOVIL]],[1]BD!$A$1:$P$3557,13,0)</f>
        <v>AEROLINEAS</v>
      </c>
    </row>
    <row r="8" spans="1:7" x14ac:dyDescent="0.25">
      <c r="A8" s="64">
        <v>9214</v>
      </c>
      <c r="B8" s="5">
        <f>+SUMIFS(Tabla16[Importe],Tabla16[MOVIL],Tabla38[[#This Row],[MOVIL]],Tabla16[OBSV],"DESCONTAR POR USO PERSONAL")</f>
        <v>0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" s="5" t="str">
        <f>VLOOKUP(Tabla38[[#This Row],[MOVIL]],[1]BD!$A$1:$P$3557,13,0)</f>
        <v>MEMBRESÍA URBANO</v>
      </c>
    </row>
    <row r="9" spans="1:7" x14ac:dyDescent="0.25">
      <c r="A9" s="64">
        <v>674</v>
      </c>
      <c r="B9" s="5">
        <f>+SUMIFS(Tabla16[Importe],Tabla16[MOVIL],Tabla38[[#This Row],[MOVIL]],Tabla16[OBSV],"DESCONTAR POR USO PERSONAL")</f>
        <v>18.899999999999999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" s="5" t="str">
        <f>VLOOKUP(Tabla38[[#This Row],[MOVIL]],[1]BD!$A$1:$P$3557,13,0)</f>
        <v>URBANO</v>
      </c>
    </row>
    <row r="10" spans="1:7" x14ac:dyDescent="0.25">
      <c r="A10" s="64">
        <v>230</v>
      </c>
      <c r="B10" s="5">
        <f>+SUMIFS(Tabla16[Importe],Tabla16[MOVIL],Tabla38[[#This Row],[MOVIL]],Tabla16[OBSV],"DESCONTAR POR USO PERSONAL")</f>
        <v>0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" s="5" t="str">
        <f>VLOOKUP(Tabla38[[#This Row],[MOVIL]],[1]BD!$A$1:$P$3557,13,0)</f>
        <v>AEROPUERTO</v>
      </c>
    </row>
    <row r="11" spans="1:7" x14ac:dyDescent="0.25">
      <c r="A11" s="8">
        <v>7090</v>
      </c>
      <c r="B11" s="5">
        <f>+SUMIFS(Tabla16[Importe],Tabla16[MOVIL],Tabla38[[#This Row],[MOVIL]],Tabla16[OBSV],"DESCONTAR POR USO PERSONAL")</f>
        <v>25.2</v>
      </c>
      <c r="C11" s="5">
        <f>+SUMIFS(Tabla16[Importe],Tabla16[MOVIL],Tabla38[[#This Row],[MOVIL]],Tabla16[OBSV],"DESCONTAR POR INCIDENCIA")</f>
        <v>12.6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" s="5" t="str">
        <f>VLOOKUP(Tabla38[[#This Row],[MOVIL]],[2]BD!$A$1:$P$256,13,0)</f>
        <v>JOCKEY PLAZA</v>
      </c>
    </row>
    <row r="12" spans="1:7" x14ac:dyDescent="0.25">
      <c r="A12" s="64">
        <v>1524</v>
      </c>
      <c r="B12" s="5">
        <f>+SUMIFS(Tabla16[Importe],Tabla16[MOVIL],Tabla38[[#This Row],[MOVIL]],Tabla16[OBSV],"DESCONTAR POR USO PERSONAL")</f>
        <v>56.699999999999989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2" s="5" t="str">
        <f>VLOOKUP(Tabla38[[#This Row],[MOVIL]],[1]BD!$A$1:$P$3557,13,0)</f>
        <v>AEROPUERTO VAN</v>
      </c>
    </row>
    <row r="13" spans="1:7" x14ac:dyDescent="0.25">
      <c r="A13" s="64">
        <v>7065</v>
      </c>
      <c r="B13" s="5">
        <f>+SUMIFS(Tabla16[Importe],Tabla16[MOVIL],Tabla38[[#This Row],[MOVIL]],Tabla16[OBSV],"DESCONTAR POR USO PERSONAL")</f>
        <v>6.3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" s="5" t="str">
        <f>VLOOKUP(Tabla38[[#This Row],[MOVIL]],[1]BD!$A$1:$P$3557,13,0)</f>
        <v>MEMBRESÍA URBANO</v>
      </c>
    </row>
    <row r="14" spans="1:7" x14ac:dyDescent="0.25">
      <c r="A14" s="64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5" t="str">
        <f>VLOOKUP(Tabla38[[#This Row],[MOVIL]],[1]BD!$A$1:$P$3557,13,0)</f>
        <v>AEROPUERTO</v>
      </c>
    </row>
    <row r="15" spans="1:7" x14ac:dyDescent="0.25">
      <c r="A15" s="64">
        <v>2308</v>
      </c>
      <c r="B15" s="5">
        <f>+SUMIFS(Tabla16[Importe],Tabla16[MOVIL],Tabla38[[#This Row],[MOVIL]],Tabla16[OBSV],"DESCONTAR POR USO PERSONAL")</f>
        <v>6.3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6.3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" s="5" t="str">
        <f>VLOOKUP(Tabla38[[#This Row],[MOVIL]],[1]BD!$A$1:$P$3557,13,0)</f>
        <v>URBANO</v>
      </c>
    </row>
    <row r="16" spans="1:7" x14ac:dyDescent="0.25">
      <c r="A16" s="64">
        <v>826</v>
      </c>
      <c r="B16" s="5">
        <f>+SUMIFS(Tabla16[Importe],Tabla16[MOVIL],Tabla38[[#This Row],[MOVIL]],Tabla16[OBSV],"DESCONTAR POR USO PERSONAL")</f>
        <v>37.799999999999997</v>
      </c>
      <c r="C16" s="5">
        <f>+SUMIFS(Tabla16[Importe],Tabla16[MOVIL],Tabla38[[#This Row],[MOVIL]],Tabla16[OBSV],"DESCONTAR POR INCIDENCIA")</f>
        <v>12.6</v>
      </c>
      <c r="D16" s="5">
        <f>+SUMIFS(Tabla16[Importe],Tabla16[MOVIL],Tabla38[[#This Row],[MOVIL]],Tabla16[OBSV],"DESCONTAR SERVICIO EN EFECTIVO")</f>
        <v>6.3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6" s="5" t="str">
        <f>VLOOKUP(Tabla38[[#This Row],[MOVIL]],[1]BD!$A$1:$P$3557,13,0)</f>
        <v>AEROPUERTO</v>
      </c>
    </row>
    <row r="17" spans="1:7" x14ac:dyDescent="0.25">
      <c r="A17" s="8">
        <v>7045</v>
      </c>
      <c r="B17" s="5">
        <f>+SUMIFS(Tabla16[Importe],Tabla16[MOVIL],Tabla38[[#This Row],[MOVIL]],Tabla16[OBSV],"DESCONTAR POR USO PERSONAL")</f>
        <v>12.6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" s="5" t="str">
        <f>VLOOKUP(Tabla38[[#This Row],[MOVIL]],[2]BD!$A$1:$P$256,13,0)</f>
        <v>JOCKEY PLAZA</v>
      </c>
    </row>
    <row r="18" spans="1:7" x14ac:dyDescent="0.25">
      <c r="A18" s="64">
        <v>3683</v>
      </c>
      <c r="B18" s="5">
        <f>+SUMIFS(Tabla16[Importe],Tabla16[MOVIL],Tabla38[[#This Row],[MOVIL]],Tabla16[OBSV],"DESCONTAR POR USO PERSONAL")</f>
        <v>6.3</v>
      </c>
      <c r="C18" s="5">
        <f>+SUMIFS(Tabla16[Importe],Tabla16[MOVIL],Tabla38[[#This Row],[MOVIL]],Tabla16[OBSV],"DESCONTAR POR INCIDENCIA")</f>
        <v>18.899999999999999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" s="5" t="str">
        <f>VLOOKUP(Tabla38[[#This Row],[MOVIL]],[1]BD!$A$1:$P$3557,13,0)</f>
        <v>AEROLINEAS</v>
      </c>
    </row>
    <row r="19" spans="1:7" x14ac:dyDescent="0.25">
      <c r="A19" s="8">
        <v>9259</v>
      </c>
      <c r="B19" s="5">
        <f>+SUMIFS(Tabla16[Importe],Tabla16[MOVIL],Tabla38[[#This Row],[MOVIL]],Tabla16[OBSV],"DESCONTAR POR USO PERSONAL")</f>
        <v>0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" s="5" t="str">
        <f>VLOOKUP(Tabla38[[#This Row],[MOVIL]],[2]BD!$A$1:$P$256,13,0)</f>
        <v>JOCKEY PLAZA</v>
      </c>
    </row>
    <row r="20" spans="1:7" x14ac:dyDescent="0.25">
      <c r="A20" s="64">
        <v>2463</v>
      </c>
      <c r="B20" s="5">
        <f>+SUMIFS(Tabla16[Importe],Tabla16[MOVIL],Tabla38[[#This Row],[MOVIL]],Tabla16[OBSV],"DESCONTAR POR USO PERSONAL")</f>
        <v>50.399999999999991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0" s="5" t="str">
        <f>VLOOKUP(Tabla38[[#This Row],[MOVIL]],[1]BD!$A$1:$P$3557,13,0)</f>
        <v>URBANO</v>
      </c>
    </row>
    <row r="21" spans="1:7" x14ac:dyDescent="0.25">
      <c r="A21" s="8">
        <v>9761</v>
      </c>
      <c r="B21" s="5">
        <f>+SUMIFS(Tabla16[Importe],Tabla16[MOVIL],Tabla38[[#This Row],[MOVIL]],Tabla16[OBSV],"DESCONTAR POR USO PERSONAL")</f>
        <v>6.3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" s="5" t="str">
        <f>VLOOKUP(Tabla38[[#This Row],[MOVIL]],[2]BD!$A$1:$P$256,13,0)</f>
        <v>JOCKEY PLAZA</v>
      </c>
    </row>
    <row r="22" spans="1:7" x14ac:dyDescent="0.25">
      <c r="A22" s="64">
        <v>9226</v>
      </c>
      <c r="B22" s="5">
        <f>+SUMIFS(Tabla16[Importe],Tabla16[MOVIL],Tabla38[[#This Row],[MOVIL]],Tabla16[OBSV],"DESCONTAR POR USO PERSONAL")</f>
        <v>6.3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" s="5" t="str">
        <f>VLOOKUP(Tabla38[[#This Row],[MOVIL]],[1]BD!$A$1:$P$3557,13,0)</f>
        <v>MEMBRESÍA URBANO</v>
      </c>
    </row>
    <row r="23" spans="1:7" x14ac:dyDescent="0.25">
      <c r="A23" s="64">
        <v>2848</v>
      </c>
      <c r="B23" s="5">
        <f>+SUMIFS(Tabla16[Importe],Tabla16[MOVIL],Tabla38[[#This Row],[MOVIL]],Tabla16[OBSV],"DESCONTAR POR USO PERSONAL")</f>
        <v>31.5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12.6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3" s="5" t="str">
        <f>VLOOKUP(Tabla38[[#This Row],[MOVIL]],[1]BD!$A$1:$P$3557,13,0)</f>
        <v>AEROPUERTO</v>
      </c>
    </row>
    <row r="24" spans="1:7" x14ac:dyDescent="0.25">
      <c r="A24" s="64">
        <v>790</v>
      </c>
      <c r="B24" s="5">
        <f>+SUMIFS(Tabla16[Importe],Tabla16[MOVIL],Tabla38[[#This Row],[MOVIL]],Tabla16[OBSV],"DESCONTAR POR USO PERSONAL")</f>
        <v>31.5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" s="5" t="str">
        <f>VLOOKUP(Tabla38[[#This Row],[MOVIL]],[1]BD!$A$1:$P$3557,13,0)</f>
        <v>AEROPUERTO</v>
      </c>
    </row>
    <row r="25" spans="1:7" x14ac:dyDescent="0.25">
      <c r="A25" s="8">
        <v>7438</v>
      </c>
      <c r="B25" s="5">
        <f>+SUMIFS(Tabla16[Importe],Tabla16[MOVIL],Tabla38[[#This Row],[MOVIL]],Tabla16[OBSV],"DESCONTAR POR USO PERSONAL")</f>
        <v>0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" s="5" t="str">
        <f>VLOOKUP(Tabla38[[#This Row],[MOVIL]],[2]BD!$A$1:$P$256,13,0)</f>
        <v>JOCKEY PLAZA</v>
      </c>
    </row>
    <row r="26" spans="1:7" x14ac:dyDescent="0.25">
      <c r="A26" s="64">
        <v>529</v>
      </c>
      <c r="B26" s="5">
        <f>+SUMIFS(Tabla16[Importe],Tabla16[MOVIL],Tabla38[[#This Row],[MOVIL]],Tabla16[OBSV],"DESCONTAR POR USO PERSONAL")</f>
        <v>12.6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" s="5" t="str">
        <f>VLOOKUP(Tabla38[[#This Row],[MOVIL]],[1]BD!$A$1:$P$3557,13,0)</f>
        <v>URBANO</v>
      </c>
    </row>
    <row r="27" spans="1:7" x14ac:dyDescent="0.25">
      <c r="A27" s="64">
        <v>660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" s="5" t="str">
        <f>VLOOKUP(Tabla38[[#This Row],[MOVIL]],[1]BD!$A$1:$P$3557,13,0)</f>
        <v>URBANO</v>
      </c>
    </row>
    <row r="28" spans="1:7" x14ac:dyDescent="0.25">
      <c r="A28" s="64">
        <v>5162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12.6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" s="5" t="str">
        <f>VLOOKUP(Tabla38[[#This Row],[MOVIL]],[1]BD!$A$1:$P$3557,13,0)</f>
        <v>AEROLINEAS</v>
      </c>
    </row>
    <row r="29" spans="1:7" x14ac:dyDescent="0.25">
      <c r="A29" s="64">
        <v>3775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" s="5" t="str">
        <f>VLOOKUP(Tabla38[[#This Row],[MOVIL]],[1]BD!$A$1:$P$3557,13,0)</f>
        <v>URBANO PARTNER</v>
      </c>
    </row>
    <row r="30" spans="1:7" x14ac:dyDescent="0.25">
      <c r="A30" s="64">
        <v>2278</v>
      </c>
      <c r="B30" s="5">
        <f>+SUMIFS(Tabla16[Importe],Tabla16[MOVIL],Tabla38[[#This Row],[MOVIL]],Tabla16[OBSV],"DESCONTAR POR USO PERSONAL")</f>
        <v>6.3</v>
      </c>
      <c r="C30" s="5">
        <f>+SUMIFS(Tabla16[Importe],Tabla16[MOVIL],Tabla38[[#This Row],[MOVIL]],Tabla16[OBSV],"DESCONTAR POR INCIDENCIA")</f>
        <v>6.3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" s="5" t="str">
        <f>VLOOKUP(Tabla38[[#This Row],[MOVIL]],[1]BD!$A$1:$P$3557,13,0)</f>
        <v>URBANO</v>
      </c>
    </row>
    <row r="31" spans="1:7" x14ac:dyDescent="0.25">
      <c r="A31" s="8">
        <v>2736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" s="5" t="str">
        <f>VLOOKUP(Tabla38[[#This Row],[MOVIL]],[2]BD!$A$1:$P$256,13,0)</f>
        <v>JOCKEY PLAZA</v>
      </c>
    </row>
    <row r="32" spans="1:7" x14ac:dyDescent="0.25">
      <c r="A32" s="64">
        <v>1445</v>
      </c>
      <c r="B32" s="5">
        <f>+SUMIFS(Tabla16[Importe],Tabla16[MOVIL],Tabla38[[#This Row],[MOVIL]],Tabla16[OBSV],"DESCONTAR POR USO PERSONAL")</f>
        <v>75.59999999999998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2" s="5" t="str">
        <f>VLOOKUP(Tabla38[[#This Row],[MOVIL]],[1]BD!$A$1:$P$3557,13,0)</f>
        <v>AEROPUERTO</v>
      </c>
    </row>
    <row r="33" spans="1:7" x14ac:dyDescent="0.25">
      <c r="A33" s="64">
        <v>1226</v>
      </c>
      <c r="B33" s="5">
        <f>+SUMIFS(Tabla16[Importe],Tabla16[MOVIL],Tabla38[[#This Row],[MOVIL]],Tabla16[OBSV],"DESCONTAR POR USO PERSONAL")</f>
        <v>31.5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" s="5" t="str">
        <f>VLOOKUP(Tabla38[[#This Row],[MOVIL]],[1]BD!$A$1:$P$3557,13,0)</f>
        <v>AEROPUERTO</v>
      </c>
    </row>
    <row r="34" spans="1:7" x14ac:dyDescent="0.25">
      <c r="A34" s="64">
        <v>553</v>
      </c>
      <c r="B34" s="5">
        <f>+SUMIFS(Tabla16[Importe],Tabla16[MOVIL],Tabla38[[#This Row],[MOVIL]],Tabla16[OBSV],"DESCONTAR POR USO PERSONAL")</f>
        <v>6.3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" s="5" t="str">
        <f>VLOOKUP(Tabla38[[#This Row],[MOVIL]],[1]BD!$A$1:$P$3557,13,0)</f>
        <v>URBANO</v>
      </c>
    </row>
    <row r="35" spans="1:7" x14ac:dyDescent="0.25">
      <c r="A35" s="64">
        <v>3160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" s="5" t="str">
        <f>VLOOKUP(Tabla38[[#This Row],[MOVIL]],[1]BD!$A$1:$P$3557,13,0)</f>
        <v>AEROLINEAS</v>
      </c>
    </row>
    <row r="36" spans="1:7" x14ac:dyDescent="0.25">
      <c r="A36" s="8">
        <v>9604</v>
      </c>
      <c r="B36" s="5">
        <f>+SUMIFS(Tabla16[Importe],Tabla16[MOVIL],Tabla38[[#This Row],[MOVIL]],Tabla16[OBSV],"DESCONTAR POR USO PERSONAL")</f>
        <v>0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25.2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" s="5" t="str">
        <f>VLOOKUP(Tabla38[[#This Row],[MOVIL]],[2]BD!$A$1:$P$256,13,0)</f>
        <v>JOCKEY PLAZA</v>
      </c>
    </row>
    <row r="37" spans="1:7" x14ac:dyDescent="0.25">
      <c r="A37" s="64">
        <v>807</v>
      </c>
      <c r="B37" s="5">
        <f>+SUMIFS(Tabla16[Importe],Tabla16[MOVIL],Tabla38[[#This Row],[MOVIL]],Tabla16[OBSV],"DESCONTAR POR USO PERSONAL")</f>
        <v>25.2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" s="5" t="str">
        <f>VLOOKUP(Tabla38[[#This Row],[MOVIL]],[1]BD!$A$1:$P$3557,13,0)</f>
        <v>AEROPUERTO</v>
      </c>
    </row>
    <row r="38" spans="1:7" x14ac:dyDescent="0.25">
      <c r="A38" s="64">
        <v>1537</v>
      </c>
      <c r="B38" s="5">
        <f>+SUMIFS(Tabla16[Importe],Tabla16[MOVIL],Tabla38[[#This Row],[MOVIL]],Tabla16[OBSV],"DESCONTAR POR USO PERSONAL")</f>
        <v>25.2</v>
      </c>
      <c r="C38" s="5">
        <f>+SUMIFS(Tabla16[Importe],Tabla16[MOVIL],Tabla38[[#This Row],[MOVIL]],Tabla16[OBSV],"DESCONTAR POR INCIDENCIA")</f>
        <v>12.6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8" s="5" t="str">
        <f>VLOOKUP(Tabla38[[#This Row],[MOVIL]],[1]BD!$A$1:$P$3557,13,0)</f>
        <v>AEROLINEAS</v>
      </c>
    </row>
    <row r="39" spans="1:7" x14ac:dyDescent="0.25">
      <c r="A39" s="64">
        <v>1673</v>
      </c>
      <c r="B39" s="5">
        <f>+SUMIFS(Tabla16[Importe],Tabla16[MOVIL],Tabla38[[#This Row],[MOVIL]],Tabla16[OBSV],"DESCONTAR POR USO PERSONAL")</f>
        <v>0</v>
      </c>
      <c r="C39" s="5">
        <f>+SUMIFS(Tabla16[Importe],Tabla16[MOVIL],Tabla38[[#This Row],[MOVIL]],Tabla16[OBSV],"DESCONTAR POR INCIDENCIA")</f>
        <v>12.6</v>
      </c>
      <c r="D39" s="5">
        <f>+SUMIFS(Tabla16[Importe],Tabla16[MOVIL],Tabla38[[#This Row],[MOVIL]],Tabla16[OBSV],"DESCONTAR SERVICIO EN EFECTIVO")</f>
        <v>6.3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" s="5" t="str">
        <f>VLOOKUP(Tabla38[[#This Row],[MOVIL]],[1]BD!$A$1:$P$3557,13,0)</f>
        <v>AEROPUERTO VAN</v>
      </c>
    </row>
    <row r="40" spans="1:7" x14ac:dyDescent="0.25">
      <c r="A40" s="64">
        <v>221</v>
      </c>
      <c r="B40" s="5">
        <f>+SUMIFS(Tabla16[Importe],Tabla16[MOVIL],Tabla38[[#This Row],[MOVIL]],Tabla16[OBSV],"DESCONTAR POR USO PERSONAL")</f>
        <v>50.399999999999991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0" s="5" t="str">
        <f>VLOOKUP(Tabla38[[#This Row],[MOVIL]],[1]BD!$A$1:$P$3557,13,0)</f>
        <v>AEROPUERTO</v>
      </c>
    </row>
    <row r="41" spans="1:7" x14ac:dyDescent="0.25">
      <c r="A41" s="64">
        <v>666</v>
      </c>
      <c r="B41" s="5">
        <f>+SUMIFS(Tabla16[Importe],Tabla16[MOVIL],Tabla38[[#This Row],[MOVIL]],Tabla16[OBSV],"DESCONTAR POR USO PERSONAL")</f>
        <v>25.2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" s="5" t="str">
        <f>VLOOKUP(Tabla38[[#This Row],[MOVIL]],[1]BD!$A$1:$P$3557,13,0)</f>
        <v>URBANO</v>
      </c>
    </row>
    <row r="42" spans="1:7" x14ac:dyDescent="0.25">
      <c r="A42" s="8">
        <v>9245</v>
      </c>
      <c r="B42" s="5">
        <f>+SUMIFS(Tabla16[Importe],Tabla16[MOVIL],Tabla38[[#This Row],[MOVIL]],Tabla16[OBSV],"DESCONTAR POR USO PERSONAL")</f>
        <v>31.5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" s="5" t="str">
        <f>VLOOKUP(Tabla38[[#This Row],[MOVIL]],[2]BD!$A$1:$P$256,13,0)</f>
        <v>JOCKEY PLAZA</v>
      </c>
    </row>
    <row r="43" spans="1:7" x14ac:dyDescent="0.25">
      <c r="A43" s="64">
        <v>1915</v>
      </c>
      <c r="B43" s="5">
        <f>+SUMIFS(Tabla16[Importe],Tabla16[MOVIL],Tabla38[[#This Row],[MOVIL]],Tabla16[OBSV],"DESCONTAR POR USO PERSONAL")</f>
        <v>12.6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" s="5" t="str">
        <f>VLOOKUP(Tabla38[[#This Row],[MOVIL]],[1]BD!$A$1:$P$3557,13,0)</f>
        <v>URBANO</v>
      </c>
    </row>
    <row r="44" spans="1:7" x14ac:dyDescent="0.25">
      <c r="A44" s="64">
        <v>5142</v>
      </c>
      <c r="B44" s="5">
        <f>+SUMIFS(Tabla16[Importe],Tabla16[MOVIL],Tabla38[[#This Row],[MOVIL]],Tabla16[OBSV],"DESCONTAR POR USO PERSONAL")</f>
        <v>6.3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" s="5" t="str">
        <f>VLOOKUP(Tabla38[[#This Row],[MOVIL]],[1]BD!$A$1:$P$3557,13,0)</f>
        <v>URBANO</v>
      </c>
    </row>
    <row r="45" spans="1:7" x14ac:dyDescent="0.25">
      <c r="A45" s="64">
        <v>3289</v>
      </c>
      <c r="B45" s="5">
        <f>+SUMIFS(Tabla16[Importe],Tabla16[MOVIL],Tabla38[[#This Row],[MOVIL]],Tabla16[OBSV],"DESCONTAR POR USO PERSONAL")</f>
        <v>0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" s="5" t="str">
        <f>VLOOKUP(Tabla38[[#This Row],[MOVIL]],[1]BD!$A$1:$P$3557,13,0)</f>
        <v>AEROLINEAS</v>
      </c>
    </row>
    <row r="46" spans="1:7" x14ac:dyDescent="0.25">
      <c r="A46" s="64">
        <v>5032</v>
      </c>
      <c r="B46" s="5">
        <f>+SUMIFS(Tabla16[Importe],Tabla16[MOVIL],Tabla38[[#This Row],[MOVIL]],Tabla16[OBSV],"DESCONTAR POR USO PERSONAL")</f>
        <v>0</v>
      </c>
      <c r="C46" s="5">
        <f>+SUMIFS(Tabla16[Importe],Tabla16[MOVIL],Tabla38[[#This Row],[MOVIL]],Tabla16[OBSV],"DESCONTAR POR INCIDENCIA")</f>
        <v>25.2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" s="5" t="str">
        <f>VLOOKUP(Tabla38[[#This Row],[MOVIL]],[1]BD!$A$1:$P$3557,13,0)</f>
        <v>MEMBRESÍA URBANO</v>
      </c>
    </row>
    <row r="47" spans="1:7" x14ac:dyDescent="0.25">
      <c r="A47" s="64">
        <v>680</v>
      </c>
      <c r="B47" s="5">
        <f>+SUMIFS(Tabla16[Importe],Tabla16[MOVIL],Tabla38[[#This Row],[MOVIL]],Tabla16[OBSV],"DESCONTAR POR USO PERSONAL")</f>
        <v>44.099999999999994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7" s="5" t="str">
        <f>VLOOKUP(Tabla38[[#This Row],[MOVIL]],[1]BD!$A$1:$P$3557,13,0)</f>
        <v>URBANO</v>
      </c>
    </row>
    <row r="48" spans="1:7" x14ac:dyDescent="0.25">
      <c r="A48" s="64">
        <v>1601</v>
      </c>
      <c r="B48" s="5">
        <f>+SUMIFS(Tabla16[Importe],Tabla16[MOVIL],Tabla38[[#This Row],[MOVIL]],Tabla16[OBSV],"DESCONTAR POR USO PERSONAL")</f>
        <v>75.59999999999998</v>
      </c>
      <c r="C48" s="5">
        <f>+SUMIFS(Tabla16[Importe],Tabla16[MOVIL],Tabla38[[#This Row],[MOVIL]],Tabla16[OBSV],"DESCONTAR POR INCIDENCIA")</f>
        <v>6.3</v>
      </c>
      <c r="D48" s="5">
        <f>+SUMIFS(Tabla16[Importe],Tabla16[MOVIL],Tabla38[[#This Row],[MOVIL]],Tabla16[OBSV],"DESCONTAR SERVICIO EN EFECTIVO")</f>
        <v>12.6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48" s="5" t="str">
        <f>VLOOKUP(Tabla38[[#This Row],[MOVIL]],[1]BD!$A$1:$P$3557,13,0)</f>
        <v>AEROPUERTO VAN</v>
      </c>
    </row>
    <row r="49" spans="1:7" x14ac:dyDescent="0.25">
      <c r="A49" s="64">
        <v>831</v>
      </c>
      <c r="B49" s="5">
        <f>+SUMIFS(Tabla16[Importe],Tabla16[MOVIL],Tabla38[[#This Row],[MOVIL]],Tabla16[OBSV],"DESCONTAR POR USO PERSONAL")</f>
        <v>12.6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9" s="5" t="str">
        <f>VLOOKUP(Tabla38[[#This Row],[MOVIL]],[1]BD!$A$1:$P$3557,13,0)</f>
        <v>AEROPUERTO</v>
      </c>
    </row>
    <row r="50" spans="1:7" x14ac:dyDescent="0.25">
      <c r="A50" s="64">
        <v>1532</v>
      </c>
      <c r="B50" s="5">
        <f>+SUMIFS(Tabla16[Importe],Tabla16[MOVIL],Tabla38[[#This Row],[MOVIL]],Tabla16[OBSV],"DESCONTAR POR USO PERSONAL")</f>
        <v>6.3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0" s="5" t="str">
        <f>VLOOKUP(Tabla38[[#This Row],[MOVIL]],[1]BD!$A$1:$P$3557,13,0)</f>
        <v>AEROLINEAS</v>
      </c>
    </row>
    <row r="51" spans="1:7" x14ac:dyDescent="0.25">
      <c r="A51" s="64">
        <v>7027</v>
      </c>
      <c r="B51" s="5">
        <f>+SUMIFS(Tabla16[Importe],Tabla16[MOVIL],Tabla38[[#This Row],[MOVIL]],Tabla16[OBSV],"DESCONTAR POR USO PERSONAL")</f>
        <v>6.3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1" s="5" t="str">
        <f>VLOOKUP(Tabla38[[#This Row],[MOVIL]],[1]BD!$A$1:$P$3557,13,0)</f>
        <v>URBANO</v>
      </c>
    </row>
    <row r="52" spans="1:7" x14ac:dyDescent="0.25">
      <c r="A52" s="64">
        <v>1875</v>
      </c>
      <c r="B52" s="5">
        <f>+SUMIFS(Tabla16[Importe],Tabla16[MOVIL],Tabla38[[#This Row],[MOVIL]],Tabla16[OBSV],"DESCONTAR POR USO PERSONAL")</f>
        <v>25.2</v>
      </c>
      <c r="C52" s="5">
        <f>+SUMIFS(Tabla16[Importe],Tabla16[MOVIL],Tabla38[[#This Row],[MOVIL]],Tabla16[OBSV],"DESCONTAR POR INCIDENCIA")</f>
        <v>75.59999999999998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100.79999999999998</v>
      </c>
      <c r="G52" s="5" t="str">
        <f>VLOOKUP(Tabla38[[#This Row],[MOVIL]],[1]BD!$A$1:$P$3557,13,0)</f>
        <v>AEROLINEAS</v>
      </c>
    </row>
    <row r="53" spans="1:7" x14ac:dyDescent="0.25">
      <c r="A53" s="64">
        <v>2547</v>
      </c>
      <c r="B53" s="5">
        <f>+SUMIFS(Tabla16[Importe],Tabla16[MOVIL],Tabla38[[#This Row],[MOVIL]],Tabla16[OBSV],"DESCONTAR POR USO PERSONAL")</f>
        <v>25.2</v>
      </c>
      <c r="C53" s="5">
        <f>+SUMIFS(Tabla16[Importe],Tabla16[MOVIL],Tabla38[[#This Row],[MOVIL]],Tabla16[OBSV],"DESCONTAR POR INCIDENCIA")</f>
        <v>6.3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3" s="5" t="str">
        <f>VLOOKUP(Tabla38[[#This Row],[MOVIL]],[1]BD!$A$1:$P$3557,13,0)</f>
        <v>URBANO</v>
      </c>
    </row>
    <row r="54" spans="1:7" x14ac:dyDescent="0.25">
      <c r="A54" s="64">
        <v>9626</v>
      </c>
      <c r="B54" s="5">
        <f>+SUMIFS(Tabla16[Importe],Tabla16[MOVIL],Tabla38[[#This Row],[MOVIL]],Tabla16[OBSV],"DESCONTAR POR USO PERSONAL")</f>
        <v>12.6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4" s="5" t="str">
        <f>VLOOKUP(Tabla38[[#This Row],[MOVIL]],[1]BD!$A$1:$P$3557,13,0)</f>
        <v>AEROPUERTO</v>
      </c>
    </row>
    <row r="55" spans="1:7" x14ac:dyDescent="0.25">
      <c r="A55" s="64">
        <v>251</v>
      </c>
      <c r="B55" s="5">
        <f>+SUMIFS(Tabla16[Importe],Tabla16[MOVIL],Tabla38[[#This Row],[MOVIL]],Tabla16[OBSV],"DESCONTAR POR USO PERSONAL")</f>
        <v>37.799999999999997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12.6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55" s="5" t="str">
        <f>VLOOKUP(Tabla38[[#This Row],[MOVIL]],[1]BD!$A$1:$P$3557,13,0)</f>
        <v>AEROPUERTO</v>
      </c>
    </row>
    <row r="56" spans="1:7" x14ac:dyDescent="0.25">
      <c r="A56" s="64">
        <v>301</v>
      </c>
      <c r="B56" s="5">
        <f>+SUMIFS(Tabla16[Importe],Tabla16[MOVIL],Tabla38[[#This Row],[MOVIL]],Tabla16[OBSV],"DESCONTAR POR USO PERSONAL")</f>
        <v>12.6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6" s="5" t="str">
        <f>VLOOKUP(Tabla38[[#This Row],[MOVIL]],[1]BD!$A$1:$P$3557,13,0)</f>
        <v>URBANO</v>
      </c>
    </row>
    <row r="57" spans="1:7" x14ac:dyDescent="0.25">
      <c r="A57" s="64">
        <v>3703</v>
      </c>
      <c r="B57" s="5">
        <f>+SUMIFS(Tabla16[Importe],Tabla16[MOVIL],Tabla38[[#This Row],[MOVIL]],Tabla16[OBSV],"DESCONTAR POR USO PERSONAL")</f>
        <v>12.6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7" s="5" t="str">
        <f>VLOOKUP(Tabla38[[#This Row],[MOVIL]],[1]BD!$A$1:$P$3557,13,0)</f>
        <v>AEROLINEAS</v>
      </c>
    </row>
    <row r="58" spans="1:7" x14ac:dyDescent="0.25">
      <c r="A58" s="64">
        <v>380</v>
      </c>
      <c r="B58" s="5">
        <f>+SUMIFS(Tabla16[Importe],Tabla16[MOVIL],Tabla38[[#This Row],[MOVIL]],Tabla16[OBSV],"DESCONTAR POR USO PERSONAL")</f>
        <v>18.899999999999999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8" s="5" t="str">
        <f>VLOOKUP(Tabla38[[#This Row],[MOVIL]],[1]BD!$A$1:$P$3557,13,0)</f>
        <v>MEMBRESÍA URBANO</v>
      </c>
    </row>
    <row r="59" spans="1:7" x14ac:dyDescent="0.25">
      <c r="A59" s="64">
        <v>227</v>
      </c>
      <c r="B59" s="5">
        <f>+SUMIFS(Tabla16[Importe],Tabla16[MOVIL],Tabla38[[#This Row],[MOVIL]],Tabla16[OBSV],"DESCONTAR POR USO PERSONAL")</f>
        <v>6.3</v>
      </c>
      <c r="C59" s="5">
        <f>+SUMIFS(Tabla16[Importe],Tabla16[MOVIL],Tabla38[[#This Row],[MOVIL]],Tabla16[OBSV],"DESCONTAR POR INCIDENCIA")</f>
        <v>6.3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9" s="5" t="str">
        <f>VLOOKUP(Tabla38[[#This Row],[MOVIL]],[1]BD!$A$1:$P$3557,13,0)</f>
        <v>AEROPUERTO</v>
      </c>
    </row>
    <row r="60" spans="1:7" x14ac:dyDescent="0.25">
      <c r="A60" s="64">
        <v>2441</v>
      </c>
      <c r="B60" s="5">
        <f>+SUMIFS(Tabla16[Importe],Tabla16[MOVIL],Tabla38[[#This Row],[MOVIL]],Tabla16[OBSV],"DESCONTAR POR USO PERSONAL")</f>
        <v>6.3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0" s="5" t="str">
        <f>VLOOKUP(Tabla38[[#This Row],[MOVIL]],[1]BD!$A$1:$P$3557,13,0)</f>
        <v>URBANO</v>
      </c>
    </row>
    <row r="61" spans="1:7" x14ac:dyDescent="0.25">
      <c r="A61" s="64">
        <v>658</v>
      </c>
      <c r="B61" s="5">
        <f>+SUMIFS(Tabla16[Importe],Tabla16[MOVIL],Tabla38[[#This Row],[MOVIL]],Tabla16[OBSV],"DESCONTAR POR USO PERSONAL")</f>
        <v>25.2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1" s="5" t="str">
        <f>VLOOKUP(Tabla38[[#This Row],[MOVIL]],[1]BD!$A$1:$P$3557,13,0)</f>
        <v>URBANO</v>
      </c>
    </row>
    <row r="62" spans="1:7" x14ac:dyDescent="0.25">
      <c r="A62" s="64">
        <v>3041</v>
      </c>
      <c r="B62" s="5">
        <f>+SUMIFS(Tabla16[Importe],Tabla16[MOVIL],Tabla38[[#This Row],[MOVIL]],Tabla16[OBSV],"DESCONTAR POR USO PERSONAL")</f>
        <v>25.2</v>
      </c>
      <c r="C62" s="5">
        <f>+SUMIFS(Tabla16[Importe],Tabla16[MOVIL],Tabla38[[#This Row],[MOVIL]],Tabla16[OBSV],"DESCONTAR POR INCIDENCIA")</f>
        <v>12.6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2" s="5" t="str">
        <f>VLOOKUP(Tabla38[[#This Row],[MOVIL]],[1]BD!$A$1:$P$3557,13,0)</f>
        <v>AEROLINEAS</v>
      </c>
    </row>
    <row r="63" spans="1:7" x14ac:dyDescent="0.25">
      <c r="A63" s="64">
        <v>9004</v>
      </c>
      <c r="B63" s="5">
        <f>+SUMIFS(Tabla16[Importe],Tabla16[MOVIL],Tabla38[[#This Row],[MOVIL]],Tabla16[OBSV],"DESCONTAR POR USO PERSONAL")</f>
        <v>12.6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12.6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3" s="5" t="str">
        <f>VLOOKUP(Tabla38[[#This Row],[MOVIL]],[1]BD!$A$1:$P$3557,13,0)</f>
        <v>AEROPUERTO VAN</v>
      </c>
    </row>
    <row r="64" spans="1:7" x14ac:dyDescent="0.25">
      <c r="A64" s="64">
        <v>1576</v>
      </c>
      <c r="B64" s="5">
        <f>+SUMIFS(Tabla16[Importe],Tabla16[MOVIL],Tabla38[[#This Row],[MOVIL]],Tabla16[OBSV],"DESCONTAR POR USO PERSONAL")</f>
        <v>0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4" s="5" t="str">
        <f>VLOOKUP(Tabla38[[#This Row],[MOVIL]],[1]BD!$A$1:$P$3557,13,0)</f>
        <v>AEROLINEAS</v>
      </c>
    </row>
    <row r="65" spans="1:7" x14ac:dyDescent="0.25">
      <c r="A65" s="64">
        <v>9636</v>
      </c>
      <c r="B65" s="5">
        <f>+SUMIFS(Tabla16[Importe],Tabla16[MOVIL],Tabla38[[#This Row],[MOVIL]],Tabla16[OBSV],"DESCONTAR POR USO PERSONAL")</f>
        <v>6.3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5" s="5" t="str">
        <f>VLOOKUP(Tabla38[[#This Row],[MOVIL]],[1]BD!$A$1:$P$3557,13,0)</f>
        <v>MEMBRESÍA URBANO</v>
      </c>
    </row>
    <row r="66" spans="1:7" x14ac:dyDescent="0.25">
      <c r="A66" s="64">
        <v>9991</v>
      </c>
      <c r="B66" s="5">
        <f>+SUMIFS(Tabla16[Importe],Tabla16[MOVIL],Tabla38[[#This Row],[MOVIL]],Tabla16[OBSV],"DESCONTAR POR USO PERSONAL")</f>
        <v>37.799999999999997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6" s="5" t="str">
        <f>VLOOKUP(Tabla38[[#This Row],[MOVIL]],[1]BD!$A$1:$P$3557,13,0)</f>
        <v>AEROPUERTO</v>
      </c>
    </row>
    <row r="67" spans="1:7" x14ac:dyDescent="0.25">
      <c r="A67" s="64">
        <v>795</v>
      </c>
      <c r="B67" s="5">
        <f>+SUMIFS(Tabla16[Importe],Tabla16[MOVIL],Tabla38[[#This Row],[MOVIL]],Tabla16[OBSV],"DESCONTAR POR USO PERSONAL")</f>
        <v>12.6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7" s="5" t="str">
        <f>VLOOKUP(Tabla38[[#This Row],[MOVIL]],[1]BD!$A$1:$P$3557,13,0)</f>
        <v>AEROPUERTO</v>
      </c>
    </row>
    <row r="68" spans="1:7" x14ac:dyDescent="0.25">
      <c r="A68" s="64">
        <v>1447</v>
      </c>
      <c r="B68" s="5">
        <f>+SUMIFS(Tabla16[Importe],Tabla16[MOVIL],Tabla38[[#This Row],[MOVIL]],Tabla16[OBSV],"DESCONTAR POR USO PERSONAL")</f>
        <v>75.59999999999998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68" s="5" t="str">
        <f>VLOOKUP(Tabla38[[#This Row],[MOVIL]],[1]BD!$A$1:$P$3557,13,0)</f>
        <v>AEROPUERTO</v>
      </c>
    </row>
    <row r="69" spans="1:7" x14ac:dyDescent="0.25">
      <c r="A69" s="64">
        <v>4286</v>
      </c>
      <c r="B69" s="5">
        <f>+SUMIFS(Tabla16[Importe],Tabla16[MOVIL],Tabla38[[#This Row],[MOVIL]],Tabla16[OBSV],"DESCONTAR POR USO PERSONAL")</f>
        <v>37.799999999999997</v>
      </c>
      <c r="C69" s="5">
        <f>+SUMIFS(Tabla16[Importe],Tabla16[MOVIL],Tabla38[[#This Row],[MOVIL]],Tabla16[OBSV],"DESCONTAR POR INCIDENCIA")</f>
        <v>6.3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69" s="5" t="str">
        <f>VLOOKUP(Tabla38[[#This Row],[MOVIL]],[1]BD!$A$1:$P$3557,13,0)</f>
        <v>AEROPUERTO</v>
      </c>
    </row>
    <row r="70" spans="1:7" x14ac:dyDescent="0.25">
      <c r="A70" s="8">
        <v>9424</v>
      </c>
      <c r="B70" s="5">
        <f>+SUMIFS(Tabla16[Importe],Tabla16[MOVIL],Tabla38[[#This Row],[MOVIL]],Tabla16[OBSV],"DESCONTAR POR USO PERSONAL")</f>
        <v>37.799999999999997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70" s="5" t="str">
        <f>VLOOKUP(Tabla38[[#This Row],[MOVIL]],[2]BD!$A$1:$P$256,13,0)</f>
        <v>JOCKEY PLAZA</v>
      </c>
    </row>
    <row r="71" spans="1:7" x14ac:dyDescent="0.25">
      <c r="A71" s="64">
        <v>1416</v>
      </c>
      <c r="B71" s="5">
        <f>+SUMIFS(Tabla16[Importe],Tabla16[MOVIL],Tabla38[[#This Row],[MOVIL]],Tabla16[OBSV],"DESCONTAR POR USO PERSONAL")</f>
        <v>37.799999999999997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18.899999999999999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71" s="5" t="str">
        <f>VLOOKUP(Tabla38[[#This Row],[MOVIL]],[1]BD!$A$1:$P$3557,13,0)</f>
        <v>AEROPUERTO</v>
      </c>
    </row>
    <row r="72" spans="1:7" x14ac:dyDescent="0.25">
      <c r="A72" s="64">
        <v>2520</v>
      </c>
      <c r="B72" s="5">
        <f>+SUMIFS(Tabla16[Importe],Tabla16[MOVIL],Tabla38[[#This Row],[MOVIL]],Tabla16[OBSV],"DESCONTAR POR USO PERSONAL")</f>
        <v>12.6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2" s="5" t="str">
        <f>VLOOKUP(Tabla38[[#This Row],[MOVIL]],[1]BD!$A$1:$P$3557,13,0)</f>
        <v>MEMBRESÍA URBANO</v>
      </c>
    </row>
    <row r="73" spans="1:7" x14ac:dyDescent="0.25">
      <c r="A73" s="64">
        <v>2501</v>
      </c>
      <c r="B73" s="5">
        <f>+SUMIFS(Tabla16[Importe],Tabla16[MOVIL],Tabla38[[#This Row],[MOVIL]],Tabla16[OBSV],"DESCONTAR POR USO PERSONAL")</f>
        <v>12.6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3" s="5" t="str">
        <f>VLOOKUP(Tabla38[[#This Row],[MOVIL]],[1]BD!$A$1:$P$3557,13,0)</f>
        <v>URBANO</v>
      </c>
    </row>
    <row r="74" spans="1:7" x14ac:dyDescent="0.25">
      <c r="A74" s="64">
        <v>423</v>
      </c>
      <c r="B74" s="5">
        <f>+SUMIFS(Tabla16[Importe],Tabla16[MOVIL],Tabla38[[#This Row],[MOVIL]],Tabla16[OBSV],"DESCONTAR POR USO PERSONAL")</f>
        <v>0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12.6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4" s="5" t="str">
        <f>VLOOKUP(Tabla38[[#This Row],[MOVIL]],[1]BD!$A$1:$P$3557,13,0)</f>
        <v>MEMBRESÍA URBANO</v>
      </c>
    </row>
    <row r="75" spans="1:7" x14ac:dyDescent="0.25">
      <c r="A75" s="64">
        <v>2005</v>
      </c>
      <c r="B75" s="5">
        <f>+SUMIFS(Tabla16[Importe],Tabla16[MOVIL],Tabla38[[#This Row],[MOVIL]],Tabla16[OBSV],"DESCONTAR POR USO PERSONAL")</f>
        <v>6.3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5" s="5" t="str">
        <f>VLOOKUP(Tabla38[[#This Row],[MOVIL]],[1]BD!$A$1:$P$3557,13,0)</f>
        <v>MEMBRESÍA URBANO</v>
      </c>
    </row>
    <row r="76" spans="1:7" x14ac:dyDescent="0.25">
      <c r="A76" s="64">
        <v>707</v>
      </c>
      <c r="B76" s="5">
        <f>+SUMIFS(Tabla16[Importe],Tabla16[MOVIL],Tabla38[[#This Row],[MOVIL]],Tabla16[OBSV],"DESCONTAR POR USO PERSONAL")</f>
        <v>12.6</v>
      </c>
      <c r="C76" s="5">
        <f>+SUMIFS(Tabla16[Importe],Tabla16[MOVIL],Tabla38[[#This Row],[MOVIL]],Tabla16[OBSV],"DESCONTAR POR INCIDENCIA")</f>
        <v>12.6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6" s="5" t="str">
        <f>VLOOKUP(Tabla38[[#This Row],[MOVIL]],[1]BD!$A$1:$P$3557,13,0)</f>
        <v>AEROPUERTO</v>
      </c>
    </row>
    <row r="77" spans="1:7" x14ac:dyDescent="0.25">
      <c r="A77" s="64">
        <v>846</v>
      </c>
      <c r="B77" s="5">
        <f>+SUMIFS(Tabla16[Importe],Tabla16[MOVIL],Tabla38[[#This Row],[MOVIL]],Tabla16[OBSV],"DESCONTAR POR USO PERSONAL")</f>
        <v>12.6</v>
      </c>
      <c r="C77" s="5">
        <f>+SUMIFS(Tabla16[Importe],Tabla16[MOVIL],Tabla38[[#This Row],[MOVIL]],Tabla16[OBSV],"DESCONTAR POR INCIDENCIA")</f>
        <v>6.3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7" s="5" t="str">
        <f>VLOOKUP(Tabla38[[#This Row],[MOVIL]],[1]BD!$A$1:$P$3557,13,0)</f>
        <v>AEROPUERTO</v>
      </c>
    </row>
    <row r="78" spans="1:7" x14ac:dyDescent="0.25">
      <c r="A78" s="8">
        <v>7116</v>
      </c>
      <c r="B78" s="5">
        <f>+SUMIFS(Tabla16[Importe],Tabla16[MOVIL],Tabla38[[#This Row],[MOVIL]],Tabla16[OBSV],"DESCONTAR POR USO PERSONAL")</f>
        <v>0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8" s="5" t="str">
        <f>VLOOKUP(Tabla38[[#This Row],[MOVIL]],[2]BD!$A$1:$P$256,13,0)</f>
        <v>JOCKEY PLAZA</v>
      </c>
    </row>
    <row r="79" spans="1:7" x14ac:dyDescent="0.25">
      <c r="A79" s="64">
        <v>1594</v>
      </c>
      <c r="B79" s="5">
        <f>+SUMIFS(Tabla16[Importe],Tabla16[MOVIL],Tabla38[[#This Row],[MOVIL]],Tabla16[OBSV],"DESCONTAR POR USO PERSONAL")</f>
        <v>18.899999999999999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6.3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9" s="5" t="str">
        <f>VLOOKUP(Tabla38[[#This Row],[MOVIL]],[1]BD!$A$1:$P$3557,13,0)</f>
        <v>AEROPUERTO</v>
      </c>
    </row>
    <row r="80" spans="1:7" x14ac:dyDescent="0.25">
      <c r="A80" s="64">
        <v>3047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0" s="5" t="str">
        <f>VLOOKUP(Tabla38[[#This Row],[MOVIL]],[1]BD!$A$1:$P$3557,13,0)</f>
        <v>AEROLINEAS</v>
      </c>
    </row>
    <row r="81" spans="1:7" x14ac:dyDescent="0.25">
      <c r="A81" s="64">
        <v>2051</v>
      </c>
      <c r="B81" s="5">
        <f>+SUMIFS(Tabla16[Importe],Tabla16[MOVIL],Tabla38[[#This Row],[MOVIL]],Tabla16[OBSV],"DESCONTAR POR USO PERSONAL")</f>
        <v>6.3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1" s="5" t="str">
        <f>VLOOKUP(Tabla38[[#This Row],[MOVIL]],[1]BD!$A$1:$P$3557,13,0)</f>
        <v>AEROPUERTO</v>
      </c>
    </row>
    <row r="82" spans="1:7" x14ac:dyDescent="0.25">
      <c r="A82" s="64">
        <v>9744</v>
      </c>
      <c r="B82" s="5">
        <f>+SUMIFS(Tabla16[Importe],Tabla16[MOVIL],Tabla38[[#This Row],[MOVIL]],Tabla16[OBSV],"DESCONTAR POR USO PERSONAL")</f>
        <v>12.6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2" s="5" t="str">
        <f>VLOOKUP(Tabla38[[#This Row],[MOVIL]],[1]BD!$A$1:$P$3557,13,0)</f>
        <v>AEROPUERTO</v>
      </c>
    </row>
    <row r="83" spans="1:7" x14ac:dyDescent="0.25">
      <c r="A83" s="64">
        <v>899</v>
      </c>
      <c r="B83" s="5">
        <f>+SUMIFS(Tabla16[Importe],Tabla16[MOVIL],Tabla38[[#This Row],[MOVIL]],Tabla16[OBSV],"DESCONTAR POR USO PERSONAL")</f>
        <v>6.3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3" s="5" t="str">
        <f>VLOOKUP(Tabla38[[#This Row],[MOVIL]],[1]BD!$A$1:$P$3557,13,0)</f>
        <v>AEROPUERTO</v>
      </c>
    </row>
    <row r="84" spans="1:7" x14ac:dyDescent="0.25">
      <c r="A84" s="64">
        <v>467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4" s="5" t="str">
        <f>VLOOKUP(Tabla38[[#This Row],[MOVIL]],[1]BD!$A$1:$P$3557,13,0)</f>
        <v>URBANO</v>
      </c>
    </row>
    <row r="85" spans="1:7" x14ac:dyDescent="0.25">
      <c r="A85" s="64">
        <v>9154</v>
      </c>
      <c r="B85" s="5">
        <f>+SUMIFS(Tabla16[Importe],Tabla16[MOVIL],Tabla38[[#This Row],[MOVIL]],Tabla16[OBSV],"DESCONTAR POR USO PERSONAL")</f>
        <v>0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5" s="5" t="str">
        <f>VLOOKUP(Tabla38[[#This Row],[MOVIL]],[1]BD!$A$1:$P$3557,13,0)</f>
        <v>AEROPUERTO</v>
      </c>
    </row>
    <row r="86" spans="1:7" x14ac:dyDescent="0.25">
      <c r="A86" s="64">
        <v>1411</v>
      </c>
      <c r="B86" s="5">
        <f>+SUMIFS(Tabla16[Importe],Tabla16[MOVIL],Tabla38[[#This Row],[MOVIL]],Tabla16[OBSV],"DESCONTAR POR USO PERSONAL")</f>
        <v>0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6" s="5" t="str">
        <f>VLOOKUP(Tabla38[[#This Row],[MOVIL]],[1]BD!$A$1:$P$3557,13,0)</f>
        <v>AEROPUERTO</v>
      </c>
    </row>
    <row r="87" spans="1:7" x14ac:dyDescent="0.25">
      <c r="A87" s="64">
        <v>627</v>
      </c>
      <c r="B87" s="5">
        <f>+SUMIFS(Tabla16[Importe],Tabla16[MOVIL],Tabla38[[#This Row],[MOVIL]],Tabla16[OBSV],"DESCONTAR POR USO PERSONAL")</f>
        <v>12.6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12.6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7" s="5" t="str">
        <f>VLOOKUP(Tabla38[[#This Row],[MOVIL]],[1]BD!$A$1:$P$3557,13,0)</f>
        <v>URBANO</v>
      </c>
    </row>
    <row r="88" spans="1:7" x14ac:dyDescent="0.25">
      <c r="A88" s="64">
        <v>3102</v>
      </c>
      <c r="B88" s="5">
        <f>+SUMIFS(Tabla16[Importe],Tabla16[MOVIL],Tabla38[[#This Row],[MOVIL]],Tabla16[OBSV],"DESCONTAR POR USO PERSONAL")</f>
        <v>6.3</v>
      </c>
      <c r="C88" s="5">
        <f>+SUMIFS(Tabla16[Importe],Tabla16[MOVIL],Tabla38[[#This Row],[MOVIL]],Tabla16[OBSV],"DESCONTAR POR INCIDENCIA")</f>
        <v>12.6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8" s="5" t="str">
        <f>VLOOKUP(Tabla38[[#This Row],[MOVIL]],[1]BD!$A$1:$P$3557,13,0)</f>
        <v>AEROLINEAS</v>
      </c>
    </row>
    <row r="89" spans="1:7" x14ac:dyDescent="0.25">
      <c r="A89" s="64">
        <v>9017</v>
      </c>
      <c r="B89" s="5">
        <f>+SUMIFS(Tabla16[Importe],Tabla16[MOVIL],Tabla38[[#This Row],[MOVIL]],Tabla16[OBSV],"DESCONTAR POR USO PERSONAL")</f>
        <v>37.799999999999997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89" s="5" t="str">
        <f>VLOOKUP(Tabla38[[#This Row],[MOVIL]],[1]BD!$A$1:$P$3557,13,0)</f>
        <v>AEROPUERTO</v>
      </c>
    </row>
    <row r="90" spans="1:7" x14ac:dyDescent="0.25">
      <c r="A90" s="64">
        <v>1466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0" s="5" t="str">
        <f>VLOOKUP(Tabla38[[#This Row],[MOVIL]],[1]BD!$A$1:$P$3557,13,0)</f>
        <v>AEROPUERTO</v>
      </c>
    </row>
    <row r="91" spans="1:7" x14ac:dyDescent="0.25">
      <c r="A91" s="64">
        <v>659</v>
      </c>
      <c r="B91" s="5">
        <f>+SUMIFS(Tabla16[Importe],Tabla16[MOVIL],Tabla38[[#This Row],[MOVIL]],Tabla16[OBSV],"DESCONTAR POR USO PERSONAL")</f>
        <v>0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1" s="5" t="str">
        <f>VLOOKUP(Tabla38[[#This Row],[MOVIL]],[1]BD!$A$1:$P$3557,13,0)</f>
        <v>URBANO</v>
      </c>
    </row>
    <row r="92" spans="1:7" x14ac:dyDescent="0.25">
      <c r="A92" s="64">
        <v>2275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2" s="5" t="str">
        <f>VLOOKUP(Tabla38[[#This Row],[MOVIL]],[1]BD!$A$1:$P$3557,13,0)</f>
        <v>AEROPUERTO</v>
      </c>
    </row>
    <row r="93" spans="1:7" x14ac:dyDescent="0.25">
      <c r="A93" s="64">
        <v>1468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3" s="5" t="str">
        <f>VLOOKUP(Tabla38[[#This Row],[MOVIL]],[1]BD!$A$1:$P$3557,13,0)</f>
        <v>AEROPUERTO</v>
      </c>
    </row>
    <row r="94" spans="1:7" x14ac:dyDescent="0.25">
      <c r="A94" s="64">
        <v>9575</v>
      </c>
      <c r="B94" s="5">
        <f>+SUMIFS(Tabla16[Importe],Tabla16[MOVIL],Tabla38[[#This Row],[MOVIL]],Tabla16[OBSV],"DESCONTAR POR USO PERSONAL")</f>
        <v>62.999999999999986</v>
      </c>
      <c r="C94" s="5">
        <f>+SUMIFS(Tabla16[Importe],Tabla16[MOVIL],Tabla38[[#This Row],[MOVIL]],Tabla16[OBSV],"DESCONTAR POR INCIDENCIA")</f>
        <v>12.6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94" s="5" t="str">
        <f>VLOOKUP(Tabla38[[#This Row],[MOVIL]],[1]BD!$A$1:$P$3557,13,0)</f>
        <v>AEROPUERTO</v>
      </c>
    </row>
    <row r="95" spans="1:7" x14ac:dyDescent="0.25">
      <c r="A95" s="64">
        <v>1410</v>
      </c>
      <c r="B95" s="5">
        <f>+SUMIFS(Tabla16[Importe],Tabla16[MOVIL],Tabla38[[#This Row],[MOVIL]],Tabla16[OBSV],"DESCONTAR POR USO PERSONAL")</f>
        <v>12.6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5" s="5" t="str">
        <f>VLOOKUP(Tabla38[[#This Row],[MOVIL]],[1]BD!$A$1:$P$3557,13,0)</f>
        <v>AEROPUERTO</v>
      </c>
    </row>
    <row r="96" spans="1:7" x14ac:dyDescent="0.25">
      <c r="A96" s="64">
        <v>1420</v>
      </c>
      <c r="B96" s="5">
        <f>+SUMIFS(Tabla16[Importe],Tabla16[MOVIL],Tabla38[[#This Row],[MOVIL]],Tabla16[OBSV],"DESCONTAR POR USO PERSONAL")</f>
        <v>12.6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6" s="5" t="str">
        <f>VLOOKUP(Tabla38[[#This Row],[MOVIL]],[1]BD!$A$1:$P$3557,13,0)</f>
        <v>AEROPUERTO</v>
      </c>
    </row>
    <row r="97" spans="1:7" x14ac:dyDescent="0.25">
      <c r="A97" s="8">
        <v>7628</v>
      </c>
      <c r="B97" s="5">
        <f>+SUMIFS(Tabla16[Importe],Tabla16[MOVIL],Tabla38[[#This Row],[MOVIL]],Tabla16[OBSV],"DESCONTAR POR USO PERSONAL")</f>
        <v>31.5</v>
      </c>
      <c r="C97" s="5">
        <f>+SUMIFS(Tabla16[Importe],Tabla16[MOVIL],Tabla38[[#This Row],[MOVIL]],Tabla16[OBSV],"DESCONTAR POR INCIDENCIA")</f>
        <v>12.6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97" s="5" t="str">
        <f>VLOOKUP(Tabla38[[#This Row],[MOVIL]],[2]BD!$A$1:$P$256,13,0)</f>
        <v>JOCKEY PLAZA</v>
      </c>
    </row>
    <row r="98" spans="1:7" x14ac:dyDescent="0.25">
      <c r="A98" s="64">
        <v>3664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8" s="5" t="str">
        <f>VLOOKUP(Tabla38[[#This Row],[MOVIL]],[1]BD!$A$1:$P$3557,13,0)</f>
        <v>AEROPUERTO</v>
      </c>
    </row>
    <row r="99" spans="1:7" x14ac:dyDescent="0.25">
      <c r="A99" s="64">
        <v>3357</v>
      </c>
      <c r="B99" s="5">
        <f>+SUMIFS(Tabla16[Importe],Tabla16[MOVIL],Tabla38[[#This Row],[MOVIL]],Tabla16[OBSV],"DESCONTAR POR USO PERSONAL")</f>
        <v>0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6.3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9" s="5" t="str">
        <f>VLOOKUP(Tabla38[[#This Row],[MOVIL]],[1]BD!$A$1:$P$3557,13,0)</f>
        <v>AEROLINEAS</v>
      </c>
    </row>
    <row r="100" spans="1:7" x14ac:dyDescent="0.25">
      <c r="A100" s="64">
        <v>3309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0" s="5" t="str">
        <f>VLOOKUP(Tabla38[[#This Row],[MOVIL]],[1]BD!$A$1:$P$3557,13,0)</f>
        <v>AEROLINEAS</v>
      </c>
    </row>
    <row r="101" spans="1:7" x14ac:dyDescent="0.25">
      <c r="A101" s="64">
        <v>3118</v>
      </c>
      <c r="B101" s="5">
        <f>+SUMIFS(Tabla16[Importe],Tabla16[MOVIL],Tabla38[[#This Row],[MOVIL]],Tabla16[OBSV],"DESCONTAR POR USO PERSONAL")</f>
        <v>0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1" s="5" t="str">
        <f>VLOOKUP(Tabla38[[#This Row],[MOVIL]],[1]BD!$A$1:$P$3557,13,0)</f>
        <v>AEROLINEAS</v>
      </c>
    </row>
    <row r="102" spans="1:7" x14ac:dyDescent="0.25">
      <c r="A102" s="64">
        <v>1437</v>
      </c>
      <c r="B102" s="5">
        <f>+SUMIFS(Tabla16[Importe],Tabla16[MOVIL],Tabla38[[#This Row],[MOVIL]],Tabla16[OBSV],"DESCONTAR POR USO PERSONAL")</f>
        <v>25.2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2" s="5" t="str">
        <f>VLOOKUP(Tabla38[[#This Row],[MOVIL]],[1]BD!$A$1:$P$3557,13,0)</f>
        <v>AEROPUERTO</v>
      </c>
    </row>
    <row r="103" spans="1:7" x14ac:dyDescent="0.25">
      <c r="A103" s="64">
        <v>1401</v>
      </c>
      <c r="B103" s="5">
        <f>+SUMIFS(Tabla16[Importe],Tabla16[MOVIL],Tabla38[[#This Row],[MOVIL]],Tabla16[OBSV],"DESCONTAR POR USO PERSONAL")</f>
        <v>37.799999999999997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03" s="5" t="str">
        <f>VLOOKUP(Tabla38[[#This Row],[MOVIL]],[1]BD!$A$1:$P$3557,13,0)</f>
        <v>AEROPUERTO</v>
      </c>
    </row>
    <row r="104" spans="1:7" x14ac:dyDescent="0.25">
      <c r="A104" s="64">
        <v>2186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4" s="5" t="str">
        <f>VLOOKUP(Tabla38[[#This Row],[MOVIL]],[1]BD!$A$1:$P$3557,13,0)</f>
        <v>URBANO</v>
      </c>
    </row>
    <row r="105" spans="1:7" x14ac:dyDescent="0.25">
      <c r="A105" s="64">
        <v>1470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5" s="5" t="str">
        <f>VLOOKUP(Tabla38[[#This Row],[MOVIL]],[1]BD!$A$1:$P$3557,13,0)</f>
        <v>AEROPUERTO</v>
      </c>
    </row>
    <row r="106" spans="1:7" x14ac:dyDescent="0.25">
      <c r="A106" s="64">
        <v>213</v>
      </c>
      <c r="B106" s="5">
        <f>+SUMIFS(Tabla16[Importe],Tabla16[MOVIL],Tabla38[[#This Row],[MOVIL]],Tabla16[OBSV],"DESCONTAR POR USO PERSONAL")</f>
        <v>18.899999999999999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6" s="5" t="str">
        <f>VLOOKUP(Tabla38[[#This Row],[MOVIL]],[1]BD!$A$1:$P$3557,13,0)</f>
        <v>AEROPUERTO</v>
      </c>
    </row>
    <row r="107" spans="1:7" x14ac:dyDescent="0.25">
      <c r="A107" s="64">
        <v>3159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7" s="5" t="str">
        <f>VLOOKUP(Tabla38[[#This Row],[MOVIL]],[1]BD!$A$1:$P$3557,13,0)</f>
        <v>AEROLINEAS</v>
      </c>
    </row>
    <row r="108" spans="1:7" x14ac:dyDescent="0.25">
      <c r="A108" s="64">
        <v>2030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8" s="5" t="str">
        <f>VLOOKUP(Tabla38[[#This Row],[MOVIL]],[1]BD!$A$1:$P$3557,13,0)</f>
        <v>URBANO</v>
      </c>
    </row>
    <row r="109" spans="1:7" x14ac:dyDescent="0.25">
      <c r="A109" s="64">
        <v>794</v>
      </c>
      <c r="B109" s="5">
        <f>+SUMIFS(Tabla16[Importe],Tabla16[MOVIL],Tabla38[[#This Row],[MOVIL]],Tabla16[OBSV],"DESCONTAR POR USO PERSONAL")</f>
        <v>31.5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09" s="5" t="str">
        <f>VLOOKUP(Tabla38[[#This Row],[MOVIL]],[1]BD!$A$1:$P$3557,13,0)</f>
        <v>AEROPUERTO</v>
      </c>
    </row>
    <row r="110" spans="1:7" x14ac:dyDescent="0.25">
      <c r="A110" s="64">
        <v>3809</v>
      </c>
      <c r="B110" s="5">
        <f>+SUMIFS(Tabla16[Importe],Tabla16[MOVIL],Tabla38[[#This Row],[MOVIL]],Tabla16[OBSV],"DESCONTAR POR USO PERSONAL")</f>
        <v>0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0" s="5" t="str">
        <f>VLOOKUP(Tabla38[[#This Row],[MOVIL]],[1]BD!$A$1:$P$3557,13,0)</f>
        <v>AEROPUERTO</v>
      </c>
    </row>
    <row r="111" spans="1:7" x14ac:dyDescent="0.25">
      <c r="A111" s="8">
        <v>9685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1" s="5" t="str">
        <f>VLOOKUP(Tabla38[[#This Row],[MOVIL]],[2]BD!$A$1:$P$256,13,0)</f>
        <v>BELLAVISTA</v>
      </c>
    </row>
    <row r="112" spans="1:7" x14ac:dyDescent="0.25">
      <c r="A112" s="64">
        <v>3424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2" s="5" t="str">
        <f>VLOOKUP(Tabla38[[#This Row],[MOVIL]],[1]BD!$A$1:$P$3557,13,0)</f>
        <v>AEROPUERTO VAN</v>
      </c>
    </row>
    <row r="113" spans="1:7" x14ac:dyDescent="0.25">
      <c r="A113" s="64">
        <v>3038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25.2</v>
      </c>
      <c r="D113" s="5">
        <f>+SUMIFS(Tabla16[Importe],Tabla16[MOVIL],Tabla38[[#This Row],[MOVIL]],Tabla16[OBSV],"DESCONTAR SERVICIO EN EFECTIVO")</f>
        <v>6.3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13" s="5" t="str">
        <f>VLOOKUP(Tabla38[[#This Row],[MOVIL]],[1]BD!$A$1:$P$3557,13,0)</f>
        <v>AEROLINEAS</v>
      </c>
    </row>
    <row r="114" spans="1:7" x14ac:dyDescent="0.25">
      <c r="A114" s="64">
        <v>3565</v>
      </c>
      <c r="B114" s="5">
        <f>+SUMIFS(Tabla16[Importe],Tabla16[MOVIL],Tabla38[[#This Row],[MOVIL]],Tabla16[OBSV],"DESCONTAR POR USO PERSONAL")</f>
        <v>44.099999999999994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12.6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14" s="5" t="str">
        <f>VLOOKUP(Tabla38[[#This Row],[MOVIL]],[1]BD!$A$1:$P$3557,13,0)</f>
        <v>AEROPUERTO</v>
      </c>
    </row>
    <row r="115" spans="1:7" x14ac:dyDescent="0.25">
      <c r="A115" s="64">
        <v>596</v>
      </c>
      <c r="B115" s="5">
        <f>+SUMIFS(Tabla16[Importe],Tabla16[MOVIL],Tabla38[[#This Row],[MOVIL]],Tabla16[OBSV],"DESCONTAR POR USO PERSONAL")</f>
        <v>0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5" s="5" t="str">
        <f>VLOOKUP(Tabla38[[#This Row],[MOVIL]],[1]BD!$A$1:$P$3557,13,0)</f>
        <v>URBANO</v>
      </c>
    </row>
    <row r="116" spans="1:7" x14ac:dyDescent="0.25">
      <c r="A116" s="64">
        <v>1443</v>
      </c>
      <c r="B116" s="5">
        <f>+SUMIFS(Tabla16[Importe],Tabla16[MOVIL],Tabla38[[#This Row],[MOVIL]],Tabla16[OBSV],"DESCONTAR POR USO PERSONAL")</f>
        <v>0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6" s="5" t="str">
        <f>VLOOKUP(Tabla38[[#This Row],[MOVIL]],[1]BD!$A$1:$P$3557,13,0)</f>
        <v>AEROPUERTO</v>
      </c>
    </row>
    <row r="117" spans="1:7" x14ac:dyDescent="0.25">
      <c r="A117" s="64">
        <v>9665</v>
      </c>
      <c r="B117" s="5">
        <f>+SUMIFS(Tabla16[Importe],Tabla16[MOVIL],Tabla38[[#This Row],[MOVIL]],Tabla16[OBSV],"DESCONTAR POR USO PERSONAL")</f>
        <v>0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7" s="5" t="str">
        <f>VLOOKUP(Tabla38[[#This Row],[MOVIL]],[1]BD!$A$1:$P$3557,13,0)</f>
        <v>AEROPUERTO</v>
      </c>
    </row>
    <row r="118" spans="1:7" x14ac:dyDescent="0.25">
      <c r="A118" s="64">
        <v>643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8" s="5" t="str">
        <f>VLOOKUP(Tabla38[[#This Row],[MOVIL]],[1]BD!$A$1:$P$3557,13,0)</f>
        <v>MEMBRESÍA URBANO</v>
      </c>
    </row>
    <row r="119" spans="1:7" x14ac:dyDescent="0.25">
      <c r="A119" s="64">
        <v>830</v>
      </c>
      <c r="B119" s="5">
        <f>+SUMIFS(Tabla16[Importe],Tabla16[MOVIL],Tabla38[[#This Row],[MOVIL]],Tabla16[OBSV],"DESCONTAR POR USO PERSONAL")</f>
        <v>25.2</v>
      </c>
      <c r="C119" s="5">
        <f>+SUMIFS(Tabla16[Importe],Tabla16[MOVIL],Tabla38[[#This Row],[MOVIL]],Tabla16[OBSV],"DESCONTAR POR INCIDENCIA")</f>
        <v>6.3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19" s="5" t="str">
        <f>VLOOKUP(Tabla38[[#This Row],[MOVIL]],[1]BD!$A$1:$P$3557,13,0)</f>
        <v>AEROPUERTO</v>
      </c>
    </row>
    <row r="120" spans="1:7" x14ac:dyDescent="0.25">
      <c r="A120" s="64">
        <v>2168</v>
      </c>
      <c r="B120" s="5">
        <f>+SUMIFS(Tabla16[Importe],Tabla16[MOVIL],Tabla38[[#This Row],[MOVIL]],Tabla16[OBSV],"DESCONTAR POR USO PERSONAL")</f>
        <v>6.3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0" s="5" t="str">
        <f>VLOOKUP(Tabla38[[#This Row],[MOVIL]],[1]BD!$A$1:$P$3557,13,0)</f>
        <v>MEMBRESÍA URBANO</v>
      </c>
    </row>
    <row r="121" spans="1:7" x14ac:dyDescent="0.25">
      <c r="A121" s="64">
        <v>3411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1" s="5" t="str">
        <f>VLOOKUP(Tabla38[[#This Row],[MOVIL]],[1]BD!$A$1:$P$3557,13,0)</f>
        <v>AEROLINEAS</v>
      </c>
    </row>
    <row r="122" spans="1:7" x14ac:dyDescent="0.25">
      <c r="A122" s="64">
        <v>9883</v>
      </c>
      <c r="B122" s="5">
        <f>+SUMIFS(Tabla16[Importe],Tabla16[MOVIL],Tabla38[[#This Row],[MOVIL]],Tabla16[OBSV],"DESCONTAR POR USO PERSONAL")</f>
        <v>18.899999999999999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6.3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2" s="5" t="str">
        <f>VLOOKUP(Tabla38[[#This Row],[MOVIL]],[1]BD!$A$1:$P$3557,13,0)</f>
        <v>MEMBRESÍA URBANO</v>
      </c>
    </row>
    <row r="123" spans="1:7" x14ac:dyDescent="0.25">
      <c r="A123" s="64">
        <v>2220</v>
      </c>
      <c r="B123" s="5">
        <f>+SUMIFS(Tabla16[Importe],Tabla16[MOVIL],Tabla38[[#This Row],[MOVIL]],Tabla16[OBSV],"DESCONTAR POR USO PERSONAL")</f>
        <v>12.6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3" s="5" t="str">
        <f>VLOOKUP(Tabla38[[#This Row],[MOVIL]],[1]BD!$A$1:$P$3557,13,0)</f>
        <v>MEMBRESÍA URBANO</v>
      </c>
    </row>
    <row r="124" spans="1:7" x14ac:dyDescent="0.25">
      <c r="A124" s="64">
        <v>3153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12.6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4" s="5" t="str">
        <f>VLOOKUP(Tabla38[[#This Row],[MOVIL]],[1]BD!$A$1:$P$3557,13,0)</f>
        <v>AEROLINEAS</v>
      </c>
    </row>
    <row r="125" spans="1:7" x14ac:dyDescent="0.25">
      <c r="A125" s="64">
        <v>2210</v>
      </c>
      <c r="B125" s="5">
        <f>+SUMIFS(Tabla16[Importe],Tabla16[MOVIL],Tabla38[[#This Row],[MOVIL]],Tabla16[OBSV],"DESCONTAR POR USO PERSONAL")</f>
        <v>0</v>
      </c>
      <c r="C125" s="5">
        <f>+SUMIFS(Tabla16[Importe],Tabla16[MOVIL],Tabla38[[#This Row],[MOVIL]],Tabla16[OBSV],"DESCONTAR POR INCIDENCIA")</f>
        <v>12.6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5" s="5" t="str">
        <f>VLOOKUP(Tabla38[[#This Row],[MOVIL]],[1]BD!$A$1:$P$3557,13,0)</f>
        <v>AEROLINEAS</v>
      </c>
    </row>
    <row r="126" spans="1:7" x14ac:dyDescent="0.25">
      <c r="A126" s="64">
        <v>1774</v>
      </c>
      <c r="B126" s="5">
        <f>+SUMIFS(Tabla16[Importe],Tabla16[MOVIL],Tabla38[[#This Row],[MOVIL]],Tabla16[OBSV],"DESCONTAR POR USO PERSONAL")</f>
        <v>6.3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6" s="5" t="str">
        <f>VLOOKUP(Tabla38[[#This Row],[MOVIL]],[1]BD!$A$1:$P$3557,13,0)</f>
        <v>AEROPUERTO</v>
      </c>
    </row>
    <row r="127" spans="1:7" x14ac:dyDescent="0.25">
      <c r="A127" s="64">
        <v>837</v>
      </c>
      <c r="B127" s="5">
        <f>+SUMIFS(Tabla16[Importe],Tabla16[MOVIL],Tabla38[[#This Row],[MOVIL]],Tabla16[OBSV],"DESCONTAR POR USO PERSONAL")</f>
        <v>12.6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7" s="5" t="str">
        <f>VLOOKUP(Tabla38[[#This Row],[MOVIL]],[1]BD!$A$1:$P$3557,13,0)</f>
        <v>AEROPUERTO</v>
      </c>
    </row>
    <row r="128" spans="1:7" x14ac:dyDescent="0.25">
      <c r="A128" s="64">
        <v>9470</v>
      </c>
      <c r="B128" s="5">
        <f>+SUMIFS(Tabla16[Importe],Tabla16[MOVIL],Tabla38[[#This Row],[MOVIL]],Tabla16[OBSV],"DESCONTAR POR USO PERSONAL")</f>
        <v>44.099999999999994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28" s="5" t="str">
        <f>VLOOKUP(Tabla38[[#This Row],[MOVIL]],[1]BD!$A$1:$P$3557,13,0)</f>
        <v>URBANO</v>
      </c>
    </row>
    <row r="129" spans="1:7" x14ac:dyDescent="0.25">
      <c r="A129" s="64">
        <v>3236</v>
      </c>
      <c r="B129" s="5">
        <f>+SUMIFS(Tabla16[Importe],Tabla16[MOVIL],Tabla38[[#This Row],[MOVIL]],Tabla16[OBSV],"DESCONTAR POR USO PERSONAL")</f>
        <v>31.5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9" s="5" t="str">
        <f>VLOOKUP(Tabla38[[#This Row],[MOVIL]],[1]BD!$A$1:$P$3557,13,0)</f>
        <v>AEROPUERTO</v>
      </c>
    </row>
    <row r="130" spans="1:7" x14ac:dyDescent="0.25">
      <c r="A130" s="64">
        <v>3662</v>
      </c>
      <c r="B130" s="5">
        <f>+SUMIFS(Tabla16[Importe],Tabla16[MOVIL],Tabla38[[#This Row],[MOVIL]],Tabla16[OBSV],"DESCONTAR POR USO PERSONAL")</f>
        <v>0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0" s="5" t="str">
        <f>VLOOKUP(Tabla38[[#This Row],[MOVIL]],[1]BD!$A$1:$P$3557,13,0)</f>
        <v>AEROPUERTO</v>
      </c>
    </row>
    <row r="131" spans="1:7" x14ac:dyDescent="0.25">
      <c r="A131" s="8">
        <v>7635</v>
      </c>
      <c r="B131" s="5">
        <f>+SUMIFS(Tabla16[Importe],Tabla16[MOVIL],Tabla38[[#This Row],[MOVIL]],Tabla16[OBSV],"DESCONTAR POR USO PERSONAL")</f>
        <v>12.6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1" s="5" t="str">
        <f>VLOOKUP(Tabla38[[#This Row],[MOVIL]],[2]BD!$A$1:$P$256,13,0)</f>
        <v>JOCKEY PLAZA</v>
      </c>
    </row>
    <row r="132" spans="1:7" x14ac:dyDescent="0.25">
      <c r="A132" s="64">
        <v>1553</v>
      </c>
      <c r="B132" s="5">
        <f>+SUMIFS(Tabla16[Importe],Tabla16[MOVIL],Tabla38[[#This Row],[MOVIL]],Tabla16[OBSV],"DESCONTAR POR USO PERSONAL")</f>
        <v>6.3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12.6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2" s="5" t="str">
        <f>VLOOKUP(Tabla38[[#This Row],[MOVIL]],[1]BD!$A$1:$P$3557,13,0)</f>
        <v>AEROPUERTO</v>
      </c>
    </row>
    <row r="133" spans="1:7" x14ac:dyDescent="0.25">
      <c r="A133" s="64">
        <v>1584</v>
      </c>
      <c r="B133" s="5">
        <f>+SUMIFS(Tabla16[Importe],Tabla16[MOVIL],Tabla38[[#This Row],[MOVIL]],Tabla16[OBSV],"DESCONTAR POR USO PERSONAL")</f>
        <v>56.699999999999989</v>
      </c>
      <c r="C133" s="5">
        <f>+SUMIFS(Tabla16[Importe],Tabla16[MOVIL],Tabla38[[#This Row],[MOVIL]],Tabla16[OBSV],"DESCONTAR POR INCIDENCIA")</f>
        <v>50.399999999999991</v>
      </c>
      <c r="D133" s="5">
        <f>+SUMIFS(Tabla16[Importe],Tabla16[MOVIL],Tabla38[[#This Row],[MOVIL]],Tabla16[OBSV],"DESCONTAR SERVICIO EN EFECTIVO")</f>
        <v>12.6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119.69999999999997</v>
      </c>
      <c r="G133" s="5" t="str">
        <f>VLOOKUP(Tabla38[[#This Row],[MOVIL]],[1]BD!$A$1:$P$3557,13,0)</f>
        <v>AEROPUERTO VAN</v>
      </c>
    </row>
    <row r="134" spans="1:7" x14ac:dyDescent="0.25">
      <c r="A134" s="64">
        <v>870</v>
      </c>
      <c r="B134" s="5">
        <f>+SUMIFS(Tabla16[Importe],Tabla16[MOVIL],Tabla38[[#This Row],[MOVIL]],Tabla16[OBSV],"DESCONTAR POR USO PERSONAL")</f>
        <v>56.699999999999989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34" s="5" t="str">
        <f>VLOOKUP(Tabla38[[#This Row],[MOVIL]],[1]BD!$A$1:$P$3557,13,0)</f>
        <v>AEROPUERTO</v>
      </c>
    </row>
    <row r="135" spans="1:7" x14ac:dyDescent="0.25">
      <c r="A135" s="64">
        <v>9434</v>
      </c>
      <c r="B135" s="5">
        <f>+SUMIFS(Tabla16[Importe],Tabla16[MOVIL],Tabla38[[#This Row],[MOVIL]],Tabla16[OBSV],"DESCONTAR POR USO PERSONAL")</f>
        <v>25.2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5" s="5" t="str">
        <f>VLOOKUP(Tabla38[[#This Row],[MOVIL]],[1]BD!$A$1:$P$3557,13,0)</f>
        <v>AEROPUERTO VAN</v>
      </c>
    </row>
    <row r="136" spans="1:7" x14ac:dyDescent="0.25">
      <c r="A136" s="64">
        <v>926</v>
      </c>
      <c r="B136" s="5">
        <f>+SUMIFS(Tabla16[Importe],Tabla16[MOVIL],Tabla38[[#This Row],[MOVIL]],Tabla16[OBSV],"DESCONTAR POR USO PERSONAL")</f>
        <v>31.5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6.3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36" s="5" t="str">
        <f>VLOOKUP(Tabla38[[#This Row],[MOVIL]],[1]BD!$A$1:$P$3557,13,0)</f>
        <v>AEROPUERTO</v>
      </c>
    </row>
    <row r="137" spans="1:7" x14ac:dyDescent="0.25">
      <c r="A137" s="64">
        <v>985</v>
      </c>
      <c r="B137" s="5">
        <f>+SUMIFS(Tabla16[Importe],Tabla16[MOVIL],Tabla38[[#This Row],[MOVIL]],Tabla16[OBSV],"DESCONTAR POR USO PERSONAL")</f>
        <v>18.899999999999999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7" s="5" t="str">
        <f>VLOOKUP(Tabla38[[#This Row],[MOVIL]],[1]BD!$A$1:$P$3557,13,0)</f>
        <v>AEROPUERTO</v>
      </c>
    </row>
    <row r="138" spans="1:7" x14ac:dyDescent="0.25">
      <c r="A138" s="64">
        <v>3378</v>
      </c>
      <c r="B138" s="5">
        <f>+SUMIFS(Tabla16[Importe],Tabla16[MOVIL],Tabla38[[#This Row],[MOVIL]],Tabla16[OBSV],"DESCONTAR POR USO PERSONAL")</f>
        <v>0</v>
      </c>
      <c r="C138" s="5">
        <f>+SUMIFS(Tabla16[Importe],Tabla16[MOVIL],Tabla38[[#This Row],[MOVIL]],Tabla16[OBSV],"DESCONTAR POR INCIDENCIA")</f>
        <v>12.6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8" s="5" t="str">
        <f>VLOOKUP(Tabla38[[#This Row],[MOVIL]],[1]BD!$A$1:$P$3557,13,0)</f>
        <v>AEROLINEAS</v>
      </c>
    </row>
    <row r="139" spans="1:7" x14ac:dyDescent="0.25">
      <c r="A139" s="64">
        <v>2755</v>
      </c>
      <c r="B139" s="5">
        <f>+SUMIFS(Tabla16[Importe],Tabla16[MOVIL],Tabla38[[#This Row],[MOVIL]],Tabla16[OBSV],"DESCONTAR POR USO PERSONAL")</f>
        <v>12.6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9" s="5" t="str">
        <f>VLOOKUP(Tabla38[[#This Row],[MOVIL]],[1]BD!$A$1:$P$3557,13,0)</f>
        <v>URBANO</v>
      </c>
    </row>
    <row r="140" spans="1:7" x14ac:dyDescent="0.25">
      <c r="A140" s="64">
        <v>283</v>
      </c>
      <c r="B140" s="5">
        <f>+SUMIFS(Tabla16[Importe],Tabla16[MOVIL],Tabla38[[#This Row],[MOVIL]],Tabla16[OBSV],"DESCONTAR POR USO PERSONAL")</f>
        <v>75.59999999999998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40" s="5" t="str">
        <f>VLOOKUP(Tabla38[[#This Row],[MOVIL]],[1]BD!$A$1:$P$3557,13,0)</f>
        <v>AEROPUERTO</v>
      </c>
    </row>
    <row r="141" spans="1:7" x14ac:dyDescent="0.25">
      <c r="A141" s="64">
        <v>507</v>
      </c>
      <c r="B141" s="5">
        <f>+SUMIFS(Tabla16[Importe],Tabla16[MOVIL],Tabla38[[#This Row],[MOVIL]],Tabla16[OBSV],"DESCONTAR POR USO PERSONAL")</f>
        <v>0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1" s="5" t="str">
        <f>VLOOKUP(Tabla38[[#This Row],[MOVIL]],[1]BD!$A$1:$P$3557,13,0)</f>
        <v>URBANO</v>
      </c>
    </row>
    <row r="142" spans="1:7" x14ac:dyDescent="0.25">
      <c r="A142" s="64">
        <v>923</v>
      </c>
      <c r="B142" s="5">
        <f>+SUMIFS(Tabla16[Importe],Tabla16[MOVIL],Tabla38[[#This Row],[MOVIL]],Tabla16[OBSV],"DESCONTAR POR USO PERSONAL")</f>
        <v>62.999999999999986</v>
      </c>
      <c r="C142" s="5">
        <f>+SUMIFS(Tabla16[Importe],Tabla16[MOVIL],Tabla38[[#This Row],[MOVIL]],Tabla16[OBSV],"DESCONTAR POR INCIDENCIA")</f>
        <v>12.6</v>
      </c>
      <c r="D142" s="5">
        <f>+SUMIFS(Tabla16[Importe],Tabla16[MOVIL],Tabla38[[#This Row],[MOVIL]],Tabla16[OBSV],"DESCONTAR SERVICIO EN EFECTIVO")</f>
        <v>12.6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142" s="5" t="str">
        <f>VLOOKUP(Tabla38[[#This Row],[MOVIL]],[1]BD!$A$1:$P$3557,13,0)</f>
        <v>AEROPUERTO</v>
      </c>
    </row>
    <row r="143" spans="1:7" x14ac:dyDescent="0.25">
      <c r="A143" s="64">
        <v>2039</v>
      </c>
      <c r="B143" s="5">
        <f>+SUMIFS(Tabla16[Importe],Tabla16[MOVIL],Tabla38[[#This Row],[MOVIL]],Tabla16[OBSV],"DESCONTAR POR USO PERSONAL")</f>
        <v>31.5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43" s="5" t="str">
        <f>VLOOKUP(Tabla38[[#This Row],[MOVIL]],[1]BD!$A$1:$P$3557,13,0)</f>
        <v>MEMBRESÍA URBANO</v>
      </c>
    </row>
    <row r="144" spans="1:7" x14ac:dyDescent="0.25">
      <c r="A144" s="64">
        <v>952</v>
      </c>
      <c r="B144" s="5">
        <f>+SUMIFS(Tabla16[Importe],Tabla16[MOVIL],Tabla38[[#This Row],[MOVIL]],Tabla16[OBSV],"DESCONTAR POR USO PERSONAL")</f>
        <v>12.6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4" s="5" t="str">
        <f>VLOOKUP(Tabla38[[#This Row],[MOVIL]],[1]BD!$A$1:$P$3557,13,0)</f>
        <v>AEROLINEAS</v>
      </c>
    </row>
    <row r="145" spans="1:7" x14ac:dyDescent="0.25">
      <c r="A145" s="64">
        <v>3517</v>
      </c>
      <c r="B145" s="5">
        <f>+SUMIFS(Tabla16[Importe],Tabla16[MOVIL],Tabla38[[#This Row],[MOVIL]],Tabla16[OBSV],"DESCONTAR POR USO PERSONAL")</f>
        <v>0</v>
      </c>
      <c r="C145" s="5">
        <f>+SUMIFS(Tabla16[Importe],Tabla16[MOVIL],Tabla38[[#This Row],[MOVIL]],Tabla16[OBSV],"DESCONTAR POR INCIDENCIA")</f>
        <v>6.3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5" s="5" t="str">
        <f>VLOOKUP(Tabla38[[#This Row],[MOVIL]],[1]BD!$A$1:$P$3557,13,0)</f>
        <v>AEROLINEAS</v>
      </c>
    </row>
    <row r="146" spans="1:7" x14ac:dyDescent="0.25">
      <c r="A146" s="64">
        <v>1429</v>
      </c>
      <c r="B146" s="5">
        <f>+SUMIFS(Tabla16[Importe],Tabla16[MOVIL],Tabla38[[#This Row],[MOVIL]],Tabla16[OBSV],"DESCONTAR POR USO PERSONAL")</f>
        <v>18.899999999999999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6" s="5" t="str">
        <f>VLOOKUP(Tabla38[[#This Row],[MOVIL]],[1]BD!$A$1:$P$3557,13,0)</f>
        <v>AEROPUERTO</v>
      </c>
    </row>
    <row r="147" spans="1:7" x14ac:dyDescent="0.25">
      <c r="A147" s="64">
        <v>917</v>
      </c>
      <c r="B147" s="5">
        <f>+SUMIFS(Tabla16[Importe],Tabla16[MOVIL],Tabla38[[#This Row],[MOVIL]],Tabla16[OBSV],"DESCONTAR POR USO PERSONAL")</f>
        <v>25.2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7" s="5" t="str">
        <f>VLOOKUP(Tabla38[[#This Row],[MOVIL]],[1]BD!$A$1:$P$3557,13,0)</f>
        <v>AEROPUERTO</v>
      </c>
    </row>
    <row r="148" spans="1:7" x14ac:dyDescent="0.25">
      <c r="A148" s="8">
        <v>7606</v>
      </c>
      <c r="B148" s="5">
        <f>+SUMIFS(Tabla16[Importe],Tabla16[MOVIL],Tabla38[[#This Row],[MOVIL]],Tabla16[OBSV],"DESCONTAR POR USO PERSONAL")</f>
        <v>25.2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8" s="5" t="str">
        <f>VLOOKUP(Tabla38[[#This Row],[MOVIL]],[2]BD!$A$1:$P$256,13,0)</f>
        <v>JOCKEY PLAZA</v>
      </c>
    </row>
    <row r="149" spans="1:7" x14ac:dyDescent="0.25">
      <c r="A149" s="64">
        <v>9195</v>
      </c>
      <c r="B149" s="5">
        <f>+SUMIFS(Tabla16[Importe],Tabla16[MOVIL],Tabla38[[#This Row],[MOVIL]],Tabla16[OBSV],"DESCONTAR POR USO PERSONAL")</f>
        <v>0</v>
      </c>
      <c r="C149" s="5">
        <f>+SUMIFS(Tabla16[Importe],Tabla16[MOVIL],Tabla38[[#This Row],[MOVIL]],Tabla16[OBSV],"DESCONTAR POR INCIDENCIA")</f>
        <v>12.6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9" s="5" t="str">
        <f>VLOOKUP(Tabla38[[#This Row],[MOVIL]],[1]BD!$A$1:$P$3557,13,0)</f>
        <v>AEROLINEAS</v>
      </c>
    </row>
    <row r="150" spans="1:7" x14ac:dyDescent="0.25">
      <c r="A150" s="64">
        <v>3621</v>
      </c>
      <c r="B150" s="5">
        <f>+SUMIFS(Tabla16[Importe],Tabla16[MOVIL],Tabla38[[#This Row],[MOVIL]],Tabla16[OBSV],"DESCONTAR POR USO PERSONAL")</f>
        <v>0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0" s="5" t="str">
        <f>VLOOKUP(Tabla38[[#This Row],[MOVIL]],[1]BD!$A$1:$P$3557,13,0)</f>
        <v>AEROLINEAS</v>
      </c>
    </row>
    <row r="151" spans="1:7" x14ac:dyDescent="0.25">
      <c r="A151" s="64">
        <v>3661</v>
      </c>
      <c r="B151" s="5">
        <f>+SUMIFS(Tabla16[Importe],Tabla16[MOVIL],Tabla38[[#This Row],[MOVIL]],Tabla16[OBSV],"DESCONTAR POR USO PERSONAL")</f>
        <v>18.899999999999999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1" s="5" t="str">
        <f>VLOOKUP(Tabla38[[#This Row],[MOVIL]],[1]BD!$A$1:$P$3557,13,0)</f>
        <v>AEROPUERTO</v>
      </c>
    </row>
    <row r="152" spans="1:7" x14ac:dyDescent="0.25">
      <c r="A152" s="64">
        <v>2810</v>
      </c>
      <c r="B152" s="5">
        <f>+SUMIFS(Tabla16[Importe],Tabla16[MOVIL],Tabla38[[#This Row],[MOVIL]],Tabla16[OBSV],"DESCONTAR POR USO PERSONAL")</f>
        <v>151.19999999999999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151.19999999999999</v>
      </c>
      <c r="G152" s="5" t="str">
        <f>VLOOKUP(Tabla38[[#This Row],[MOVIL]],[1]BD!$A$1:$P$3557,13,0)</f>
        <v>AEROPUERTO</v>
      </c>
    </row>
    <row r="153" spans="1:7" x14ac:dyDescent="0.25">
      <c r="A153" s="64">
        <v>2549</v>
      </c>
      <c r="B153" s="5">
        <f>+SUMIFS(Tabla16[Importe],Tabla16[MOVIL],Tabla38[[#This Row],[MOVIL]],Tabla16[OBSV],"DESCONTAR POR USO PERSONAL")</f>
        <v>12.6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3" s="5" t="str">
        <f>VLOOKUP(Tabla38[[#This Row],[MOVIL]],[1]BD!$A$1:$P$3557,13,0)</f>
        <v>AEROPUERTO</v>
      </c>
    </row>
    <row r="154" spans="1:7" x14ac:dyDescent="0.25">
      <c r="A154" s="64">
        <v>9063</v>
      </c>
      <c r="B154" s="5">
        <f>+SUMIFS(Tabla16[Importe],Tabla16[MOVIL],Tabla38[[#This Row],[MOVIL]],Tabla16[OBSV],"DESCONTAR POR USO PERSONAL")</f>
        <v>6.3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4" s="5" t="str">
        <f>VLOOKUP(Tabla38[[#This Row],[MOVIL]],[1]BD!$A$1:$P$3557,13,0)</f>
        <v>AEROPUERTO</v>
      </c>
    </row>
    <row r="155" spans="1:7" x14ac:dyDescent="0.25">
      <c r="A155" s="64">
        <v>2916</v>
      </c>
      <c r="B155" s="5">
        <f>+SUMIFS(Tabla16[Importe],Tabla16[MOVIL],Tabla38[[#This Row],[MOVIL]],Tabla16[OBSV],"DESCONTAR POR USO PERSONAL")</f>
        <v>12.6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5" s="5" t="str">
        <f>VLOOKUP(Tabla38[[#This Row],[MOVIL]],[1]BD!$A$1:$P$3557,13,0)</f>
        <v>URBANO</v>
      </c>
    </row>
    <row r="156" spans="1:7" x14ac:dyDescent="0.25">
      <c r="A156" s="64">
        <v>1699</v>
      </c>
      <c r="B156" s="5">
        <f>+SUMIFS(Tabla16[Importe],Tabla16[MOVIL],Tabla38[[#This Row],[MOVIL]],Tabla16[OBSV],"DESCONTAR POR USO PERSONAL")</f>
        <v>12.6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6" s="5" t="str">
        <f>VLOOKUP(Tabla38[[#This Row],[MOVIL]],[1]BD!$A$1:$P$3557,13,0)</f>
        <v>AEROPUERTO</v>
      </c>
    </row>
    <row r="157" spans="1:7" x14ac:dyDescent="0.25">
      <c r="A157" s="64">
        <v>248</v>
      </c>
      <c r="B157" s="5">
        <f>+SUMIFS(Tabla16[Importe],Tabla16[MOVIL],Tabla38[[#This Row],[MOVIL]],Tabla16[OBSV],"DESCONTAR POR USO PERSONAL")</f>
        <v>12.6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25.2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57" s="5" t="str">
        <f>VLOOKUP(Tabla38[[#This Row],[MOVIL]],[1]BD!$A$1:$P$3557,13,0)</f>
        <v>AEROPUERTO</v>
      </c>
    </row>
    <row r="158" spans="1:7" x14ac:dyDescent="0.25">
      <c r="A158" s="64">
        <v>3368</v>
      </c>
      <c r="B158" s="5">
        <f>+SUMIFS(Tabla16[Importe],Tabla16[MOVIL],Tabla38[[#This Row],[MOVIL]],Tabla16[OBSV],"DESCONTAR POR USO PERSONAL")</f>
        <v>0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8" s="5" t="str">
        <f>VLOOKUP(Tabla38[[#This Row],[MOVIL]],[1]BD!$A$1:$P$3557,13,0)</f>
        <v>URBANO</v>
      </c>
    </row>
    <row r="159" spans="1:7" x14ac:dyDescent="0.25">
      <c r="A159" s="64">
        <v>879</v>
      </c>
      <c r="B159" s="5">
        <f>+SUMIFS(Tabla16[Importe],Tabla16[MOVIL],Tabla38[[#This Row],[MOVIL]],Tabla16[OBSV],"DESCONTAR POR USO PERSONAL")</f>
        <v>6.3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9" s="5" t="str">
        <f>VLOOKUP(Tabla38[[#This Row],[MOVIL]],[1]BD!$A$1:$P$3557,13,0)</f>
        <v>AEROPUERTO</v>
      </c>
    </row>
    <row r="160" spans="1:7" x14ac:dyDescent="0.25">
      <c r="A160" s="64">
        <v>9035</v>
      </c>
      <c r="B160" s="5">
        <f>+SUMIFS(Tabla16[Importe],Tabla16[MOVIL],Tabla38[[#This Row],[MOVIL]],Tabla16[OBSV],"DESCONTAR POR USO PERSONAL")</f>
        <v>12.6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0" s="5" t="str">
        <f>VLOOKUP(Tabla38[[#This Row],[MOVIL]],[1]BD!$A$1:$P$3557,13,0)</f>
        <v>AEROPUERTO</v>
      </c>
    </row>
    <row r="161" spans="1:7" x14ac:dyDescent="0.25">
      <c r="A161" s="64">
        <v>847</v>
      </c>
      <c r="B161" s="5">
        <f>+SUMIFS(Tabla16[Importe],Tabla16[MOVIL],Tabla38[[#This Row],[MOVIL]],Tabla16[OBSV],"DESCONTAR POR USO PERSONAL")</f>
        <v>18.899999999999999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1" s="5" t="str">
        <f>VLOOKUP(Tabla38[[#This Row],[MOVIL]],[1]BD!$A$1:$P$3557,13,0)</f>
        <v>AEROPUERTO</v>
      </c>
    </row>
    <row r="162" spans="1:7" x14ac:dyDescent="0.25">
      <c r="A162" s="64">
        <v>9527</v>
      </c>
      <c r="B162" s="5">
        <f>+SUMIFS(Tabla16[Importe],Tabla16[MOVIL],Tabla38[[#This Row],[MOVIL]],Tabla16[OBSV],"DESCONTAR POR USO PERSONAL")</f>
        <v>0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12.6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2" s="5" t="str">
        <f>VLOOKUP(Tabla38[[#This Row],[MOVIL]],[1]BD!$A$1:$P$3557,13,0)</f>
        <v>AEROPUERTO</v>
      </c>
    </row>
    <row r="163" spans="1:7" x14ac:dyDescent="0.25">
      <c r="A163" s="8">
        <v>9152</v>
      </c>
      <c r="B163" s="5">
        <f>+SUMIFS(Tabla16[Importe],Tabla16[MOVIL],Tabla38[[#This Row],[MOVIL]],Tabla16[OBSV],"DESCONTAR POR USO PERSONAL")</f>
        <v>0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3" s="5" t="str">
        <f>VLOOKUP(Tabla38[[#This Row],[MOVIL]],[2]BD!$A$1:$P$256,13,0)</f>
        <v>JOCKEY PLAZA</v>
      </c>
    </row>
    <row r="164" spans="1:7" x14ac:dyDescent="0.25">
      <c r="A164" s="64">
        <v>2913</v>
      </c>
      <c r="B164" s="5">
        <f>+SUMIFS(Tabla16[Importe],Tabla16[MOVIL],Tabla38[[#This Row],[MOVIL]],Tabla16[OBSV],"DESCONTAR POR USO PERSONAL")</f>
        <v>6.3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4" s="5" t="str">
        <f>VLOOKUP(Tabla38[[#This Row],[MOVIL]],[1]BD!$A$1:$P$3557,13,0)</f>
        <v>URBANO PARTNER</v>
      </c>
    </row>
    <row r="165" spans="1:7" x14ac:dyDescent="0.25">
      <c r="A165" s="64">
        <v>9720</v>
      </c>
      <c r="B165" s="5">
        <f>+SUMIFS(Tabla16[Importe],Tabla16[MOVIL],Tabla38[[#This Row],[MOVIL]],Tabla16[OBSV],"DESCONTAR POR USO PERSONAL")</f>
        <v>6.3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5" s="5" t="str">
        <f>VLOOKUP(Tabla38[[#This Row],[MOVIL]],[1]BD!$A$1:$P$3557,13,0)</f>
        <v>AEROPUERTO</v>
      </c>
    </row>
    <row r="166" spans="1:7" x14ac:dyDescent="0.25">
      <c r="A166" s="64">
        <v>222</v>
      </c>
      <c r="B166" s="5">
        <f>+SUMIFS(Tabla16[Importe],Tabla16[MOVIL],Tabla38[[#This Row],[MOVIL]],Tabla16[OBSV],"DESCONTAR POR USO PERSONAL")</f>
        <v>18.899999999999999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6" s="5" t="str">
        <f>VLOOKUP(Tabla38[[#This Row],[MOVIL]],[1]BD!$A$1:$P$3557,13,0)</f>
        <v>AEROPUERTO</v>
      </c>
    </row>
    <row r="167" spans="1:7" x14ac:dyDescent="0.25">
      <c r="A167" s="64">
        <v>9112</v>
      </c>
      <c r="B167" s="5">
        <f>+SUMIFS(Tabla16[Importe],Tabla16[MOVIL],Tabla38[[#This Row],[MOVIL]],Tabla16[OBSV],"DESCONTAR POR USO PERSONAL")</f>
        <v>0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7" s="5" t="str">
        <f>VLOOKUP(Tabla38[[#This Row],[MOVIL]],[1]BD!$A$1:$P$3557,13,0)</f>
        <v>URBANO</v>
      </c>
    </row>
    <row r="168" spans="1:7" x14ac:dyDescent="0.25">
      <c r="A168" s="64">
        <v>220</v>
      </c>
      <c r="B168" s="5">
        <f>+SUMIFS(Tabla16[Importe],Tabla16[MOVIL],Tabla38[[#This Row],[MOVIL]],Tabla16[OBSV],"DESCONTAR POR USO PERSONAL")</f>
        <v>12.6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8" s="5" t="str">
        <f>VLOOKUP(Tabla38[[#This Row],[MOVIL]],[1]BD!$A$1:$P$3557,13,0)</f>
        <v>AEROPUERTO</v>
      </c>
    </row>
    <row r="169" spans="1:7" x14ac:dyDescent="0.25">
      <c r="A169" s="64">
        <v>9132</v>
      </c>
      <c r="B169" s="5">
        <f>+SUMIFS(Tabla16[Importe],Tabla16[MOVIL],Tabla38[[#This Row],[MOVIL]],Tabla16[OBSV],"DESCONTAR POR USO PERSONAL")</f>
        <v>62.999999999999986</v>
      </c>
      <c r="C169" s="5">
        <f>+SUMIFS(Tabla16[Importe],Tabla16[MOVIL],Tabla38[[#This Row],[MOVIL]],Tabla16[OBSV],"DESCONTAR POR INCIDENCIA")</f>
        <v>6.3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69" s="5" t="str">
        <f>VLOOKUP(Tabla38[[#This Row],[MOVIL]],[1]BD!$A$1:$P$3557,13,0)</f>
        <v>AEROPUERTO</v>
      </c>
    </row>
    <row r="170" spans="1:7" x14ac:dyDescent="0.25">
      <c r="A170" s="64">
        <v>9376</v>
      </c>
      <c r="B170" s="5">
        <f>+SUMIFS(Tabla16[Importe],Tabla16[MOVIL],Tabla38[[#This Row],[MOVIL]],Tabla16[OBSV],"DESCONTAR POR USO PERSONAL")</f>
        <v>37.799999999999997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70" s="5" t="str">
        <f>VLOOKUP(Tabla38[[#This Row],[MOVIL]],[1]BD!$A$1:$P$3557,13,0)</f>
        <v>AEROLINEAS</v>
      </c>
    </row>
    <row r="171" spans="1:7" x14ac:dyDescent="0.25">
      <c r="A171" s="64">
        <v>9333</v>
      </c>
      <c r="B171" s="5">
        <f>+SUMIFS(Tabla16[Importe],Tabla16[MOVIL],Tabla38[[#This Row],[MOVIL]],Tabla16[OBSV],"DESCONTAR POR USO PERSONAL")</f>
        <v>18.899999999999999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1" s="5" t="str">
        <f>VLOOKUP(Tabla38[[#This Row],[MOVIL]],[1]BD!$A$1:$P$3557,13,0)</f>
        <v>AEROPUERTO</v>
      </c>
    </row>
    <row r="172" spans="1:7" x14ac:dyDescent="0.25">
      <c r="A172" s="64">
        <v>1541</v>
      </c>
      <c r="B172" s="5">
        <f>+SUMIFS(Tabla16[Importe],Tabla16[MOVIL],Tabla38[[#This Row],[MOVIL]],Tabla16[OBSV],"DESCONTAR POR USO PERSONAL")</f>
        <v>0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6.3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2" s="5" t="str">
        <f>VLOOKUP(Tabla38[[#This Row],[MOVIL]],[1]BD!$A$1:$P$3557,13,0)</f>
        <v>AEROPUERTO</v>
      </c>
    </row>
    <row r="173" spans="1:7" x14ac:dyDescent="0.25">
      <c r="A173" s="64">
        <v>2390</v>
      </c>
      <c r="B173" s="5">
        <f>+SUMIFS(Tabla16[Importe],Tabla16[MOVIL],Tabla38[[#This Row],[MOVIL]],Tabla16[OBSV],"DESCONTAR POR USO PERSONAL")</f>
        <v>18.899999999999999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3" s="5" t="str">
        <f>VLOOKUP(Tabla38[[#This Row],[MOVIL]],[1]BD!$A$1:$P$3557,13,0)</f>
        <v>URBANO</v>
      </c>
    </row>
    <row r="174" spans="1:7" x14ac:dyDescent="0.25">
      <c r="A174" s="64">
        <v>9204</v>
      </c>
      <c r="B174" s="5">
        <f>+SUMIFS(Tabla16[Importe],Tabla16[MOVIL],Tabla38[[#This Row],[MOVIL]],Tabla16[OBSV],"DESCONTAR POR USO PERSONAL")</f>
        <v>0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4" s="5" t="str">
        <f>VLOOKUP(Tabla38[[#This Row],[MOVIL]],[1]BD!$A$1:$P$3557,13,0)</f>
        <v>URBANO</v>
      </c>
    </row>
    <row r="175" spans="1:7" x14ac:dyDescent="0.25">
      <c r="A175" s="64">
        <v>3917</v>
      </c>
      <c r="B175" s="5">
        <f>+SUMIFS(Tabla16[Importe],Tabla16[MOVIL],Tabla38[[#This Row],[MOVIL]],Tabla16[OBSV],"DESCONTAR POR USO PERSONAL")</f>
        <v>0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6.3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5" s="5" t="str">
        <f>VLOOKUP(Tabla38[[#This Row],[MOVIL]],[1]BD!$A$1:$P$3557,13,0)</f>
        <v>URBANO PARTNER</v>
      </c>
    </row>
    <row r="176" spans="1:7" x14ac:dyDescent="0.25">
      <c r="A176" s="64">
        <v>9617</v>
      </c>
      <c r="B176" s="5">
        <f>+SUMIFS(Tabla16[Importe],Tabla16[MOVIL],Tabla38[[#This Row],[MOVIL]],Tabla16[OBSV],"DESCONTAR POR USO PERSONAL")</f>
        <v>56.699999999999989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76" s="5" t="str">
        <f>VLOOKUP(Tabla38[[#This Row],[MOVIL]],[1]BD!$A$1:$P$3557,13,0)</f>
        <v>URBANO</v>
      </c>
    </row>
    <row r="177" spans="1:7" x14ac:dyDescent="0.25">
      <c r="A177" s="64">
        <v>3812</v>
      </c>
      <c r="B177" s="5">
        <f>+SUMIFS(Tabla16[Importe],Tabla16[MOVIL],Tabla38[[#This Row],[MOVIL]],Tabla16[OBSV],"DESCONTAR POR USO PERSONAL")</f>
        <v>18.899999999999999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12.6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7" s="5" t="str">
        <f>VLOOKUP(Tabla38[[#This Row],[MOVIL]],[1]BD!$A$1:$P$3557,13,0)</f>
        <v>AEROPUERTO</v>
      </c>
    </row>
    <row r="178" spans="1:7" x14ac:dyDescent="0.25">
      <c r="A178" s="64">
        <v>3607</v>
      </c>
      <c r="B178" s="5">
        <f>+SUMIFS(Tabla16[Importe],Tabla16[MOVIL],Tabla38[[#This Row],[MOVIL]],Tabla16[OBSV],"DESCONTAR POR USO PERSONAL")</f>
        <v>0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8" s="5" t="str">
        <f>VLOOKUP(Tabla38[[#This Row],[MOVIL]],[1]BD!$A$1:$P$3557,13,0)</f>
        <v>AEROLINEAS</v>
      </c>
    </row>
    <row r="179" spans="1:7" x14ac:dyDescent="0.25">
      <c r="A179" s="64">
        <v>9658</v>
      </c>
      <c r="B179" s="5">
        <f>+SUMIFS(Tabla16[Importe],Tabla16[MOVIL],Tabla38[[#This Row],[MOVIL]],Tabla16[OBSV],"DESCONTAR POR USO PERSONAL")</f>
        <v>0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9" s="5" t="str">
        <f>VLOOKUP(Tabla38[[#This Row],[MOVIL]],[1]BD!$A$1:$P$3557,13,0)</f>
        <v>AEROPUERTO</v>
      </c>
    </row>
    <row r="180" spans="1:7" x14ac:dyDescent="0.25">
      <c r="A180" s="64">
        <v>9490</v>
      </c>
      <c r="B180" s="5">
        <f>+SUMIFS(Tabla16[Importe],Tabla16[MOVIL],Tabla38[[#This Row],[MOVIL]],Tabla16[OBSV],"DESCONTAR POR USO PERSONAL")</f>
        <v>0</v>
      </c>
      <c r="C180" s="5">
        <f>+SUMIFS(Tabla16[Importe],Tabla16[MOVIL],Tabla38[[#This Row],[MOVIL]],Tabla16[OBSV],"DESCONTAR POR INCIDENCIA")</f>
        <v>12.6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0" s="5" t="str">
        <f>VLOOKUP(Tabla38[[#This Row],[MOVIL]],[1]BD!$A$1:$P$3557,13,0)</f>
        <v>AEROPUERTO</v>
      </c>
    </row>
    <row r="181" spans="1:7" x14ac:dyDescent="0.25">
      <c r="A181" s="64">
        <v>9624</v>
      </c>
      <c r="B181" s="5">
        <f>+SUMIFS(Tabla16[Importe],Tabla16[MOVIL],Tabla38[[#This Row],[MOVIL]],Tabla16[OBSV],"DESCONTAR POR USO PERSONAL")</f>
        <v>0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12.6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1" s="5" t="str">
        <f>VLOOKUP(Tabla38[[#This Row],[MOVIL]],[1]BD!$A$1:$P$3557,13,0)</f>
        <v>AEROPUERTO</v>
      </c>
    </row>
    <row r="182" spans="1:7" x14ac:dyDescent="0.25">
      <c r="A182" s="64">
        <v>9950</v>
      </c>
      <c r="B182" s="5">
        <f>+SUMIFS(Tabla16[Importe],Tabla16[MOVIL],Tabla38[[#This Row],[MOVIL]],Tabla16[OBSV],"DESCONTAR POR USO PERSONAL")</f>
        <v>18.899999999999999</v>
      </c>
      <c r="C182" s="5">
        <f>+SUMIFS(Tabla16[Importe],Tabla16[MOVIL],Tabla38[[#This Row],[MOVIL]],Tabla16[OBSV],"DESCONTAR POR INCIDENCIA")</f>
        <v>6.3</v>
      </c>
      <c r="D182" s="5">
        <f>+SUMIFS(Tabla16[Importe],Tabla16[MOVIL],Tabla38[[#This Row],[MOVIL]],Tabla16[OBSV],"DESCONTAR SERVICIO EN EFECTIVO")</f>
        <v>25.2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82" s="5" t="str">
        <f>VLOOKUP(Tabla38[[#This Row],[MOVIL]],[1]BD!$A$1:$P$3557,13,0)</f>
        <v>AEROPUERTO</v>
      </c>
    </row>
    <row r="183" spans="1:7" x14ac:dyDescent="0.25">
      <c r="A183" s="64">
        <v>927</v>
      </c>
      <c r="B183" s="5">
        <f>+SUMIFS(Tabla16[Importe],Tabla16[MOVIL],Tabla38[[#This Row],[MOVIL]],Tabla16[OBSV],"DESCONTAR POR USO PERSONAL")</f>
        <v>25.2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3" s="5" t="str">
        <f>VLOOKUP(Tabla38[[#This Row],[MOVIL]],[1]BD!$A$1:$P$3557,13,0)</f>
        <v>AEROPUERTO</v>
      </c>
    </row>
    <row r="184" spans="1:7" x14ac:dyDescent="0.25">
      <c r="A184" s="8">
        <v>9953</v>
      </c>
      <c r="B184" s="5">
        <f>+SUMIFS(Tabla16[Importe],Tabla16[MOVIL],Tabla38[[#This Row],[MOVIL]],Tabla16[OBSV],"DESCONTAR POR USO PERSONAL")</f>
        <v>6.3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12.6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4" s="5" t="str">
        <f>VLOOKUP(Tabla38[[#This Row],[MOVIL]],[2]BD!$A$1:$P$256,13,0)</f>
        <v>BELLAVISTA</v>
      </c>
    </row>
    <row r="185" spans="1:7" x14ac:dyDescent="0.25">
      <c r="A185" s="64">
        <v>9837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5" s="5" t="str">
        <f>VLOOKUP(Tabla38[[#This Row],[MOVIL]],[1]BD!$A$1:$P$3557,13,0)</f>
        <v>AEROPUERTO</v>
      </c>
    </row>
    <row r="186" spans="1:7" x14ac:dyDescent="0.25">
      <c r="A186" s="64">
        <v>9795</v>
      </c>
      <c r="B186" s="5">
        <f>+SUMIFS(Tabla16[Importe],Tabla16[MOVIL],Tabla38[[#This Row],[MOVIL]],Tabla16[OBSV],"DESCONTAR POR USO PERSONAL")</f>
        <v>25.2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6" s="5" t="str">
        <f>VLOOKUP(Tabla38[[#This Row],[MOVIL]],[1]BD!$A$1:$P$3557,13,0)</f>
        <v>AEROPUERTO</v>
      </c>
    </row>
    <row r="187" spans="1:7" x14ac:dyDescent="0.25">
      <c r="A187" s="64">
        <v>9672</v>
      </c>
      <c r="B187" s="5">
        <f>+SUMIFS(Tabla16[Importe],Tabla16[MOVIL],Tabla38[[#This Row],[MOVIL]],Tabla16[OBSV],"DESCONTAR POR USO PERSONAL")</f>
        <v>0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7" s="5" t="str">
        <f>VLOOKUP(Tabla38[[#This Row],[MOVIL]],[1]BD!$A$1:$P$3557,13,0)</f>
        <v>AEROPUERTO</v>
      </c>
    </row>
    <row r="188" spans="1:7" x14ac:dyDescent="0.25">
      <c r="A188" s="64">
        <v>292</v>
      </c>
      <c r="B188" s="5">
        <f>+SUMIFS(Tabla16[Importe],Tabla16[MOVIL],Tabla38[[#This Row],[MOVIL]],Tabla16[OBSV],"DESCONTAR POR USO PERSONAL")</f>
        <v>113.39999999999996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188" s="5" t="str">
        <f>VLOOKUP(Tabla38[[#This Row],[MOVIL]],[1]BD!$A$1:$P$3557,13,0)</f>
        <v>AEROPUERTO</v>
      </c>
    </row>
    <row r="189" spans="1:7" x14ac:dyDescent="0.25">
      <c r="A189" s="64">
        <v>9769</v>
      </c>
      <c r="B189" s="5">
        <f>+SUMIFS(Tabla16[Importe],Tabla16[MOVIL],Tabla38[[#This Row],[MOVIL]],Tabla16[OBSV],"DESCONTAR POR USO PERSONAL")</f>
        <v>0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9" s="5" t="str">
        <f>VLOOKUP(Tabla38[[#This Row],[MOVIL]],[1]BD!$A$1:$P$3557,13,0)</f>
        <v>AEROLINEAS</v>
      </c>
    </row>
    <row r="190" spans="1:7" x14ac:dyDescent="0.25">
      <c r="A190" s="64">
        <v>821</v>
      </c>
      <c r="B190" s="5">
        <f>+SUMIFS(Tabla16[Importe],Tabla16[MOVIL],Tabla38[[#This Row],[MOVIL]],Tabla16[OBSV],"DESCONTAR POR USO PERSONAL")</f>
        <v>6.3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0" s="5" t="str">
        <f>VLOOKUP(Tabla38[[#This Row],[MOVIL]],[1]BD!$A$1:$P$3557,13,0)</f>
        <v>AEROPUERTO</v>
      </c>
    </row>
    <row r="191" spans="1:7" x14ac:dyDescent="0.25">
      <c r="A191" s="64">
        <v>3815</v>
      </c>
      <c r="B191" s="5">
        <f>+SUMIFS(Tabla16[Importe],Tabla16[MOVIL],Tabla38[[#This Row],[MOVIL]],Tabla16[OBSV],"DESCONTAR POR USO PERSONAL")</f>
        <v>37.799999999999997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91" s="5" t="str">
        <f>VLOOKUP(Tabla38[[#This Row],[MOVIL]],[1]BD!$A$1:$P$3557,13,0)</f>
        <v>AEROPUERTO</v>
      </c>
    </row>
    <row r="192" spans="1:7" x14ac:dyDescent="0.25">
      <c r="A192" s="64">
        <v>2349</v>
      </c>
      <c r="B192" s="5">
        <f>+SUMIFS(Tabla16[Importe],Tabla16[MOVIL],Tabla38[[#This Row],[MOVIL]],Tabla16[OBSV],"DESCONTAR POR USO PERSONAL")</f>
        <v>0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2" s="5" t="str">
        <f>VLOOKUP(Tabla38[[#This Row],[MOVIL]],[1]BD!$A$1:$P$3557,13,0)</f>
        <v>URBANO</v>
      </c>
    </row>
    <row r="193" spans="1:7" x14ac:dyDescent="0.25">
      <c r="A193" s="64">
        <v>2609</v>
      </c>
      <c r="B193" s="5">
        <f>+SUMIFS(Tabla16[Importe],Tabla16[MOVIL],Tabla38[[#This Row],[MOVIL]],Tabla16[OBSV],"DESCONTAR POR USO PERSONAL")</f>
        <v>0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3" s="5" t="str">
        <f>VLOOKUP(Tabla38[[#This Row],[MOVIL]],[1]BD!$A$1:$P$3557,13,0)</f>
        <v>AEROLINEAS</v>
      </c>
    </row>
    <row r="194" spans="1:7" x14ac:dyDescent="0.25">
      <c r="A194" s="64">
        <v>2722</v>
      </c>
      <c r="B194" s="5">
        <f>+SUMIFS(Tabla16[Importe],Tabla16[MOVIL],Tabla38[[#This Row],[MOVIL]],Tabla16[OBSV],"DESCONTAR POR USO PERSONAL")</f>
        <v>6.3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4" s="5" t="str">
        <f>VLOOKUP(Tabla38[[#This Row],[MOVIL]],[1]BD!$A$1:$P$3557,13,0)</f>
        <v>AEROPUERTO</v>
      </c>
    </row>
    <row r="195" spans="1:7" x14ac:dyDescent="0.25">
      <c r="A195" s="64">
        <v>9980</v>
      </c>
      <c r="B195" s="5">
        <f>+SUMIFS(Tabla16[Importe],Tabla16[MOVIL],Tabla38[[#This Row],[MOVIL]],Tabla16[OBSV],"DESCONTAR POR USO PERSONAL")</f>
        <v>12.6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5" s="5" t="str">
        <f>VLOOKUP(Tabla38[[#This Row],[MOVIL]],[1]BD!$A$1:$P$3557,13,0)</f>
        <v>AEROLINEAS</v>
      </c>
    </row>
    <row r="196" spans="1:7" x14ac:dyDescent="0.25">
      <c r="A196" s="64">
        <v>9645</v>
      </c>
      <c r="B196" s="5">
        <f>+SUMIFS(Tabla16[Importe],Tabla16[MOVIL],Tabla38[[#This Row],[MOVIL]],Tabla16[OBSV],"DESCONTAR POR USO PERSONAL")</f>
        <v>0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6" s="5" t="str">
        <f>VLOOKUP(Tabla38[[#This Row],[MOVIL]],[1]BD!$A$1:$P$3557,13,0)</f>
        <v>AEROPUERTO</v>
      </c>
    </row>
    <row r="197" spans="1:7" x14ac:dyDescent="0.25">
      <c r="A197" s="64">
        <v>9938</v>
      </c>
      <c r="B197" s="5">
        <f>+SUMIFS(Tabla16[Importe],Tabla16[MOVIL],Tabla38[[#This Row],[MOVIL]],Tabla16[OBSV],"DESCONTAR POR USO PERSONAL")</f>
        <v>0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12.6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7" s="5" t="str">
        <f>VLOOKUP(Tabla38[[#This Row],[MOVIL]],[1]BD!$A$1:$P$3557,13,0)</f>
        <v>AEROPUERTO</v>
      </c>
    </row>
    <row r="198" spans="1:7" x14ac:dyDescent="0.25">
      <c r="A198" s="64">
        <v>9630</v>
      </c>
      <c r="B198" s="5">
        <f>+SUMIFS(Tabla16[Importe],Tabla16[MOVIL],Tabla38[[#This Row],[MOVIL]],Tabla16[OBSV],"DESCONTAR POR USO PERSONAL")</f>
        <v>12.6</v>
      </c>
      <c r="C198" s="5">
        <f>+SUMIFS(Tabla16[Importe],Tabla16[MOVIL],Tabla38[[#This Row],[MOVIL]],Tabla16[OBSV],"DESCONTAR POR INCIDENCIA")</f>
        <v>31.5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98" s="5" t="str">
        <f>VLOOKUP(Tabla38[[#This Row],[MOVIL]],[1]BD!$A$1:$P$3557,13,0)</f>
        <v>AEROLINEAS</v>
      </c>
    </row>
    <row r="199" spans="1:7" x14ac:dyDescent="0.25">
      <c r="A199" s="64">
        <v>3643</v>
      </c>
      <c r="B199" s="5">
        <f>+SUMIFS(Tabla16[Importe],Tabla16[MOVIL],Tabla38[[#This Row],[MOVIL]],Tabla16[OBSV],"DESCONTAR POR USO PERSONAL")</f>
        <v>0</v>
      </c>
      <c r="C199" s="5">
        <f>+SUMIFS(Tabla16[Importe],Tabla16[MOVIL],Tabla38[[#This Row],[MOVIL]],Tabla16[OBSV],"DESCONTAR POR INCIDENCIA")</f>
        <v>12.6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9" s="5" t="str">
        <f>VLOOKUP(Tabla38[[#This Row],[MOVIL]],[1]BD!$A$1:$P$3557,13,0)</f>
        <v>AEROPUERTO</v>
      </c>
    </row>
    <row r="200" spans="1:7" x14ac:dyDescent="0.25">
      <c r="A200" s="64">
        <v>3079</v>
      </c>
      <c r="B200" s="5">
        <f>+SUMIFS(Tabla16[Importe],Tabla16[MOVIL],Tabla38[[#This Row],[MOVIL]],Tabla16[OBSV],"DESCONTAR POR USO PERSONAL")</f>
        <v>31.5</v>
      </c>
      <c r="C200" s="5">
        <f>+SUMIFS(Tabla16[Importe],Tabla16[MOVIL],Tabla38[[#This Row],[MOVIL]],Tabla16[OBSV],"DESCONTAR POR INCIDENCIA")</f>
        <v>6.3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0" s="5" t="str">
        <f>VLOOKUP(Tabla38[[#This Row],[MOVIL]],[1]BD!$A$1:$P$3557,13,0)</f>
        <v>AEROPUERTO</v>
      </c>
    </row>
    <row r="201" spans="1:7" x14ac:dyDescent="0.25">
      <c r="A201" s="8">
        <v>9172</v>
      </c>
      <c r="B201" s="5">
        <f>+SUMIFS(Tabla16[Importe],Tabla16[MOVIL],Tabla38[[#This Row],[MOVIL]],Tabla16[OBSV],"DESCONTAR POR USO PERSONAL")</f>
        <v>25.2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1" s="5" t="str">
        <f>VLOOKUP(Tabla38[[#This Row],[MOVIL]],[2]BD!$A$1:$P$256,13,0)</f>
        <v>JOCKEY PLAZA</v>
      </c>
    </row>
    <row r="202" spans="1:7" x14ac:dyDescent="0.25">
      <c r="A202" s="64">
        <v>688</v>
      </c>
      <c r="B202" s="5">
        <f>+SUMIFS(Tabla16[Importe],Tabla16[MOVIL],Tabla38[[#This Row],[MOVIL]],Tabla16[OBSV],"DESCONTAR POR USO PERSONAL")</f>
        <v>25.2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2" s="5" t="str">
        <f>VLOOKUP(Tabla38[[#This Row],[MOVIL]],[1]BD!$A$1:$P$3557,13,0)</f>
        <v>URBANO</v>
      </c>
    </row>
    <row r="203" spans="1:7" x14ac:dyDescent="0.25">
      <c r="A203" s="8">
        <v>9120</v>
      </c>
      <c r="B203" s="5">
        <f>+SUMIFS(Tabla16[Importe],Tabla16[MOVIL],Tabla38[[#This Row],[MOVIL]],Tabla16[OBSV],"DESCONTAR POR USO PERSONAL")</f>
        <v>0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3" s="5" t="str">
        <f>VLOOKUP(Tabla38[[#This Row],[MOVIL]],[2]BD!$A$1:$P$256,13,0)</f>
        <v>JOCKEY PLAZA</v>
      </c>
    </row>
    <row r="204" spans="1:7" x14ac:dyDescent="0.25">
      <c r="A204" s="64">
        <v>3006</v>
      </c>
      <c r="B204" s="5">
        <f>+SUMIFS(Tabla16[Importe],Tabla16[MOVIL],Tabla38[[#This Row],[MOVIL]],Tabla16[OBSV],"DESCONTAR POR USO PERSONAL")</f>
        <v>0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4" s="5" t="str">
        <f>VLOOKUP(Tabla38[[#This Row],[MOVIL]],[1]BD!$A$1:$P$3557,13,0)</f>
        <v>AEROLINEAS</v>
      </c>
    </row>
    <row r="205" spans="1:7" x14ac:dyDescent="0.25">
      <c r="A205" s="64">
        <v>5023</v>
      </c>
      <c r="B205" s="5">
        <f>+SUMIFS(Tabla16[Importe],Tabla16[MOVIL],Tabla38[[#This Row],[MOVIL]],Tabla16[OBSV],"DESCONTAR POR USO PERSONAL")</f>
        <v>12.6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12.6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5" s="5" t="str">
        <f>VLOOKUP(Tabla38[[#This Row],[MOVIL]],[1]BD!$A$1:$P$3557,13,0)</f>
        <v>MEMBRESÍA URBANO</v>
      </c>
    </row>
    <row r="206" spans="1:7" x14ac:dyDescent="0.25">
      <c r="A206" s="64">
        <v>3730</v>
      </c>
      <c r="B206" s="5">
        <f>+SUMIFS(Tabla16[Importe],Tabla16[MOVIL],Tabla38[[#This Row],[MOVIL]],Tabla16[OBSV],"DESCONTAR POR USO PERSONAL")</f>
        <v>0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6" s="5" t="str">
        <f>VLOOKUP(Tabla38[[#This Row],[MOVIL]],[1]BD!$A$1:$P$3557,13,0)</f>
        <v>AEROLINEAS</v>
      </c>
    </row>
    <row r="207" spans="1:7" x14ac:dyDescent="0.25">
      <c r="A207" s="64">
        <v>1549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7" s="5" t="str">
        <f>VLOOKUP(Tabla38[[#This Row],[MOVIL]],[1]BD!$A$1:$P$3557,13,0)</f>
        <v>MEMBRESÍA URBANO</v>
      </c>
    </row>
    <row r="208" spans="1:7" x14ac:dyDescent="0.25">
      <c r="A208" s="64">
        <v>793</v>
      </c>
      <c r="B208" s="5">
        <f>+SUMIFS(Tabla16[Importe],Tabla16[MOVIL],Tabla38[[#This Row],[MOVIL]],Tabla16[OBSV],"DESCONTAR POR USO PERSONAL")</f>
        <v>37.799999999999997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25.2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208" s="5" t="str">
        <f>VLOOKUP(Tabla38[[#This Row],[MOVIL]],[1]BD!$A$1:$P$3557,13,0)</f>
        <v>AEROPUERTO</v>
      </c>
    </row>
    <row r="209" spans="1:7" x14ac:dyDescent="0.25">
      <c r="A209" s="64">
        <v>1891</v>
      </c>
      <c r="B209" s="5">
        <f>+SUMIFS(Tabla16[Importe],Tabla16[MOVIL],Tabla38[[#This Row],[MOVIL]],Tabla16[OBSV],"DESCONTAR POR USO PERSONAL")</f>
        <v>6.3</v>
      </c>
      <c r="C209" s="5">
        <f>+SUMIFS(Tabla16[Importe],Tabla16[MOVIL],Tabla38[[#This Row],[MOVIL]],Tabla16[OBSV],"DESCONTAR POR INCIDENCIA")</f>
        <v>6.3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9" s="5" t="str">
        <f>VLOOKUP(Tabla38[[#This Row],[MOVIL]],[1]BD!$A$1:$P$3557,13,0)</f>
        <v>AEROPUERTO</v>
      </c>
    </row>
    <row r="210" spans="1:7" x14ac:dyDescent="0.25">
      <c r="A210" s="64">
        <v>1847</v>
      </c>
      <c r="B210" s="5">
        <f>+SUMIFS(Tabla16[Importe],Tabla16[MOVIL],Tabla38[[#This Row],[MOVIL]],Tabla16[OBSV],"DESCONTAR POR USO PERSONAL")</f>
        <v>0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0" s="5" t="str">
        <f>VLOOKUP(Tabla38[[#This Row],[MOVIL]],[1]BD!$A$1:$P$3557,13,0)</f>
        <v>AEROPUERTO</v>
      </c>
    </row>
    <row r="211" spans="1:7" x14ac:dyDescent="0.25">
      <c r="A211" s="64">
        <v>3744</v>
      </c>
      <c r="B211" s="5">
        <f>+SUMIFS(Tabla16[Importe],Tabla16[MOVIL],Tabla38[[#This Row],[MOVIL]],Tabla16[OBSV],"DESCONTAR POR USO PERSONAL")</f>
        <v>37.799999999999997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1" s="5" t="str">
        <f>VLOOKUP(Tabla38[[#This Row],[MOVIL]],[1]BD!$A$1:$P$3557,13,0)</f>
        <v>AEROPUERTO</v>
      </c>
    </row>
    <row r="212" spans="1:7" x14ac:dyDescent="0.25">
      <c r="A212" s="64">
        <v>1675</v>
      </c>
      <c r="B212" s="5">
        <f>+SUMIFS(Tabla16[Importe],Tabla16[MOVIL],Tabla38[[#This Row],[MOVIL]],Tabla16[OBSV],"DESCONTAR POR USO PERSONAL")</f>
        <v>56.699999999999989</v>
      </c>
      <c r="C212" s="5">
        <f>+SUMIFS(Tabla16[Importe],Tabla16[MOVIL],Tabla38[[#This Row],[MOVIL]],Tabla16[OBSV],"DESCONTAR POR INCIDENCIA")</f>
        <v>25.2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212" s="5" t="str">
        <f>VLOOKUP(Tabla38[[#This Row],[MOVIL]],[1]BD!$A$1:$P$3557,13,0)</f>
        <v>AEROPUERTO VAN</v>
      </c>
    </row>
    <row r="213" spans="1:7" x14ac:dyDescent="0.25">
      <c r="A213" s="64">
        <v>3663</v>
      </c>
      <c r="B213" s="5">
        <f>+SUMIFS(Tabla16[Importe],Tabla16[MOVIL],Tabla38[[#This Row],[MOVIL]],Tabla16[OBSV],"DESCONTAR POR USO PERSONAL")</f>
        <v>12.6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3" s="5" t="str">
        <f>VLOOKUP(Tabla38[[#This Row],[MOVIL]],[1]BD!$A$1:$P$3557,13,0)</f>
        <v>AEROPUERTO</v>
      </c>
    </row>
    <row r="214" spans="1:7" x14ac:dyDescent="0.25">
      <c r="A214" s="64">
        <v>709</v>
      </c>
      <c r="B214" s="5">
        <f>+SUMIFS(Tabla16[Importe],Tabla16[MOVIL],Tabla38[[#This Row],[MOVIL]],Tabla16[OBSV],"DESCONTAR POR USO PERSONAL")</f>
        <v>12.6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12.6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4" s="5" t="str">
        <f>VLOOKUP(Tabla38[[#This Row],[MOVIL]],[1]BD!$A$1:$P$3557,13,0)</f>
        <v>AEROLINEAS</v>
      </c>
    </row>
    <row r="215" spans="1:7" x14ac:dyDescent="0.25">
      <c r="A215" s="64">
        <v>3575</v>
      </c>
      <c r="B215" s="5">
        <f>+SUMIFS(Tabla16[Importe],Tabla16[MOVIL],Tabla38[[#This Row],[MOVIL]],Tabla16[OBSV],"DESCONTAR POR USO PERSONAL")</f>
        <v>37.799999999999997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6.3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15" s="5" t="str">
        <f>VLOOKUP(Tabla38[[#This Row],[MOVIL]],[1]BD!$A$1:$P$3557,13,0)</f>
        <v>URBANO PARTNER</v>
      </c>
    </row>
    <row r="216" spans="1:7" x14ac:dyDescent="0.25">
      <c r="A216" s="64">
        <v>9377</v>
      </c>
      <c r="B216" s="5">
        <f>+SUMIFS(Tabla16[Importe],Tabla16[MOVIL],Tabla38[[#This Row],[MOVIL]],Tabla16[OBSV],"DESCONTAR POR USO PERSONAL")</f>
        <v>88.199999999999974</v>
      </c>
      <c r="C216" s="5">
        <f>+SUMIFS(Tabla16[Importe],Tabla16[MOVIL],Tabla38[[#This Row],[MOVIL]],Tabla16[OBSV],"DESCONTAR POR INCIDENCIA")</f>
        <v>12.6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16" s="5" t="str">
        <f>VLOOKUP(Tabla38[[#This Row],[MOVIL]],[1]BD!$A$1:$P$3557,13,0)</f>
        <v>AEROLINEAS</v>
      </c>
    </row>
    <row r="217" spans="1:7" x14ac:dyDescent="0.25">
      <c r="A217" s="64">
        <v>3594</v>
      </c>
      <c r="B217" s="5">
        <f>+SUMIFS(Tabla16[Importe],Tabla16[MOVIL],Tabla38[[#This Row],[MOVIL]],Tabla16[OBSV],"DESCONTAR POR USO PERSONAL")</f>
        <v>0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7" s="5" t="str">
        <f>VLOOKUP(Tabla38[[#This Row],[MOVIL]],[1]BD!$A$1:$P$3557,13,0)</f>
        <v>AEROLINEAS</v>
      </c>
    </row>
    <row r="218" spans="1:7" x14ac:dyDescent="0.25">
      <c r="A218" s="64">
        <v>1878</v>
      </c>
      <c r="B218" s="5">
        <f>+SUMIFS(Tabla16[Importe],Tabla16[MOVIL],Tabla38[[#This Row],[MOVIL]],Tabla16[OBSV],"DESCONTAR POR USO PERSONAL")</f>
        <v>31.5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6.3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8" s="5" t="str">
        <f>VLOOKUP(Tabla38[[#This Row],[MOVIL]],[1]BD!$A$1:$P$3557,13,0)</f>
        <v>AEROPUERTO</v>
      </c>
    </row>
    <row r="219" spans="1:7" x14ac:dyDescent="0.25">
      <c r="A219" s="8">
        <v>9110</v>
      </c>
      <c r="B219" s="5">
        <f>+SUMIFS(Tabla16[Importe],Tabla16[MOVIL],Tabla38[[#This Row],[MOVIL]],Tabla16[OBSV],"DESCONTAR POR USO PERSONAL")</f>
        <v>0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9" s="5" t="str">
        <f>VLOOKUP(Tabla38[[#This Row],[MOVIL]],[2]BD!$A$1:$P$256,13,0)</f>
        <v>JOCKEY PLAZA</v>
      </c>
    </row>
    <row r="220" spans="1:7" x14ac:dyDescent="0.25">
      <c r="A220" s="64">
        <v>1550</v>
      </c>
      <c r="B220" s="5">
        <f>+SUMIFS(Tabla16[Importe],Tabla16[MOVIL],Tabla38[[#This Row],[MOVIL]],Tabla16[OBSV],"DESCONTAR POR USO PERSONAL")</f>
        <v>56.699999999999989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31.5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220" s="5" t="str">
        <f>VLOOKUP(Tabla38[[#This Row],[MOVIL]],[1]BD!$A$1:$P$3557,13,0)</f>
        <v>AEROPUERTO</v>
      </c>
    </row>
    <row r="221" spans="1:7" x14ac:dyDescent="0.25">
      <c r="A221" s="64">
        <v>411</v>
      </c>
      <c r="B221" s="5">
        <f>+SUMIFS(Tabla16[Importe],Tabla16[MOVIL],Tabla38[[#This Row],[MOVIL]],Tabla16[OBSV],"DESCONTAR POR USO PERSONAL")</f>
        <v>0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1" s="5" t="str">
        <f>VLOOKUP(Tabla38[[#This Row],[MOVIL]],[1]BD!$A$1:$P$3557,13,0)</f>
        <v>URBANO</v>
      </c>
    </row>
    <row r="222" spans="1:7" x14ac:dyDescent="0.25">
      <c r="A222" s="64">
        <v>205</v>
      </c>
      <c r="B222" s="5">
        <f>+SUMIFS(Tabla16[Importe],Tabla16[MOVIL],Tabla38[[#This Row],[MOVIL]],Tabla16[OBSV],"DESCONTAR POR USO PERSONAL")</f>
        <v>31.5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2" s="5" t="str">
        <f>VLOOKUP(Tabla38[[#This Row],[MOVIL]],[1]BD!$A$1:$P$3557,13,0)</f>
        <v>AEROPUERTO</v>
      </c>
    </row>
    <row r="223" spans="1:7" x14ac:dyDescent="0.25">
      <c r="A223" s="64">
        <v>858</v>
      </c>
      <c r="B223" s="5">
        <f>+SUMIFS(Tabla16[Importe],Tabla16[MOVIL],Tabla38[[#This Row],[MOVIL]],Tabla16[OBSV],"DESCONTAR POR USO PERSONAL")</f>
        <v>6.3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3" s="5" t="str">
        <f>VLOOKUP(Tabla38[[#This Row],[MOVIL]],[1]BD!$A$1:$P$3557,13,0)</f>
        <v>URBANO PARTNER</v>
      </c>
    </row>
    <row r="224" spans="1:7" x14ac:dyDescent="0.25">
      <c r="A224" s="64">
        <v>9742</v>
      </c>
      <c r="B224" s="5">
        <f>+SUMIFS(Tabla16[Importe],Tabla16[MOVIL],Tabla38[[#This Row],[MOVIL]],Tabla16[OBSV],"DESCONTAR POR USO PERSONAL")</f>
        <v>12.6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4" s="5" t="str">
        <f>VLOOKUP(Tabla38[[#This Row],[MOVIL]],[1]BD!$A$1:$P$3557,13,0)</f>
        <v>AEROPUERTO</v>
      </c>
    </row>
    <row r="225" spans="1:7" x14ac:dyDescent="0.25">
      <c r="A225" s="64">
        <v>3061</v>
      </c>
      <c r="B225" s="5">
        <f>+SUMIFS(Tabla16[Importe],Tabla16[MOVIL],Tabla38[[#This Row],[MOVIL]],Tabla16[OBSV],"DESCONTAR POR USO PERSONAL")</f>
        <v>0</v>
      </c>
      <c r="C225" s="5">
        <f>+SUMIFS(Tabla16[Importe],Tabla16[MOVIL],Tabla38[[#This Row],[MOVIL]],Tabla16[OBSV],"DESCONTAR POR INCIDENCIA")</f>
        <v>37.799999999999997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5" s="5" t="str">
        <f>VLOOKUP(Tabla38[[#This Row],[MOVIL]],[1]BD!$A$1:$P$3557,13,0)</f>
        <v>AEROLINEAS</v>
      </c>
    </row>
    <row r="226" spans="1:7" x14ac:dyDescent="0.25">
      <c r="A226" s="64">
        <v>3833</v>
      </c>
      <c r="B226" s="5">
        <f>+SUMIFS(Tabla16[Importe],Tabla16[MOVIL],Tabla38[[#This Row],[MOVIL]],Tabla16[OBSV],"DESCONTAR POR USO PERSONAL")</f>
        <v>12.6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6" s="5" t="str">
        <f>VLOOKUP(Tabla38[[#This Row],[MOVIL]],[1]BD!$A$1:$P$3557,13,0)</f>
        <v>AEROPUERTO</v>
      </c>
    </row>
    <row r="227" spans="1:7" x14ac:dyDescent="0.25">
      <c r="A227" s="64">
        <v>3799</v>
      </c>
      <c r="B227" s="5">
        <f>+SUMIFS(Tabla16[Importe],Tabla16[MOVIL],Tabla38[[#This Row],[MOVIL]],Tabla16[OBSV],"DESCONTAR POR USO PERSONAL")</f>
        <v>31.5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12.6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27" s="5" t="str">
        <f>VLOOKUP(Tabla38[[#This Row],[MOVIL]],[1]BD!$A$1:$P$3557,13,0)</f>
        <v>URBANO PARTNER</v>
      </c>
    </row>
    <row r="228" spans="1:7" x14ac:dyDescent="0.25">
      <c r="A228" s="64">
        <v>1146</v>
      </c>
      <c r="B228" s="5">
        <f>+SUMIFS(Tabla16[Importe],Tabla16[MOVIL],Tabla38[[#This Row],[MOVIL]],Tabla16[OBSV],"DESCONTAR POR USO PERSONAL")</f>
        <v>0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8" s="5" t="str">
        <f>VLOOKUP(Tabla38[[#This Row],[MOVIL]],[1]BD!$A$1:$P$3557,13,0)</f>
        <v>AEROPUERTO</v>
      </c>
    </row>
    <row r="229" spans="1:7" x14ac:dyDescent="0.25">
      <c r="A229" s="64">
        <v>3816</v>
      </c>
      <c r="B229" s="5">
        <f>+SUMIFS(Tabla16[Importe],Tabla16[MOVIL],Tabla38[[#This Row],[MOVIL]],Tabla16[OBSV],"DESCONTAR POR USO PERSONAL")</f>
        <v>37.799999999999997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9" s="5" t="str">
        <f>VLOOKUP(Tabla38[[#This Row],[MOVIL]],[1]BD!$A$1:$P$3557,13,0)</f>
        <v>AEROPUERTO</v>
      </c>
    </row>
    <row r="230" spans="1:7" x14ac:dyDescent="0.25">
      <c r="A230" s="64">
        <v>3842</v>
      </c>
      <c r="B230" s="5">
        <f>+SUMIFS(Tabla16[Importe],Tabla16[MOVIL],Tabla38[[#This Row],[MOVIL]],Tabla16[OBSV],"DESCONTAR POR USO PERSONAL")</f>
        <v>12.6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0" s="5" t="str">
        <f>VLOOKUP(Tabla38[[#This Row],[MOVIL]],[1]BD!$A$1:$P$3557,13,0)</f>
        <v>AEROPUERTO</v>
      </c>
    </row>
    <row r="231" spans="1:7" x14ac:dyDescent="0.25">
      <c r="A231" s="64">
        <v>3855</v>
      </c>
      <c r="B231" s="5">
        <f>+SUMIFS(Tabla16[Importe],Tabla16[MOVIL],Tabla38[[#This Row],[MOVIL]],Tabla16[OBSV],"DESCONTAR POR USO PERSONAL")</f>
        <v>25.2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1" s="5" t="str">
        <f>VLOOKUP(Tabla38[[#This Row],[MOVIL]],[1]BD!$A$1:$P$3557,13,0)</f>
        <v>AEROPUERTO</v>
      </c>
    </row>
    <row r="232" spans="1:7" x14ac:dyDescent="0.25">
      <c r="A232" s="64">
        <v>747</v>
      </c>
      <c r="B232" s="5">
        <f>+SUMIFS(Tabla16[Importe],Tabla16[MOVIL],Tabla38[[#This Row],[MOVIL]],Tabla16[OBSV],"DESCONTAR POR USO PERSONAL")</f>
        <v>0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2" s="5" t="str">
        <f>VLOOKUP(Tabla38[[#This Row],[MOVIL]],[1]BD!$A$1:$P$3557,13,0)</f>
        <v>URBANO PARTNER</v>
      </c>
    </row>
    <row r="233" spans="1:7" x14ac:dyDescent="0.25">
      <c r="A233" s="64">
        <v>785</v>
      </c>
      <c r="B233" s="5">
        <f>+SUMIFS(Tabla16[Importe],Tabla16[MOVIL],Tabla38[[#This Row],[MOVIL]],Tabla16[OBSV],"DESCONTAR POR USO PERSONAL")</f>
        <v>50.399999999999991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33" s="5" t="str">
        <f>VLOOKUP(Tabla38[[#This Row],[MOVIL]],[1]BD!$A$1:$P$3557,13,0)</f>
        <v>AEROPUERTO</v>
      </c>
    </row>
    <row r="234" spans="1:7" x14ac:dyDescent="0.25">
      <c r="A234" s="64">
        <v>2653</v>
      </c>
      <c r="B234" s="5">
        <f>+SUMIFS(Tabla16[Importe],Tabla16[MOVIL],Tabla38[[#This Row],[MOVIL]],Tabla16[OBSV],"DESCONTAR POR USO PERSONAL")</f>
        <v>50.399999999999991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34" s="5" t="str">
        <f>VLOOKUP(Tabla38[[#This Row],[MOVIL]],[1]BD!$A$1:$P$3557,13,0)</f>
        <v>AEROPUERTO</v>
      </c>
    </row>
    <row r="235" spans="1:7" x14ac:dyDescent="0.25">
      <c r="A235" s="64">
        <v>2597</v>
      </c>
      <c r="B235" s="5">
        <f>+SUMIFS(Tabla16[Importe],Tabla16[MOVIL],Tabla38[[#This Row],[MOVIL]],Tabla16[OBSV],"DESCONTAR POR USO PERSONAL")</f>
        <v>37.799999999999997</v>
      </c>
      <c r="C235" s="5">
        <f>+SUMIFS(Tabla16[Importe],Tabla16[MOVIL],Tabla38[[#This Row],[MOVIL]],Tabla16[OBSV],"DESCONTAR POR INCIDENCIA")</f>
        <v>12.6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35" s="5" t="str">
        <f>VLOOKUP(Tabla38[[#This Row],[MOVIL]],[1]BD!$A$1:$P$3557,13,0)</f>
        <v>AEROLINEAS</v>
      </c>
    </row>
    <row r="236" spans="1:7" x14ac:dyDescent="0.25">
      <c r="A236" s="64">
        <v>3938</v>
      </c>
      <c r="B236" s="5">
        <f>+SUMIFS(Tabla16[Importe],Tabla16[MOVIL],Tabla38[[#This Row],[MOVIL]],Tabla16[OBSV],"DESCONTAR POR USO PERSONAL")</f>
        <v>0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6" s="5" t="str">
        <f>VLOOKUP(Tabla38[[#This Row],[MOVIL]],[1]BD!$A$1:$P$3557,13,0)</f>
        <v>AEROLINEAS</v>
      </c>
    </row>
    <row r="237" spans="1:7" x14ac:dyDescent="0.25">
      <c r="A237" s="64">
        <v>2020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7" s="5" t="str">
        <f>VLOOKUP(Tabla38[[#This Row],[MOVIL]],[1]BD!$A$1:$P$3557,13,0)</f>
        <v>MEMBRESÍA URBANO</v>
      </c>
    </row>
    <row r="238" spans="1:7" x14ac:dyDescent="0.25">
      <c r="A238" s="64">
        <v>9480</v>
      </c>
      <c r="B238" s="5">
        <f>+SUMIFS(Tabla16[Importe],Tabla16[MOVIL],Tabla38[[#This Row],[MOVIL]],Tabla16[OBSV],"DESCONTAR POR USO PERSONAL")</f>
        <v>6.3</v>
      </c>
      <c r="C238" s="5">
        <f>+SUMIFS(Tabla16[Importe],Tabla16[MOVIL],Tabla38[[#This Row],[MOVIL]],Tabla16[OBSV],"DESCONTAR POR INCIDENCIA")</f>
        <v>6.3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8" s="5" t="str">
        <f>VLOOKUP(Tabla38[[#This Row],[MOVIL]],[1]BD!$A$1:$P$3557,13,0)</f>
        <v>AEROLINEAS</v>
      </c>
    </row>
    <row r="239" spans="1:7" x14ac:dyDescent="0.25">
      <c r="A239" s="64">
        <v>3460</v>
      </c>
      <c r="B239" s="5">
        <f>+SUMIFS(Tabla16[Importe],Tabla16[MOVIL],Tabla38[[#This Row],[MOVIL]],Tabla16[OBSV],"DESCONTAR POR USO PERSONAL")</f>
        <v>12.6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9" s="5" t="str">
        <f>VLOOKUP(Tabla38[[#This Row],[MOVIL]],[1]BD!$A$1:$P$3557,13,0)</f>
        <v>AEROLINEAS</v>
      </c>
    </row>
    <row r="240" spans="1:7" x14ac:dyDescent="0.25">
      <c r="A240" s="8">
        <v>7581</v>
      </c>
      <c r="B240" s="5">
        <f>+SUMIFS(Tabla16[Importe],Tabla16[MOVIL],Tabla38[[#This Row],[MOVIL]],Tabla16[OBSV],"DESCONTAR POR USO PERSONAL")</f>
        <v>25.2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0" s="5" t="str">
        <f>VLOOKUP(Tabla38[[#This Row],[MOVIL]],[2]BD!$A$1:$P$256,13,0)</f>
        <v>JOCKEY PLAZA</v>
      </c>
    </row>
    <row r="241" spans="1:7" x14ac:dyDescent="0.25">
      <c r="A241" s="64">
        <v>217</v>
      </c>
      <c r="B241" s="5">
        <f>+SUMIFS(Tabla16[Importe],Tabla16[MOVIL],Tabla38[[#This Row],[MOVIL]],Tabla16[OBSV],"DESCONTAR POR USO PERSONAL")</f>
        <v>6.3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31.5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1" s="5" t="str">
        <f>VLOOKUP(Tabla38[[#This Row],[MOVIL]],[1]BD!$A$1:$P$3557,13,0)</f>
        <v>AEROPUERTO</v>
      </c>
    </row>
    <row r="242" spans="1:7" x14ac:dyDescent="0.25">
      <c r="A242" s="64">
        <v>865</v>
      </c>
      <c r="B242" s="5">
        <f>+SUMIFS(Tabla16[Importe],Tabla16[MOVIL],Tabla38[[#This Row],[MOVIL]],Tabla16[OBSV],"DESCONTAR POR USO PERSONAL")</f>
        <v>18.899999999999999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2" s="5" t="str">
        <f>VLOOKUP(Tabla38[[#This Row],[MOVIL]],[1]BD!$A$1:$P$3557,13,0)</f>
        <v>AEROPUERTO</v>
      </c>
    </row>
    <row r="243" spans="1:7" x14ac:dyDescent="0.25">
      <c r="A243" s="64">
        <v>3740</v>
      </c>
      <c r="B243" s="5">
        <f>+SUMIFS(Tabla16[Importe],Tabla16[MOVIL],Tabla38[[#This Row],[MOVIL]],Tabla16[OBSV],"DESCONTAR POR USO PERSONAL")</f>
        <v>6.3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3" s="5" t="str">
        <f>VLOOKUP(Tabla38[[#This Row],[MOVIL]],[1]BD!$A$1:$P$3557,13,0)</f>
        <v>AEROPUERTO</v>
      </c>
    </row>
    <row r="244" spans="1:7" x14ac:dyDescent="0.25">
      <c r="A244" s="64">
        <v>3398</v>
      </c>
      <c r="B244" s="5">
        <f>+SUMIFS(Tabla16[Importe],Tabla16[MOVIL],Tabla38[[#This Row],[MOVIL]],Tabla16[OBSV],"DESCONTAR POR USO PERSONAL")</f>
        <v>0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4" s="5" t="str">
        <f>VLOOKUP(Tabla38[[#This Row],[MOVIL]],[1]BD!$A$1:$P$3557,13,0)</f>
        <v>MEMBRESÍA URBANO</v>
      </c>
    </row>
    <row r="245" spans="1:7" x14ac:dyDescent="0.25">
      <c r="A245" s="64">
        <v>223</v>
      </c>
      <c r="B245" s="5">
        <f>+SUMIFS(Tabla16[Importe],Tabla16[MOVIL],Tabla38[[#This Row],[MOVIL]],Tabla16[OBSV],"DESCONTAR POR USO PERSONAL")</f>
        <v>6.3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5" s="5" t="str">
        <f>VLOOKUP(Tabla38[[#This Row],[MOVIL]],[1]BD!$A$1:$P$3557,13,0)</f>
        <v>AEROPUERTO</v>
      </c>
    </row>
    <row r="246" spans="1:7" x14ac:dyDescent="0.25">
      <c r="A246" s="64">
        <v>561</v>
      </c>
      <c r="B246" s="5">
        <f>+SUMIFS(Tabla16[Importe],Tabla16[MOVIL],Tabla38[[#This Row],[MOVIL]],Tabla16[OBSV],"DESCONTAR POR USO PERSONAL")</f>
        <v>6.3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6" s="5" t="str">
        <f>VLOOKUP(Tabla38[[#This Row],[MOVIL]],[1]BD!$A$1:$P$3557,13,0)</f>
        <v>MEMBRESÍA URBANO</v>
      </c>
    </row>
    <row r="247" spans="1:7" x14ac:dyDescent="0.25">
      <c r="A247" s="64">
        <v>9684</v>
      </c>
      <c r="B247" s="5">
        <f>+SUMIFS(Tabla16[Importe],Tabla16[MOVIL],Tabla38[[#This Row],[MOVIL]],Tabla16[OBSV],"DESCONTAR POR USO PERSONAL")</f>
        <v>6.3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7" s="5" t="str">
        <f>VLOOKUP(Tabla38[[#This Row],[MOVIL]],[1]BD!$A$1:$P$3557,13,0)</f>
        <v>AEROPUERTO</v>
      </c>
    </row>
    <row r="248" spans="1:7" x14ac:dyDescent="0.25">
      <c r="A248" s="64">
        <v>679</v>
      </c>
      <c r="B248" s="5">
        <f>+SUMIFS(Tabla16[Importe],Tabla16[MOVIL],Tabla38[[#This Row],[MOVIL]],Tabla16[OBSV],"DESCONTAR POR USO PERSONAL")</f>
        <v>31.5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8" s="5" t="str">
        <f>VLOOKUP(Tabla38[[#This Row],[MOVIL]],[1]BD!$A$1:$P$3557,13,0)</f>
        <v>AEROPUERTO</v>
      </c>
    </row>
    <row r="249" spans="1:7" x14ac:dyDescent="0.25">
      <c r="A249" s="64">
        <v>9134</v>
      </c>
      <c r="B249" s="5">
        <f>+SUMIFS(Tabla16[Importe],Tabla16[MOVIL],Tabla38[[#This Row],[MOVIL]],Tabla16[OBSV],"DESCONTAR POR USO PERSONAL")</f>
        <v>37.799999999999997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9" s="5" t="str">
        <f>VLOOKUP(Tabla38[[#This Row],[MOVIL]],[1]BD!$A$1:$P$3557,13,0)</f>
        <v>AEROPUERTO</v>
      </c>
    </row>
    <row r="250" spans="1:7" x14ac:dyDescent="0.25">
      <c r="A250" s="64">
        <v>1424</v>
      </c>
      <c r="B250" s="5">
        <f>+SUMIFS(Tabla16[Importe],Tabla16[MOVIL],Tabla38[[#This Row],[MOVIL]],Tabla16[OBSV],"DESCONTAR POR USO PERSONAL")</f>
        <v>18.899999999999999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0" s="5" t="str">
        <f>VLOOKUP(Tabla38[[#This Row],[MOVIL]],[1]BD!$A$1:$P$3557,13,0)</f>
        <v>URBANO</v>
      </c>
    </row>
    <row r="251" spans="1:7" x14ac:dyDescent="0.25">
      <c r="A251" s="64">
        <v>9701</v>
      </c>
      <c r="B251" s="5">
        <f>+SUMIFS(Tabla16[Importe],Tabla16[MOVIL],Tabla38[[#This Row],[MOVIL]],Tabla16[OBSV],"DESCONTAR POR USO PERSONAL")</f>
        <v>44.099999999999994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51" s="5" t="str">
        <f>VLOOKUP(Tabla38[[#This Row],[MOVIL]],[1]BD!$A$1:$P$3557,13,0)</f>
        <v>URBANO</v>
      </c>
    </row>
    <row r="252" spans="1:7" x14ac:dyDescent="0.25">
      <c r="A252" s="64">
        <v>2118</v>
      </c>
      <c r="B252" s="5">
        <f>+SUMIFS(Tabla16[Importe],Tabla16[MOVIL],Tabla38[[#This Row],[MOVIL]],Tabla16[OBSV],"DESCONTAR POR USO PERSONAL")</f>
        <v>0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2" s="5" t="str">
        <f>VLOOKUP(Tabla38[[#This Row],[MOVIL]],[1]BD!$A$1:$P$3557,13,0)</f>
        <v>AEROLINEAS</v>
      </c>
    </row>
    <row r="253" spans="1:7" x14ac:dyDescent="0.25">
      <c r="A253" s="64">
        <v>735</v>
      </c>
      <c r="B253" s="5">
        <f>+SUMIFS(Tabla16[Importe],Tabla16[MOVIL],Tabla38[[#This Row],[MOVIL]],Tabla16[OBSV],"DESCONTAR POR USO PERSONAL")</f>
        <v>6.3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3" s="5" t="str">
        <f>VLOOKUP(Tabla38[[#This Row],[MOVIL]],[1]BD!$A$1:$P$3557,13,0)</f>
        <v>AEROPUERTO</v>
      </c>
    </row>
    <row r="254" spans="1:7" x14ac:dyDescent="0.25">
      <c r="A254" s="64">
        <v>988</v>
      </c>
      <c r="B254" s="5">
        <f>+SUMIFS(Tabla16[Importe],Tabla16[MOVIL],Tabla38[[#This Row],[MOVIL]],Tabla16[OBSV],"DESCONTAR POR USO PERSONAL")</f>
        <v>0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4" s="5" t="str">
        <f>VLOOKUP(Tabla38[[#This Row],[MOVIL]],[1]BD!$A$1:$P$3557,13,0)</f>
        <v>AEROPUERTO</v>
      </c>
    </row>
    <row r="255" spans="1:7" x14ac:dyDescent="0.25">
      <c r="A255" s="64">
        <v>3708</v>
      </c>
      <c r="B255" s="5">
        <f>+SUMIFS(Tabla16[Importe],Tabla16[MOVIL],Tabla38[[#This Row],[MOVIL]],Tabla16[OBSV],"DESCONTAR POR USO PERSONAL")</f>
        <v>0</v>
      </c>
      <c r="C255" s="5">
        <f>+SUMIFS(Tabla16[Importe],Tabla16[MOVIL],Tabla38[[#This Row],[MOVIL]],Tabla16[OBSV],"DESCONTAR POR INCIDENCIA")</f>
        <v>12.6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5" s="5" t="str">
        <f>VLOOKUP(Tabla38[[#This Row],[MOVIL]],[1]BD!$A$1:$P$3557,13,0)</f>
        <v>AEROLINEAS</v>
      </c>
    </row>
    <row r="256" spans="1:7" x14ac:dyDescent="0.25">
      <c r="A256" s="64">
        <v>3461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6" s="5" t="str">
        <f>VLOOKUP(Tabla38[[#This Row],[MOVIL]],[1]BD!$A$1:$P$3557,13,0)</f>
        <v>AEROLINEAS</v>
      </c>
    </row>
    <row r="257" spans="1:7" x14ac:dyDescent="0.25">
      <c r="A257" s="64">
        <v>3818</v>
      </c>
      <c r="B257" s="5">
        <f>+SUMIFS(Tabla16[Importe],Tabla16[MOVIL],Tabla38[[#This Row],[MOVIL]],Tabla16[OBSV],"DESCONTAR POR USO PERSONAL")</f>
        <v>18.899999999999999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7" s="5" t="str">
        <f>VLOOKUP(Tabla38[[#This Row],[MOVIL]],[1]BD!$A$1:$P$3557,13,0)</f>
        <v>AEROPUERTO</v>
      </c>
    </row>
    <row r="258" spans="1:7" x14ac:dyDescent="0.25">
      <c r="A258" s="64">
        <v>3956</v>
      </c>
      <c r="B258" s="5">
        <f>+SUMIFS(Tabla16[Importe],Tabla16[MOVIL],Tabla38[[#This Row],[MOVIL]],Tabla16[OBSV],"DESCONTAR POR USO PERSONAL")</f>
        <v>25.2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8" s="5" t="str">
        <f>VLOOKUP(Tabla38[[#This Row],[MOVIL]],[1]BD!$A$1:$P$3557,13,0)</f>
        <v>MEMBRESÍA NOCTURNA - APTO</v>
      </c>
    </row>
    <row r="259" spans="1:7" x14ac:dyDescent="0.25">
      <c r="A259" s="64">
        <v>3934</v>
      </c>
      <c r="B259" s="5">
        <f>+SUMIFS(Tabla16[Importe],Tabla16[MOVIL],Tabla38[[#This Row],[MOVIL]],Tabla16[OBSV],"DESCONTAR POR USO PERSONAL")</f>
        <v>0</v>
      </c>
      <c r="C259" s="5">
        <f>+SUMIFS(Tabla16[Importe],Tabla16[MOVIL],Tabla38[[#This Row],[MOVIL]],Tabla16[OBSV],"DESCONTAR POR INCIDENCIA")</f>
        <v>18.899999999999999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9" s="5" t="str">
        <f>VLOOKUP(Tabla38[[#This Row],[MOVIL]],[1]BD!$A$1:$P$3557,13,0)</f>
        <v>AEROLINEAS</v>
      </c>
    </row>
    <row r="260" spans="1:7" x14ac:dyDescent="0.25">
      <c r="A260" s="64">
        <v>3829</v>
      </c>
      <c r="B260" s="5">
        <f>+SUMIFS(Tabla16[Importe],Tabla16[MOVIL],Tabla38[[#This Row],[MOVIL]],Tabla16[OBSV],"DESCONTAR POR USO PERSONAL")</f>
        <v>0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0" s="5" t="str">
        <f>VLOOKUP(Tabla38[[#This Row],[MOVIL]],[1]BD!$A$1:$P$3557,13,0)</f>
        <v>AEROLINEAS</v>
      </c>
    </row>
    <row r="261" spans="1:7" x14ac:dyDescent="0.25">
      <c r="A261" s="64">
        <v>3685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1" s="5" t="str">
        <f>VLOOKUP(Tabla38[[#This Row],[MOVIL]],[1]BD!$A$1:$P$3557,13,0)</f>
        <v>AEROLINEAS</v>
      </c>
    </row>
    <row r="262" spans="1:7" x14ac:dyDescent="0.25">
      <c r="A262" s="64">
        <v>3070</v>
      </c>
      <c r="B262" s="5">
        <f>+SUMIFS(Tabla16[Importe],Tabla16[MOVIL],Tabla38[[#This Row],[MOVIL]],Tabla16[OBSV],"DESCONTAR POR USO PERSONAL")</f>
        <v>0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2" s="5" t="str">
        <f>VLOOKUP(Tabla38[[#This Row],[MOVIL]],[1]BD!$A$1:$P$3557,13,0)</f>
        <v>AEROLINEAS</v>
      </c>
    </row>
    <row r="263" spans="1:7" x14ac:dyDescent="0.25">
      <c r="A263" s="64">
        <v>3948</v>
      </c>
      <c r="B263" s="5">
        <f>+SUMIFS(Tabla16[Importe],Tabla16[MOVIL],Tabla38[[#This Row],[MOVIL]],Tabla16[OBSV],"DESCONTAR POR USO PERSONAL")</f>
        <v>0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3" s="5" t="str">
        <f>VLOOKUP(Tabla38[[#This Row],[MOVIL]],[1]BD!$A$1:$P$3557,13,0)</f>
        <v>AEROLINEAS</v>
      </c>
    </row>
    <row r="264" spans="1:7" x14ac:dyDescent="0.25">
      <c r="A264" s="64">
        <v>245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4" s="5" t="str">
        <f>VLOOKUP(Tabla38[[#This Row],[MOVIL]],[1]BD!$A$1:$P$3557,13,0)</f>
        <v>AEROPUERTO</v>
      </c>
    </row>
    <row r="265" spans="1:7" x14ac:dyDescent="0.25">
      <c r="A265" s="64">
        <v>818</v>
      </c>
      <c r="B265" s="5">
        <f>+SUMIFS(Tabla16[Importe],Tabla16[MOVIL],Tabla38[[#This Row],[MOVIL]],Tabla16[OBSV],"DESCONTAR POR USO PERSONAL")</f>
        <v>56.699999999999989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65" s="5" t="str">
        <f>VLOOKUP(Tabla38[[#This Row],[MOVIL]],[1]BD!$A$1:$P$3557,13,0)</f>
        <v>AEROPUERTO</v>
      </c>
    </row>
    <row r="266" spans="1:7" x14ac:dyDescent="0.25">
      <c r="A266" s="64">
        <v>9510</v>
      </c>
      <c r="B266" s="5">
        <f>+SUMIFS(Tabla16[Importe],Tabla16[MOVIL],Tabla38[[#This Row],[MOVIL]],Tabla16[OBSV],"DESCONTAR POR USO PERSONAL")</f>
        <v>62.999999999999986</v>
      </c>
      <c r="C266" s="5">
        <f>+SUMIFS(Tabla16[Importe],Tabla16[MOVIL],Tabla38[[#This Row],[MOVIL]],Tabla16[OBSV],"DESCONTAR POR INCIDENCIA")</f>
        <v>6.3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66" s="5" t="str">
        <f>VLOOKUP(Tabla38[[#This Row],[MOVIL]],[1]BD!$A$1:$P$3557,13,0)</f>
        <v>AEROPUERTO</v>
      </c>
    </row>
    <row r="267" spans="1:7" x14ac:dyDescent="0.25">
      <c r="A267" s="64">
        <v>219</v>
      </c>
      <c r="B267" s="5">
        <f>+SUMIFS(Tabla16[Importe],Tabla16[MOVIL],Tabla38[[#This Row],[MOVIL]],Tabla16[OBSV],"DESCONTAR POR USO PERSONAL")</f>
        <v>6.3</v>
      </c>
      <c r="C267" s="5">
        <f>+SUMIFS(Tabla16[Importe],Tabla16[MOVIL],Tabla38[[#This Row],[MOVIL]],Tabla16[OBSV],"DESCONTAR POR INCIDENCIA")</f>
        <v>12.6</v>
      </c>
      <c r="D267" s="5">
        <f>+SUMIFS(Tabla16[Importe],Tabla16[MOVIL],Tabla38[[#This Row],[MOVIL]],Tabla16[OBSV],"DESCONTAR SERVICIO EN EFECTIVO")</f>
        <v>18.899999999999999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7" s="5" t="str">
        <f>VLOOKUP(Tabla38[[#This Row],[MOVIL]],[1]BD!$A$1:$P$3557,13,0)</f>
        <v>AEROPUERTO</v>
      </c>
    </row>
    <row r="268" spans="1:7" x14ac:dyDescent="0.25">
      <c r="A268" s="64">
        <v>3449</v>
      </c>
      <c r="B268" s="5">
        <f>+SUMIFS(Tabla16[Importe],Tabla16[MOVIL],Tabla38[[#This Row],[MOVIL]],Tabla16[OBSV],"DESCONTAR POR USO PERSONAL")</f>
        <v>62.999999999999986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68" s="5" t="str">
        <f>VLOOKUP(Tabla38[[#This Row],[MOVIL]],[1]BD!$A$1:$P$3557,13,0)</f>
        <v>AEROPUERTO</v>
      </c>
    </row>
    <row r="269" spans="1:7" x14ac:dyDescent="0.25">
      <c r="A269" s="64">
        <v>207</v>
      </c>
      <c r="B269" s="5">
        <f>+SUMIFS(Tabla16[Importe],Tabla16[MOVIL],Tabla38[[#This Row],[MOVIL]],Tabla16[OBSV],"DESCONTAR POR USO PERSONAL")</f>
        <v>69.299999999999983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12.6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69" s="5" t="str">
        <f>VLOOKUP(Tabla38[[#This Row],[MOVIL]],[1]BD!$A$1:$P$3557,13,0)</f>
        <v>AEROPUERTO</v>
      </c>
    </row>
    <row r="270" spans="1:7" x14ac:dyDescent="0.25">
      <c r="A270" s="64">
        <v>4055</v>
      </c>
      <c r="B270" s="5">
        <f>+SUMIFS(Tabla16[Importe],Tabla16[MOVIL],Tabla38[[#This Row],[MOVIL]],Tabla16[OBSV],"DESCONTAR POR USO PERSONAL")</f>
        <v>37.799999999999997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0" s="5" t="str">
        <f>VLOOKUP(Tabla38[[#This Row],[MOVIL]],[1]BD!$A$1:$P$3557,13,0)</f>
        <v>MEMBRESÍA NOCTURNA - APTO</v>
      </c>
    </row>
    <row r="271" spans="1:7" x14ac:dyDescent="0.25">
      <c r="A271" s="64">
        <v>774</v>
      </c>
      <c r="B271" s="5">
        <f>+SUMIFS(Tabla16[Importe],Tabla16[MOVIL],Tabla38[[#This Row],[MOVIL]],Tabla16[OBSV],"DESCONTAR POR USO PERSONAL")</f>
        <v>56.699999999999989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12.6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71" s="5" t="str">
        <f>VLOOKUP(Tabla38[[#This Row],[MOVIL]],[1]BD!$A$1:$P$3557,13,0)</f>
        <v>AEROPUERTO</v>
      </c>
    </row>
    <row r="272" spans="1:7" x14ac:dyDescent="0.25">
      <c r="A272" s="64">
        <v>9935</v>
      </c>
      <c r="B272" s="5">
        <f>+SUMIFS(Tabla16[Importe],Tabla16[MOVIL],Tabla38[[#This Row],[MOVIL]],Tabla16[OBSV],"DESCONTAR POR USO PERSONAL")</f>
        <v>18.899999999999999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2" s="5" t="str">
        <f>VLOOKUP(Tabla38[[#This Row],[MOVIL]],[1]BD!$A$1:$P$3557,13,0)</f>
        <v>AEROPUERTO</v>
      </c>
    </row>
    <row r="273" spans="1:7" x14ac:dyDescent="0.25">
      <c r="A273" s="64">
        <v>4042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3" s="5" t="str">
        <f>VLOOKUP(Tabla38[[#This Row],[MOVIL]],[1]BD!$A$1:$P$3557,13,0)</f>
        <v>MEMBRESÍA NOCTURNA - APTO</v>
      </c>
    </row>
    <row r="274" spans="1:7" x14ac:dyDescent="0.25">
      <c r="A274" s="64">
        <v>226</v>
      </c>
      <c r="B274" s="5">
        <f>+SUMIFS(Tabla16[Importe],Tabla16[MOVIL],Tabla38[[#This Row],[MOVIL]],Tabla16[OBSV],"DESCONTAR POR USO PERSONAL")</f>
        <v>31.5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74" s="5" t="str">
        <f>VLOOKUP(Tabla38[[#This Row],[MOVIL]],[1]BD!$A$1:$P$3557,13,0)</f>
        <v>AEROPUERTO</v>
      </c>
    </row>
    <row r="275" spans="1:7" x14ac:dyDescent="0.25">
      <c r="A275" s="8">
        <v>3959</v>
      </c>
      <c r="B275" s="5">
        <f>+SUMIFS(Tabla16[Importe],Tabla16[MOVIL],Tabla38[[#This Row],[MOVIL]],Tabla16[OBSV],"DESCONTAR POR USO PERSONAL")</f>
        <v>0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5" s="5" t="str">
        <f>VLOOKUP(Tabla38[[#This Row],[MOVIL]],[2]BD!$A$1:$P$256,13,0)</f>
        <v>JOCKEY PLAZA</v>
      </c>
    </row>
    <row r="276" spans="1:7" x14ac:dyDescent="0.25">
      <c r="A276" s="8">
        <v>7038</v>
      </c>
      <c r="B276" s="5">
        <f>+SUMIFS(Tabla16[Importe],Tabla16[MOVIL],Tabla38[[#This Row],[MOVIL]],Tabla16[OBSV],"DESCONTAR POR USO PERSONAL")</f>
        <v>6.3</v>
      </c>
      <c r="C276" s="5">
        <f>+SUMIFS(Tabla16[Importe],Tabla16[MOVIL],Tabla38[[#This Row],[MOVIL]],Tabla16[OBSV],"DESCONTAR POR INCIDENCIA")</f>
        <v>6.3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6" s="5" t="str">
        <f>VLOOKUP(Tabla38[[#This Row],[MOVIL]],[2]BD!$A$1:$P$256,13,0)</f>
        <v>JOCKEY PLAZA</v>
      </c>
    </row>
    <row r="277" spans="1:7" x14ac:dyDescent="0.25">
      <c r="A277" s="64">
        <v>9633</v>
      </c>
      <c r="B277" s="5">
        <f>+SUMIFS(Tabla16[Importe],Tabla16[MOVIL],Tabla38[[#This Row],[MOVIL]],Tabla16[OBSV],"DESCONTAR POR USO PERSONAL")</f>
        <v>0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7" s="5" t="str">
        <f>VLOOKUP(Tabla38[[#This Row],[MOVIL]],[1]BD!$A$1:$P$3557,13,0)</f>
        <v>AEROLINEAS</v>
      </c>
    </row>
    <row r="278" spans="1:7" x14ac:dyDescent="0.25">
      <c r="A278" s="64">
        <v>2777</v>
      </c>
      <c r="B278" s="5">
        <f>+SUMIFS(Tabla16[Importe],Tabla16[MOVIL],Tabla38[[#This Row],[MOVIL]],Tabla16[OBSV],"DESCONTAR POR USO PERSONAL")</f>
        <v>12.6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8" s="5" t="str">
        <f>VLOOKUP(Tabla38[[#This Row],[MOVIL]],[1]BD!$A$1:$P$3557,13,0)</f>
        <v>AEROLINEAS</v>
      </c>
    </row>
    <row r="279" spans="1:7" x14ac:dyDescent="0.25">
      <c r="A279" s="64">
        <v>2746</v>
      </c>
      <c r="B279" s="5">
        <f>+SUMIFS(Tabla16[Importe],Tabla16[MOVIL],Tabla38[[#This Row],[MOVIL]],Tabla16[OBSV],"DESCONTAR POR USO PERSONAL")</f>
        <v>44.099999999999994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79" s="5" t="str">
        <f>VLOOKUP(Tabla38[[#This Row],[MOVIL]],[1]BD!$A$1:$P$3557,13,0)</f>
        <v>MEMBRESÍA URBANO</v>
      </c>
    </row>
    <row r="280" spans="1:7" x14ac:dyDescent="0.25">
      <c r="A280" s="64">
        <v>1786</v>
      </c>
      <c r="B280" s="5">
        <f>+SUMIFS(Tabla16[Importe],Tabla16[MOVIL],Tabla38[[#This Row],[MOVIL]],Tabla16[OBSV],"DESCONTAR POR USO PERSONAL")</f>
        <v>6.3</v>
      </c>
      <c r="C280" s="5">
        <f>+SUMIFS(Tabla16[Importe],Tabla16[MOVIL],Tabla38[[#This Row],[MOVIL]],Tabla16[OBSV],"DESCONTAR POR INCIDENCIA")</f>
        <v>12.6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0" s="5" t="str">
        <f>VLOOKUP(Tabla38[[#This Row],[MOVIL]],[1]BD!$A$1:$P$3557,13,0)</f>
        <v>URBANO</v>
      </c>
    </row>
    <row r="281" spans="1:7" x14ac:dyDescent="0.25">
      <c r="A281" s="64">
        <v>3198</v>
      </c>
      <c r="B281" s="5">
        <f>+SUMIFS(Tabla16[Importe],Tabla16[MOVIL],Tabla38[[#This Row],[MOVIL]],Tabla16[OBSV],"DESCONTAR POR USO PERSONAL")</f>
        <v>0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1" s="5" t="str">
        <f>VLOOKUP(Tabla38[[#This Row],[MOVIL]],[1]BD!$A$1:$P$3557,13,0)</f>
        <v>URBANO PARTNER</v>
      </c>
    </row>
    <row r="282" spans="1:7" x14ac:dyDescent="0.25">
      <c r="A282" s="8">
        <v>9740</v>
      </c>
      <c r="B282" s="5">
        <f>+SUMIFS(Tabla16[Importe],Tabla16[MOVIL],Tabla38[[#This Row],[MOVIL]],Tabla16[OBSV],"DESCONTAR POR USO PERSONAL")</f>
        <v>44.099999999999994</v>
      </c>
      <c r="C282" s="5">
        <f>+SUMIFS(Tabla16[Importe],Tabla16[MOVIL],Tabla38[[#This Row],[MOVIL]],Tabla16[OBSV],"DESCONTAR POR INCIDENCIA")</f>
        <v>6.3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82" s="5" t="str">
        <f>VLOOKUP(Tabla38[[#This Row],[MOVIL]],[2]BD!$A$1:$P$256,13,0)</f>
        <v>JOCKEY PLAZA</v>
      </c>
    </row>
    <row r="283" spans="1:7" x14ac:dyDescent="0.25">
      <c r="A283" s="64">
        <v>2394</v>
      </c>
      <c r="B283" s="5">
        <f>+SUMIFS(Tabla16[Importe],Tabla16[MOVIL],Tabla38[[#This Row],[MOVIL]],Tabla16[OBSV],"DESCONTAR POR USO PERSONAL")</f>
        <v>81.899999999999977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83" s="5" t="str">
        <f>VLOOKUP(Tabla38[[#This Row],[MOVIL]],[1]BD!$A$1:$P$3557,13,0)</f>
        <v>MEMBRESÍA URBANO</v>
      </c>
    </row>
    <row r="284" spans="1:7" x14ac:dyDescent="0.25">
      <c r="A284" s="64">
        <v>4029</v>
      </c>
      <c r="B284" s="5">
        <f>+SUMIFS(Tabla16[Importe],Tabla16[MOVIL],Tabla38[[#This Row],[MOVIL]],Tabla16[OBSV],"DESCONTAR POR USO PERSONAL")</f>
        <v>31.5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4" s="5" t="str">
        <f>VLOOKUP(Tabla38[[#This Row],[MOVIL]],[1]BD!$A$1:$P$3557,13,0)</f>
        <v>MEMBRESÍA DIURNA</v>
      </c>
    </row>
    <row r="285" spans="1:7" x14ac:dyDescent="0.25">
      <c r="A285" s="64">
        <v>3787</v>
      </c>
      <c r="B285" s="5">
        <f>+SUMIFS(Tabla16[Importe],Tabla16[MOVIL],Tabla38[[#This Row],[MOVIL]],Tabla16[OBSV],"DESCONTAR POR USO PERSONAL")</f>
        <v>31.5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5" s="5" t="str">
        <f>VLOOKUP(Tabla38[[#This Row],[MOVIL]],[1]BD!$A$1:$P$3557,13,0)</f>
        <v>URBANO PARTNER</v>
      </c>
    </row>
    <row r="286" spans="1:7" x14ac:dyDescent="0.25">
      <c r="A286" s="8">
        <v>3554</v>
      </c>
      <c r="B286" s="5">
        <f>+SUMIFS(Tabla16[Importe],Tabla16[MOVIL],Tabla38[[#This Row],[MOVIL]],Tabla16[OBSV],"DESCONTAR POR USO PERSONAL")</f>
        <v>0</v>
      </c>
      <c r="C286" s="5">
        <f>+SUMIFS(Tabla16[Importe],Tabla16[MOVIL],Tabla38[[#This Row],[MOVIL]],Tabla16[OBSV],"DESCONTAR POR INCIDENCIA")</f>
        <v>25.2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6" s="5" t="str">
        <f>VLOOKUP(Tabla38[[#This Row],[MOVIL]],[2]BD!$A$1:$P$256,13,0)</f>
        <v>JOCKEY PLAZA</v>
      </c>
    </row>
    <row r="287" spans="1:7" x14ac:dyDescent="0.25">
      <c r="A287" s="64">
        <v>2218</v>
      </c>
      <c r="B287" s="5">
        <f>+SUMIFS(Tabla16[Importe],Tabla16[MOVIL],Tabla38[[#This Row],[MOVIL]],Tabla16[OBSV],"DESCONTAR POR USO PERSONAL")</f>
        <v>6.3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7" s="5" t="str">
        <f>VLOOKUP(Tabla38[[#This Row],[MOVIL]],[1]BD!$A$1:$P$3557,13,0)</f>
        <v>MEMBRESÍA URBANO</v>
      </c>
    </row>
    <row r="288" spans="1:7" x14ac:dyDescent="0.25">
      <c r="A288" s="64">
        <v>1615</v>
      </c>
      <c r="B288" s="5">
        <f>+SUMIFS(Tabla16[Importe],Tabla16[MOVIL],Tabla38[[#This Row],[MOVIL]],Tabla16[OBSV],"DESCONTAR POR USO PERSONAL")</f>
        <v>25.2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8" s="5" t="str">
        <f>VLOOKUP(Tabla38[[#This Row],[MOVIL]],[1]BD!$A$1:$P$3557,13,0)</f>
        <v>AEROPUERTO VAN</v>
      </c>
    </row>
    <row r="289" spans="1:7" x14ac:dyDescent="0.25">
      <c r="A289" s="64">
        <v>3242</v>
      </c>
      <c r="B289" s="5">
        <f>+SUMIFS(Tabla16[Importe],Tabla16[MOVIL],Tabla38[[#This Row],[MOVIL]],Tabla16[OBSV],"DESCONTAR POR USO PERSONAL")</f>
        <v>31.5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89" s="5" t="str">
        <f>VLOOKUP(Tabla38[[#This Row],[MOVIL]],[1]BD!$A$1:$P$3557,13,0)</f>
        <v>URBANO PARTNER</v>
      </c>
    </row>
    <row r="290" spans="1:7" x14ac:dyDescent="0.25">
      <c r="A290" s="64">
        <v>1502</v>
      </c>
      <c r="B290" s="5">
        <f>+SUMIFS(Tabla16[Importe],Tabla16[MOVIL],Tabla38[[#This Row],[MOVIL]],Tabla16[OBSV],"DESCONTAR POR USO PERSONAL")</f>
        <v>6.3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0" s="5" t="str">
        <f>VLOOKUP(Tabla38[[#This Row],[MOVIL]],[1]BD!$A$1:$P$3557,13,0)</f>
        <v>AEROPUERTO VAN</v>
      </c>
    </row>
    <row r="291" spans="1:7" x14ac:dyDescent="0.25">
      <c r="A291" s="64">
        <v>1422</v>
      </c>
      <c r="B291" s="5">
        <f>+SUMIFS(Tabla16[Importe],Tabla16[MOVIL],Tabla38[[#This Row],[MOVIL]],Tabla16[OBSV],"DESCONTAR POR USO PERSONAL")</f>
        <v>31.5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1" s="5" t="str">
        <f>VLOOKUP(Tabla38[[#This Row],[MOVIL]],[1]BD!$A$1:$P$3557,13,0)</f>
        <v>AEROPUERTO</v>
      </c>
    </row>
    <row r="292" spans="1:7" x14ac:dyDescent="0.25">
      <c r="A292" s="64">
        <v>1453</v>
      </c>
      <c r="B292" s="5">
        <f>+SUMIFS(Tabla16[Importe],Tabla16[MOVIL],Tabla38[[#This Row],[MOVIL]],Tabla16[OBSV],"DESCONTAR POR USO PERSONAL")</f>
        <v>0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25.2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2" s="5" t="str">
        <f>VLOOKUP(Tabla38[[#This Row],[MOVIL]],[1]BD!$A$1:$P$3557,13,0)</f>
        <v>AEROPUERTO</v>
      </c>
    </row>
    <row r="293" spans="1:7" x14ac:dyDescent="0.25">
      <c r="A293" s="64">
        <v>4072</v>
      </c>
      <c r="B293" s="5">
        <f>+SUMIFS(Tabla16[Importe],Tabla16[MOVIL],Tabla38[[#This Row],[MOVIL]],Tabla16[OBSV],"DESCONTAR POR USO PERSONAL")</f>
        <v>6.3</v>
      </c>
      <c r="C293" s="5">
        <f>+SUMIFS(Tabla16[Importe],Tabla16[MOVIL],Tabla38[[#This Row],[MOVIL]],Tabla16[OBSV],"DESCONTAR POR INCIDENCIA")</f>
        <v>6.3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3" s="5" t="str">
        <f>VLOOKUP(Tabla38[[#This Row],[MOVIL]],[1]BD!$A$1:$P$3557,13,0)</f>
        <v>AEROLINEAS</v>
      </c>
    </row>
    <row r="294" spans="1:7" x14ac:dyDescent="0.25">
      <c r="A294" s="64">
        <v>127</v>
      </c>
      <c r="B294" s="5">
        <f>+SUMIFS(Tabla16[Importe],Tabla16[MOVIL],Tabla38[[#This Row],[MOVIL]],Tabla16[OBSV],"DESCONTAR POR USO PERSONAL")</f>
        <v>0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4" s="5" t="str">
        <f>VLOOKUP(Tabla38[[#This Row],[MOVIL]],[1]BD!$A$1:$P$3557,13,0)</f>
        <v>AEROLINEAS</v>
      </c>
    </row>
    <row r="295" spans="1:7" x14ac:dyDescent="0.25">
      <c r="A295" s="64">
        <v>4070</v>
      </c>
      <c r="B295" s="5">
        <f>+SUMIFS(Tabla16[Importe],Tabla16[MOVIL],Tabla38[[#This Row],[MOVIL]],Tabla16[OBSV],"DESCONTAR POR USO PERSONAL")</f>
        <v>0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12.6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5" s="5" t="str">
        <f>VLOOKUP(Tabla38[[#This Row],[MOVIL]],[1]BD!$A$1:$P$3557,13,0)</f>
        <v>MEMBRESÍA DIURNA</v>
      </c>
    </row>
    <row r="296" spans="1:7" x14ac:dyDescent="0.25">
      <c r="A296" s="64">
        <v>515</v>
      </c>
      <c r="B296" s="5">
        <f>+SUMIFS(Tabla16[Importe],Tabla16[MOVIL],Tabla38[[#This Row],[MOVIL]],Tabla16[OBSV],"DESCONTAR POR USO PERSONAL")</f>
        <v>0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6" s="5" t="str">
        <f>VLOOKUP(Tabla38[[#This Row],[MOVIL]],[1]BD!$A$1:$P$3557,13,0)</f>
        <v>URBANO</v>
      </c>
    </row>
    <row r="297" spans="1:7" x14ac:dyDescent="0.25">
      <c r="A297" s="64">
        <v>412</v>
      </c>
      <c r="B297" s="5">
        <f>+SUMIFS(Tabla16[Importe],Tabla16[MOVIL],Tabla38[[#This Row],[MOVIL]],Tabla16[OBSV],"DESCONTAR POR USO PERSONAL")</f>
        <v>0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6.3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7" s="5" t="str">
        <f>VLOOKUP(Tabla38[[#This Row],[MOVIL]],[1]BD!$A$1:$P$3557,13,0)</f>
        <v>MEMBRESÍA URBANO</v>
      </c>
    </row>
    <row r="298" spans="1:7" x14ac:dyDescent="0.25">
      <c r="A298" s="64">
        <v>2467</v>
      </c>
      <c r="B298" s="5">
        <f>+SUMIFS(Tabla16[Importe],Tabla16[MOVIL],Tabla38[[#This Row],[MOVIL]],Tabla16[OBSV],"DESCONTAR POR USO PERSONAL")</f>
        <v>6.3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8" s="5" t="str">
        <f>VLOOKUP(Tabla38[[#This Row],[MOVIL]],[1]BD!$A$1:$P$3557,13,0)</f>
        <v>URBANO</v>
      </c>
    </row>
    <row r="299" spans="1:7" x14ac:dyDescent="0.25">
      <c r="A299" s="64">
        <v>3113</v>
      </c>
      <c r="B299" s="5">
        <f>+SUMIFS(Tabla16[Importe],Tabla16[MOVIL],Tabla38[[#This Row],[MOVIL]],Tabla16[OBSV],"DESCONTAR POR USO PERSONAL")</f>
        <v>0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9" s="5" t="str">
        <f>VLOOKUP(Tabla38[[#This Row],[MOVIL]],[1]BD!$A$1:$P$3557,13,0)</f>
        <v>AEROLINEAS</v>
      </c>
    </row>
    <row r="300" spans="1:7" x14ac:dyDescent="0.25">
      <c r="A300" s="64">
        <v>3638</v>
      </c>
      <c r="B300" s="5">
        <f>+SUMIFS(Tabla16[Importe],Tabla16[MOVIL],Tabla38[[#This Row],[MOVIL]],Tabla16[OBSV],"DESCONTAR POR USO PERSONAL")</f>
        <v>0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0" s="5" t="str">
        <f>VLOOKUP(Tabla38[[#This Row],[MOVIL]],[1]BD!$A$1:$P$3557,13,0)</f>
        <v>AEROLINEAS</v>
      </c>
    </row>
    <row r="301" spans="1:7" x14ac:dyDescent="0.25">
      <c r="A301" s="64">
        <v>2674</v>
      </c>
      <c r="B301" s="5">
        <f>+SUMIFS(Tabla16[Importe],Tabla16[MOVIL],Tabla38[[#This Row],[MOVIL]],Tabla16[OBSV],"DESCONTAR POR USO PERSONAL")</f>
        <v>0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1" s="5" t="str">
        <f>VLOOKUP(Tabla38[[#This Row],[MOVIL]],[1]BD!$A$1:$P$3557,13,0)</f>
        <v>AEROLINEAS</v>
      </c>
    </row>
    <row r="302" spans="1:7" x14ac:dyDescent="0.25">
      <c r="A302" s="64">
        <v>9045</v>
      </c>
      <c r="B302" s="5">
        <f>+SUMIFS(Tabla16[Importe],Tabla16[MOVIL],Tabla38[[#This Row],[MOVIL]],Tabla16[OBSV],"DESCONTAR POR USO PERSONAL")</f>
        <v>0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12.6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2" s="5" t="str">
        <f>VLOOKUP(Tabla38[[#This Row],[MOVIL]],[1]BD!$A$1:$P$3557,13,0)</f>
        <v>AEROLINEAS</v>
      </c>
    </row>
    <row r="303" spans="1:7" x14ac:dyDescent="0.25">
      <c r="A303" s="64">
        <v>3381</v>
      </c>
      <c r="B303" s="5">
        <f>+SUMIFS(Tabla16[Importe],Tabla16[MOVIL],Tabla38[[#This Row],[MOVIL]],Tabla16[OBSV],"DESCONTAR POR USO PERSONAL")</f>
        <v>12.6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3" s="5" t="str">
        <f>VLOOKUP(Tabla38[[#This Row],[MOVIL]],[1]BD!$A$1:$P$3557,13,0)</f>
        <v>URBANO</v>
      </c>
    </row>
    <row r="304" spans="1:7" x14ac:dyDescent="0.25">
      <c r="A304" s="64">
        <v>2014</v>
      </c>
      <c r="B304" s="5">
        <f>+SUMIFS(Tabla16[Importe],Tabla16[MOVIL],Tabla38[[#This Row],[MOVIL]],Tabla16[OBSV],"DESCONTAR POR USO PERSONAL")</f>
        <v>6.3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4" s="5" t="str">
        <f>VLOOKUP(Tabla38[[#This Row],[MOVIL]],[1]BD!$A$1:$P$3557,13,0)</f>
        <v>AEROPUERTO</v>
      </c>
    </row>
    <row r="305" spans="1:7" x14ac:dyDescent="0.25">
      <c r="A305" s="64">
        <v>3954</v>
      </c>
      <c r="B305" s="5">
        <f>+SUMIFS(Tabla16[Importe],Tabla16[MOVIL],Tabla38[[#This Row],[MOVIL]],Tabla16[OBSV],"DESCONTAR POR USO PERSONAL")</f>
        <v>12.6</v>
      </c>
      <c r="C305" s="5">
        <f>+SUMIFS(Tabla16[Importe],Tabla16[MOVIL],Tabla38[[#This Row],[MOVIL]],Tabla16[OBSV],"DESCONTAR POR INCIDENCIA")</f>
        <v>12.6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5" s="5" t="str">
        <f>VLOOKUP(Tabla38[[#This Row],[MOVIL]],[1]BD!$A$1:$P$3557,13,0)</f>
        <v>AEROLINEAS</v>
      </c>
    </row>
    <row r="306" spans="1:7" x14ac:dyDescent="0.25">
      <c r="A306" s="64">
        <v>4073</v>
      </c>
      <c r="B306" s="5">
        <f>+SUMIFS(Tabla16[Importe],Tabla16[MOVIL],Tabla38[[#This Row],[MOVIL]],Tabla16[OBSV],"DESCONTAR POR USO PERSONAL")</f>
        <v>18.899999999999999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6" s="5" t="str">
        <f>VLOOKUP(Tabla38[[#This Row],[MOVIL]],[1]BD!$A$1:$P$3557,13,0)</f>
        <v>AEROLINEAS</v>
      </c>
    </row>
    <row r="307" spans="1:7" x14ac:dyDescent="0.25">
      <c r="A307" s="64">
        <v>1844</v>
      </c>
      <c r="B307" s="5">
        <f>+SUMIFS(Tabla16[Importe],Tabla16[MOVIL],Tabla38[[#This Row],[MOVIL]],Tabla16[OBSV],"DESCONTAR POR USO PERSONAL")</f>
        <v>0</v>
      </c>
      <c r="C307" s="5">
        <f>+SUMIFS(Tabla16[Importe],Tabla16[MOVIL],Tabla38[[#This Row],[MOVIL]],Tabla16[OBSV],"DESCONTAR POR INCIDENCIA")</f>
        <v>6.3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7" s="5" t="str">
        <f>VLOOKUP(Tabla38[[#This Row],[MOVIL]],[1]BD!$A$1:$P$3557,13,0)</f>
        <v>AEROLINEAS</v>
      </c>
    </row>
    <row r="308" spans="1:7" x14ac:dyDescent="0.25">
      <c r="A308" s="64">
        <v>2416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6.3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8" s="5" t="str">
        <f>VLOOKUP(Tabla38[[#This Row],[MOVIL]],[1]BD!$A$1:$P$3557,13,0)</f>
        <v>URBANO</v>
      </c>
    </row>
    <row r="309" spans="1:7" x14ac:dyDescent="0.25">
      <c r="A309" s="64">
        <v>3924</v>
      </c>
      <c r="B309" s="5">
        <f>+SUMIFS(Tabla16[Importe],Tabla16[MOVIL],Tabla38[[#This Row],[MOVIL]],Tabla16[OBSV],"DESCONTAR POR USO PERSONAL")</f>
        <v>18.899999999999999</v>
      </c>
      <c r="C309" s="5">
        <f>+SUMIFS(Tabla16[Importe],Tabla16[MOVIL],Tabla38[[#This Row],[MOVIL]],Tabla16[OBSV],"DESCONTAR POR INCIDENCIA")</f>
        <v>12.6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9" s="5" t="str">
        <f>VLOOKUP(Tabla38[[#This Row],[MOVIL]],[1]BD!$A$1:$P$3557,13,0)</f>
        <v>AEROLINEAS</v>
      </c>
    </row>
    <row r="310" spans="1:7" x14ac:dyDescent="0.25">
      <c r="A310" s="64">
        <v>2189</v>
      </c>
      <c r="B310" s="5">
        <f>+SUMIFS(Tabla16[Importe],Tabla16[MOVIL],Tabla38[[#This Row],[MOVIL]],Tabla16[OBSV],"DESCONTAR POR USO PERSONAL")</f>
        <v>0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0" s="5" t="str">
        <f>VLOOKUP(Tabla38[[#This Row],[MOVIL]],[1]BD!$A$1:$P$3557,13,0)</f>
        <v>MEMBRESÍA URBANO</v>
      </c>
    </row>
    <row r="311" spans="1:7" x14ac:dyDescent="0.25">
      <c r="A311" s="64">
        <v>4145</v>
      </c>
      <c r="B311" s="5">
        <f>+SUMIFS(Tabla16[Importe],Tabla16[MOVIL],Tabla38[[#This Row],[MOVIL]],Tabla16[OBSV],"DESCONTAR POR USO PERSONAL")</f>
        <v>25.2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1" s="5" t="str">
        <f>VLOOKUP(Tabla38[[#This Row],[MOVIL]],[1]BD!$A$1:$P$3557,13,0)</f>
        <v>MEMBRESÍA DIURNA</v>
      </c>
    </row>
    <row r="312" spans="1:7" x14ac:dyDescent="0.25">
      <c r="A312" s="64">
        <v>4026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2" s="5" t="str">
        <f>VLOOKUP(Tabla38[[#This Row],[MOVIL]],[1]BD!$A$1:$P$3557,13,0)</f>
        <v>AEROLINEAS</v>
      </c>
    </row>
    <row r="313" spans="1:7" x14ac:dyDescent="0.25">
      <c r="A313" s="64">
        <v>3912</v>
      </c>
      <c r="B313" s="5">
        <f>+SUMIFS(Tabla16[Importe],Tabla16[MOVIL],Tabla38[[#This Row],[MOVIL]],Tabla16[OBSV],"DESCONTAR POR USO PERSONAL")</f>
        <v>0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3" s="5" t="str">
        <f>VLOOKUP(Tabla38[[#This Row],[MOVIL]],[1]BD!$A$1:$P$3557,13,0)</f>
        <v>MEMBRESÍA NOCTURNA - APTO</v>
      </c>
    </row>
    <row r="314" spans="1:7" x14ac:dyDescent="0.25">
      <c r="A314" s="64">
        <v>3939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4" s="5" t="str">
        <f>VLOOKUP(Tabla38[[#This Row],[MOVIL]],[1]BD!$A$1:$P$3557,13,0)</f>
        <v>MEMBRESÍA NOCTURNA - APTO</v>
      </c>
    </row>
    <row r="315" spans="1:7" x14ac:dyDescent="0.25">
      <c r="A315" s="64">
        <v>3691</v>
      </c>
      <c r="B315" s="5">
        <f>+SUMIFS(Tabla16[Importe],Tabla16[MOVIL],Tabla38[[#This Row],[MOVIL]],Tabla16[OBSV],"DESCONTAR POR USO PERSONAL")</f>
        <v>25.2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5" s="5" t="str">
        <f>VLOOKUP(Tabla38[[#This Row],[MOVIL]],[1]BD!$A$1:$P$3557,13,0)</f>
        <v>AEROPUERTO</v>
      </c>
    </row>
    <row r="316" spans="1:7" x14ac:dyDescent="0.25">
      <c r="A316" s="64">
        <v>1591</v>
      </c>
      <c r="B316" s="5">
        <f>+SUMIFS(Tabla16[Importe],Tabla16[MOVIL],Tabla38[[#This Row],[MOVIL]],Tabla16[OBSV],"DESCONTAR POR USO PERSONAL")</f>
        <v>18.899999999999999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16" s="5" t="str">
        <f>VLOOKUP(Tabla38[[#This Row],[MOVIL]],[1]BD!$A$1:$P$3557,13,0)</f>
        <v>AEROLINEAS</v>
      </c>
    </row>
    <row r="317" spans="1:7" x14ac:dyDescent="0.25">
      <c r="A317" s="64">
        <v>9637</v>
      </c>
      <c r="B317" s="5">
        <f>+SUMIFS(Tabla16[Importe],Tabla16[MOVIL],Tabla38[[#This Row],[MOVIL]],Tabla16[OBSV],"DESCONTAR POR USO PERSONAL")</f>
        <v>0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7" s="5" t="str">
        <f>VLOOKUP(Tabla38[[#This Row],[MOVIL]],[1]BD!$A$1:$P$3557,13,0)</f>
        <v>AEROPUERTO</v>
      </c>
    </row>
    <row r="318" spans="1:7" x14ac:dyDescent="0.25">
      <c r="A318" s="64">
        <v>3768</v>
      </c>
      <c r="B318" s="5">
        <f>+SUMIFS(Tabla16[Importe],Tabla16[MOVIL],Tabla38[[#This Row],[MOVIL]],Tabla16[OBSV],"DESCONTAR POR USO PERSONAL")</f>
        <v>12.6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12.6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8" s="5" t="str">
        <f>VLOOKUP(Tabla38[[#This Row],[MOVIL]],[1]BD!$A$1:$P$3557,13,0)</f>
        <v>AEROPUERTO</v>
      </c>
    </row>
    <row r="319" spans="1:7" x14ac:dyDescent="0.25">
      <c r="A319" s="64">
        <v>3509</v>
      </c>
      <c r="B319" s="5">
        <f>+SUMIFS(Tabla16[Importe],Tabla16[MOVIL],Tabla38[[#This Row],[MOVIL]],Tabla16[OBSV],"DESCONTAR POR USO PERSONAL")</f>
        <v>6.3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9" s="5" t="str">
        <f>VLOOKUP(Tabla38[[#This Row],[MOVIL]],[1]BD!$A$1:$P$3557,13,0)</f>
        <v>AEROPUERTO</v>
      </c>
    </row>
    <row r="320" spans="1:7" x14ac:dyDescent="0.25">
      <c r="A320" s="64">
        <v>3568</v>
      </c>
      <c r="B320" s="5">
        <f>+SUMIFS(Tabla16[Importe],Tabla16[MOVIL],Tabla38[[#This Row],[MOVIL]],Tabla16[OBSV],"DESCONTAR POR USO PERSONAL")</f>
        <v>18.899999999999999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12.6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20" s="5" t="str">
        <f>VLOOKUP(Tabla38[[#This Row],[MOVIL]],[1]BD!$A$1:$P$3557,13,0)</f>
        <v>AEROLINEAS</v>
      </c>
    </row>
    <row r="321" spans="1:7" x14ac:dyDescent="0.25">
      <c r="A321" s="64">
        <v>541</v>
      </c>
      <c r="B321" s="5">
        <f>+SUMIFS(Tabla16[Importe],Tabla16[MOVIL],Tabla38[[#This Row],[MOVIL]],Tabla16[OBSV],"DESCONTAR POR USO PERSONAL")</f>
        <v>6.3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1" s="5" t="str">
        <f>VLOOKUP(Tabla38[[#This Row],[MOVIL]],[1]BD!$A$1:$P$3557,13,0)</f>
        <v>URBANO</v>
      </c>
    </row>
    <row r="322" spans="1:7" x14ac:dyDescent="0.25">
      <c r="A322" s="64">
        <v>3840</v>
      </c>
      <c r="B322" s="5">
        <f>+SUMIFS(Tabla16[Importe],Tabla16[MOVIL],Tabla38[[#This Row],[MOVIL]],Tabla16[OBSV],"DESCONTAR POR USO PERSONAL")</f>
        <v>25.2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2" s="5" t="str">
        <f>VLOOKUP(Tabla38[[#This Row],[MOVIL]],[1]BD!$A$1:$P$3557,13,0)</f>
        <v>AEROPUERTO</v>
      </c>
    </row>
    <row r="323" spans="1:7" x14ac:dyDescent="0.25">
      <c r="A323" s="64">
        <v>224</v>
      </c>
      <c r="B323" s="5">
        <f>+SUMIFS(Tabla16[Importe],Tabla16[MOVIL],Tabla38[[#This Row],[MOVIL]],Tabla16[OBSV],"DESCONTAR POR USO PERSONAL")</f>
        <v>75.59999999999998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23" s="5" t="str">
        <f>VLOOKUP(Tabla38[[#This Row],[MOVIL]],[1]BD!$A$1:$P$3557,13,0)</f>
        <v>URBANO PARTNER</v>
      </c>
    </row>
    <row r="324" spans="1:7" x14ac:dyDescent="0.25">
      <c r="A324" s="64">
        <v>3695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12.6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4" s="5" t="str">
        <f>VLOOKUP(Tabla38[[#This Row],[MOVIL]],[1]BD!$A$1:$P$3557,13,0)</f>
        <v>AEROPUERTO</v>
      </c>
    </row>
    <row r="325" spans="1:7" x14ac:dyDescent="0.25">
      <c r="A325" s="64">
        <v>677</v>
      </c>
      <c r="B325" s="5">
        <f>+SUMIFS(Tabla16[Importe],Tabla16[MOVIL],Tabla38[[#This Row],[MOVIL]],Tabla16[OBSV],"DESCONTAR POR USO PERSONAL")</f>
        <v>0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5" s="5" t="str">
        <f>VLOOKUP(Tabla38[[#This Row],[MOVIL]],[1]BD!$A$1:$P$3557,13,0)</f>
        <v>AEROPUERTO</v>
      </c>
    </row>
    <row r="326" spans="1:7" x14ac:dyDescent="0.25">
      <c r="A326" s="64">
        <v>233</v>
      </c>
      <c r="B326" s="5">
        <f>+SUMIFS(Tabla16[Importe],Tabla16[MOVIL],Tabla38[[#This Row],[MOVIL]],Tabla16[OBSV],"DESCONTAR POR USO PERSONAL")</f>
        <v>6.3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6" s="5" t="str">
        <f>VLOOKUP(Tabla38[[#This Row],[MOVIL]],[1]BD!$A$1:$P$3557,13,0)</f>
        <v>AEROPUERTO</v>
      </c>
    </row>
    <row r="327" spans="1:7" x14ac:dyDescent="0.25">
      <c r="A327" s="64">
        <v>4100</v>
      </c>
      <c r="B327" s="5">
        <f>+SUMIFS(Tabla16[Importe],Tabla16[MOVIL],Tabla38[[#This Row],[MOVIL]],Tabla16[OBSV],"DESCONTAR POR USO PERSONAL")</f>
        <v>0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7" s="5" t="str">
        <f>VLOOKUP(Tabla38[[#This Row],[MOVIL]],[1]BD!$A$1:$P$3557,13,0)</f>
        <v>MEMBRESÍA DIURNA</v>
      </c>
    </row>
    <row r="328" spans="1:7" x14ac:dyDescent="0.25">
      <c r="A328" s="64">
        <v>1480</v>
      </c>
      <c r="B328" s="5">
        <f>+SUMIFS(Tabla16[Importe],Tabla16[MOVIL],Tabla38[[#This Row],[MOVIL]],Tabla16[OBSV],"DESCONTAR POR USO PERSONAL")</f>
        <v>25.2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12.6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8" s="5" t="str">
        <f>VLOOKUP(Tabla38[[#This Row],[MOVIL]],[1]BD!$A$1:$P$3557,13,0)</f>
        <v>AEROPUERTO</v>
      </c>
    </row>
    <row r="329" spans="1:7" x14ac:dyDescent="0.25">
      <c r="A329" s="64">
        <v>2850</v>
      </c>
      <c r="B329" s="5">
        <f>+SUMIFS(Tabla16[Importe],Tabla16[MOVIL],Tabla38[[#This Row],[MOVIL]],Tabla16[OBSV],"DESCONTAR POR USO PERSONAL")</f>
        <v>12.6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31.5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29" s="5" t="str">
        <f>VLOOKUP(Tabla38[[#This Row],[MOVIL]],[1]BD!$A$1:$P$3557,13,0)</f>
        <v>AEROPUERTO</v>
      </c>
    </row>
    <row r="330" spans="1:7" x14ac:dyDescent="0.25">
      <c r="A330" s="64">
        <v>3335</v>
      </c>
      <c r="B330" s="5">
        <f>+SUMIFS(Tabla16[Importe],Tabla16[MOVIL],Tabla38[[#This Row],[MOVIL]],Tabla16[OBSV],"DESCONTAR POR USO PERSONAL")</f>
        <v>0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0" s="5" t="str">
        <f>VLOOKUP(Tabla38[[#This Row],[MOVIL]],[1]BD!$A$1:$P$3557,13,0)</f>
        <v>AEROLINEAS</v>
      </c>
    </row>
    <row r="331" spans="1:7" x14ac:dyDescent="0.25">
      <c r="A331" s="64">
        <v>3719</v>
      </c>
      <c r="B331" s="5">
        <f>+SUMIFS(Tabla16[Importe],Tabla16[MOVIL],Tabla38[[#This Row],[MOVIL]],Tabla16[OBSV],"DESCONTAR POR USO PERSONAL")</f>
        <v>12.6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1" s="5" t="str">
        <f>VLOOKUP(Tabla38[[#This Row],[MOVIL]],[1]BD!$A$1:$P$3557,13,0)</f>
        <v>MEMBRESÍA URBANO</v>
      </c>
    </row>
    <row r="332" spans="1:7" x14ac:dyDescent="0.25">
      <c r="A332" s="64">
        <v>3127</v>
      </c>
      <c r="B332" s="5">
        <f>+SUMIFS(Tabla16[Importe],Tabla16[MOVIL],Tabla38[[#This Row],[MOVIL]],Tabla16[OBSV],"DESCONTAR POR USO PERSONAL")</f>
        <v>18.899999999999999</v>
      </c>
      <c r="C332" s="5">
        <f>+SUMIFS(Tabla16[Importe],Tabla16[MOVIL],Tabla38[[#This Row],[MOVIL]],Tabla16[OBSV],"DESCONTAR POR INCIDENCIA")</f>
        <v>12.6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2" s="5" t="str">
        <f>VLOOKUP(Tabla38[[#This Row],[MOVIL]],[1]BD!$A$1:$P$3557,13,0)</f>
        <v>AEROLINEAS</v>
      </c>
    </row>
    <row r="333" spans="1:7" x14ac:dyDescent="0.25">
      <c r="A333" s="64">
        <v>2784</v>
      </c>
      <c r="B333" s="5">
        <f>+SUMIFS(Tabla16[Importe],Tabla16[MOVIL],Tabla38[[#This Row],[MOVIL]],Tabla16[OBSV],"DESCONTAR POR USO PERSONAL")</f>
        <v>25.2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3" s="5" t="str">
        <f>VLOOKUP(Tabla38[[#This Row],[MOVIL]],[1]BD!$A$1:$P$3557,13,0)</f>
        <v>URBANO</v>
      </c>
    </row>
    <row r="334" spans="1:7" x14ac:dyDescent="0.25">
      <c r="A334" s="64">
        <v>4181</v>
      </c>
      <c r="B334" s="5">
        <f>+SUMIFS(Tabla16[Importe],Tabla16[MOVIL],Tabla38[[#This Row],[MOVIL]],Tabla16[OBSV],"DESCONTAR POR USO PERSONAL")</f>
        <v>25.2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4" s="5" t="str">
        <f>VLOOKUP(Tabla38[[#This Row],[MOVIL]],[1]BD!$A$1:$P$3557,13,0)</f>
        <v>MEMBRESÍA NOCTURNA - APTO</v>
      </c>
    </row>
    <row r="335" spans="1:7" x14ac:dyDescent="0.25">
      <c r="A335" s="8">
        <v>7629</v>
      </c>
      <c r="B335" s="5">
        <f>+SUMIFS(Tabla16[Importe],Tabla16[MOVIL],Tabla38[[#This Row],[MOVIL]],Tabla16[OBSV],"DESCONTAR POR USO PERSONAL")</f>
        <v>6.3</v>
      </c>
      <c r="C335" s="5">
        <f>+SUMIFS(Tabla16[Importe],Tabla16[MOVIL],Tabla38[[#This Row],[MOVIL]],Tabla16[OBSV],"DESCONTAR POR INCIDENCIA")</f>
        <v>6.3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5" s="5" t="str">
        <f>VLOOKUP(Tabla38[[#This Row],[MOVIL]],[2]BD!$A$1:$P$256,13,0)</f>
        <v>JOCKEY PLAZA</v>
      </c>
    </row>
    <row r="336" spans="1:7" x14ac:dyDescent="0.25">
      <c r="A336" s="64">
        <v>3399</v>
      </c>
      <c r="B336" s="5">
        <f>+SUMIFS(Tabla16[Importe],Tabla16[MOVIL],Tabla38[[#This Row],[MOVIL]],Tabla16[OBSV],"DESCONTAR POR USO PERSONAL")</f>
        <v>6.3</v>
      </c>
      <c r="C336" s="5">
        <f>+SUMIFS(Tabla16[Importe],Tabla16[MOVIL],Tabla38[[#This Row],[MOVIL]],Tabla16[OBSV],"DESCONTAR POR INCIDENCIA")</f>
        <v>6.3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6" s="5" t="str">
        <f>VLOOKUP(Tabla38[[#This Row],[MOVIL]],[1]BD!$A$1:$P$3557,13,0)</f>
        <v>MEMBRESÍA URBANO</v>
      </c>
    </row>
    <row r="337" spans="1:7" x14ac:dyDescent="0.25">
      <c r="A337" s="8">
        <v>446</v>
      </c>
      <c r="B337" s="5">
        <f>+SUMIFS(Tabla16[Importe],Tabla16[MOVIL],Tabla38[[#This Row],[MOVIL]],Tabla16[OBSV],"DESCONTAR POR USO PERSONAL")</f>
        <v>6.3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12.6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7" s="5" t="str">
        <f>VLOOKUP(Tabla38[[#This Row],[MOVIL]],[2]BD!$A$1:$P$256,13,0)</f>
        <v>JOCKEY PLAZA</v>
      </c>
    </row>
    <row r="338" spans="1:7" x14ac:dyDescent="0.25">
      <c r="A338" s="64">
        <v>4251</v>
      </c>
      <c r="B338" s="5">
        <f>+SUMIFS(Tabla16[Importe],Tabla16[MOVIL],Tabla38[[#This Row],[MOVIL]],Tabla16[OBSV],"DESCONTAR POR USO PERSONAL")</f>
        <v>6.3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8" s="5" t="str">
        <f>VLOOKUP(Tabla38[[#This Row],[MOVIL]],[1]BD!$A$1:$P$3557,13,0)</f>
        <v>URBANO PARTNER</v>
      </c>
    </row>
    <row r="339" spans="1:7" x14ac:dyDescent="0.25">
      <c r="A339" s="64">
        <v>2322</v>
      </c>
      <c r="B339" s="5">
        <f>+SUMIFS(Tabla16[Importe],Tabla16[MOVIL],Tabla38[[#This Row],[MOVIL]],Tabla16[OBSV],"DESCONTAR POR USO PERSONAL")</f>
        <v>6.3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9" s="5" t="str">
        <f>VLOOKUP(Tabla38[[#This Row],[MOVIL]],[1]BD!$A$1:$P$3557,13,0)</f>
        <v>URBANO</v>
      </c>
    </row>
    <row r="340" spans="1:7" x14ac:dyDescent="0.25">
      <c r="A340" s="64">
        <v>1874</v>
      </c>
      <c r="B340" s="5">
        <f>+SUMIFS(Tabla16[Importe],Tabla16[MOVIL],Tabla38[[#This Row],[MOVIL]],Tabla16[OBSV],"DESCONTAR POR USO PERSONAL")</f>
        <v>0</v>
      </c>
      <c r="C340" s="5">
        <f>+SUMIFS(Tabla16[Importe],Tabla16[MOVIL],Tabla38[[#This Row],[MOVIL]],Tabla16[OBSV],"DESCONTAR POR INCIDENCIA")</f>
        <v>6.3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0" s="5" t="str">
        <f>VLOOKUP(Tabla38[[#This Row],[MOVIL]],[1]BD!$A$1:$P$3557,13,0)</f>
        <v>AEROLINEAS</v>
      </c>
    </row>
    <row r="341" spans="1:7" x14ac:dyDescent="0.25">
      <c r="A341" s="64">
        <v>957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1" s="5" t="str">
        <f>VLOOKUP(Tabla38[[#This Row],[MOVIL]],[1]BD!$A$1:$P$3557,13,0)</f>
        <v>AEROLINEAS</v>
      </c>
    </row>
    <row r="342" spans="1:7" x14ac:dyDescent="0.25">
      <c r="A342" s="64">
        <v>4154</v>
      </c>
      <c r="B342" s="5">
        <f>+SUMIFS(Tabla16[Importe],Tabla16[MOVIL],Tabla38[[#This Row],[MOVIL]],Tabla16[OBSV],"DESCONTAR POR USO PERSONAL")</f>
        <v>25.2</v>
      </c>
      <c r="C342" s="5">
        <f>+SUMIFS(Tabla16[Importe],Tabla16[MOVIL],Tabla38[[#This Row],[MOVIL]],Tabla16[OBSV],"DESCONTAR POR INCIDENCIA")</f>
        <v>18.899999999999999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42" s="5" t="str">
        <f>VLOOKUP(Tabla38[[#This Row],[MOVIL]],[1]BD!$A$1:$P$3557,13,0)</f>
        <v>URBANO PARTNER</v>
      </c>
    </row>
    <row r="343" spans="1:7" x14ac:dyDescent="0.25">
      <c r="A343" s="64">
        <v>4099</v>
      </c>
      <c r="B343" s="5">
        <f>+SUMIFS(Tabla16[Importe],Tabla16[MOVIL],Tabla38[[#This Row],[MOVIL]],Tabla16[OBSV],"DESCONTAR POR USO PERSONAL")</f>
        <v>50.399999999999991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43" s="5" t="str">
        <f>VLOOKUP(Tabla38[[#This Row],[MOVIL]],[1]BD!$A$1:$P$3557,13,0)</f>
        <v>MEMBRESÍA NOCTURNA - APTO</v>
      </c>
    </row>
    <row r="344" spans="1:7" x14ac:dyDescent="0.25">
      <c r="A344" s="8">
        <v>7109</v>
      </c>
      <c r="B344" s="5">
        <f>+SUMIFS(Tabla16[Importe],Tabla16[MOVIL],Tabla38[[#This Row],[MOVIL]],Tabla16[OBSV],"DESCONTAR POR USO PERSONAL")</f>
        <v>6.3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4" s="5" t="str">
        <f>VLOOKUP(Tabla38[[#This Row],[MOVIL]],[2]BD!$A$1:$P$256,13,0)</f>
        <v>JOCKEY PLAZA</v>
      </c>
    </row>
    <row r="345" spans="1:7" x14ac:dyDescent="0.25">
      <c r="A345" s="64">
        <v>9102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25.2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5" s="5" t="str">
        <f>VLOOKUP(Tabla38[[#This Row],[MOVIL]],[1]BD!$A$1:$P$3557,13,0)</f>
        <v>AEROPUERTO</v>
      </c>
    </row>
    <row r="346" spans="1:7" x14ac:dyDescent="0.25">
      <c r="A346" s="64">
        <v>9891</v>
      </c>
      <c r="B346" s="5">
        <f>+SUMIFS(Tabla16[Importe],Tabla16[MOVIL],Tabla38[[#This Row],[MOVIL]],Tabla16[OBSV],"DESCONTAR POR USO PERSONAL")</f>
        <v>6.3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6" s="5" t="str">
        <f>VLOOKUP(Tabla38[[#This Row],[MOVIL]],[1]BD!$A$1:$P$3557,13,0)</f>
        <v>AEROPUERTO</v>
      </c>
    </row>
    <row r="347" spans="1:7" x14ac:dyDescent="0.25">
      <c r="A347" s="64">
        <v>4135</v>
      </c>
      <c r="B347" s="5">
        <f>+SUMIFS(Tabla16[Importe],Tabla16[MOVIL],Tabla38[[#This Row],[MOVIL]],Tabla16[OBSV],"DESCONTAR POR USO PERSONAL")</f>
        <v>0</v>
      </c>
      <c r="C347" s="5">
        <f>+SUMIFS(Tabla16[Importe],Tabla16[MOVIL],Tabla38[[#This Row],[MOVIL]],Tabla16[OBSV],"DESCONTAR POR INCIDENCIA")</f>
        <v>12.6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7" s="5" t="str">
        <f>VLOOKUP(Tabla38[[#This Row],[MOVIL]],[1]BD!$A$1:$P$3557,13,0)</f>
        <v>AEROLINEAS</v>
      </c>
    </row>
    <row r="348" spans="1:7" x14ac:dyDescent="0.25">
      <c r="A348" s="64">
        <v>9834</v>
      </c>
      <c r="B348" s="5">
        <f>+SUMIFS(Tabla16[Importe],Tabla16[MOVIL],Tabla38[[#This Row],[MOVIL]],Tabla16[OBSV],"DESCONTAR POR USO PERSONAL")</f>
        <v>18.899999999999999</v>
      </c>
      <c r="C348" s="5">
        <f>+SUMIFS(Tabla16[Importe],Tabla16[MOVIL],Tabla38[[#This Row],[MOVIL]],Tabla16[OBSV],"DESCONTAR POR INCIDENCIA")</f>
        <v>6.3</v>
      </c>
      <c r="D348" s="5">
        <f>+SUMIFS(Tabla16[Importe],Tabla16[MOVIL],Tabla38[[#This Row],[MOVIL]],Tabla16[OBSV],"DESCONTAR SERVICIO EN EFECTIVO")</f>
        <v>25.2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48" s="5" t="str">
        <f>VLOOKUP(Tabla38[[#This Row],[MOVIL]],[1]BD!$A$1:$P$3557,13,0)</f>
        <v>AEROPUERTO</v>
      </c>
    </row>
    <row r="349" spans="1:7" x14ac:dyDescent="0.25">
      <c r="A349" s="64">
        <v>3504</v>
      </c>
      <c r="B349" s="5">
        <f>+SUMIFS(Tabla16[Importe],Tabla16[MOVIL],Tabla38[[#This Row],[MOVIL]],Tabla16[OBSV],"DESCONTAR POR USO PERSONAL")</f>
        <v>12.6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9" s="5" t="str">
        <f>VLOOKUP(Tabla38[[#This Row],[MOVIL]],[1]BD!$A$1:$P$3557,13,0)</f>
        <v>AEROLINEAS</v>
      </c>
    </row>
    <row r="350" spans="1:7" x14ac:dyDescent="0.25">
      <c r="A350" s="64">
        <v>4163</v>
      </c>
      <c r="B350" s="5">
        <f>+SUMIFS(Tabla16[Importe],Tabla16[MOVIL],Tabla38[[#This Row],[MOVIL]],Tabla16[OBSV],"DESCONTAR POR USO PERSONAL")</f>
        <v>0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0" s="5" t="str">
        <f>VLOOKUP(Tabla38[[#This Row],[MOVIL]],[1]BD!$A$1:$P$3557,13,0)</f>
        <v>AEROLINEAS</v>
      </c>
    </row>
    <row r="351" spans="1:7" x14ac:dyDescent="0.25">
      <c r="A351" s="64">
        <v>4138</v>
      </c>
      <c r="B351" s="5">
        <f>+SUMIFS(Tabla16[Importe],Tabla16[MOVIL],Tabla38[[#This Row],[MOVIL]],Tabla16[OBSV],"DESCONTAR POR USO PERSONAL")</f>
        <v>25.2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1" s="5" t="str">
        <f>VLOOKUP(Tabla38[[#This Row],[MOVIL]],[1]BD!$A$1:$P$3557,13,0)</f>
        <v>AEROLINEAS</v>
      </c>
    </row>
    <row r="352" spans="1:7" x14ac:dyDescent="0.25">
      <c r="A352" s="64">
        <v>4183</v>
      </c>
      <c r="B352" s="5">
        <f>+SUMIFS(Tabla16[Importe],Tabla16[MOVIL],Tabla38[[#This Row],[MOVIL]],Tabla16[OBSV],"DESCONTAR POR USO PERSONAL")</f>
        <v>6.3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2" s="5" t="str">
        <f>VLOOKUP(Tabla38[[#This Row],[MOVIL]],[1]BD!$A$1:$P$3557,13,0)</f>
        <v>URBANO PARTNER</v>
      </c>
    </row>
    <row r="353" spans="1:7" x14ac:dyDescent="0.25">
      <c r="A353" s="64">
        <v>1868</v>
      </c>
      <c r="B353" s="5">
        <f>+SUMIFS(Tabla16[Importe],Tabla16[MOVIL],Tabla38[[#This Row],[MOVIL]],Tabla16[OBSV],"DESCONTAR POR USO PERSONAL")</f>
        <v>0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12.6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3" s="5" t="str">
        <f>VLOOKUP(Tabla38[[#This Row],[MOVIL]],[1]BD!$A$1:$P$3557,13,0)</f>
        <v>URBANO PARTNER</v>
      </c>
    </row>
    <row r="354" spans="1:7" x14ac:dyDescent="0.25">
      <c r="A354" s="64">
        <v>781</v>
      </c>
      <c r="B354" s="5">
        <f>+SUMIFS(Tabla16[Importe],Tabla16[MOVIL],Tabla38[[#This Row],[MOVIL]],Tabla16[OBSV],"DESCONTAR POR USO PERSONAL")</f>
        <v>0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25.2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4" s="5" t="str">
        <f>VLOOKUP(Tabla38[[#This Row],[MOVIL]],[1]BD!$A$1:$P$3557,13,0)</f>
        <v>AEROPUERTO</v>
      </c>
    </row>
    <row r="355" spans="1:7" x14ac:dyDescent="0.25">
      <c r="A355" s="64">
        <v>3666</v>
      </c>
      <c r="B355" s="5">
        <f>+SUMIFS(Tabla16[Importe],Tabla16[MOVIL],Tabla38[[#This Row],[MOVIL]],Tabla16[OBSV],"DESCONTAR POR USO PERSONAL")</f>
        <v>18.899999999999999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5" s="5" t="str">
        <f>VLOOKUP(Tabla38[[#This Row],[MOVIL]],[1]BD!$A$1:$P$3557,13,0)</f>
        <v>AEROPUERTO</v>
      </c>
    </row>
    <row r="356" spans="1:7" x14ac:dyDescent="0.25">
      <c r="A356" s="64">
        <v>951</v>
      </c>
      <c r="B356" s="5">
        <f>+SUMIFS(Tabla16[Importe],Tabla16[MOVIL],Tabla38[[#This Row],[MOVIL]],Tabla16[OBSV],"DESCONTAR POR USO PERSONAL")</f>
        <v>44.099999999999994</v>
      </c>
      <c r="C356" s="5">
        <f>+SUMIFS(Tabla16[Importe],Tabla16[MOVIL],Tabla38[[#This Row],[MOVIL]],Tabla16[OBSV],"DESCONTAR POR INCIDENCIA")</f>
        <v>6.3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56" s="5" t="str">
        <f>VLOOKUP(Tabla38[[#This Row],[MOVIL]],[1]BD!$A$1:$P$3557,13,0)</f>
        <v>AEROPUERTO</v>
      </c>
    </row>
    <row r="357" spans="1:7" x14ac:dyDescent="0.25">
      <c r="A357" s="64">
        <v>3905</v>
      </c>
      <c r="B357" s="5">
        <f>+SUMIFS(Tabla16[Importe],Tabla16[MOVIL],Tabla38[[#This Row],[MOVIL]],Tabla16[OBSV],"DESCONTAR POR USO PERSONAL")</f>
        <v>0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7" s="5" t="str">
        <f>VLOOKUP(Tabla38[[#This Row],[MOVIL]],[1]BD!$A$1:$P$3557,13,0)</f>
        <v>AEROLINEAS</v>
      </c>
    </row>
    <row r="358" spans="1:7" x14ac:dyDescent="0.25">
      <c r="A358" s="64">
        <v>2961</v>
      </c>
      <c r="B358" s="5">
        <f>+SUMIFS(Tabla16[Importe],Tabla16[MOVIL],Tabla38[[#This Row],[MOVIL]],Tabla16[OBSV],"DESCONTAR POR USO PERSONAL")</f>
        <v>18.899999999999999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8" s="5" t="str">
        <f>VLOOKUP(Tabla38[[#This Row],[MOVIL]],[1]BD!$A$1:$P$3557,13,0)</f>
        <v>AEROLINEAS</v>
      </c>
    </row>
    <row r="359" spans="1:7" x14ac:dyDescent="0.25">
      <c r="A359" s="64">
        <v>4300</v>
      </c>
      <c r="B359" s="5">
        <f>+SUMIFS(Tabla16[Importe],Tabla16[MOVIL],Tabla38[[#This Row],[MOVIL]],Tabla16[OBSV],"DESCONTAR POR USO PERSONAL")</f>
        <v>44.099999999999994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9" s="5" t="str">
        <f>VLOOKUP(Tabla38[[#This Row],[MOVIL]],[1]BD!$A$1:$P$3557,13,0)</f>
        <v>MEMBRESÍA DIURNA</v>
      </c>
    </row>
    <row r="360" spans="1:7" x14ac:dyDescent="0.25">
      <c r="A360" s="64">
        <v>803</v>
      </c>
      <c r="B360" s="5">
        <f>+SUMIFS(Tabla16[Importe],Tabla16[MOVIL],Tabla38[[#This Row],[MOVIL]],Tabla16[OBSV],"DESCONTAR POR USO PERSONAL")</f>
        <v>18.899999999999999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0" s="5" t="str">
        <f>VLOOKUP(Tabla38[[#This Row],[MOVIL]],[1]BD!$A$1:$P$3557,13,0)</f>
        <v>AEROPUERTO</v>
      </c>
    </row>
    <row r="361" spans="1:7" x14ac:dyDescent="0.25">
      <c r="A361" s="64">
        <v>1425</v>
      </c>
      <c r="B361" s="5">
        <f>+SUMIFS(Tabla16[Importe],Tabla16[MOVIL],Tabla38[[#This Row],[MOVIL]],Tabla16[OBSV],"DESCONTAR POR USO PERSONAL")</f>
        <v>18.899999999999999</v>
      </c>
      <c r="C361" s="5">
        <f>+SUMIFS(Tabla16[Importe],Tabla16[MOVIL],Tabla38[[#This Row],[MOVIL]],Tabla16[OBSV],"DESCONTAR POR INCIDENCIA")</f>
        <v>6.3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1" s="5" t="str">
        <f>VLOOKUP(Tabla38[[#This Row],[MOVIL]],[1]BD!$A$1:$P$3557,13,0)</f>
        <v>AEROLINEAS</v>
      </c>
    </row>
    <row r="362" spans="1:7" x14ac:dyDescent="0.25">
      <c r="A362" s="64">
        <v>9354</v>
      </c>
      <c r="B362" s="5">
        <f>+SUMIFS(Tabla16[Importe],Tabla16[MOVIL],Tabla38[[#This Row],[MOVIL]],Tabla16[OBSV],"DESCONTAR POR USO PERSONAL")</f>
        <v>12.6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2" s="5" t="str">
        <f>VLOOKUP(Tabla38[[#This Row],[MOVIL]],[1]BD!$A$1:$P$3557,13,0)</f>
        <v>AEROLINEAS</v>
      </c>
    </row>
    <row r="363" spans="1:7" x14ac:dyDescent="0.25">
      <c r="A363" s="64">
        <v>722</v>
      </c>
      <c r="B363" s="5">
        <f>+SUMIFS(Tabla16[Importe],Tabla16[MOVIL],Tabla38[[#This Row],[MOVIL]],Tabla16[OBSV],"DESCONTAR POR USO PERSONAL")</f>
        <v>25.2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3" s="5" t="str">
        <f>VLOOKUP(Tabla38[[#This Row],[MOVIL]],[1]BD!$A$1:$P$3557,13,0)</f>
        <v>MEMBRESÍA URBANO</v>
      </c>
    </row>
    <row r="364" spans="1:7" x14ac:dyDescent="0.25">
      <c r="A364" s="64">
        <v>9099</v>
      </c>
      <c r="B364" s="5">
        <f>+SUMIFS(Tabla16[Importe],Tabla16[MOVIL],Tabla38[[#This Row],[MOVIL]],Tabla16[OBSV],"DESCONTAR POR USO PERSONAL")</f>
        <v>6.3</v>
      </c>
      <c r="C364" s="5">
        <f>+SUMIFS(Tabla16[Importe],Tabla16[MOVIL],Tabla38[[#This Row],[MOVIL]],Tabla16[OBSV],"DESCONTAR POR INCIDENCIA")</f>
        <v>6.3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4" s="5" t="str">
        <f>VLOOKUP(Tabla38[[#This Row],[MOVIL]],[1]BD!$A$1:$P$3557,13,0)</f>
        <v>AEROLINEAS</v>
      </c>
    </row>
    <row r="365" spans="1:7" x14ac:dyDescent="0.25">
      <c r="A365" s="64">
        <v>4301</v>
      </c>
      <c r="B365" s="5">
        <f>+SUMIFS(Tabla16[Importe],Tabla16[MOVIL],Tabla38[[#This Row],[MOVIL]],Tabla16[OBSV],"DESCONTAR POR USO PERSONAL")</f>
        <v>0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5" s="5" t="str">
        <f>VLOOKUP(Tabla38[[#This Row],[MOVIL]],[1]BD!$A$1:$P$3557,13,0)</f>
        <v>AEROLINEAS</v>
      </c>
    </row>
    <row r="366" spans="1:7" x14ac:dyDescent="0.25">
      <c r="A366" s="64">
        <v>3138</v>
      </c>
      <c r="B366" s="5">
        <f>+SUMIFS(Tabla16[Importe],Tabla16[MOVIL],Tabla38[[#This Row],[MOVIL]],Tabla16[OBSV],"DESCONTAR POR USO PERSONAL")</f>
        <v>12.6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6" s="5" t="str">
        <f>VLOOKUP(Tabla38[[#This Row],[MOVIL]],[1]BD!$A$1:$P$3557,13,0)</f>
        <v>AEROLINEAS</v>
      </c>
    </row>
    <row r="367" spans="1:7" x14ac:dyDescent="0.25">
      <c r="A367" s="64">
        <v>4078</v>
      </c>
      <c r="B367" s="5">
        <f>+SUMIFS(Tabla16[Importe],Tabla16[MOVIL],Tabla38[[#This Row],[MOVIL]],Tabla16[OBSV],"DESCONTAR POR USO PERSONAL")</f>
        <v>31.5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7" s="5" t="str">
        <f>VLOOKUP(Tabla38[[#This Row],[MOVIL]],[1]BD!$A$1:$P$3557,13,0)</f>
        <v>URBANO PARTNER</v>
      </c>
    </row>
    <row r="368" spans="1:7" x14ac:dyDescent="0.25">
      <c r="A368" s="64">
        <v>2583</v>
      </c>
      <c r="B368" s="5">
        <f>+SUMIFS(Tabla16[Importe],Tabla16[MOVIL],Tabla38[[#This Row],[MOVIL]],Tabla16[OBSV],"DESCONTAR POR USO PERSONAL")</f>
        <v>44.099999999999994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12.6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68" s="5" t="str">
        <f>VLOOKUP(Tabla38[[#This Row],[MOVIL]],[1]BD!$A$1:$P$3557,13,0)</f>
        <v>AEROPUERTO</v>
      </c>
    </row>
    <row r="369" spans="1:7" x14ac:dyDescent="0.25">
      <c r="A369" s="64">
        <v>3613</v>
      </c>
      <c r="B369" s="5">
        <f>+SUMIFS(Tabla16[Importe],Tabla16[MOVIL],Tabla38[[#This Row],[MOVIL]],Tabla16[OBSV],"DESCONTAR POR USO PERSONAL")</f>
        <v>25.2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9" s="5" t="str">
        <f>VLOOKUP(Tabla38[[#This Row],[MOVIL]],[1]BD!$A$1:$P$3557,13,0)</f>
        <v>AEROLINEAS</v>
      </c>
    </row>
    <row r="370" spans="1:7" x14ac:dyDescent="0.25">
      <c r="A370" s="64">
        <v>1798</v>
      </c>
      <c r="B370" s="5">
        <f>+SUMIFS(Tabla16[Importe],Tabla16[MOVIL],Tabla38[[#This Row],[MOVIL]],Tabla16[OBSV],"DESCONTAR POR USO PERSONAL")</f>
        <v>25.2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0" s="5" t="str">
        <f>VLOOKUP(Tabla38[[#This Row],[MOVIL]],[1]BD!$A$1:$P$3557,13,0)</f>
        <v>URBANO PARTNER</v>
      </c>
    </row>
    <row r="371" spans="1:7" x14ac:dyDescent="0.25">
      <c r="A371" s="64">
        <v>3951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1" s="5" t="str">
        <f>VLOOKUP(Tabla38[[#This Row],[MOVIL]],[1]BD!$A$1:$P$3557,13,0)</f>
        <v>AEROLINEAS</v>
      </c>
    </row>
    <row r="372" spans="1:7" x14ac:dyDescent="0.25">
      <c r="A372" s="64">
        <v>1595</v>
      </c>
      <c r="B372" s="5">
        <f>+SUMIFS(Tabla16[Importe],Tabla16[MOVIL],Tabla38[[#This Row],[MOVIL]],Tabla16[OBSV],"DESCONTAR POR USO PERSONAL")</f>
        <v>25.2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2" s="5" t="str">
        <f>VLOOKUP(Tabla38[[#This Row],[MOVIL]],[1]BD!$A$1:$P$3557,13,0)</f>
        <v>AEROPUERTO</v>
      </c>
    </row>
    <row r="373" spans="1:7" x14ac:dyDescent="0.25">
      <c r="A373" s="64">
        <v>291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3" s="5" t="str">
        <f>VLOOKUP(Tabla38[[#This Row],[MOVIL]],[1]BD!$A$1:$P$3557,13,0)</f>
        <v>AEROPUERTO</v>
      </c>
    </row>
    <row r="374" spans="1:7" x14ac:dyDescent="0.25">
      <c r="A374" s="8">
        <v>9821</v>
      </c>
      <c r="B374" s="5">
        <f>+SUMIFS(Tabla16[Importe],Tabla16[MOVIL],Tabla38[[#This Row],[MOVIL]],Tabla16[OBSV],"DESCONTAR POR USO PERSONAL")</f>
        <v>88.199999999999974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374" s="5" t="str">
        <f>VLOOKUP(Tabla38[[#This Row],[MOVIL]],[2]BD!$A$1:$P$256,13,0)</f>
        <v>JOCKEY PLAZA</v>
      </c>
    </row>
    <row r="375" spans="1:7" x14ac:dyDescent="0.25">
      <c r="A375" s="64">
        <v>4103</v>
      </c>
      <c r="B375" s="5">
        <f>+SUMIFS(Tabla16[Importe],Tabla16[MOVIL],Tabla38[[#This Row],[MOVIL]],Tabla16[OBSV],"DESCONTAR POR USO PERSONAL")</f>
        <v>94.499999999999972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375" s="5" t="str">
        <f>VLOOKUP(Tabla38[[#This Row],[MOVIL]],[1]BD!$A$1:$P$3557,13,0)</f>
        <v>AEROPUERTO</v>
      </c>
    </row>
    <row r="376" spans="1:7" x14ac:dyDescent="0.25">
      <c r="A376" s="64">
        <v>4331</v>
      </c>
      <c r="B376" s="5">
        <f>+SUMIFS(Tabla16[Importe],Tabla16[MOVIL],Tabla38[[#This Row],[MOVIL]],Tabla16[OBSV],"DESCONTAR POR USO PERSONAL")</f>
        <v>18.899999999999999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6" s="5" t="str">
        <f>VLOOKUP(Tabla38[[#This Row],[MOVIL]],[1]BD!$A$1:$P$3557,13,0)</f>
        <v>MEMBRESÍA NOCTURNA - APTO</v>
      </c>
    </row>
    <row r="377" spans="1:7" x14ac:dyDescent="0.25">
      <c r="A377" s="64">
        <v>3838</v>
      </c>
      <c r="B377" s="5">
        <f>+SUMIFS(Tabla16[Importe],Tabla16[MOVIL],Tabla38[[#This Row],[MOVIL]],Tabla16[OBSV],"DESCONTAR POR USO PERSONAL")</f>
        <v>0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7" s="5" t="str">
        <f>VLOOKUP(Tabla38[[#This Row],[MOVIL]],[1]BD!$A$1:$P$3557,13,0)</f>
        <v>AEROPUERTO</v>
      </c>
    </row>
    <row r="378" spans="1:7" x14ac:dyDescent="0.25">
      <c r="A378" s="64">
        <v>3386</v>
      </c>
      <c r="B378" s="5">
        <f>+SUMIFS(Tabla16[Importe],Tabla16[MOVIL],Tabla38[[#This Row],[MOVIL]],Tabla16[OBSV],"DESCONTAR POR USO PERSONAL")</f>
        <v>12.6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8" s="5" t="str">
        <f>VLOOKUP(Tabla38[[#This Row],[MOVIL]],[1]BD!$A$1:$P$3557,13,0)</f>
        <v>AEROPUERTO VAN</v>
      </c>
    </row>
    <row r="379" spans="1:7" x14ac:dyDescent="0.25">
      <c r="A379" s="64">
        <v>4294</v>
      </c>
      <c r="B379" s="5">
        <f>+SUMIFS(Tabla16[Importe],Tabla16[MOVIL],Tabla38[[#This Row],[MOVIL]],Tabla16[OBSV],"DESCONTAR POR USO PERSONAL")</f>
        <v>6.3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9" s="5" t="str">
        <f>VLOOKUP(Tabla38[[#This Row],[MOVIL]],[1]BD!$A$1:$P$3557,13,0)</f>
        <v>AEROLINEAS</v>
      </c>
    </row>
    <row r="380" spans="1:7" x14ac:dyDescent="0.25">
      <c r="A380" s="64">
        <v>1441</v>
      </c>
      <c r="B380" s="5">
        <f>+SUMIFS(Tabla16[Importe],Tabla16[MOVIL],Tabla38[[#This Row],[MOVIL]],Tabla16[OBSV],"DESCONTAR POR USO PERSONAL")</f>
        <v>12.6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0" s="5" t="str">
        <f>VLOOKUP(Tabla38[[#This Row],[MOVIL]],[1]BD!$A$1:$P$3557,13,0)</f>
        <v>AEROPUERTO</v>
      </c>
    </row>
    <row r="381" spans="1:7" x14ac:dyDescent="0.25">
      <c r="A381" s="64">
        <v>1894</v>
      </c>
      <c r="B381" s="5">
        <f>+SUMIFS(Tabla16[Importe],Tabla16[MOVIL],Tabla38[[#This Row],[MOVIL]],Tabla16[OBSV],"DESCONTAR POR USO PERSONAL")</f>
        <v>0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1" s="5" t="str">
        <f>VLOOKUP(Tabla38[[#This Row],[MOVIL]],[1]BD!$A$1:$P$3557,13,0)</f>
        <v>AEROLINEAS</v>
      </c>
    </row>
    <row r="382" spans="1:7" x14ac:dyDescent="0.25">
      <c r="A382" s="64">
        <v>4337</v>
      </c>
      <c r="B382" s="5">
        <f>+SUMIFS(Tabla16[Importe],Tabla16[MOVIL],Tabla38[[#This Row],[MOVIL]],Tabla16[OBSV],"DESCONTAR POR USO PERSONAL")</f>
        <v>0</v>
      </c>
      <c r="C382" s="5">
        <f>+SUMIFS(Tabla16[Importe],Tabla16[MOVIL],Tabla38[[#This Row],[MOVIL]],Tabla16[OBSV],"DESCONTAR POR INCIDENCIA")</f>
        <v>6.3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2" s="5" t="str">
        <f>VLOOKUP(Tabla38[[#This Row],[MOVIL]],[1]BD!$A$1:$P$3557,13,0)</f>
        <v>URBANO PARTNER</v>
      </c>
    </row>
    <row r="383" spans="1:7" x14ac:dyDescent="0.25">
      <c r="A383" s="64">
        <v>9896</v>
      </c>
      <c r="B383" s="5">
        <f>+SUMIFS(Tabla16[Importe],Tabla16[MOVIL],Tabla38[[#This Row],[MOVIL]],Tabla16[OBSV],"DESCONTAR POR USO PERSONAL")</f>
        <v>6.3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3" s="5" t="str">
        <f>VLOOKUP(Tabla38[[#This Row],[MOVIL]],[1]BD!$A$1:$P$3557,13,0)</f>
        <v>URBANO</v>
      </c>
    </row>
    <row r="384" spans="1:7" x14ac:dyDescent="0.25">
      <c r="A384" s="64">
        <v>2356</v>
      </c>
      <c r="B384" s="5">
        <f>+SUMIFS(Tabla16[Importe],Tabla16[MOVIL],Tabla38[[#This Row],[MOVIL]],Tabla16[OBSV],"DESCONTAR POR USO PERSONAL")</f>
        <v>37.799999999999997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18.899999999999999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84" s="5" t="str">
        <f>VLOOKUP(Tabla38[[#This Row],[MOVIL]],[1]BD!$A$1:$P$3557,13,0)</f>
        <v>URBANO PARTNER</v>
      </c>
    </row>
    <row r="385" spans="1:7" x14ac:dyDescent="0.25">
      <c r="A385" s="64">
        <v>4306</v>
      </c>
      <c r="B385" s="5">
        <f>+SUMIFS(Tabla16[Importe],Tabla16[MOVIL],Tabla38[[#This Row],[MOVIL]],Tabla16[OBSV],"DESCONTAR POR USO PERSONAL")</f>
        <v>12.6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12.6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5" s="5" t="str">
        <f>VLOOKUP(Tabla38[[#This Row],[MOVIL]],[1]BD!$A$1:$P$3557,13,0)</f>
        <v>MEMBRESÍA DIURNA</v>
      </c>
    </row>
    <row r="386" spans="1:7" x14ac:dyDescent="0.25">
      <c r="A386" s="64">
        <v>3206</v>
      </c>
      <c r="B386" s="5">
        <f>+SUMIFS(Tabla16[Importe],Tabla16[MOVIL],Tabla38[[#This Row],[MOVIL]],Tabla16[OBSV],"DESCONTAR POR USO PERSONAL")</f>
        <v>0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6" s="5" t="str">
        <f>VLOOKUP(Tabla38[[#This Row],[MOVIL]],[1]BD!$A$1:$P$3557,13,0)</f>
        <v>AEROLINEAS</v>
      </c>
    </row>
    <row r="387" spans="1:7" x14ac:dyDescent="0.25">
      <c r="A387" s="64">
        <v>4266</v>
      </c>
      <c r="B387" s="5">
        <f>+SUMIFS(Tabla16[Importe],Tabla16[MOVIL],Tabla38[[#This Row],[MOVIL]],Tabla16[OBSV],"DESCONTAR POR USO PERSONAL")</f>
        <v>0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7" s="5" t="str">
        <f>VLOOKUP(Tabla38[[#This Row],[MOVIL]],[1]BD!$A$1:$P$3557,13,0)</f>
        <v>MEMBRESÍA DIURNA</v>
      </c>
    </row>
    <row r="388" spans="1:7" x14ac:dyDescent="0.25">
      <c r="A388" s="8">
        <v>9887</v>
      </c>
      <c r="B388" s="5">
        <f>+SUMIFS(Tabla16[Importe],Tabla16[MOVIL],Tabla38[[#This Row],[MOVIL]],Tabla16[OBSV],"DESCONTAR POR USO PERSONAL")</f>
        <v>6.3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8" s="5" t="str">
        <f>VLOOKUP(Tabla38[[#This Row],[MOVIL]],[2]BD!$A$1:$P$256,13,0)</f>
        <v>BELLAVISTA</v>
      </c>
    </row>
    <row r="389" spans="1:7" x14ac:dyDescent="0.25">
      <c r="A389" s="64">
        <v>9820</v>
      </c>
      <c r="B389" s="5">
        <f>+SUMIFS(Tabla16[Importe],Tabla16[MOVIL],Tabla38[[#This Row],[MOVIL]],Tabla16[OBSV],"DESCONTAR POR USO PERSONAL")</f>
        <v>56.699999999999989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37.799999999999997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389" s="5" t="str">
        <f>VLOOKUP(Tabla38[[#This Row],[MOVIL]],[1]BD!$A$1:$P$3557,13,0)</f>
        <v>AEROPUERTO VAN</v>
      </c>
    </row>
    <row r="390" spans="1:7" x14ac:dyDescent="0.25">
      <c r="A390" s="64">
        <v>1209</v>
      </c>
      <c r="B390" s="5">
        <f>+SUMIFS(Tabla16[Importe],Tabla16[MOVIL],Tabla38[[#This Row],[MOVIL]],Tabla16[OBSV],"DESCONTAR POR USO PERSONAL")</f>
        <v>12.6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0" s="5" t="str">
        <f>VLOOKUP(Tabla38[[#This Row],[MOVIL]],[1]BD!$A$1:$P$3557,13,0)</f>
        <v>URBANO PARTNER</v>
      </c>
    </row>
    <row r="391" spans="1:7" x14ac:dyDescent="0.25">
      <c r="A391" s="64">
        <v>1543</v>
      </c>
      <c r="B391" s="5">
        <f>+SUMIFS(Tabla16[Importe],Tabla16[MOVIL],Tabla38[[#This Row],[MOVIL]],Tabla16[OBSV],"DESCONTAR POR USO PERSONAL")</f>
        <v>31.5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1" s="5" t="str">
        <f>VLOOKUP(Tabla38[[#This Row],[MOVIL]],[1]BD!$A$1:$P$3557,13,0)</f>
        <v>URBANO</v>
      </c>
    </row>
    <row r="392" spans="1:7" x14ac:dyDescent="0.25">
      <c r="A392" s="64">
        <v>754</v>
      </c>
      <c r="B392" s="5">
        <f>+SUMIFS(Tabla16[Importe],Tabla16[MOVIL],Tabla38[[#This Row],[MOVIL]],Tabla16[OBSV],"DESCONTAR POR USO PERSONAL")</f>
        <v>0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2" s="5" t="str">
        <f>VLOOKUP(Tabla38[[#This Row],[MOVIL]],[1]BD!$A$1:$P$3557,13,0)</f>
        <v>AEROPUERTO</v>
      </c>
    </row>
    <row r="393" spans="1:7" x14ac:dyDescent="0.25">
      <c r="A393" s="64">
        <v>1485</v>
      </c>
      <c r="B393" s="5">
        <f>+SUMIFS(Tabla16[Importe],Tabla16[MOVIL],Tabla38[[#This Row],[MOVIL]],Tabla16[OBSV],"DESCONTAR POR USO PERSONAL")</f>
        <v>12.6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3" s="5" t="str">
        <f>VLOOKUP(Tabla38[[#This Row],[MOVIL]],[1]BD!$A$1:$P$3557,13,0)</f>
        <v>AEROPUERTO</v>
      </c>
    </row>
    <row r="394" spans="1:7" x14ac:dyDescent="0.25">
      <c r="A394" s="64">
        <v>7028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12.6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4" s="5" t="str">
        <f>VLOOKUP(Tabla38[[#This Row],[MOVIL]],[1]BD!$A$1:$P$3557,13,0)</f>
        <v>AEROPUERTO</v>
      </c>
    </row>
    <row r="395" spans="1:7" x14ac:dyDescent="0.25">
      <c r="A395" s="64">
        <v>3049</v>
      </c>
      <c r="B395" s="5">
        <f>+SUMIFS(Tabla16[Importe],Tabla16[MOVIL],Tabla38[[#This Row],[MOVIL]],Tabla16[OBSV],"DESCONTAR POR USO PERSONAL")</f>
        <v>12.6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5" s="5" t="str">
        <f>VLOOKUP(Tabla38[[#This Row],[MOVIL]],[1]BD!$A$1:$P$3557,13,0)</f>
        <v>URBANO</v>
      </c>
    </row>
    <row r="396" spans="1:7" x14ac:dyDescent="0.25">
      <c r="A396" s="64">
        <v>3095</v>
      </c>
      <c r="B396" s="5">
        <f>+SUMIFS(Tabla16[Importe],Tabla16[MOVIL],Tabla38[[#This Row],[MOVIL]],Tabla16[OBSV],"DESCONTAR POR USO PERSONAL")</f>
        <v>6.3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6" s="5" t="str">
        <f>VLOOKUP(Tabla38[[#This Row],[MOVIL]],[1]BD!$A$1:$P$3557,13,0)</f>
        <v>AEROLINEAS</v>
      </c>
    </row>
    <row r="397" spans="1:7" x14ac:dyDescent="0.25">
      <c r="A397" s="64">
        <v>4302</v>
      </c>
      <c r="B397" s="5">
        <f>+SUMIFS(Tabla16[Importe],Tabla16[MOVIL],Tabla38[[#This Row],[MOVIL]],Tabla16[OBSV],"DESCONTAR POR USO PERSONAL")</f>
        <v>6.3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7" s="5" t="str">
        <f>VLOOKUP(Tabla38[[#This Row],[MOVIL]],[1]BD!$A$1:$P$3557,13,0)</f>
        <v>AEROLINEAS</v>
      </c>
    </row>
    <row r="398" spans="1:7" x14ac:dyDescent="0.25">
      <c r="A398" s="64">
        <v>4357</v>
      </c>
      <c r="B398" s="5">
        <f>+SUMIFS(Tabla16[Importe],Tabla16[MOVIL],Tabla38[[#This Row],[MOVIL]],Tabla16[OBSV],"DESCONTAR POR USO PERSONAL")</f>
        <v>31.5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8" s="5" t="str">
        <f>VLOOKUP(Tabla38[[#This Row],[MOVIL]],[1]BD!$A$1:$P$3557,13,0)</f>
        <v>MEMBRESÍA DIURNA</v>
      </c>
    </row>
    <row r="399" spans="1:7" x14ac:dyDescent="0.25">
      <c r="A399" s="64">
        <v>4290</v>
      </c>
      <c r="B399" s="5">
        <f>+SUMIFS(Tabla16[Importe],Tabla16[MOVIL],Tabla38[[#This Row],[MOVIL]],Tabla16[OBSV],"DESCONTAR POR USO PERSONAL")</f>
        <v>0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9" s="5" t="str">
        <f>VLOOKUP(Tabla38[[#This Row],[MOVIL]],[1]BD!$A$1:$P$3557,13,0)</f>
        <v>MEMBRESÍA NOCTURNA - APTO</v>
      </c>
    </row>
    <row r="400" spans="1:7" x14ac:dyDescent="0.25">
      <c r="A400" s="64">
        <v>3810</v>
      </c>
      <c r="B400" s="5">
        <f>+SUMIFS(Tabla16[Importe],Tabla16[MOVIL],Tabla38[[#This Row],[MOVIL]],Tabla16[OBSV],"DESCONTAR POR USO PERSONAL")</f>
        <v>56.699999999999989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00" s="5" t="str">
        <f>VLOOKUP(Tabla38[[#This Row],[MOVIL]],[1]BD!$A$1:$P$3557,13,0)</f>
        <v>AEROPUERTO</v>
      </c>
    </row>
    <row r="401" spans="1:7" x14ac:dyDescent="0.25">
      <c r="A401" s="64">
        <v>9599</v>
      </c>
      <c r="B401" s="5">
        <f>+SUMIFS(Tabla16[Importe],Tabla16[MOVIL],Tabla38[[#This Row],[MOVIL]],Tabla16[OBSV],"DESCONTAR POR USO PERSONAL")</f>
        <v>6.3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1" s="5" t="str">
        <f>VLOOKUP(Tabla38[[#This Row],[MOVIL]],[1]BD!$A$1:$P$3557,13,0)</f>
        <v>URBANO</v>
      </c>
    </row>
    <row r="402" spans="1:7" x14ac:dyDescent="0.25">
      <c r="A402" s="64">
        <v>715</v>
      </c>
      <c r="B402" s="5">
        <f>+SUMIFS(Tabla16[Importe],Tabla16[MOVIL],Tabla38[[#This Row],[MOVIL]],Tabla16[OBSV],"DESCONTAR POR USO PERSONAL")</f>
        <v>12.6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12.6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2" s="5" t="str">
        <f>VLOOKUP(Tabla38[[#This Row],[MOVIL]],[1]BD!$A$1:$P$3557,13,0)</f>
        <v>AEROPUERTO</v>
      </c>
    </row>
    <row r="403" spans="1:7" x14ac:dyDescent="0.25">
      <c r="A403" s="64">
        <v>9234</v>
      </c>
      <c r="B403" s="5">
        <f>+SUMIFS(Tabla16[Importe],Tabla16[MOVIL],Tabla38[[#This Row],[MOVIL]],Tabla16[OBSV],"DESCONTAR POR USO PERSONAL")</f>
        <v>31.5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3" s="5" t="str">
        <f>VLOOKUP(Tabla38[[#This Row],[MOVIL]],[1]BD!$A$1:$P$3557,13,0)</f>
        <v>URBANO PARTNER</v>
      </c>
    </row>
    <row r="404" spans="1:7" x14ac:dyDescent="0.25">
      <c r="A404" s="64">
        <v>1793</v>
      </c>
      <c r="B404" s="5">
        <f>+SUMIFS(Tabla16[Importe],Tabla16[MOVIL],Tabla38[[#This Row],[MOVIL]],Tabla16[OBSV],"DESCONTAR POR USO PERSONAL")</f>
        <v>25.2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4" s="5" t="str">
        <f>VLOOKUP(Tabla38[[#This Row],[MOVIL]],[1]BD!$A$1:$P$3557,13,0)</f>
        <v>AEROPUERTO</v>
      </c>
    </row>
    <row r="405" spans="1:7" x14ac:dyDescent="0.25">
      <c r="A405" s="64">
        <v>4354</v>
      </c>
      <c r="B405" s="5">
        <f>+SUMIFS(Tabla16[Importe],Tabla16[MOVIL],Tabla38[[#This Row],[MOVIL]],Tabla16[OBSV],"DESCONTAR POR USO PERSONAL")</f>
        <v>12.6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5" s="5" t="str">
        <f>VLOOKUP(Tabla38[[#This Row],[MOVIL]],[1]BD!$A$1:$P$3557,13,0)</f>
        <v>MEMBRESÍA DIURNA</v>
      </c>
    </row>
    <row r="406" spans="1:7" x14ac:dyDescent="0.25">
      <c r="A406" s="64">
        <v>4364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6" s="5" t="str">
        <f>VLOOKUP(Tabla38[[#This Row],[MOVIL]],[1]BD!$A$1:$P$3557,13,0)</f>
        <v>AEROLINEAS</v>
      </c>
    </row>
    <row r="407" spans="1:7" x14ac:dyDescent="0.25">
      <c r="A407" s="64">
        <v>4312</v>
      </c>
      <c r="B407" s="5">
        <f>+SUMIFS(Tabla16[Importe],Tabla16[MOVIL],Tabla38[[#This Row],[MOVIL]],Tabla16[OBSV],"DESCONTAR POR USO PERSONAL")</f>
        <v>6.3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7" s="5" t="str">
        <f>VLOOKUP(Tabla38[[#This Row],[MOVIL]],[1]BD!$A$1:$P$3557,13,0)</f>
        <v>AEROLINEAS</v>
      </c>
    </row>
    <row r="408" spans="1:7" x14ac:dyDescent="0.25">
      <c r="A408" s="64">
        <v>1828</v>
      </c>
      <c r="B408" s="5">
        <f>+SUMIFS(Tabla16[Importe],Tabla16[MOVIL],Tabla38[[#This Row],[MOVIL]],Tabla16[OBSV],"DESCONTAR POR USO PERSONAL")</f>
        <v>12.6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6.3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8" s="5" t="str">
        <f>VLOOKUP(Tabla38[[#This Row],[MOVIL]],[1]BD!$A$1:$P$3557,13,0)</f>
        <v>AEROPUERTO</v>
      </c>
    </row>
    <row r="409" spans="1:7" x14ac:dyDescent="0.25">
      <c r="A409" s="8">
        <v>4334</v>
      </c>
      <c r="B409" s="5">
        <f>+SUMIFS(Tabla16[Importe],Tabla16[MOVIL],Tabla38[[#This Row],[MOVIL]],Tabla16[OBSV],"DESCONTAR POR USO PERSONAL")</f>
        <v>0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9" s="5" t="str">
        <f>VLOOKUP(Tabla38[[#This Row],[MOVIL]],[2]BD!$A$1:$P$256,13,0)</f>
        <v>JOCKEY PLAZA</v>
      </c>
    </row>
    <row r="410" spans="1:7" x14ac:dyDescent="0.25">
      <c r="A410" s="64">
        <v>3572</v>
      </c>
      <c r="B410" s="5">
        <f>+SUMIFS(Tabla16[Importe],Tabla16[MOVIL],Tabla38[[#This Row],[MOVIL]],Tabla16[OBSV],"DESCONTAR POR USO PERSONAL")</f>
        <v>0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0" s="5" t="str">
        <f>VLOOKUP(Tabla38[[#This Row],[MOVIL]],[1]BD!$A$1:$P$3557,13,0)</f>
        <v>URBANO PARTNER</v>
      </c>
    </row>
    <row r="411" spans="1:7" x14ac:dyDescent="0.25">
      <c r="A411" s="64">
        <v>4041</v>
      </c>
      <c r="B411" s="5">
        <f>+SUMIFS(Tabla16[Importe],Tabla16[MOVIL],Tabla38[[#This Row],[MOVIL]],Tabla16[OBSV],"DESCONTAR POR USO PERSONAL")</f>
        <v>37.799999999999997</v>
      </c>
      <c r="C411" s="5">
        <f>+SUMIFS(Tabla16[Importe],Tabla16[MOVIL],Tabla38[[#This Row],[MOVIL]],Tabla16[OBSV],"DESCONTAR POR INCIDENCIA")</f>
        <v>25.2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411" s="5" t="str">
        <f>VLOOKUP(Tabla38[[#This Row],[MOVIL]],[1]BD!$A$1:$P$3557,13,0)</f>
        <v>AEROLINEAS</v>
      </c>
    </row>
    <row r="412" spans="1:7" x14ac:dyDescent="0.25">
      <c r="A412" s="64">
        <v>4186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6.3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2" s="5" t="str">
        <f>VLOOKUP(Tabla38[[#This Row],[MOVIL]],[1]BD!$A$1:$P$3557,13,0)</f>
        <v>URBANO PARTNER</v>
      </c>
    </row>
    <row r="413" spans="1:7" x14ac:dyDescent="0.25">
      <c r="A413" s="64">
        <v>9382</v>
      </c>
      <c r="B413" s="5">
        <f>+SUMIFS(Tabla16[Importe],Tabla16[MOVIL],Tabla38[[#This Row],[MOVIL]],Tabla16[OBSV],"DESCONTAR POR USO PERSONAL")</f>
        <v>56.699999999999989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13" s="5" t="str">
        <f>VLOOKUP(Tabla38[[#This Row],[MOVIL]],[1]BD!$A$1:$P$3557,13,0)</f>
        <v>AEROPUERTO</v>
      </c>
    </row>
    <row r="414" spans="1:7" x14ac:dyDescent="0.25">
      <c r="A414" s="64">
        <v>4121</v>
      </c>
      <c r="B414" s="5">
        <f>+SUMIFS(Tabla16[Importe],Tabla16[MOVIL],Tabla38[[#This Row],[MOVIL]],Tabla16[OBSV],"DESCONTAR POR USO PERSONAL")</f>
        <v>18.899999999999999</v>
      </c>
      <c r="C414" s="5">
        <f>+SUMIFS(Tabla16[Importe],Tabla16[MOVIL],Tabla38[[#This Row],[MOVIL]],Tabla16[OBSV],"DESCONTAR POR INCIDENCIA")</f>
        <v>94.499999999999972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113.39999999999998</v>
      </c>
      <c r="G414" s="5" t="str">
        <f>VLOOKUP(Tabla38[[#This Row],[MOVIL]],[1]BD!$A$1:$P$3557,13,0)</f>
        <v>URBANO PARTNER</v>
      </c>
    </row>
    <row r="415" spans="1:7" x14ac:dyDescent="0.25">
      <c r="A415" s="64">
        <v>4365</v>
      </c>
      <c r="B415" s="5">
        <f>+SUMIFS(Tabla16[Importe],Tabla16[MOVIL],Tabla38[[#This Row],[MOVIL]],Tabla16[OBSV],"DESCONTAR POR USO PERSONAL")</f>
        <v>37.799999999999997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5" s="5" t="str">
        <f>VLOOKUP(Tabla38[[#This Row],[MOVIL]],[1]BD!$A$1:$P$3557,13,0)</f>
        <v>AEROLINEAS</v>
      </c>
    </row>
    <row r="416" spans="1:7" x14ac:dyDescent="0.25">
      <c r="A416" s="64">
        <v>4356</v>
      </c>
      <c r="B416" s="5">
        <f>+SUMIFS(Tabla16[Importe],Tabla16[MOVIL],Tabla38[[#This Row],[MOVIL]],Tabla16[OBSV],"DESCONTAR POR USO PERSONAL")</f>
        <v>12.6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6" s="5" t="str">
        <f>VLOOKUP(Tabla38[[#This Row],[MOVIL]],[1]BD!$A$1:$P$3557,13,0)</f>
        <v>MEMBRESÍA NOCTURNA - APTO</v>
      </c>
    </row>
    <row r="417" spans="1:7" x14ac:dyDescent="0.25">
      <c r="A417" s="8">
        <v>7085</v>
      </c>
      <c r="B417" s="5">
        <f>+SUMIFS(Tabla16[Importe],Tabla16[MOVIL],Tabla38[[#This Row],[MOVIL]],Tabla16[OBSV],"DESCONTAR POR USO PERSONAL")</f>
        <v>18.899999999999999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7" s="5" t="str">
        <f>VLOOKUP(Tabla38[[#This Row],[MOVIL]],[2]BD!$A$1:$P$256,13,0)</f>
        <v>JOCKEY PLAZA</v>
      </c>
    </row>
    <row r="418" spans="1:7" x14ac:dyDescent="0.25">
      <c r="A418" s="64">
        <v>9302</v>
      </c>
      <c r="B418" s="5">
        <f>+SUMIFS(Tabla16[Importe],Tabla16[MOVIL],Tabla38[[#This Row],[MOVIL]],Tabla16[OBSV],"DESCONTAR POR USO PERSONAL")</f>
        <v>0</v>
      </c>
      <c r="C418" s="5">
        <f>+SUMIFS(Tabla16[Importe],Tabla16[MOVIL],Tabla38[[#This Row],[MOVIL]],Tabla16[OBSV],"DESCONTAR POR INCIDENCIA")</f>
        <v>12.6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8" s="5" t="str">
        <f>VLOOKUP(Tabla38[[#This Row],[MOVIL]],[1]BD!$A$1:$P$3557,13,0)</f>
        <v>AEROLINEAS</v>
      </c>
    </row>
    <row r="419" spans="1:7" x14ac:dyDescent="0.25">
      <c r="A419" s="64">
        <v>3943</v>
      </c>
      <c r="B419" s="5">
        <f>+SUMIFS(Tabla16[Importe],Tabla16[MOVIL],Tabla38[[#This Row],[MOVIL]],Tabla16[OBSV],"DESCONTAR POR USO PERSONAL")</f>
        <v>18.899999999999999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9" s="5" t="str">
        <f>VLOOKUP(Tabla38[[#This Row],[MOVIL]],[1]BD!$A$1:$P$3557,13,0)</f>
        <v>URBANO PARTNER</v>
      </c>
    </row>
    <row r="420" spans="1:7" x14ac:dyDescent="0.25">
      <c r="A420" s="64">
        <v>4296</v>
      </c>
      <c r="B420" s="5">
        <f>+SUMIFS(Tabla16[Importe],Tabla16[MOVIL],Tabla38[[#This Row],[MOVIL]],Tabla16[OBSV],"DESCONTAR POR USO PERSONAL")</f>
        <v>12.6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0" s="5" t="str">
        <f>VLOOKUP(Tabla38[[#This Row],[MOVIL]],[1]BD!$A$1:$P$3557,13,0)</f>
        <v>AEROLINEAS</v>
      </c>
    </row>
    <row r="421" spans="1:7" x14ac:dyDescent="0.25">
      <c r="A421" s="64">
        <v>2980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37.799999999999997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21" s="5" t="str">
        <f>VLOOKUP(Tabla38[[#This Row],[MOVIL]],[1]BD!$A$1:$P$3557,13,0)</f>
        <v>FLOTA PROPIA</v>
      </c>
    </row>
    <row r="422" spans="1:7" x14ac:dyDescent="0.25">
      <c r="A422" s="64">
        <v>4223</v>
      </c>
      <c r="B422" s="5">
        <f>+SUMIFS(Tabla16[Importe],Tabla16[MOVIL],Tabla38[[#This Row],[MOVIL]],Tabla16[OBSV],"DESCONTAR POR USO PERSONAL")</f>
        <v>81.899999999999977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422" s="5" t="str">
        <f>VLOOKUP(Tabla38[[#This Row],[MOVIL]],[1]BD!$A$1:$P$3557,13,0)</f>
        <v>FLOTA PROPIA</v>
      </c>
    </row>
    <row r="423" spans="1:7" x14ac:dyDescent="0.25">
      <c r="A423" s="64">
        <v>4211</v>
      </c>
      <c r="B423" s="5">
        <f>+SUMIFS(Tabla16[Importe],Tabla16[MOVIL],Tabla38[[#This Row],[MOVIL]],Tabla16[OBSV],"DESCONTAR POR USO PERSONAL")</f>
        <v>0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3" s="5" t="str">
        <f>VLOOKUP(Tabla38[[#This Row],[MOVIL]],[1]BD!$A$1:$P$3557,13,0)</f>
        <v>FLOTA PROPIA</v>
      </c>
    </row>
    <row r="424" spans="1:7" x14ac:dyDescent="0.25">
      <c r="A424" s="64">
        <v>4221</v>
      </c>
      <c r="B424" s="5">
        <f>+SUMIFS(Tabla16[Importe],Tabla16[MOVIL],Tabla38[[#This Row],[MOVIL]],Tabla16[OBSV],"DESCONTAR POR USO PERSONAL")</f>
        <v>132.29999999999995</v>
      </c>
      <c r="C424" s="5">
        <f>+SUMIFS(Tabla16[Importe],Tabla16[MOVIL],Tabla38[[#This Row],[MOVIL]],Tabla16[OBSV],"DESCONTAR POR INCIDENCIA")</f>
        <v>12.6</v>
      </c>
      <c r="D424" s="5">
        <f>+SUMIFS(Tabla16[Importe],Tabla16[MOVIL],Tabla38[[#This Row],[MOVIL]],Tabla16[OBSV],"DESCONTAR SERVICIO EN EFECTIVO")</f>
        <v>18.899999999999999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163.79999999999995</v>
      </c>
      <c r="G424" s="5" t="str">
        <f>VLOOKUP(Tabla38[[#This Row],[MOVIL]],[1]BD!$A$1:$P$3557,13,0)</f>
        <v>FLOTA PROPIA</v>
      </c>
    </row>
    <row r="425" spans="1:7" x14ac:dyDescent="0.25">
      <c r="A425" s="64">
        <v>4220</v>
      </c>
      <c r="B425" s="5">
        <f>+SUMIFS(Tabla16[Importe],Tabla16[MOVIL],Tabla38[[#This Row],[MOVIL]],Tabla16[OBSV],"DESCONTAR POR USO PERSONAL")</f>
        <v>0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5" s="5" t="str">
        <f>VLOOKUP(Tabla38[[#This Row],[MOVIL]],[1]BD!$A$1:$P$3557,13,0)</f>
        <v>FLOTA PROPIA</v>
      </c>
    </row>
    <row r="426" spans="1:7" x14ac:dyDescent="0.25">
      <c r="A426" s="64">
        <v>2983</v>
      </c>
      <c r="B426" s="5">
        <f>+SUMIFS(Tabla16[Importe],Tabla16[MOVIL],Tabla38[[#This Row],[MOVIL]],Tabla16[OBSV],"DESCONTAR POR USO PERSONAL")</f>
        <v>12.6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6" s="5" t="str">
        <f>VLOOKUP(Tabla38[[#This Row],[MOVIL]],[1]BD!$A$1:$P$3557,13,0)</f>
        <v>FLOTA PROPIA</v>
      </c>
    </row>
    <row r="427" spans="1:7" x14ac:dyDescent="0.25">
      <c r="A427" s="64">
        <v>4217</v>
      </c>
      <c r="B427" s="5">
        <f>+SUMIFS(Tabla16[Importe],Tabla16[MOVIL],Tabla38[[#This Row],[MOVIL]],Tabla16[OBSV],"DESCONTAR POR USO PERSONAL")</f>
        <v>18.899999999999999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6.3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7" s="5" t="str">
        <f>VLOOKUP(Tabla38[[#This Row],[MOVIL]],[1]BD!$A$1:$P$3557,13,0)</f>
        <v>FLOTA PROPIA</v>
      </c>
    </row>
    <row r="428" spans="1:7" x14ac:dyDescent="0.25">
      <c r="A428" s="64">
        <v>2974</v>
      </c>
      <c r="B428" s="5">
        <f>+SUMIFS(Tabla16[Importe],Tabla16[MOVIL],Tabla38[[#This Row],[MOVIL]],Tabla16[OBSV],"DESCONTAR POR USO PERSONAL")</f>
        <v>132.29999999999995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132.29999999999995</v>
      </c>
      <c r="G428" s="5" t="str">
        <f>VLOOKUP(Tabla38[[#This Row],[MOVIL]],[1]BD!$A$1:$P$3557,13,0)</f>
        <v>FLOTA PROPIA</v>
      </c>
    </row>
    <row r="429" spans="1:7" x14ac:dyDescent="0.25">
      <c r="A429" s="64">
        <v>2976</v>
      </c>
      <c r="B429" s="5">
        <f>+SUMIFS(Tabla16[Importe],Tabla16[MOVIL],Tabla38[[#This Row],[MOVIL]],Tabla16[OBSV],"DESCONTAR POR USO PERSONAL")</f>
        <v>75.59999999999998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429" s="5" t="str">
        <f>VLOOKUP(Tabla38[[#This Row],[MOVIL]],[1]BD!$A$1:$P$3557,13,0)</f>
        <v>FLOTA PROPIA</v>
      </c>
    </row>
    <row r="430" spans="1:7" x14ac:dyDescent="0.25">
      <c r="A430" s="64">
        <v>4215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0" s="5" t="str">
        <f>VLOOKUP(Tabla38[[#This Row],[MOVIL]],[1]BD!$A$1:$P$3557,13,0)</f>
        <v>FLOTA PROPIA</v>
      </c>
    </row>
    <row r="431" spans="1:7" x14ac:dyDescent="0.25">
      <c r="A431" s="64">
        <v>2987</v>
      </c>
      <c r="B431" s="5">
        <f>+SUMIFS(Tabla16[Importe],Tabla16[MOVIL],Tabla38[[#This Row],[MOVIL]],Tabla16[OBSV],"DESCONTAR POR USO PERSONAL")</f>
        <v>25.2</v>
      </c>
      <c r="C431" s="5">
        <f>+SUMIFS(Tabla16[Importe],Tabla16[MOVIL],Tabla38[[#This Row],[MOVIL]],Tabla16[OBSV],"DESCONTAR POR INCIDENCIA")</f>
        <v>6.3</v>
      </c>
      <c r="D431" s="5">
        <f>+SUMIFS(Tabla16[Importe],Tabla16[MOVIL],Tabla38[[#This Row],[MOVIL]],Tabla16[OBSV],"DESCONTAR SERVICIO EN EFECTIVO")</f>
        <v>12.6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31" s="5" t="str">
        <f>VLOOKUP(Tabla38[[#This Row],[MOVIL]],[1]BD!$A$1:$P$3557,13,0)</f>
        <v>FLOTA PROPIA</v>
      </c>
    </row>
    <row r="432" spans="1:7" x14ac:dyDescent="0.25">
      <c r="A432" s="64">
        <v>4175</v>
      </c>
      <c r="B432" s="5">
        <f>+SUMIFS(Tabla16[Importe],Tabla16[MOVIL],Tabla38[[#This Row],[MOVIL]],Tabla16[OBSV],"DESCONTAR POR USO PERSONAL")</f>
        <v>0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12.6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2" s="5" t="str">
        <f>VLOOKUP(Tabla38[[#This Row],[MOVIL]],[1]BD!$A$1:$P$3557,13,0)</f>
        <v>FLOTA PROPIA</v>
      </c>
    </row>
    <row r="433" spans="1:7" x14ac:dyDescent="0.25">
      <c r="A433" s="64">
        <v>4323</v>
      </c>
      <c r="B433" s="5">
        <f>+SUMIFS(Tabla16[Importe],Tabla16[MOVIL],Tabla38[[#This Row],[MOVIL]],Tabla16[OBSV],"DESCONTAR POR USO PERSONAL")</f>
        <v>18.899999999999999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12.6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33" s="5" t="str">
        <f>VLOOKUP(Tabla38[[#This Row],[MOVIL]],[1]BD!$A$1:$P$3557,13,0)</f>
        <v>FLOTA PROPIA</v>
      </c>
    </row>
    <row r="434" spans="1:7" x14ac:dyDescent="0.25">
      <c r="A434" s="64">
        <v>4205</v>
      </c>
      <c r="B434" s="5">
        <f>+SUMIFS(Tabla16[Importe],Tabla16[MOVIL],Tabla38[[#This Row],[MOVIL]],Tabla16[OBSV],"DESCONTAR POR USO PERSONAL")</f>
        <v>6.3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6.3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4" s="5" t="str">
        <f>VLOOKUP(Tabla38[[#This Row],[MOVIL]],[1]BD!$A$1:$P$3557,13,0)</f>
        <v>FLOTA PROPIA</v>
      </c>
    </row>
    <row r="435" spans="1:7" x14ac:dyDescent="0.25">
      <c r="A435" s="64">
        <v>2984</v>
      </c>
      <c r="B435" s="5">
        <f>+SUMIFS(Tabla16[Importe],Tabla16[MOVIL],Tabla38[[#This Row],[MOVIL]],Tabla16[OBSV],"DESCONTAR POR USO PERSONAL")</f>
        <v>31.5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12.6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35" s="5" t="str">
        <f>VLOOKUP(Tabla38[[#This Row],[MOVIL]],[1]BD!$A$1:$P$3557,13,0)</f>
        <v>FLOTA PROPIA</v>
      </c>
    </row>
    <row r="436" spans="1:7" x14ac:dyDescent="0.25">
      <c r="A436" s="64">
        <v>2979</v>
      </c>
      <c r="B436" s="5">
        <f>+SUMIFS(Tabla16[Importe],Tabla16[MOVIL],Tabla38[[#This Row],[MOVIL]],Tabla16[OBSV],"DESCONTAR POR USO PERSONAL")</f>
        <v>18.899999999999999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31.5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36" s="5" t="str">
        <f>VLOOKUP(Tabla38[[#This Row],[MOVIL]],[1]BD!$A$1:$P$3557,13,0)</f>
        <v>FLOTA PROPIA</v>
      </c>
    </row>
    <row r="437" spans="1:7" x14ac:dyDescent="0.25">
      <c r="A437" s="64">
        <v>2986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12.6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7" s="5" t="str">
        <f>VLOOKUP(Tabla38[[#This Row],[MOVIL]],[1]BD!$A$1:$P$3557,13,0)</f>
        <v>FLOTA PROPIA</v>
      </c>
    </row>
    <row r="438" spans="1:7" x14ac:dyDescent="0.25">
      <c r="A438" s="64">
        <v>4201</v>
      </c>
      <c r="B438" s="5">
        <f>+SUMIFS(Tabla16[Importe],Tabla16[MOVIL],Tabla38[[#This Row],[MOVIL]],Tabla16[OBSV],"DESCONTAR POR USO PERSONAL")</f>
        <v>0</v>
      </c>
      <c r="C438" s="5">
        <f>+SUMIFS(Tabla16[Importe],Tabla16[MOVIL],Tabla38[[#This Row],[MOVIL]],Tabla16[OBSV],"DESCONTAR POR INCIDENCIA")</f>
        <v>25.2</v>
      </c>
      <c r="D438" s="5">
        <f>+SUMIFS(Tabla16[Importe],Tabla16[MOVIL],Tabla38[[#This Row],[MOVIL]],Tabla16[OBSV],"DESCONTAR SERVICIO EN EFECTIVO")</f>
        <v>12.6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38" s="5" t="str">
        <f>VLOOKUP(Tabla38[[#This Row],[MOVIL]],[1]BD!$A$1:$P$3557,13,0)</f>
        <v>FLOTA PROPIA</v>
      </c>
    </row>
    <row r="439" spans="1:7" x14ac:dyDescent="0.25">
      <c r="A439" s="64">
        <v>4224</v>
      </c>
      <c r="B439" s="5">
        <f>+SUMIFS(Tabla16[Importe],Tabla16[MOVIL],Tabla38[[#This Row],[MOVIL]],Tabla16[OBSV],"DESCONTAR POR USO PERSONAL")</f>
        <v>12.6</v>
      </c>
      <c r="C439" s="5">
        <f>+SUMIFS(Tabla16[Importe],Tabla16[MOVIL],Tabla38[[#This Row],[MOVIL]],Tabla16[OBSV],"DESCONTAR POR INCIDENCIA")</f>
        <v>12.6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9" s="5" t="str">
        <f>VLOOKUP(Tabla38[[#This Row],[MOVIL]],[1]BD!$A$1:$P$3557,13,0)</f>
        <v>FLOTA PROPIA</v>
      </c>
    </row>
    <row r="440" spans="1:7" x14ac:dyDescent="0.25">
      <c r="A440" s="64">
        <v>4172</v>
      </c>
      <c r="B440" s="5">
        <f>+SUMIFS(Tabla16[Importe],Tabla16[MOVIL],Tabla38[[#This Row],[MOVIL]],Tabla16[OBSV],"DESCONTAR POR USO PERSONAL")</f>
        <v>44.099999999999994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40" s="5" t="str">
        <f>VLOOKUP(Tabla38[[#This Row],[MOVIL]],[1]BD!$A$1:$P$3557,13,0)</f>
        <v>FLOTA PROPIA</v>
      </c>
    </row>
    <row r="441" spans="1:7" x14ac:dyDescent="0.25">
      <c r="A441" s="64">
        <v>4218</v>
      </c>
      <c r="B441" s="5">
        <f>+SUMIFS(Tabla16[Importe],Tabla16[MOVIL],Tabla38[[#This Row],[MOVIL]],Tabla16[OBSV],"DESCONTAR POR USO PERSONAL")</f>
        <v>50.399999999999991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12.6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441" s="5" t="str">
        <f>VLOOKUP(Tabla38[[#This Row],[MOVIL]],[1]BD!$A$1:$P$3557,13,0)</f>
        <v>FLOTA PROPIA</v>
      </c>
    </row>
    <row r="442" spans="1:7" x14ac:dyDescent="0.25">
      <c r="A442" s="64">
        <v>4206</v>
      </c>
      <c r="B442" s="5">
        <f>+SUMIFS(Tabla16[Importe],Tabla16[MOVIL],Tabla38[[#This Row],[MOVIL]],Tabla16[OBSV],"DESCONTAR POR USO PERSONAL")</f>
        <v>0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2" s="5" t="str">
        <f>VLOOKUP(Tabla38[[#This Row],[MOVIL]],[1]BD!$A$1:$P$3557,13,0)</f>
        <v>FLOTA PROPIA</v>
      </c>
    </row>
    <row r="443" spans="1:7" x14ac:dyDescent="0.25">
      <c r="A443" s="64">
        <v>4176</v>
      </c>
      <c r="B443" s="5">
        <f>+SUMIFS(Tabla16[Importe],Tabla16[MOVIL],Tabla38[[#This Row],[MOVIL]],Tabla16[OBSV],"DESCONTAR POR USO PERSONAL")</f>
        <v>56.699999999999989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12.6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43" s="5" t="str">
        <f>VLOOKUP(Tabla38[[#This Row],[MOVIL]],[1]BD!$A$1:$P$3557,13,0)</f>
        <v>FLOTA PROPIA</v>
      </c>
    </row>
    <row r="444" spans="1:7" x14ac:dyDescent="0.25">
      <c r="A444" s="64">
        <v>4327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20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4" s="5" t="str">
        <f>VLOOKUP(Tabla38[[#This Row],[MOVIL]],[1]BD!$A$1:$P$3557,13,0)</f>
        <v>AEROLINEAS</v>
      </c>
    </row>
    <row r="445" spans="1:7" x14ac:dyDescent="0.25">
      <c r="A445" s="64">
        <v>3169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5" s="5" t="str">
        <f>VLOOKUP(Tabla38[[#This Row],[MOVIL]],[1]BD!$A$1:$P$3557,13,0)</f>
        <v>AEROLINEAS</v>
      </c>
    </row>
    <row r="446" spans="1:7" x14ac:dyDescent="0.25">
      <c r="A446" s="64">
        <v>4384</v>
      </c>
      <c r="B446" s="5">
        <f>+SUMIFS(Tabla16[Importe],Tabla16[MOVIL],Tabla38[[#This Row],[MOVIL]],Tabla16[OBSV],"DESCONTAR POR USO PERSONAL")</f>
        <v>0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6" s="5" t="str">
        <f>VLOOKUP(Tabla38[[#This Row],[MOVIL]],[1]BD!$A$1:$P$3557,13,0)</f>
        <v>MEMBRESÍA NOCTURNA - APTO</v>
      </c>
    </row>
    <row r="447" spans="1:7" x14ac:dyDescent="0.25">
      <c r="A447" s="64">
        <v>3453</v>
      </c>
      <c r="B447" s="5">
        <f>+SUMIFS(Tabla16[Importe],Tabla16[MOVIL],Tabla38[[#This Row],[MOVIL]],Tabla16[OBSV],"DESCONTAR POR USO PERSONAL")</f>
        <v>0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20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7" s="5" t="str">
        <f>VLOOKUP(Tabla38[[#This Row],[MOVIL]],[1]BD!$A$1:$P$3557,13,0)</f>
        <v>URBANO PARTNER</v>
      </c>
    </row>
    <row r="448" spans="1:7" x14ac:dyDescent="0.25">
      <c r="A448" s="64">
        <v>4341</v>
      </c>
      <c r="B448" s="5">
        <f>+SUMIFS(Tabla16[Importe],Tabla16[MOVIL],Tabla38[[#This Row],[MOVIL]],Tabla16[OBSV],"DESCONTAR POR USO PERSONAL")</f>
        <v>0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8" s="5" t="str">
        <f>VLOOKUP(Tabla38[[#This Row],[MOVIL]],[1]BD!$A$1:$P$3557,13,0)</f>
        <v>URBANO PARTNER</v>
      </c>
    </row>
    <row r="449" spans="1:7" x14ac:dyDescent="0.25">
      <c r="A449" s="64">
        <v>3659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20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49" s="5" t="str">
        <f>VLOOKUP(Tabla38[[#This Row],[MOVIL]],[1]BD!$A$1:$P$3557,13,0)</f>
        <v>URBANO PARTNER</v>
      </c>
    </row>
    <row r="450" spans="1:7" x14ac:dyDescent="0.25">
      <c r="A450" s="64">
        <v>4314</v>
      </c>
      <c r="B450" s="5">
        <f>+SUMIFS(Tabla16[Importe],Tabla16[MOVIL],Tabla38[[#This Row],[MOVIL]],Tabla16[OBSV],"DESCONTAR POR USO PERSONAL")</f>
        <v>0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20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0" s="5" t="str">
        <f>VLOOKUP(Tabla38[[#This Row],[MOVIL]],[1]BD!$A$1:$P$3557,13,0)</f>
        <v>MEMBRESÍA NOCTURNA - APTO</v>
      </c>
    </row>
    <row r="451" spans="1:7" x14ac:dyDescent="0.25">
      <c r="A451" s="64">
        <v>4440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20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1" s="5" t="str">
        <f>VLOOKUP(Tabla38[[#This Row],[MOVIL]],[1]BD!$A$1:$P$3557,13,0)</f>
        <v>AEROLINEAS</v>
      </c>
    </row>
    <row r="452" spans="1:7" x14ac:dyDescent="0.25">
      <c r="A452" s="64">
        <v>1812</v>
      </c>
      <c r="B452" s="5">
        <f>+SUMIFS(Tabla16[Importe],Tabla16[MOVIL],Tabla38[[#This Row],[MOVIL]],Tabla16[OBSV],"DESCONTAR POR USO PERSONAL")</f>
        <v>0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20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2" s="5" t="str">
        <f>VLOOKUP(Tabla38[[#This Row],[MOVIL]],[1]BD!$A$1:$P$3557,13,0)</f>
        <v>AEROPUERTO</v>
      </c>
    </row>
    <row r="453" spans="1:7" x14ac:dyDescent="0.25">
      <c r="A453" s="64">
        <v>3922</v>
      </c>
      <c r="B453" s="5">
        <f>+SUMIFS(Tabla16[Importe],Tabla16[MOVIL],Tabla38[[#This Row],[MOVIL]],Tabla16[OBSV],"DESCONTAR POR USO PERSONAL")</f>
        <v>0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20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3" s="5" t="str">
        <f>VLOOKUP(Tabla38[[#This Row],[MOVIL]],[1]BD!$A$1:$P$3557,13,0)</f>
        <v>AEROLINEAS</v>
      </c>
    </row>
    <row r="454" spans="1:7" x14ac:dyDescent="0.25">
      <c r="A454" s="64">
        <v>3039</v>
      </c>
      <c r="B454" s="5">
        <f>+SUMIFS(Tabla16[Importe],Tabla16[MOVIL],Tabla38[[#This Row],[MOVIL]],Tabla16[OBSV],"DESCONTAR POR USO PERSONAL")</f>
        <v>6.3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20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54" s="5" t="str">
        <f>VLOOKUP(Tabla38[[#This Row],[MOVIL]],[1]BD!$A$1:$P$3557,13,0)</f>
        <v>AEROLINEAS</v>
      </c>
    </row>
    <row r="455" spans="1:7" x14ac:dyDescent="0.25">
      <c r="A455" s="64">
        <v>3123</v>
      </c>
      <c r="B455" s="5">
        <f>+SUMIFS(Tabla16[Importe],Tabla16[MOVIL],Tabla38[[#This Row],[MOVIL]],Tabla16[OBSV],"DESCONTAR POR USO PERSONAL")</f>
        <v>0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0</v>
      </c>
      <c r="E455" s="5">
        <f>+IFERROR(VLOOKUP(Tabla38[[#This Row],[MOVIL]],Tabla1[[#All],[MOVIL]:[COBRO POR NUEVA INCLUSIÓN]],4,FALSE),0)</f>
        <v>20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5" s="5" t="str">
        <f>VLOOKUP(Tabla38[[#This Row],[MOVIL]],[1]BD!$A$1:$P$3557,13,0)</f>
        <v>AEROLINEAS</v>
      </c>
    </row>
    <row r="456" spans="1:7" x14ac:dyDescent="0.25">
      <c r="A456" s="64">
        <v>3913</v>
      </c>
      <c r="B456" s="5">
        <f>+SUMIFS(Tabla16[Importe],Tabla16[MOVIL],Tabla38[[#This Row],[MOVIL]],Tabla16[OBSV],"DESCONTAR POR USO PERSONAL")</f>
        <v>12.6</v>
      </c>
      <c r="C456" s="5">
        <f>+SUMIFS(Tabla16[Importe],Tabla16[MOVIL],Tabla38[[#This Row],[MOVIL]],Tabla16[OBSV],"DESCONTAR POR INCIDENCIA")</f>
        <v>0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20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56" s="5" t="str">
        <f>VLOOKUP(Tabla38[[#This Row],[MOVIL]],[1]BD!$A$1:$P$3557,13,0)</f>
        <v>MEMBRESÍA NOCTURNA - APTO</v>
      </c>
    </row>
    <row r="457" spans="1:7" x14ac:dyDescent="0.25">
      <c r="A457" s="64">
        <v>4388</v>
      </c>
      <c r="B457" s="5">
        <f>+SUMIFS(Tabla16[Importe],Tabla16[MOVIL],Tabla38[[#This Row],[MOVIL]],Tabla16[OBSV],"DESCONTAR POR USO PERSONAL")</f>
        <v>0</v>
      </c>
      <c r="C457" s="5">
        <f>+SUMIFS(Tabla16[Importe],Tabla16[MOVIL],Tabla38[[#This Row],[MOVIL]],Tabla16[OBSV],"DESCONTAR POR INCIDENCIA")</f>
        <v>0</v>
      </c>
      <c r="D457" s="5">
        <f>+SUMIFS(Tabla16[Importe],Tabla16[MOVIL],Tabla38[[#This Row],[MOVIL]],Tabla16[OBSV],"DESCONTAR SERVICIO EN EFECTIVO")</f>
        <v>0</v>
      </c>
      <c r="E457" s="5">
        <f>+IFERROR(VLOOKUP(Tabla38[[#This Row],[MOVIL]],Tabla1[[#All],[MOVIL]:[COBRO POR NUEVA INCLUSIÓN]],4,FALSE),0)</f>
        <v>20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7" s="5" t="str">
        <f>VLOOKUP(Tabla38[[#This Row],[MOVIL]],[1]BD!$A$1:$P$3557,13,0)</f>
        <v>AEROLINEAS</v>
      </c>
    </row>
    <row r="458" spans="1:7" x14ac:dyDescent="0.25">
      <c r="A458" s="64">
        <v>9431</v>
      </c>
      <c r="B458" s="5">
        <f>+SUMIFS(Tabla16[Importe],Tabla16[MOVIL],Tabla38[[#This Row],[MOVIL]],Tabla16[OBSV],"DESCONTAR POR USO PERSONAL")</f>
        <v>0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0</v>
      </c>
      <c r="E458" s="5">
        <f>+IFERROR(VLOOKUP(Tabla38[[#This Row],[MOVIL]],Tabla1[[#All],[MOVIL]:[COBRO POR NUEVA INCLUSIÓN]],4,FALSE),0)</f>
        <v>20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8" s="5" t="str">
        <f>VLOOKUP(Tabla38[[#This Row],[MOVIL]],[1]BD!$A$1:$P$3557,13,0)</f>
        <v>URBANO</v>
      </c>
    </row>
    <row r="459" spans="1:7" x14ac:dyDescent="0.25">
      <c r="A459" s="64">
        <v>3278</v>
      </c>
      <c r="B459" s="5">
        <f>+SUMIFS(Tabla16[Importe],Tabla16[MOVIL],Tabla38[[#This Row],[MOVIL]],Tabla16[OBSV],"DESCONTAR POR USO PERSONAL")</f>
        <v>0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20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9" s="5" t="str">
        <f>VLOOKUP(Tabla38[[#This Row],[MOVIL]],[1]BD!$A$1:$P$3557,13,0)</f>
        <v>AEROPUERTO</v>
      </c>
    </row>
    <row r="460" spans="1:7" x14ac:dyDescent="0.25">
      <c r="A460" s="8">
        <v>9334</v>
      </c>
      <c r="B460" s="5">
        <f>+SUMIFS(Tabla16[Importe],Tabla16[MOVIL],Tabla38[[#This Row],[MOVIL]],Tabla16[OBSV],"DESCONTAR POR USO PERSONAL")</f>
        <v>0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20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0" s="5" t="str">
        <f>VLOOKUP(Tabla38[[#This Row],[MOVIL]],[2]BD!$A$1:$P$256,13,0)</f>
        <v>JOCKEY PLAZA</v>
      </c>
    </row>
    <row r="461" spans="1:7" x14ac:dyDescent="0.25">
      <c r="A461" s="64">
        <v>9921</v>
      </c>
      <c r="B461" s="5">
        <f>+SUMIFS(Tabla16[Importe],Tabla16[MOVIL],Tabla38[[#This Row],[MOVIL]],Tabla16[OBSV],"DESCONTAR POR USO PERSONAL")</f>
        <v>0</v>
      </c>
      <c r="C461" s="5">
        <f>+SUMIFS(Tabla16[Importe],Tabla16[MOVIL],Tabla38[[#This Row],[MOVIL]],Tabla16[OBSV],"DESCONTAR POR INCIDENCIA")</f>
        <v>12.6</v>
      </c>
      <c r="D461" s="5">
        <f>+SUMIFS(Tabla16[Importe],Tabla16[MOVIL],Tabla38[[#This Row],[MOVIL]],Tabla16[OBSV],"DESCONTAR SERVICIO EN EFECTIVO")</f>
        <v>0</v>
      </c>
      <c r="E461" s="5">
        <f>+IFERROR(VLOOKUP(Tabla38[[#This Row],[MOVIL]],Tabla1[[#All],[MOVIL]:[COBRO POR NUEVA INCLUSIÓN]],4,FALSE),0)</f>
        <v>20</v>
      </c>
      <c r="F461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61" s="5" t="str">
        <f>VLOOKUP(Tabla38[[#This Row],[MOVIL]],[1]BD!$A$1:$P$3557,13,0)</f>
        <v>AEROPUERTO</v>
      </c>
    </row>
    <row r="462" spans="1:7" x14ac:dyDescent="0.25">
      <c r="A462" s="64">
        <v>9340</v>
      </c>
      <c r="B462" s="5">
        <f>+SUMIFS(Tabla16[Importe],Tabla16[MOVIL],Tabla38[[#This Row],[MOVIL]],Tabla16[OBSV],"DESCONTAR POR USO PERSONAL")</f>
        <v>0</v>
      </c>
      <c r="C462" s="5">
        <f>+SUMIFS(Tabla16[Importe],Tabla16[MOVIL],Tabla38[[#This Row],[MOVIL]],Tabla16[OBSV],"DESCONTAR POR INCIDENCIA")</f>
        <v>0</v>
      </c>
      <c r="D462" s="5">
        <f>+SUMIFS(Tabla16[Importe],Tabla16[MOVIL],Tabla38[[#This Row],[MOVIL]],Tabla16[OBSV],"DESCONTAR SERVICIO EN EFECTIVO")</f>
        <v>0</v>
      </c>
      <c r="E462" s="5">
        <f>+IFERROR(VLOOKUP(Tabla38[[#This Row],[MOVIL]],Tabla1[[#All],[MOVIL]:[COBRO POR NUEVA INCLUSIÓN]],4,FALSE),0)</f>
        <v>20</v>
      </c>
      <c r="F46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2" s="5" t="str">
        <f>VLOOKUP(Tabla38[[#This Row],[MOVIL]],[1]BD!$A$1:$P$3557,13,0)</f>
        <v>URBANO</v>
      </c>
    </row>
    <row r="463" spans="1:7" x14ac:dyDescent="0.25">
      <c r="A463" s="64">
        <v>760</v>
      </c>
      <c r="B463" s="5">
        <f>+SUMIFS(Tabla16[Importe],Tabla16[MOVIL],Tabla38[[#This Row],[MOVIL]],Tabla16[OBSV],"DESCONTAR POR USO PERSONAL")</f>
        <v>0</v>
      </c>
      <c r="C463" s="5">
        <f>+SUMIFS(Tabla16[Importe],Tabla16[MOVIL],Tabla38[[#This Row],[MOVIL]],Tabla16[OBSV],"DESCONTAR POR INCIDENCIA")</f>
        <v>0</v>
      </c>
      <c r="D463" s="5">
        <f>+SUMIFS(Tabla16[Importe],Tabla16[MOVIL],Tabla38[[#This Row],[MOVIL]],Tabla16[OBSV],"DESCONTAR SERVICIO EN EFECTIVO")</f>
        <v>0</v>
      </c>
      <c r="E463" s="5">
        <f>+IFERROR(VLOOKUP(Tabla38[[#This Row],[MOVIL]],Tabla1[[#All],[MOVIL]:[COBRO POR NUEVA INCLUSIÓN]],4,FALSE),0)</f>
        <v>20</v>
      </c>
      <c r="F46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3" s="5" t="str">
        <f>VLOOKUP(Tabla38[[#This Row],[MOVIL]],[1]BD!$A$1:$P$3557,13,0)</f>
        <v>AEROPUERTO</v>
      </c>
    </row>
    <row r="464" spans="1:7" x14ac:dyDescent="0.25">
      <c r="A464" s="64">
        <v>1790</v>
      </c>
      <c r="B464" s="5">
        <f>+SUMIFS(Tabla16[Importe],Tabla16[MOVIL],Tabla38[[#This Row],[MOVIL]],Tabla16[OBSV],"DESCONTAR POR USO PERSONAL")</f>
        <v>0</v>
      </c>
      <c r="C464" s="5">
        <f>+SUMIFS(Tabla16[Importe],Tabla16[MOVIL],Tabla38[[#This Row],[MOVIL]],Tabla16[OBSV],"DESCONTAR POR INCIDENCIA")</f>
        <v>0</v>
      </c>
      <c r="D464" s="5">
        <f>+SUMIFS(Tabla16[Importe],Tabla16[MOVIL],Tabla38[[#This Row],[MOVIL]],Tabla16[OBSV],"DESCONTAR SERVICIO EN EFECTIVO")</f>
        <v>0</v>
      </c>
      <c r="E464" s="5">
        <f>+IFERROR(VLOOKUP(Tabla38[[#This Row],[MOVIL]],Tabla1[[#All],[MOVIL]:[COBRO POR NUEVA INCLUSIÓN]],4,FALSE),0)</f>
        <v>20</v>
      </c>
      <c r="F46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4" s="5" t="str">
        <f>VLOOKUP(Tabla38[[#This Row],[MOVIL]],[1]BD!$A$1:$P$3557,13,0)</f>
        <v>URBANO</v>
      </c>
    </row>
    <row r="465" spans="1:7" x14ac:dyDescent="0.25">
      <c r="A465" s="64">
        <v>4410</v>
      </c>
      <c r="B465" s="5">
        <f>+SUMIFS(Tabla16[Importe],Tabla16[MOVIL],Tabla38[[#This Row],[MOVIL]],Tabla16[OBSV],"DESCONTAR POR USO PERSONAL")</f>
        <v>0</v>
      </c>
      <c r="C465" s="5">
        <f>+SUMIFS(Tabla16[Importe],Tabla16[MOVIL],Tabla38[[#This Row],[MOVIL]],Tabla16[OBSV],"DESCONTAR POR INCIDENCIA")</f>
        <v>0</v>
      </c>
      <c r="D465" s="5">
        <f>+SUMIFS(Tabla16[Importe],Tabla16[MOVIL],Tabla38[[#This Row],[MOVIL]],Tabla16[OBSV],"DESCONTAR SERVICIO EN EFECTIVO")</f>
        <v>0</v>
      </c>
      <c r="E465" s="5">
        <f>+IFERROR(VLOOKUP(Tabla38[[#This Row],[MOVIL]],Tabla1[[#All],[MOVIL]:[COBRO POR NUEVA INCLUSIÓN]],4,FALSE),0)</f>
        <v>20</v>
      </c>
      <c r="F46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5" s="5" t="str">
        <f>VLOOKUP(Tabla38[[#This Row],[MOVIL]],[1]BD!$A$1:$P$3557,13,0)</f>
        <v>AEROLINEAS</v>
      </c>
    </row>
    <row r="466" spans="1:7" x14ac:dyDescent="0.25">
      <c r="A466" s="64">
        <v>4428</v>
      </c>
      <c r="B466" s="5">
        <f>+SUMIFS(Tabla16[Importe],Tabla16[MOVIL],Tabla38[[#This Row],[MOVIL]],Tabla16[OBSV],"DESCONTAR POR USO PERSONAL")</f>
        <v>0</v>
      </c>
      <c r="C466" s="5">
        <f>+SUMIFS(Tabla16[Importe],Tabla16[MOVIL],Tabla38[[#This Row],[MOVIL]],Tabla16[OBSV],"DESCONTAR POR INCIDENCIA")</f>
        <v>0</v>
      </c>
      <c r="D466" s="5">
        <f>+SUMIFS(Tabla16[Importe],Tabla16[MOVIL],Tabla38[[#This Row],[MOVIL]],Tabla16[OBSV],"DESCONTAR SERVICIO EN EFECTIVO")</f>
        <v>0</v>
      </c>
      <c r="E466" s="5">
        <f>+IFERROR(VLOOKUP(Tabla38[[#This Row],[MOVIL]],Tabla1[[#All],[MOVIL]:[COBRO POR NUEVA INCLUSIÓN]],4,FALSE),0)</f>
        <v>20</v>
      </c>
      <c r="F46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6" s="5" t="str">
        <f>VLOOKUP(Tabla38[[#This Row],[MOVIL]],[1]BD!$A$1:$P$3557,13,0)</f>
        <v>URBANO PARTNER</v>
      </c>
    </row>
    <row r="467" spans="1:7" x14ac:dyDescent="0.25">
      <c r="A467" s="64">
        <v>784</v>
      </c>
      <c r="B467" s="5">
        <f>+SUMIFS(Tabla16[Importe],Tabla16[MOVIL],Tabla38[[#This Row],[MOVIL]],Tabla16[OBSV],"DESCONTAR POR USO PERSONAL")</f>
        <v>0</v>
      </c>
      <c r="C467" s="5">
        <f>+SUMIFS(Tabla16[Importe],Tabla16[MOVIL],Tabla38[[#This Row],[MOVIL]],Tabla16[OBSV],"DESCONTAR POR INCIDENCIA")</f>
        <v>0</v>
      </c>
      <c r="D467" s="5">
        <f>+SUMIFS(Tabla16[Importe],Tabla16[MOVIL],Tabla38[[#This Row],[MOVIL]],Tabla16[OBSV],"DESCONTAR SERVICIO EN EFECTIVO")</f>
        <v>0</v>
      </c>
      <c r="E467" s="5">
        <f>+IFERROR(VLOOKUP(Tabla38[[#This Row],[MOVIL]],Tabla1[[#All],[MOVIL]:[COBRO POR NUEVA INCLUSIÓN]],4,FALSE),0)</f>
        <v>20</v>
      </c>
      <c r="F46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7" s="5" t="str">
        <f>VLOOKUP(Tabla38[[#This Row],[MOVIL]],[1]BD!$A$1:$P$3557,13,0)</f>
        <v>AEROPUERTO</v>
      </c>
    </row>
    <row r="468" spans="1:7" x14ac:dyDescent="0.25">
      <c r="A468" s="64">
        <v>9074</v>
      </c>
      <c r="B468" s="5">
        <f>+SUMIFS(Tabla16[Importe],Tabla16[MOVIL],Tabla38[[#This Row],[MOVIL]],Tabla16[OBSV],"DESCONTAR POR USO PERSONAL")</f>
        <v>0</v>
      </c>
      <c r="C468" s="5">
        <f>+SUMIFS(Tabla16[Importe],Tabla16[MOVIL],Tabla38[[#This Row],[MOVIL]],Tabla16[OBSV],"DESCONTAR POR INCIDENCIA")</f>
        <v>0</v>
      </c>
      <c r="D468" s="5">
        <f>+SUMIFS(Tabla16[Importe],Tabla16[MOVIL],Tabla38[[#This Row],[MOVIL]],Tabla16[OBSV],"DESCONTAR SERVICIO EN EFECTIVO")</f>
        <v>0</v>
      </c>
      <c r="E468" s="5">
        <f>+IFERROR(VLOOKUP(Tabla38[[#This Row],[MOVIL]],Tabla1[[#All],[MOVIL]:[COBRO POR NUEVA INCLUSIÓN]],4,FALSE),0)</f>
        <v>20</v>
      </c>
      <c r="F46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8" s="5" t="str">
        <f>VLOOKUP(Tabla38[[#This Row],[MOVIL]],[1]BD!$A$1:$P$3557,13,0)</f>
        <v>MEMBRESÍA URBANO</v>
      </c>
    </row>
    <row r="469" spans="1:7" x14ac:dyDescent="0.25">
      <c r="A469" s="64">
        <v>3945</v>
      </c>
      <c r="B469" s="5">
        <f>+SUMIFS(Tabla16[Importe],Tabla16[MOVIL],Tabla38[[#This Row],[MOVIL]],Tabla16[OBSV],"DESCONTAR POR USO PERSONAL")</f>
        <v>0</v>
      </c>
      <c r="C469" s="5">
        <f>+SUMIFS(Tabla16[Importe],Tabla16[MOVIL],Tabla38[[#This Row],[MOVIL]],Tabla16[OBSV],"DESCONTAR POR INCIDENCIA")</f>
        <v>0</v>
      </c>
      <c r="D469" s="5">
        <f>+SUMIFS(Tabla16[Importe],Tabla16[MOVIL],Tabla38[[#This Row],[MOVIL]],Tabla16[OBSV],"DESCONTAR SERVICIO EN EFECTIVO")</f>
        <v>0</v>
      </c>
      <c r="E469" s="5">
        <f>+IFERROR(VLOOKUP(Tabla38[[#This Row],[MOVIL]],Tabla1[[#All],[MOVIL]:[COBRO POR NUEVA INCLUSIÓN]],4,FALSE),0)</f>
        <v>20</v>
      </c>
      <c r="F469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69" s="5" t="str">
        <f>VLOOKUP(Tabla38[[#This Row],[MOVIL]],[1]BD!$A$1:$P$3557,13,0)</f>
        <v>AEROLINEAS</v>
      </c>
    </row>
    <row r="470" spans="1:7" x14ac:dyDescent="0.25">
      <c r="A470" s="64">
        <v>4049</v>
      </c>
      <c r="B470" s="5">
        <f>+SUMIFS(Tabla16[Importe],Tabla16[MOVIL],Tabla38[[#This Row],[MOVIL]],Tabla16[OBSV],"DESCONTAR POR USO PERSONAL")</f>
        <v>0</v>
      </c>
      <c r="C470" s="5">
        <f>+SUMIFS(Tabla16[Importe],Tabla16[MOVIL],Tabla38[[#This Row],[MOVIL]],Tabla16[OBSV],"DESCONTAR POR INCIDENCIA")</f>
        <v>0</v>
      </c>
      <c r="D470" s="5">
        <f>+SUMIFS(Tabla16[Importe],Tabla16[MOVIL],Tabla38[[#This Row],[MOVIL]],Tabla16[OBSV],"DESCONTAR SERVICIO EN EFECTIVO")</f>
        <v>0</v>
      </c>
      <c r="E470" s="5">
        <f>+IFERROR(VLOOKUP(Tabla38[[#This Row],[MOVIL]],Tabla1[[#All],[MOVIL]:[COBRO POR NUEVA INCLUSIÓN]],4,FALSE),0)</f>
        <v>20</v>
      </c>
      <c r="F47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0" s="5" t="str">
        <f>VLOOKUP(Tabla38[[#This Row],[MOVIL]],[1]BD!$A$1:$P$3557,13,0)</f>
        <v>AEROLINEAS</v>
      </c>
    </row>
    <row r="471" spans="1:7" x14ac:dyDescent="0.25">
      <c r="A471" s="64">
        <v>4382</v>
      </c>
      <c r="B471" s="5">
        <f>+SUMIFS(Tabla16[Importe],Tabla16[MOVIL],Tabla38[[#This Row],[MOVIL]],Tabla16[OBSV],"DESCONTAR POR USO PERSONAL")</f>
        <v>0</v>
      </c>
      <c r="C471" s="5">
        <f>+SUMIFS(Tabla16[Importe],Tabla16[MOVIL],Tabla38[[#This Row],[MOVIL]],Tabla16[OBSV],"DESCONTAR POR INCIDENCIA")</f>
        <v>0</v>
      </c>
      <c r="D471" s="5">
        <f>+SUMIFS(Tabla16[Importe],Tabla16[MOVIL],Tabla38[[#This Row],[MOVIL]],Tabla16[OBSV],"DESCONTAR SERVICIO EN EFECTIVO")</f>
        <v>0</v>
      </c>
      <c r="E471" s="5">
        <f>+IFERROR(VLOOKUP(Tabla38[[#This Row],[MOVIL]],Tabla1[[#All],[MOVIL]:[COBRO POR NUEVA INCLUSIÓN]],4,FALSE),0)</f>
        <v>20</v>
      </c>
      <c r="F47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1" s="5" t="str">
        <f>VLOOKUP(Tabla38[[#This Row],[MOVIL]],[1]BD!$A$1:$P$3557,13,0)</f>
        <v>AEROLINEAS</v>
      </c>
    </row>
    <row r="472" spans="1:7" x14ac:dyDescent="0.25">
      <c r="A472" s="64">
        <v>9946</v>
      </c>
      <c r="B472" s="5">
        <f>+SUMIFS(Tabla16[Importe],Tabla16[MOVIL],Tabla38[[#This Row],[MOVIL]],Tabla16[OBSV],"DESCONTAR POR USO PERSONAL")</f>
        <v>0</v>
      </c>
      <c r="C472" s="5">
        <f>+SUMIFS(Tabla16[Importe],Tabla16[MOVIL],Tabla38[[#This Row],[MOVIL]],Tabla16[OBSV],"DESCONTAR POR INCIDENCIA")</f>
        <v>0</v>
      </c>
      <c r="D472" s="5">
        <f>+SUMIFS(Tabla16[Importe],Tabla16[MOVIL],Tabla38[[#This Row],[MOVIL]],Tabla16[OBSV],"DESCONTAR SERVICIO EN EFECTIVO")</f>
        <v>0</v>
      </c>
      <c r="E472" s="5">
        <f>+IFERROR(VLOOKUP(Tabla38[[#This Row],[MOVIL]],Tabla1[[#All],[MOVIL]:[COBRO POR NUEVA INCLUSIÓN]],4,FALSE),0)</f>
        <v>20</v>
      </c>
      <c r="F47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2" s="5" t="str">
        <f>VLOOKUP(Tabla38[[#This Row],[MOVIL]],[1]BD!$A$1:$P$3557,13,0)</f>
        <v>URBANO PARTNER</v>
      </c>
    </row>
    <row r="473" spans="1:7" x14ac:dyDescent="0.25">
      <c r="A473" s="64">
        <v>9084</v>
      </c>
      <c r="B473" s="5">
        <f>+SUMIFS(Tabla16[Importe],Tabla16[MOVIL],Tabla38[[#This Row],[MOVIL]],Tabla16[OBSV],"DESCONTAR POR USO PERSONAL")</f>
        <v>6.3</v>
      </c>
      <c r="C473" s="5">
        <f>+SUMIFS(Tabla16[Importe],Tabla16[MOVIL],Tabla38[[#This Row],[MOVIL]],Tabla16[OBSV],"DESCONTAR POR INCIDENCIA")</f>
        <v>0</v>
      </c>
      <c r="D473" s="5">
        <f>+SUMIFS(Tabla16[Importe],Tabla16[MOVIL],Tabla38[[#This Row],[MOVIL]],Tabla16[OBSV],"DESCONTAR SERVICIO EN EFECTIVO")</f>
        <v>0</v>
      </c>
      <c r="E473" s="5">
        <f>+IFERROR(VLOOKUP(Tabla38[[#This Row],[MOVIL]],Tabla1[[#All],[MOVIL]:[COBRO POR NUEVA INCLUSIÓN]],4,FALSE),0)</f>
        <v>20</v>
      </c>
      <c r="F473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73" s="5" t="str">
        <f>VLOOKUP(Tabla38[[#This Row],[MOVIL]],[1]BD!$A$1:$P$3557,13,0)</f>
        <v>AEROLINEAS</v>
      </c>
    </row>
    <row r="474" spans="1:7" x14ac:dyDescent="0.25">
      <c r="A474" s="64">
        <v>4367</v>
      </c>
      <c r="B474" s="5">
        <f>+SUMIFS(Tabla16[Importe],Tabla16[MOVIL],Tabla38[[#This Row],[MOVIL]],Tabla16[OBSV],"DESCONTAR POR USO PERSONAL")</f>
        <v>0</v>
      </c>
      <c r="C474" s="5">
        <f>+SUMIFS(Tabla16[Importe],Tabla16[MOVIL],Tabla38[[#This Row],[MOVIL]],Tabla16[OBSV],"DESCONTAR POR INCIDENCIA")</f>
        <v>0</v>
      </c>
      <c r="D474" s="5">
        <f>+SUMIFS(Tabla16[Importe],Tabla16[MOVIL],Tabla38[[#This Row],[MOVIL]],Tabla16[OBSV],"DESCONTAR SERVICIO EN EFECTIVO")</f>
        <v>0</v>
      </c>
      <c r="E474" s="5">
        <f>+IFERROR(VLOOKUP(Tabla38[[#This Row],[MOVIL]],Tabla1[[#All],[MOVIL]:[COBRO POR NUEVA INCLUSIÓN]],4,FALSE),0)</f>
        <v>20</v>
      </c>
      <c r="F47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4" s="5" t="str">
        <f>VLOOKUP(Tabla38[[#This Row],[MOVIL]],[1]BD!$A$1:$P$3557,13,0)</f>
        <v>AEROLINEAS</v>
      </c>
    </row>
    <row r="475" spans="1:7" x14ac:dyDescent="0.25">
      <c r="A475" s="64">
        <v>2221</v>
      </c>
      <c r="B475" s="5">
        <f>+SUMIFS(Tabla16[Importe],Tabla16[MOVIL],Tabla38[[#This Row],[MOVIL]],Tabla16[OBSV],"DESCONTAR POR USO PERSONAL")</f>
        <v>0</v>
      </c>
      <c r="C475" s="5">
        <f>+SUMIFS(Tabla16[Importe],Tabla16[MOVIL],Tabla38[[#This Row],[MOVIL]],Tabla16[OBSV],"DESCONTAR POR INCIDENCIA")</f>
        <v>0</v>
      </c>
      <c r="D475" s="5">
        <f>+SUMIFS(Tabla16[Importe],Tabla16[MOVIL],Tabla38[[#This Row],[MOVIL]],Tabla16[OBSV],"DESCONTAR SERVICIO EN EFECTIVO")</f>
        <v>0</v>
      </c>
      <c r="E475" s="5">
        <f>+IFERROR(VLOOKUP(Tabla38[[#This Row],[MOVIL]],Tabla1[[#All],[MOVIL]:[COBRO POR NUEVA INCLUSIÓN]],4,FALSE),0)</f>
        <v>20</v>
      </c>
      <c r="F47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5" s="5" t="str">
        <f>VLOOKUP(Tabla38[[#This Row],[MOVIL]],[1]BD!$A$1:$P$3557,13,0)</f>
        <v>URBANO PARTNER</v>
      </c>
    </row>
    <row r="476" spans="1:7" x14ac:dyDescent="0.25">
      <c r="A476" s="64">
        <v>3232</v>
      </c>
      <c r="B476" s="5">
        <f>+SUMIFS(Tabla16[Importe],Tabla16[MOVIL],Tabla38[[#This Row],[MOVIL]],Tabla16[OBSV],"DESCONTAR POR USO PERSONAL")</f>
        <v>0</v>
      </c>
      <c r="C476" s="5">
        <f>+SUMIFS(Tabla16[Importe],Tabla16[MOVIL],Tabla38[[#This Row],[MOVIL]],Tabla16[OBSV],"DESCONTAR POR INCIDENCIA")</f>
        <v>0</v>
      </c>
      <c r="D476" s="5">
        <f>+SUMIFS(Tabla16[Importe],Tabla16[MOVIL],Tabla38[[#This Row],[MOVIL]],Tabla16[OBSV],"DESCONTAR SERVICIO EN EFECTIVO")</f>
        <v>0</v>
      </c>
      <c r="E476" s="5">
        <f>+IFERROR(VLOOKUP(Tabla38[[#This Row],[MOVIL]],Tabla1[[#All],[MOVIL]:[COBRO POR NUEVA INCLUSIÓN]],4,FALSE),0)</f>
        <v>20</v>
      </c>
      <c r="F47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6" s="5" t="str">
        <f>VLOOKUP(Tabla38[[#This Row],[MOVIL]],[1]BD!$A$1:$P$3557,13,0)</f>
        <v>AEROLINEAS</v>
      </c>
    </row>
    <row r="477" spans="1:7" x14ac:dyDescent="0.25">
      <c r="A477" s="64">
        <v>2484</v>
      </c>
      <c r="B477" s="5">
        <f>+SUMIFS(Tabla16[Importe],Tabla16[MOVIL],Tabla38[[#This Row],[MOVIL]],Tabla16[OBSV],"DESCONTAR POR USO PERSONAL")</f>
        <v>6.3</v>
      </c>
      <c r="C477" s="5">
        <f>+SUMIFS(Tabla16[Importe],Tabla16[MOVIL],Tabla38[[#This Row],[MOVIL]],Tabla16[OBSV],"DESCONTAR POR INCIDENCIA")</f>
        <v>0</v>
      </c>
      <c r="D477" s="5">
        <f>+SUMIFS(Tabla16[Importe],Tabla16[MOVIL],Tabla38[[#This Row],[MOVIL]],Tabla16[OBSV],"DESCONTAR SERVICIO EN EFECTIVO")</f>
        <v>0</v>
      </c>
      <c r="E477" s="5">
        <f>+IFERROR(VLOOKUP(Tabla38[[#This Row],[MOVIL]],Tabla1[[#All],[MOVIL]:[COBRO POR NUEVA INCLUSIÓN]],4,FALSE),0)</f>
        <v>20</v>
      </c>
      <c r="F477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77" s="5" t="str">
        <f>VLOOKUP(Tabla38[[#This Row],[MOVIL]],[1]BD!$A$1:$P$3557,13,0)</f>
        <v>URBANO PARTNER</v>
      </c>
    </row>
    <row r="478" spans="1:7" x14ac:dyDescent="0.25">
      <c r="A478" s="64">
        <v>4402</v>
      </c>
      <c r="B478" s="5">
        <f>+SUMIFS(Tabla16[Importe],Tabla16[MOVIL],Tabla38[[#This Row],[MOVIL]],Tabla16[OBSV],"DESCONTAR POR USO PERSONAL")</f>
        <v>0</v>
      </c>
      <c r="C478" s="5">
        <f>+SUMIFS(Tabla16[Importe],Tabla16[MOVIL],Tabla38[[#This Row],[MOVIL]],Tabla16[OBSV],"DESCONTAR POR INCIDENCIA")</f>
        <v>0</v>
      </c>
      <c r="D478" s="5">
        <f>+SUMIFS(Tabla16[Importe],Tabla16[MOVIL],Tabla38[[#This Row],[MOVIL]],Tabla16[OBSV],"DESCONTAR SERVICIO EN EFECTIVO")</f>
        <v>12.6</v>
      </c>
      <c r="E478" s="5">
        <f>+IFERROR(VLOOKUP(Tabla38[[#This Row],[MOVIL]],Tabla1[[#All],[MOVIL]:[COBRO POR NUEVA INCLUSIÓN]],4,FALSE),0)</f>
        <v>20</v>
      </c>
      <c r="F478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78" s="5" t="str">
        <f>VLOOKUP(Tabla38[[#This Row],[MOVIL]],[1]BD!$A$1:$P$3557,13,0)</f>
        <v>AEROLINEAS</v>
      </c>
    </row>
    <row r="479" spans="1:7" x14ac:dyDescent="0.25">
      <c r="A479" s="8">
        <v>4412</v>
      </c>
      <c r="B479" s="5">
        <f>+SUMIFS(Tabla16[Importe],Tabla16[MOVIL],Tabla38[[#This Row],[MOVIL]],Tabla16[OBSV],"DESCONTAR POR USO PERSONAL")</f>
        <v>0</v>
      </c>
      <c r="C479" s="5">
        <f>+SUMIFS(Tabla16[Importe],Tabla16[MOVIL],Tabla38[[#This Row],[MOVIL]],Tabla16[OBSV],"DESCONTAR POR INCIDENCIA")</f>
        <v>0</v>
      </c>
      <c r="D479" s="5">
        <f>+SUMIFS(Tabla16[Importe],Tabla16[MOVIL],Tabla38[[#This Row],[MOVIL]],Tabla16[OBSV],"DESCONTAR SERVICIO EN EFECTIVO")</f>
        <v>0</v>
      </c>
      <c r="E479" s="5">
        <f>+IFERROR(VLOOKUP(Tabla38[[#This Row],[MOVIL]],Tabla1[[#All],[MOVIL]:[COBRO POR NUEVA INCLUSIÓN]],4,FALSE),0)</f>
        <v>20</v>
      </c>
      <c r="F479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79" s="5" t="str">
        <f>VLOOKUP(Tabla38[[#This Row],[MOVIL]],[2]BD!$A$1:$P$256,13,0)</f>
        <v>JOCKEY PLAZA</v>
      </c>
    </row>
    <row r="480" spans="1:7" x14ac:dyDescent="0.25">
      <c r="A480" s="64">
        <v>4404</v>
      </c>
      <c r="B480" s="5">
        <f>+SUMIFS(Tabla16[Importe],Tabla16[MOVIL],Tabla38[[#This Row],[MOVIL]],Tabla16[OBSV],"DESCONTAR POR USO PERSONAL")</f>
        <v>6.3</v>
      </c>
      <c r="C480" s="5">
        <f>+SUMIFS(Tabla16[Importe],Tabla16[MOVIL],Tabla38[[#This Row],[MOVIL]],Tabla16[OBSV],"DESCONTAR POR INCIDENCIA")</f>
        <v>0</v>
      </c>
      <c r="D480" s="5">
        <f>+SUMIFS(Tabla16[Importe],Tabla16[MOVIL],Tabla38[[#This Row],[MOVIL]],Tabla16[OBSV],"DESCONTAR SERVICIO EN EFECTIVO")</f>
        <v>0</v>
      </c>
      <c r="E480" s="5">
        <f>+IFERROR(VLOOKUP(Tabla38[[#This Row],[MOVIL]],Tabla1[[#All],[MOVIL]:[COBRO POR NUEVA INCLUSIÓN]],4,FALSE),0)</f>
        <v>20</v>
      </c>
      <c r="F480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80" s="5" t="str">
        <f>VLOOKUP(Tabla38[[#This Row],[MOVIL]],[1]BD!$A$1:$P$3557,13,0)</f>
        <v>MEMBRESÍA DIURNA</v>
      </c>
    </row>
    <row r="481" spans="1:7" x14ac:dyDescent="0.25">
      <c r="A481" s="64">
        <v>4350</v>
      </c>
      <c r="B481" s="5">
        <f>+SUMIFS(Tabla16[Importe],Tabla16[MOVIL],Tabla38[[#This Row],[MOVIL]],Tabla16[OBSV],"DESCONTAR POR USO PERSONAL")</f>
        <v>0</v>
      </c>
      <c r="C481" s="5">
        <f>+SUMIFS(Tabla16[Importe],Tabla16[MOVIL],Tabla38[[#This Row],[MOVIL]],Tabla16[OBSV],"DESCONTAR POR INCIDENCIA")</f>
        <v>0</v>
      </c>
      <c r="D481" s="5">
        <f>+SUMIFS(Tabla16[Importe],Tabla16[MOVIL],Tabla38[[#This Row],[MOVIL]],Tabla16[OBSV],"DESCONTAR SERVICIO EN EFECTIVO")</f>
        <v>0</v>
      </c>
      <c r="E481" s="5">
        <f>+IFERROR(VLOOKUP(Tabla38[[#This Row],[MOVIL]],Tabla1[[#All],[MOVIL]:[COBRO POR NUEVA INCLUSIÓN]],4,FALSE),0)</f>
        <v>20</v>
      </c>
      <c r="F481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81" s="5" t="str">
        <f>VLOOKUP(Tabla38[[#This Row],[MOVIL]],[1]BD!$A$1:$P$3557,13,0)</f>
        <v>AEROLINEAS</v>
      </c>
    </row>
    <row r="482" spans="1:7" x14ac:dyDescent="0.25">
      <c r="A482" s="64">
        <v>9292</v>
      </c>
      <c r="B482" s="5">
        <f>+SUMIFS(Tabla16[Importe],Tabla16[MOVIL],Tabla38[[#This Row],[MOVIL]],Tabla16[OBSV],"DESCONTAR POR USO PERSONAL")</f>
        <v>0</v>
      </c>
      <c r="C482" s="5">
        <f>+SUMIFS(Tabla16[Importe],Tabla16[MOVIL],Tabla38[[#This Row],[MOVIL]],Tabla16[OBSV],"DESCONTAR POR INCIDENCIA")</f>
        <v>0</v>
      </c>
      <c r="D482" s="5">
        <f>+SUMIFS(Tabla16[Importe],Tabla16[MOVIL],Tabla38[[#This Row],[MOVIL]],Tabla16[OBSV],"DESCONTAR SERVICIO EN EFECTIVO")</f>
        <v>0</v>
      </c>
      <c r="E482" s="5">
        <f>+IFERROR(VLOOKUP(Tabla38[[#This Row],[MOVIL]],Tabla1[[#All],[MOVIL]:[COBRO POR NUEVA INCLUSIÓN]],4,FALSE),0)</f>
        <v>20</v>
      </c>
      <c r="F48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82" s="5" t="str">
        <f>VLOOKUP(Tabla38[[#This Row],[MOVIL]],[1]BD!$A$1:$P$3557,13,0)</f>
        <v>MEMBRESÍA DIURNA</v>
      </c>
    </row>
    <row r="483" spans="1:7" x14ac:dyDescent="0.25">
      <c r="A483" s="64">
        <v>460</v>
      </c>
      <c r="B483" s="5">
        <f>+SUMIFS(Tabla16[Importe],Tabla16[MOVIL],Tabla38[[#This Row],[MOVIL]],Tabla16[OBSV],"DESCONTAR POR USO PERSONAL")</f>
        <v>0</v>
      </c>
      <c r="C483" s="5">
        <f>+SUMIFS(Tabla16[Importe],Tabla16[MOVIL],Tabla38[[#This Row],[MOVIL]],Tabla16[OBSV],"DESCONTAR POR INCIDENCIA")</f>
        <v>0</v>
      </c>
      <c r="D483" s="5">
        <f>+SUMIFS(Tabla16[Importe],Tabla16[MOVIL],Tabla38[[#This Row],[MOVIL]],Tabla16[OBSV],"DESCONTAR SERVICIO EN EFECTIVO")</f>
        <v>12.6</v>
      </c>
      <c r="E483" s="5">
        <f>+IFERROR(VLOOKUP(Tabla38[[#This Row],[MOVIL]],Tabla1[[#All],[MOVIL]:[COBRO POR NUEVA INCLUSIÓN]],4,FALSE),0)</f>
        <v>20</v>
      </c>
      <c r="F483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83" s="5" t="str">
        <f>VLOOKUP(Tabla38[[#This Row],[MOVIL]],[1]BD!$A$1:$P$3557,13,0)</f>
        <v>URBANO</v>
      </c>
    </row>
    <row r="484" spans="1:7" x14ac:dyDescent="0.25">
      <c r="A484" s="64">
        <v>4363</v>
      </c>
      <c r="B484" s="5">
        <f>+SUMIFS(Tabla16[Importe],Tabla16[MOVIL],Tabla38[[#This Row],[MOVIL]],Tabla16[OBSV],"DESCONTAR POR USO PERSONAL")</f>
        <v>0</v>
      </c>
      <c r="C484" s="5">
        <f>+SUMIFS(Tabla16[Importe],Tabla16[MOVIL],Tabla38[[#This Row],[MOVIL]],Tabla16[OBSV],"DESCONTAR POR INCIDENCIA")</f>
        <v>0</v>
      </c>
      <c r="D484" s="5">
        <f>+SUMIFS(Tabla16[Importe],Tabla16[MOVIL],Tabla38[[#This Row],[MOVIL]],Tabla16[OBSV],"DESCONTAR SERVICIO EN EFECTIVO")</f>
        <v>0</v>
      </c>
      <c r="E484" s="5">
        <f>+IFERROR(VLOOKUP(Tabla38[[#This Row],[MOVIL]],Tabla1[[#All],[MOVIL]:[COBRO POR NUEVA INCLUSIÓN]],4,FALSE),0)</f>
        <v>20</v>
      </c>
      <c r="F484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84" s="5" t="str">
        <f>VLOOKUP(Tabla38[[#This Row],[MOVIL]],[1]BD!$A$1:$P$3557,13,0)</f>
        <v>AEROLINEAS</v>
      </c>
    </row>
    <row r="485" spans="1:7" x14ac:dyDescent="0.25">
      <c r="A485" s="64">
        <v>3861</v>
      </c>
      <c r="B485" s="5">
        <f>+SUMIFS(Tabla16[Importe],Tabla16[MOVIL],Tabla38[[#This Row],[MOVIL]],Tabla16[OBSV],"DESCONTAR POR USO PERSONAL")</f>
        <v>0</v>
      </c>
      <c r="C485" s="5">
        <f>+SUMIFS(Tabla16[Importe],Tabla16[MOVIL],Tabla38[[#This Row],[MOVIL]],Tabla16[OBSV],"DESCONTAR POR INCIDENCIA")</f>
        <v>0</v>
      </c>
      <c r="D485" s="5">
        <f>+SUMIFS(Tabla16[Importe],Tabla16[MOVIL],Tabla38[[#This Row],[MOVIL]],Tabla16[OBSV],"DESCONTAR SERVICIO EN EFECTIVO")</f>
        <v>0</v>
      </c>
      <c r="E485" s="5">
        <f>+IFERROR(VLOOKUP(Tabla38[[#This Row],[MOVIL]],Tabla1[[#All],[MOVIL]:[COBRO POR NUEVA INCLUSIÓN]],4,FALSE),0)</f>
        <v>20</v>
      </c>
      <c r="F485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85" s="5" t="str">
        <f>VLOOKUP(Tabla38[[#This Row],[MOVIL]],[1]BD!$A$1:$P$3557,13,0)</f>
        <v>AEROPUERTO</v>
      </c>
    </row>
    <row r="486" spans="1:7" x14ac:dyDescent="0.25">
      <c r="A486" s="64">
        <v>2367</v>
      </c>
      <c r="B486" s="5">
        <f>+SUMIFS(Tabla16[Importe],Tabla16[MOVIL],Tabla38[[#This Row],[MOVIL]],Tabla16[OBSV],"DESCONTAR POR USO PERSONAL")</f>
        <v>0</v>
      </c>
      <c r="C486" s="5">
        <f>+SUMIFS(Tabla16[Importe],Tabla16[MOVIL],Tabla38[[#This Row],[MOVIL]],Tabla16[OBSV],"DESCONTAR POR INCIDENCIA")</f>
        <v>0</v>
      </c>
      <c r="D486" s="5">
        <f>+SUMIFS(Tabla16[Importe],Tabla16[MOVIL],Tabla38[[#This Row],[MOVIL]],Tabla16[OBSV],"DESCONTAR SERVICIO EN EFECTIVO")</f>
        <v>0</v>
      </c>
      <c r="E486" s="5">
        <f>+IFERROR(VLOOKUP(Tabla38[[#This Row],[MOVIL]],Tabla1[[#All],[MOVIL]:[COBRO POR NUEVA INCLUSIÓN]],4,FALSE),0)</f>
        <v>20</v>
      </c>
      <c r="F48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86" s="5" t="str">
        <f>VLOOKUP(Tabla38[[#This Row],[MOVIL]],[1]BD!$A$1:$P$3557,13,0)</f>
        <v>URBANO</v>
      </c>
    </row>
    <row r="487" spans="1:7" x14ac:dyDescent="0.25">
      <c r="A487" s="64">
        <v>4373</v>
      </c>
      <c r="B487" s="5">
        <f>+SUMIFS(Tabla16[Importe],Tabla16[MOVIL],Tabla38[[#This Row],[MOVIL]],Tabla16[OBSV],"DESCONTAR POR USO PERSONAL")</f>
        <v>0</v>
      </c>
      <c r="C487" s="5">
        <f>+SUMIFS(Tabla16[Importe],Tabla16[MOVIL],Tabla38[[#This Row],[MOVIL]],Tabla16[OBSV],"DESCONTAR POR INCIDENCIA")</f>
        <v>0</v>
      </c>
      <c r="D487" s="5">
        <f>+SUMIFS(Tabla16[Importe],Tabla16[MOVIL],Tabla38[[#This Row],[MOVIL]],Tabla16[OBSV],"DESCONTAR SERVICIO EN EFECTIVO")</f>
        <v>0</v>
      </c>
      <c r="E487" s="5">
        <f>+IFERROR(VLOOKUP(Tabla38[[#This Row],[MOVIL]],Tabla1[[#All],[MOVIL]:[COBRO POR NUEVA INCLUSIÓN]],4,FALSE),0)</f>
        <v>20</v>
      </c>
      <c r="F487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87" s="5" t="str">
        <f>VLOOKUP(Tabla38[[#This Row],[MOVIL]],[1]BD!$A$1:$P$3557,13,0)</f>
        <v>MEMBRESÍA NOCTURNA - APTO</v>
      </c>
    </row>
    <row r="488" spans="1:7" x14ac:dyDescent="0.25">
      <c r="A488" s="64">
        <v>3114</v>
      </c>
      <c r="B488" s="5">
        <f>+SUMIFS(Tabla16[Importe],Tabla16[MOVIL],Tabla38[[#This Row],[MOVIL]],Tabla16[OBSV],"DESCONTAR POR USO PERSONAL")</f>
        <v>0</v>
      </c>
      <c r="C488" s="5">
        <f>+SUMIFS(Tabla16[Importe],Tabla16[MOVIL],Tabla38[[#This Row],[MOVIL]],Tabla16[OBSV],"DESCONTAR POR INCIDENCIA")</f>
        <v>0</v>
      </c>
      <c r="D488" s="5">
        <f>+SUMIFS(Tabla16[Importe],Tabla16[MOVIL],Tabla38[[#This Row],[MOVIL]],Tabla16[OBSV],"DESCONTAR SERVICIO EN EFECTIVO")</f>
        <v>0</v>
      </c>
      <c r="E488" s="5">
        <f>+IFERROR(VLOOKUP(Tabla38[[#This Row],[MOVIL]],Tabla1[[#All],[MOVIL]:[COBRO POR NUEVA INCLUSIÓN]],4,FALSE),0)</f>
        <v>20</v>
      </c>
      <c r="F488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88" s="5" t="str">
        <f>VLOOKUP(Tabla38[[#This Row],[MOVIL]],[1]BD!$A$1:$P$3557,13,0)</f>
        <v>URBANO PARTNER</v>
      </c>
    </row>
    <row r="489" spans="1:7" x14ac:dyDescent="0.25">
      <c r="A489" s="8">
        <v>9281</v>
      </c>
      <c r="B489" s="5">
        <f>+SUMIFS(Tabla16[Importe],Tabla16[MOVIL],Tabla38[[#This Row],[MOVIL]],Tabla16[OBSV],"DESCONTAR POR USO PERSONAL")</f>
        <v>12.6</v>
      </c>
      <c r="C489" s="5">
        <f>+SUMIFS(Tabla16[Importe],Tabla16[MOVIL],Tabla38[[#This Row],[MOVIL]],Tabla16[OBSV],"DESCONTAR POR INCIDENCIA")</f>
        <v>0</v>
      </c>
      <c r="D489" s="5">
        <f>+SUMIFS(Tabla16[Importe],Tabla16[MOVIL],Tabla38[[#This Row],[MOVIL]],Tabla16[OBSV],"DESCONTAR SERVICIO EN EFECTIVO")</f>
        <v>0</v>
      </c>
      <c r="E489" s="5">
        <f>+IFERROR(VLOOKUP(Tabla38[[#This Row],[MOVIL]],Tabla1[[#All],[MOVIL]:[COBRO POR NUEVA INCLUSIÓN]],4,FALSE),0)</f>
        <v>20</v>
      </c>
      <c r="F489" s="5">
        <f>(Tabla38[[#This Row],[DESCUENTO POR USO PERSONAL PEX]]+Tabla38[[#This Row],[DESCUENTO POR INCIDENCIAS PEX]]+Tabla38[[#This Row],[DESCUENTO POR SERVICIOS EN EFECTIVO]]+Tabla38[[#This Row],[DESCUENTO POR NUEVA INCLUSION]])</f>
        <v>32.6</v>
      </c>
      <c r="G489" s="5" t="str">
        <f>VLOOKUP(Tabla38[[#This Row],[MOVIL]],[2]BD!$A$1:$P$256,13,0)</f>
        <v>JOCKEY PLAZA</v>
      </c>
    </row>
    <row r="490" spans="1:7" x14ac:dyDescent="0.25">
      <c r="A490" s="64">
        <v>2086</v>
      </c>
      <c r="B490" s="5">
        <f>+SUMIFS(Tabla16[Importe],Tabla16[MOVIL],Tabla38[[#This Row],[MOVIL]],Tabla16[OBSV],"DESCONTAR POR USO PERSONAL")</f>
        <v>0</v>
      </c>
      <c r="C490" s="5">
        <f>+SUMIFS(Tabla16[Importe],Tabla16[MOVIL],Tabla38[[#This Row],[MOVIL]],Tabla16[OBSV],"DESCONTAR POR INCIDENCIA")</f>
        <v>0</v>
      </c>
      <c r="D490" s="5">
        <f>+SUMIFS(Tabla16[Importe],Tabla16[MOVIL],Tabla38[[#This Row],[MOVIL]],Tabla16[OBSV],"DESCONTAR SERVICIO EN EFECTIVO")</f>
        <v>0</v>
      </c>
      <c r="E490" s="5">
        <f>+IFERROR(VLOOKUP(Tabla38[[#This Row],[MOVIL]],Tabla1[[#All],[MOVIL]:[COBRO POR NUEVA INCLUSIÓN]],4,FALSE),0)</f>
        <v>20</v>
      </c>
      <c r="F490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90" s="5" t="str">
        <f>VLOOKUP(Tabla38[[#This Row],[MOVIL]],[1]BD!$A$1:$P$3557,13,0)</f>
        <v>AEROPUERTO</v>
      </c>
    </row>
    <row r="491" spans="1:7" x14ac:dyDescent="0.25">
      <c r="A491" s="64">
        <v>1864</v>
      </c>
      <c r="B491" s="5">
        <f>+SUMIFS(Tabla16[Importe],Tabla16[MOVIL],Tabla38[[#This Row],[MOVIL]],Tabla16[OBSV],"DESCONTAR POR USO PERSONAL")</f>
        <v>6.3</v>
      </c>
      <c r="C491" s="5">
        <f>+SUMIFS(Tabla16[Importe],Tabla16[MOVIL],Tabla38[[#This Row],[MOVIL]],Tabla16[OBSV],"DESCONTAR POR INCIDENCIA")</f>
        <v>0</v>
      </c>
      <c r="D491" s="5">
        <f>+SUMIFS(Tabla16[Importe],Tabla16[MOVIL],Tabla38[[#This Row],[MOVIL]],Tabla16[OBSV],"DESCONTAR SERVICIO EN EFECTIVO")</f>
        <v>0</v>
      </c>
      <c r="E491" s="5">
        <f>+IFERROR(VLOOKUP(Tabla38[[#This Row],[MOVIL]],Tabla1[[#All],[MOVIL]:[COBRO POR NUEVA INCLUSIÓN]],4,FALSE),0)</f>
        <v>20</v>
      </c>
      <c r="F491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91" s="5" t="str">
        <f>VLOOKUP(Tabla38[[#This Row],[MOVIL]],[1]BD!$A$1:$P$3557,13,0)</f>
        <v>AEROLINEAS</v>
      </c>
    </row>
    <row r="492" spans="1:7" x14ac:dyDescent="0.25">
      <c r="A492" s="64">
        <v>3870</v>
      </c>
      <c r="B492" s="5">
        <f>+SUMIFS(Tabla16[Importe],Tabla16[MOVIL],Tabla38[[#This Row],[MOVIL]],Tabla16[OBSV],"DESCONTAR POR USO PERSONAL")</f>
        <v>0</v>
      </c>
      <c r="C492" s="5">
        <f>+SUMIFS(Tabla16[Importe],Tabla16[MOVIL],Tabla38[[#This Row],[MOVIL]],Tabla16[OBSV],"DESCONTAR POR INCIDENCIA")</f>
        <v>0</v>
      </c>
      <c r="D492" s="5">
        <f>+SUMIFS(Tabla16[Importe],Tabla16[MOVIL],Tabla38[[#This Row],[MOVIL]],Tabla16[OBSV],"DESCONTAR SERVICIO EN EFECTIVO")</f>
        <v>0</v>
      </c>
      <c r="E492" s="5">
        <f>+IFERROR(VLOOKUP(Tabla38[[#This Row],[MOVIL]],Tabla1[[#All],[MOVIL]:[COBRO POR NUEVA INCLUSIÓN]],4,FALSE),0)</f>
        <v>20</v>
      </c>
      <c r="F492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92" s="5" t="str">
        <f>VLOOKUP(Tabla38[[#This Row],[MOVIL]],[1]BD!$A$1:$P$3557,13,0)</f>
        <v>AEROPUERTO</v>
      </c>
    </row>
    <row r="493" spans="1:7" x14ac:dyDescent="0.25">
      <c r="A493" s="64">
        <v>3595</v>
      </c>
      <c r="B493" s="5">
        <f>+SUMIFS(Tabla16[Importe],Tabla16[MOVIL],Tabla38[[#This Row],[MOVIL]],Tabla16[OBSV],"DESCONTAR POR USO PERSONAL")</f>
        <v>0</v>
      </c>
      <c r="C493" s="5">
        <f>+SUMIFS(Tabla16[Importe],Tabla16[MOVIL],Tabla38[[#This Row],[MOVIL]],Tabla16[OBSV],"DESCONTAR POR INCIDENCIA")</f>
        <v>0</v>
      </c>
      <c r="D493" s="5">
        <f>+SUMIFS(Tabla16[Importe],Tabla16[MOVIL],Tabla38[[#This Row],[MOVIL]],Tabla16[OBSV],"DESCONTAR SERVICIO EN EFECTIVO")</f>
        <v>0</v>
      </c>
      <c r="E493" s="5">
        <f>+IFERROR(VLOOKUP(Tabla38[[#This Row],[MOVIL]],Tabla1[[#All],[MOVIL]:[COBRO POR NUEVA INCLUSIÓN]],4,FALSE),0)</f>
        <v>20</v>
      </c>
      <c r="F49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93" s="5" t="str">
        <f>VLOOKUP(Tabla38[[#This Row],[MOVIL]],[1]BD!$A$1:$P$3557,13,0)</f>
        <v>AEROPUERTO</v>
      </c>
    </row>
    <row r="494" spans="1:7" x14ac:dyDescent="0.25">
      <c r="A494" s="64">
        <v>9925</v>
      </c>
      <c r="B494" s="5">
        <f>+SUMIFS(Tabla16[Importe],Tabla16[MOVIL],Tabla38[[#This Row],[MOVIL]],Tabla16[OBSV],"DESCONTAR POR USO PERSONAL")</f>
        <v>25.2</v>
      </c>
      <c r="C494" s="5">
        <f>+SUMIFS(Tabla16[Importe],Tabla16[MOVIL],Tabla38[[#This Row],[MOVIL]],Tabla16[OBSV],"DESCONTAR POR INCIDENCIA")</f>
        <v>0</v>
      </c>
      <c r="D494" s="5">
        <f>+SUMIFS(Tabla16[Importe],Tabla16[MOVIL],Tabla38[[#This Row],[MOVIL]],Tabla16[OBSV],"DESCONTAR SERVICIO EN EFECTIVO")</f>
        <v>0</v>
      </c>
      <c r="E494" s="5">
        <f>+IFERROR(VLOOKUP(Tabla38[[#This Row],[MOVIL]],Tabla1[[#All],[MOVIL]:[COBRO POR NUEVA INCLUSIÓN]],4,FALSE),0)</f>
        <v>20</v>
      </c>
      <c r="F494" s="5">
        <f>(Tabla38[[#This Row],[DESCUENTO POR USO PERSONAL PEX]]+Tabla38[[#This Row],[DESCUENTO POR INCIDENCIAS PEX]]+Tabla38[[#This Row],[DESCUENTO POR SERVICIOS EN EFECTIVO]]+Tabla38[[#This Row],[DESCUENTO POR NUEVA INCLUSION]])</f>
        <v>45.2</v>
      </c>
      <c r="G494" s="5" t="str">
        <f>VLOOKUP(Tabla38[[#This Row],[MOVIL]],[1]BD!$A$1:$P$3557,13,0)</f>
        <v>AEROLINEAS</v>
      </c>
    </row>
    <row r="495" spans="1:7" x14ac:dyDescent="0.25">
      <c r="A495" s="64">
        <v>4027</v>
      </c>
      <c r="B495" s="5">
        <f>+SUMIFS(Tabla16[Importe],Tabla16[MOVIL],Tabla38[[#This Row],[MOVIL]],Tabla16[OBSV],"DESCONTAR POR USO PERSONAL")</f>
        <v>6.3</v>
      </c>
      <c r="C495" s="5">
        <f>+SUMIFS(Tabla16[Importe],Tabla16[MOVIL],Tabla38[[#This Row],[MOVIL]],Tabla16[OBSV],"DESCONTAR POR INCIDENCIA")</f>
        <v>0</v>
      </c>
      <c r="D495" s="5">
        <f>+SUMIFS(Tabla16[Importe],Tabla16[MOVIL],Tabla38[[#This Row],[MOVIL]],Tabla16[OBSV],"DESCONTAR SERVICIO EN EFECTIVO")</f>
        <v>0</v>
      </c>
      <c r="E495" s="5">
        <f>+IFERROR(VLOOKUP(Tabla38[[#This Row],[MOVIL]],Tabla1[[#All],[MOVIL]:[COBRO POR NUEVA INCLUSIÓN]],4,FALSE),0)</f>
        <v>20</v>
      </c>
      <c r="F495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  <c r="G495" s="5" t="str">
        <f>VLOOKUP(Tabla38[[#This Row],[MOVIL]],[1]BD!$A$1:$P$3557,13,0)</f>
        <v>AEROLINEAS</v>
      </c>
    </row>
    <row r="496" spans="1:7" x14ac:dyDescent="0.25">
      <c r="A496" s="64">
        <v>4284</v>
      </c>
      <c r="B496" s="5">
        <f>+SUMIFS(Tabla16[Importe],Tabla16[MOVIL],Tabla38[[#This Row],[MOVIL]],Tabla16[OBSV],"DESCONTAR POR USO PERSONAL")</f>
        <v>0</v>
      </c>
      <c r="C496" s="5">
        <f>+SUMIFS(Tabla16[Importe],Tabla16[MOVIL],Tabla38[[#This Row],[MOVIL]],Tabla16[OBSV],"DESCONTAR POR INCIDENCIA")</f>
        <v>0</v>
      </c>
      <c r="D496" s="5">
        <f>+SUMIFS(Tabla16[Importe],Tabla16[MOVIL],Tabla38[[#This Row],[MOVIL]],Tabla16[OBSV],"DESCONTAR SERVICIO EN EFECTIVO")</f>
        <v>0</v>
      </c>
      <c r="E496" s="5">
        <f>+IFERROR(VLOOKUP(Tabla38[[#This Row],[MOVIL]],Tabla1[[#All],[MOVIL]:[COBRO POR NUEVA INCLUSIÓN]],4,FALSE),0)</f>
        <v>20</v>
      </c>
      <c r="F496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96" s="5" t="str">
        <f>VLOOKUP(Tabla38[[#This Row],[MOVIL]],[1]BD!$A$1:$P$3557,13,0)</f>
        <v>AEROLINEAS</v>
      </c>
    </row>
    <row r="497" spans="2:6" x14ac:dyDescent="0.25">
      <c r="B497" s="5">
        <f>SUM(B2:B496)</f>
        <v>7560.0000000000073</v>
      </c>
      <c r="C497" s="5">
        <f>SUM(C2:C496)</f>
        <v>1089.8999999999996</v>
      </c>
      <c r="D497" s="5">
        <f>SUM(D2:D496)</f>
        <v>1102.5</v>
      </c>
      <c r="E497" s="5">
        <f>SUM(E2:E496)</f>
        <v>1060</v>
      </c>
      <c r="F497" s="5">
        <f>SUM(F2:F496)</f>
        <v>10812.400000000003</v>
      </c>
    </row>
  </sheetData>
  <conditionalFormatting sqref="A1">
    <cfRule type="duplicateValues" dxfId="647" priority="18"/>
  </conditionalFormatting>
  <conditionalFormatting sqref="A2:A496">
    <cfRule type="duplicateValues" dxfId="646" priority="264565"/>
    <cfRule type="duplicateValues" dxfId="645" priority="264566"/>
    <cfRule type="duplicateValues" dxfId="644" priority="264567"/>
    <cfRule type="duplicateValues" dxfId="643" priority="264568"/>
    <cfRule type="duplicateValues" dxfId="642" priority="264569"/>
    <cfRule type="duplicateValues" dxfId="641" priority="264570"/>
    <cfRule type="duplicateValues" dxfId="640" priority="264571"/>
    <cfRule type="duplicateValues" dxfId="639" priority="264572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95"/>
  <sheetViews>
    <sheetView topLeftCell="A461" zoomScale="90" zoomScaleNormal="90" workbookViewId="0">
      <selection activeCell="D443" sqref="D443"/>
    </sheetView>
  </sheetViews>
  <sheetFormatPr baseColWidth="10" defaultColWidth="11.42578125" defaultRowHeight="15" x14ac:dyDescent="0.2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 x14ac:dyDescent="0.25">
      <c r="A1" s="10" t="s">
        <v>48</v>
      </c>
      <c r="B1" s="11" t="s">
        <v>11</v>
      </c>
      <c r="C1" s="12" t="s">
        <v>49</v>
      </c>
      <c r="D1" s="26" t="s">
        <v>395</v>
      </c>
      <c r="E1" s="11" t="s">
        <v>50</v>
      </c>
    </row>
    <row r="2" spans="1:5" ht="15.6" customHeight="1" x14ac:dyDescent="0.25">
      <c r="A2" s="54" t="s">
        <v>326</v>
      </c>
      <c r="B2" s="31">
        <v>717</v>
      </c>
      <c r="C2" s="32" t="s">
        <v>52</v>
      </c>
      <c r="D2" s="33" t="s">
        <v>324</v>
      </c>
      <c r="E2" s="34"/>
    </row>
    <row r="3" spans="1:5" x14ac:dyDescent="0.25">
      <c r="A3" s="54" t="s">
        <v>51</v>
      </c>
      <c r="B3" s="31">
        <v>210</v>
      </c>
      <c r="C3" s="32" t="s">
        <v>52</v>
      </c>
      <c r="D3" s="33" t="s">
        <v>324</v>
      </c>
      <c r="E3" s="56"/>
    </row>
    <row r="4" spans="1:5" x14ac:dyDescent="0.25">
      <c r="A4" s="30" t="s">
        <v>287</v>
      </c>
      <c r="B4" s="31">
        <v>2246</v>
      </c>
      <c r="C4" s="32" t="s">
        <v>52</v>
      </c>
      <c r="D4" s="33" t="s">
        <v>324</v>
      </c>
      <c r="E4" s="56"/>
    </row>
    <row r="5" spans="1:5" x14ac:dyDescent="0.25">
      <c r="A5" s="30" t="s">
        <v>118</v>
      </c>
      <c r="B5" s="31">
        <v>1981</v>
      </c>
      <c r="C5" s="32" t="s">
        <v>52</v>
      </c>
      <c r="D5" s="33" t="s">
        <v>324</v>
      </c>
      <c r="E5" s="56"/>
    </row>
    <row r="6" spans="1:5" x14ac:dyDescent="0.25">
      <c r="A6" s="30" t="s">
        <v>61</v>
      </c>
      <c r="B6" s="31">
        <v>772</v>
      </c>
      <c r="C6" s="32" t="s">
        <v>52</v>
      </c>
      <c r="D6" s="33" t="s">
        <v>324</v>
      </c>
      <c r="E6" s="56"/>
    </row>
    <row r="7" spans="1:5" x14ac:dyDescent="0.25">
      <c r="A7" s="30" t="s">
        <v>129</v>
      </c>
      <c r="B7" s="31">
        <v>3243</v>
      </c>
      <c r="C7" s="32" t="s">
        <v>52</v>
      </c>
      <c r="D7" s="33" t="s">
        <v>324</v>
      </c>
      <c r="E7" s="56"/>
    </row>
    <row r="8" spans="1:5" x14ac:dyDescent="0.25">
      <c r="A8" s="30" t="s">
        <v>166</v>
      </c>
      <c r="B8" s="31">
        <v>9214</v>
      </c>
      <c r="C8" s="32" t="s">
        <v>52</v>
      </c>
      <c r="D8" s="33" t="s">
        <v>324</v>
      </c>
      <c r="E8" s="56"/>
    </row>
    <row r="9" spans="1:5" x14ac:dyDescent="0.25">
      <c r="A9" s="30" t="s">
        <v>57</v>
      </c>
      <c r="B9" s="31">
        <v>674</v>
      </c>
      <c r="C9" s="32" t="s">
        <v>52</v>
      </c>
      <c r="D9" s="33" t="s">
        <v>324</v>
      </c>
      <c r="E9" s="56"/>
    </row>
    <row r="10" spans="1:5" x14ac:dyDescent="0.25">
      <c r="A10" s="30" t="s">
        <v>55</v>
      </c>
      <c r="B10" s="31">
        <v>230</v>
      </c>
      <c r="C10" s="32" t="s">
        <v>52</v>
      </c>
      <c r="D10" s="33" t="s">
        <v>324</v>
      </c>
      <c r="E10" s="56"/>
    </row>
    <row r="11" spans="1:5" x14ac:dyDescent="0.25">
      <c r="A11" s="30" t="s">
        <v>169</v>
      </c>
      <c r="B11" s="31">
        <v>7090</v>
      </c>
      <c r="C11" s="32" t="s">
        <v>52</v>
      </c>
      <c r="D11" s="33" t="s">
        <v>324</v>
      </c>
      <c r="E11" s="56"/>
    </row>
    <row r="12" spans="1:5" x14ac:dyDescent="0.25">
      <c r="A12" s="30" t="s">
        <v>194</v>
      </c>
      <c r="B12" s="31">
        <v>1524</v>
      </c>
      <c r="C12" s="32" t="s">
        <v>52</v>
      </c>
      <c r="D12" s="33" t="s">
        <v>324</v>
      </c>
      <c r="E12" s="56"/>
    </row>
    <row r="13" spans="1:5" x14ac:dyDescent="0.25">
      <c r="A13" s="30" t="s">
        <v>132</v>
      </c>
      <c r="B13" s="31">
        <v>7065</v>
      </c>
      <c r="C13" s="32" t="s">
        <v>52</v>
      </c>
      <c r="D13" s="33" t="s">
        <v>324</v>
      </c>
      <c r="E13" s="56"/>
    </row>
    <row r="14" spans="1:5" x14ac:dyDescent="0.25">
      <c r="A14" s="30" t="s">
        <v>60</v>
      </c>
      <c r="B14" s="31">
        <v>766</v>
      </c>
      <c r="C14" s="32" t="s">
        <v>52</v>
      </c>
      <c r="D14" s="33" t="s">
        <v>324</v>
      </c>
      <c r="E14" s="56"/>
    </row>
    <row r="15" spans="1:5" x14ac:dyDescent="0.25">
      <c r="A15" s="30" t="s">
        <v>124</v>
      </c>
      <c r="B15" s="31">
        <v>2308</v>
      </c>
      <c r="C15" s="32" t="s">
        <v>52</v>
      </c>
      <c r="D15" s="33" t="s">
        <v>324</v>
      </c>
      <c r="E15" s="56"/>
    </row>
    <row r="16" spans="1:5" x14ac:dyDescent="0.25">
      <c r="A16" s="30" t="s">
        <v>253</v>
      </c>
      <c r="B16" s="31">
        <v>826</v>
      </c>
      <c r="C16" s="32" t="s">
        <v>52</v>
      </c>
      <c r="D16" s="33" t="s">
        <v>324</v>
      </c>
      <c r="E16" s="56"/>
    </row>
    <row r="17" spans="1:5" x14ac:dyDescent="0.25">
      <c r="A17" s="30" t="s">
        <v>471</v>
      </c>
      <c r="B17" s="31">
        <v>7045</v>
      </c>
      <c r="C17" s="32" t="s">
        <v>52</v>
      </c>
      <c r="D17" s="33" t="s">
        <v>324</v>
      </c>
      <c r="E17" s="56"/>
    </row>
    <row r="18" spans="1:5" x14ac:dyDescent="0.25">
      <c r="A18" s="30" t="s">
        <v>986</v>
      </c>
      <c r="B18" s="31">
        <v>3683</v>
      </c>
      <c r="C18" s="32" t="s">
        <v>52</v>
      </c>
      <c r="D18" s="33" t="s">
        <v>324</v>
      </c>
      <c r="E18" s="56"/>
    </row>
    <row r="19" spans="1:5" x14ac:dyDescent="0.25">
      <c r="A19" s="30" t="s">
        <v>106</v>
      </c>
      <c r="B19" s="31">
        <v>9259</v>
      </c>
      <c r="C19" s="32" t="s">
        <v>52</v>
      </c>
      <c r="D19" s="33" t="s">
        <v>324</v>
      </c>
      <c r="E19" s="56"/>
    </row>
    <row r="20" spans="1:5" x14ac:dyDescent="0.25">
      <c r="A20" s="30" t="s">
        <v>126</v>
      </c>
      <c r="B20" s="31">
        <v>2463</v>
      </c>
      <c r="C20" s="32" t="s">
        <v>52</v>
      </c>
      <c r="D20" s="33" t="s">
        <v>324</v>
      </c>
      <c r="E20" s="56"/>
    </row>
    <row r="21" spans="1:5" x14ac:dyDescent="0.25">
      <c r="A21" s="30" t="s">
        <v>189</v>
      </c>
      <c r="B21" s="31">
        <v>9761</v>
      </c>
      <c r="C21" s="32" t="s">
        <v>52</v>
      </c>
      <c r="D21" s="33" t="s">
        <v>324</v>
      </c>
      <c r="E21" s="56"/>
    </row>
    <row r="22" spans="1:5" x14ac:dyDescent="0.25">
      <c r="A22" s="30" t="s">
        <v>158</v>
      </c>
      <c r="B22" s="31">
        <v>9226</v>
      </c>
      <c r="C22" s="32" t="s">
        <v>52</v>
      </c>
      <c r="D22" s="33" t="s">
        <v>324</v>
      </c>
      <c r="E22" s="56"/>
    </row>
    <row r="23" spans="1:5" x14ac:dyDescent="0.25">
      <c r="A23" s="30" t="s">
        <v>260</v>
      </c>
      <c r="B23" s="31">
        <v>2848</v>
      </c>
      <c r="C23" s="32" t="s">
        <v>52</v>
      </c>
      <c r="D23" s="33" t="s">
        <v>324</v>
      </c>
      <c r="E23" s="56"/>
    </row>
    <row r="24" spans="1:5" x14ac:dyDescent="0.25">
      <c r="A24" s="30" t="s">
        <v>62</v>
      </c>
      <c r="B24" s="31">
        <v>790</v>
      </c>
      <c r="C24" s="32" t="s">
        <v>52</v>
      </c>
      <c r="D24" s="33" t="s">
        <v>324</v>
      </c>
      <c r="E24" s="56"/>
    </row>
    <row r="25" spans="1:5" x14ac:dyDescent="0.25">
      <c r="A25" s="30" t="s">
        <v>105</v>
      </c>
      <c r="B25" s="31">
        <v>7438</v>
      </c>
      <c r="C25" s="32" t="s">
        <v>52</v>
      </c>
      <c r="D25" s="33" t="s">
        <v>324</v>
      </c>
      <c r="E25" s="56"/>
    </row>
    <row r="26" spans="1:5" x14ac:dyDescent="0.25">
      <c r="A26" s="30" t="s">
        <v>112</v>
      </c>
      <c r="B26" s="31">
        <v>529</v>
      </c>
      <c r="C26" s="32" t="s">
        <v>52</v>
      </c>
      <c r="D26" s="33" t="s">
        <v>324</v>
      </c>
      <c r="E26" s="56"/>
    </row>
    <row r="27" spans="1:5" x14ac:dyDescent="0.25">
      <c r="A27" s="30" t="s">
        <v>399</v>
      </c>
      <c r="B27" s="31">
        <v>660</v>
      </c>
      <c r="C27" s="32" t="s">
        <v>52</v>
      </c>
      <c r="D27" s="33" t="s">
        <v>324</v>
      </c>
      <c r="E27" s="56"/>
    </row>
    <row r="28" spans="1:5" x14ac:dyDescent="0.25">
      <c r="A28" s="30" t="s">
        <v>1206</v>
      </c>
      <c r="B28" s="31">
        <v>5162</v>
      </c>
      <c r="C28" s="32" t="s">
        <v>52</v>
      </c>
      <c r="D28" s="33" t="s">
        <v>324</v>
      </c>
      <c r="E28" s="56"/>
    </row>
    <row r="29" spans="1:5" x14ac:dyDescent="0.25">
      <c r="A29" s="30" t="s">
        <v>288</v>
      </c>
      <c r="B29" s="31">
        <v>3775</v>
      </c>
      <c r="C29" s="32" t="s">
        <v>52</v>
      </c>
      <c r="D29" s="33" t="s">
        <v>324</v>
      </c>
      <c r="E29" s="56"/>
    </row>
    <row r="30" spans="1:5" x14ac:dyDescent="0.25">
      <c r="A30" s="30" t="s">
        <v>123</v>
      </c>
      <c r="B30" s="31">
        <v>2278</v>
      </c>
      <c r="C30" s="32" t="s">
        <v>52</v>
      </c>
      <c r="D30" s="33" t="s">
        <v>324</v>
      </c>
      <c r="E30" s="56"/>
    </row>
    <row r="31" spans="1:5" x14ac:dyDescent="0.25">
      <c r="A31" s="30" t="s">
        <v>160</v>
      </c>
      <c r="B31" s="31">
        <v>2736</v>
      </c>
      <c r="C31" s="32" t="s">
        <v>52</v>
      </c>
      <c r="D31" s="33" t="s">
        <v>324</v>
      </c>
      <c r="E31" s="56"/>
    </row>
    <row r="32" spans="1:5" x14ac:dyDescent="0.25">
      <c r="A32" s="30" t="s">
        <v>219</v>
      </c>
      <c r="B32" s="31">
        <v>1445</v>
      </c>
      <c r="C32" s="32" t="s">
        <v>52</v>
      </c>
      <c r="D32" s="33" t="s">
        <v>324</v>
      </c>
      <c r="E32" s="56"/>
    </row>
    <row r="33" spans="1:5" x14ac:dyDescent="0.25">
      <c r="A33" s="30" t="s">
        <v>285</v>
      </c>
      <c r="B33" s="31">
        <v>1226</v>
      </c>
      <c r="C33" s="32" t="s">
        <v>52</v>
      </c>
      <c r="D33" s="33" t="s">
        <v>324</v>
      </c>
      <c r="E33" s="56"/>
    </row>
    <row r="34" spans="1:5" x14ac:dyDescent="0.25">
      <c r="A34" s="30" t="s">
        <v>114</v>
      </c>
      <c r="B34" s="31">
        <v>553</v>
      </c>
      <c r="C34" s="32" t="s">
        <v>52</v>
      </c>
      <c r="D34" s="33" t="s">
        <v>324</v>
      </c>
      <c r="E34" s="56"/>
    </row>
    <row r="35" spans="1:5" x14ac:dyDescent="0.25">
      <c r="A35" s="30" t="s">
        <v>265</v>
      </c>
      <c r="B35" s="31">
        <v>3160</v>
      </c>
      <c r="C35" s="32" t="s">
        <v>52</v>
      </c>
      <c r="D35" s="33" t="s">
        <v>324</v>
      </c>
      <c r="E35" s="56"/>
    </row>
    <row r="36" spans="1:5" x14ac:dyDescent="0.25">
      <c r="A36" s="53" t="s">
        <v>221</v>
      </c>
      <c r="B36" s="52">
        <v>9604</v>
      </c>
      <c r="C36" s="32" t="s">
        <v>52</v>
      </c>
      <c r="D36" s="33" t="s">
        <v>324</v>
      </c>
      <c r="E36" s="56"/>
    </row>
    <row r="37" spans="1:5" x14ac:dyDescent="0.25">
      <c r="A37" s="30" t="s">
        <v>64</v>
      </c>
      <c r="B37" s="31">
        <v>807</v>
      </c>
      <c r="C37" s="32" t="s">
        <v>52</v>
      </c>
      <c r="D37" s="33" t="s">
        <v>324</v>
      </c>
      <c r="E37" s="56"/>
    </row>
    <row r="38" spans="1:5" x14ac:dyDescent="0.25">
      <c r="A38" s="30" t="s">
        <v>213</v>
      </c>
      <c r="B38" s="31">
        <v>1537</v>
      </c>
      <c r="C38" s="32" t="s">
        <v>52</v>
      </c>
      <c r="D38" s="33" t="s">
        <v>324</v>
      </c>
      <c r="E38" s="56"/>
    </row>
    <row r="39" spans="1:5" x14ac:dyDescent="0.25">
      <c r="A39" s="30" t="s">
        <v>202</v>
      </c>
      <c r="B39" s="31">
        <v>1673</v>
      </c>
      <c r="C39" s="32" t="s">
        <v>52</v>
      </c>
      <c r="D39" s="33" t="s">
        <v>324</v>
      </c>
      <c r="E39" s="56"/>
    </row>
    <row r="40" spans="1:5" x14ac:dyDescent="0.25">
      <c r="A40" s="30" t="s">
        <v>164</v>
      </c>
      <c r="B40" s="31">
        <v>221</v>
      </c>
      <c r="C40" s="32" t="s">
        <v>52</v>
      </c>
      <c r="D40" s="33" t="s">
        <v>324</v>
      </c>
      <c r="E40" s="56"/>
    </row>
    <row r="41" spans="1:5" x14ac:dyDescent="0.25">
      <c r="A41" s="30" t="s">
        <v>155</v>
      </c>
      <c r="B41" s="31">
        <v>666</v>
      </c>
      <c r="C41" s="32" t="s">
        <v>52</v>
      </c>
      <c r="D41" s="33" t="s">
        <v>324</v>
      </c>
      <c r="E41" s="56"/>
    </row>
    <row r="42" spans="1:5" x14ac:dyDescent="0.25">
      <c r="A42" s="30" t="s">
        <v>163</v>
      </c>
      <c r="B42" s="31">
        <v>9245</v>
      </c>
      <c r="C42" s="32" t="s">
        <v>52</v>
      </c>
      <c r="D42" s="33" t="s">
        <v>324</v>
      </c>
      <c r="E42" s="56"/>
    </row>
    <row r="43" spans="1:5" x14ac:dyDescent="0.25">
      <c r="A43" s="30" t="s">
        <v>117</v>
      </c>
      <c r="B43" s="31">
        <v>1915</v>
      </c>
      <c r="C43" s="32" t="s">
        <v>52</v>
      </c>
      <c r="D43" s="33" t="s">
        <v>324</v>
      </c>
      <c r="E43" s="56"/>
    </row>
    <row r="44" spans="1:5" x14ac:dyDescent="0.25">
      <c r="A44" s="30" t="s">
        <v>131</v>
      </c>
      <c r="B44" s="31">
        <v>5142</v>
      </c>
      <c r="C44" s="32" t="s">
        <v>52</v>
      </c>
      <c r="D44" s="33" t="s">
        <v>324</v>
      </c>
      <c r="E44" s="56"/>
    </row>
    <row r="45" spans="1:5" x14ac:dyDescent="0.25">
      <c r="A45" s="30" t="s">
        <v>100</v>
      </c>
      <c r="B45" s="31">
        <v>3289</v>
      </c>
      <c r="C45" s="32" t="s">
        <v>52</v>
      </c>
      <c r="D45" s="33" t="s">
        <v>324</v>
      </c>
      <c r="E45" s="56"/>
    </row>
    <row r="46" spans="1:5" x14ac:dyDescent="0.25">
      <c r="A46" s="30" t="s">
        <v>130</v>
      </c>
      <c r="B46" s="31">
        <v>5032</v>
      </c>
      <c r="C46" s="32" t="s">
        <v>52</v>
      </c>
      <c r="D46" s="33" t="s">
        <v>324</v>
      </c>
      <c r="E46" s="56"/>
    </row>
    <row r="47" spans="1:5" x14ac:dyDescent="0.25">
      <c r="A47" s="30" t="s">
        <v>115</v>
      </c>
      <c r="B47" s="31">
        <v>680</v>
      </c>
      <c r="C47" s="32" t="s">
        <v>52</v>
      </c>
      <c r="D47" s="33" t="s">
        <v>324</v>
      </c>
      <c r="E47" s="56"/>
    </row>
    <row r="48" spans="1:5" x14ac:dyDescent="0.25">
      <c r="A48" s="30" t="s">
        <v>154</v>
      </c>
      <c r="B48" s="31">
        <v>1601</v>
      </c>
      <c r="C48" s="32" t="s">
        <v>52</v>
      </c>
      <c r="D48" s="33" t="s">
        <v>324</v>
      </c>
      <c r="E48" s="56"/>
    </row>
    <row r="49" spans="1:5" x14ac:dyDescent="0.25">
      <c r="A49" s="30" t="s">
        <v>66</v>
      </c>
      <c r="B49" s="31">
        <v>831</v>
      </c>
      <c r="C49" s="32" t="s">
        <v>52</v>
      </c>
      <c r="D49" s="33" t="s">
        <v>324</v>
      </c>
      <c r="E49" s="56"/>
    </row>
    <row r="50" spans="1:5" x14ac:dyDescent="0.25">
      <c r="A50" s="30" t="s">
        <v>90</v>
      </c>
      <c r="B50" s="31">
        <v>1532</v>
      </c>
      <c r="C50" s="32" t="s">
        <v>52</v>
      </c>
      <c r="D50" s="33" t="s">
        <v>324</v>
      </c>
      <c r="E50" s="56"/>
    </row>
    <row r="51" spans="1:5" x14ac:dyDescent="0.25">
      <c r="A51" s="30" t="s">
        <v>152</v>
      </c>
      <c r="B51" s="31">
        <v>7027</v>
      </c>
      <c r="C51" s="32" t="s">
        <v>52</v>
      </c>
      <c r="D51" s="33" t="s">
        <v>324</v>
      </c>
      <c r="E51" s="56"/>
    </row>
    <row r="52" spans="1:5" x14ac:dyDescent="0.25">
      <c r="A52" s="30" t="s">
        <v>254</v>
      </c>
      <c r="B52" s="31">
        <v>1875</v>
      </c>
      <c r="C52" s="32" t="s">
        <v>52</v>
      </c>
      <c r="D52" s="33" t="s">
        <v>324</v>
      </c>
      <c r="E52" s="56"/>
    </row>
    <row r="53" spans="1:5" x14ac:dyDescent="0.25">
      <c r="A53" s="30" t="s">
        <v>128</v>
      </c>
      <c r="B53" s="31">
        <v>2547</v>
      </c>
      <c r="C53" s="32" t="s">
        <v>52</v>
      </c>
      <c r="D53" s="33" t="s">
        <v>324</v>
      </c>
      <c r="E53" s="56"/>
    </row>
    <row r="54" spans="1:5" x14ac:dyDescent="0.25">
      <c r="A54" s="30" t="s">
        <v>261</v>
      </c>
      <c r="B54" s="31">
        <v>9626</v>
      </c>
      <c r="C54" s="32" t="s">
        <v>52</v>
      </c>
      <c r="D54" s="33" t="s">
        <v>324</v>
      </c>
      <c r="E54" s="56"/>
    </row>
    <row r="55" spans="1:5" x14ac:dyDescent="0.25">
      <c r="A55" s="30" t="s">
        <v>56</v>
      </c>
      <c r="B55" s="31">
        <v>251</v>
      </c>
      <c r="C55" s="32" t="s">
        <v>52</v>
      </c>
      <c r="D55" s="33" t="s">
        <v>324</v>
      </c>
      <c r="E55" s="56"/>
    </row>
    <row r="56" spans="1:5" x14ac:dyDescent="0.25">
      <c r="A56" s="30" t="s">
        <v>107</v>
      </c>
      <c r="B56" s="31">
        <v>301</v>
      </c>
      <c r="C56" s="32" t="s">
        <v>52</v>
      </c>
      <c r="D56" s="33" t="s">
        <v>324</v>
      </c>
      <c r="E56" s="56"/>
    </row>
    <row r="57" spans="1:5" x14ac:dyDescent="0.25">
      <c r="A57" s="30" t="s">
        <v>187</v>
      </c>
      <c r="B57" s="31">
        <v>3703</v>
      </c>
      <c r="C57" s="32" t="s">
        <v>52</v>
      </c>
      <c r="D57" s="33" t="s">
        <v>324</v>
      </c>
      <c r="E57" s="56"/>
    </row>
    <row r="58" spans="1:5" x14ac:dyDescent="0.25">
      <c r="A58" s="30" t="s">
        <v>108</v>
      </c>
      <c r="B58" s="31">
        <v>380</v>
      </c>
      <c r="C58" s="32" t="s">
        <v>52</v>
      </c>
      <c r="D58" s="33" t="s">
        <v>324</v>
      </c>
      <c r="E58" s="56"/>
    </row>
    <row r="59" spans="1:5" x14ac:dyDescent="0.25">
      <c r="A59" s="30" t="s">
        <v>54</v>
      </c>
      <c r="B59" s="31">
        <v>227</v>
      </c>
      <c r="C59" s="32" t="s">
        <v>52</v>
      </c>
      <c r="D59" s="33" t="s">
        <v>324</v>
      </c>
      <c r="E59" s="56"/>
    </row>
    <row r="60" spans="1:5" x14ac:dyDescent="0.25">
      <c r="A60" s="30" t="s">
        <v>125</v>
      </c>
      <c r="B60" s="31">
        <v>2441</v>
      </c>
      <c r="C60" s="32" t="s">
        <v>52</v>
      </c>
      <c r="D60" s="33" t="s">
        <v>324</v>
      </c>
      <c r="E60" s="56"/>
    </row>
    <row r="61" spans="1:5" x14ac:dyDescent="0.25">
      <c r="A61" s="30" t="s">
        <v>327</v>
      </c>
      <c r="B61" s="31">
        <v>658</v>
      </c>
      <c r="C61" s="32" t="s">
        <v>52</v>
      </c>
      <c r="D61" s="33" t="s">
        <v>324</v>
      </c>
      <c r="E61" s="56"/>
    </row>
    <row r="62" spans="1:5" x14ac:dyDescent="0.25">
      <c r="A62" s="30" t="s">
        <v>201</v>
      </c>
      <c r="B62" s="31">
        <v>3041</v>
      </c>
      <c r="C62" s="32" t="s">
        <v>52</v>
      </c>
      <c r="D62" s="33" t="s">
        <v>324</v>
      </c>
      <c r="E62" s="56"/>
    </row>
    <row r="63" spans="1:5" x14ac:dyDescent="0.25">
      <c r="A63" s="30" t="s">
        <v>220</v>
      </c>
      <c r="B63" s="31">
        <v>9004</v>
      </c>
      <c r="C63" s="32" t="s">
        <v>52</v>
      </c>
      <c r="D63" s="33" t="s">
        <v>324</v>
      </c>
      <c r="E63" s="56"/>
    </row>
    <row r="64" spans="1:5" x14ac:dyDescent="0.25">
      <c r="A64" s="30" t="s">
        <v>328</v>
      </c>
      <c r="B64" s="31">
        <v>1576</v>
      </c>
      <c r="C64" s="32" t="s">
        <v>52</v>
      </c>
      <c r="D64" s="33" t="s">
        <v>324</v>
      </c>
      <c r="E64" s="56"/>
    </row>
    <row r="65" spans="1:5" x14ac:dyDescent="0.25">
      <c r="A65" s="30" t="s">
        <v>193</v>
      </c>
      <c r="B65" s="31">
        <v>9636</v>
      </c>
      <c r="C65" s="32" t="s">
        <v>52</v>
      </c>
      <c r="D65" s="33" t="s">
        <v>324</v>
      </c>
      <c r="E65" s="56"/>
    </row>
    <row r="66" spans="1:5" x14ac:dyDescent="0.25">
      <c r="A66" s="30" t="s">
        <v>133</v>
      </c>
      <c r="B66" s="31">
        <v>9991</v>
      </c>
      <c r="C66" s="32" t="s">
        <v>52</v>
      </c>
      <c r="D66" s="33" t="s">
        <v>324</v>
      </c>
      <c r="E66" s="56"/>
    </row>
    <row r="67" spans="1:5" x14ac:dyDescent="0.25">
      <c r="A67" s="30" t="s">
        <v>63</v>
      </c>
      <c r="B67" s="31">
        <v>795</v>
      </c>
      <c r="C67" s="32" t="s">
        <v>52</v>
      </c>
      <c r="D67" s="33" t="s">
        <v>324</v>
      </c>
      <c r="E67" s="56"/>
    </row>
    <row r="68" spans="1:5" x14ac:dyDescent="0.25">
      <c r="A68" s="30" t="s">
        <v>78</v>
      </c>
      <c r="B68" s="31">
        <v>1447</v>
      </c>
      <c r="C68" s="32" t="s">
        <v>52</v>
      </c>
      <c r="D68" s="33" t="s">
        <v>325</v>
      </c>
      <c r="E68" s="56"/>
    </row>
    <row r="69" spans="1:5" x14ac:dyDescent="0.25">
      <c r="A69" s="30" t="s">
        <v>84</v>
      </c>
      <c r="B69" s="31">
        <v>4286</v>
      </c>
      <c r="C69" s="32" t="s">
        <v>52</v>
      </c>
      <c r="D69" s="33" t="s">
        <v>324</v>
      </c>
      <c r="E69" s="56"/>
    </row>
    <row r="70" spans="1:5" x14ac:dyDescent="0.25">
      <c r="A70" s="30" t="s">
        <v>329</v>
      </c>
      <c r="B70" s="31">
        <v>9424</v>
      </c>
      <c r="C70" s="32" t="s">
        <v>52</v>
      </c>
      <c r="D70" s="33" t="s">
        <v>324</v>
      </c>
      <c r="E70" s="56"/>
    </row>
    <row r="71" spans="1:5" x14ac:dyDescent="0.25">
      <c r="A71" s="30" t="s">
        <v>75</v>
      </c>
      <c r="B71" s="31">
        <v>1416</v>
      </c>
      <c r="C71" s="32" t="s">
        <v>52</v>
      </c>
      <c r="D71" s="33" t="s">
        <v>324</v>
      </c>
      <c r="E71" s="56"/>
    </row>
    <row r="72" spans="1:5" x14ac:dyDescent="0.25">
      <c r="A72" s="30" t="s">
        <v>419</v>
      </c>
      <c r="B72" s="31">
        <v>2520</v>
      </c>
      <c r="C72" s="32" t="s">
        <v>52</v>
      </c>
      <c r="D72" s="33" t="s">
        <v>324</v>
      </c>
      <c r="E72" s="56"/>
    </row>
    <row r="73" spans="1:5" x14ac:dyDescent="0.25">
      <c r="A73" s="30" t="s">
        <v>127</v>
      </c>
      <c r="B73" s="31">
        <v>2501</v>
      </c>
      <c r="C73" s="32" t="s">
        <v>52</v>
      </c>
      <c r="D73" s="33" t="s">
        <v>324</v>
      </c>
      <c r="E73" s="56"/>
    </row>
    <row r="74" spans="1:5" x14ac:dyDescent="0.25">
      <c r="A74" s="30" t="s">
        <v>109</v>
      </c>
      <c r="B74" s="31">
        <v>423</v>
      </c>
      <c r="C74" s="32" t="s">
        <v>52</v>
      </c>
      <c r="D74" s="33" t="s">
        <v>324</v>
      </c>
      <c r="E74" s="56"/>
    </row>
    <row r="75" spans="1:5" x14ac:dyDescent="0.25">
      <c r="A75" s="30" t="s">
        <v>415</v>
      </c>
      <c r="B75" s="31">
        <v>2005</v>
      </c>
      <c r="C75" s="32" t="s">
        <v>52</v>
      </c>
      <c r="D75" s="33" t="s">
        <v>324</v>
      </c>
      <c r="E75" s="56"/>
    </row>
    <row r="76" spans="1:5" x14ac:dyDescent="0.25">
      <c r="A76" s="30" t="s">
        <v>58</v>
      </c>
      <c r="B76" s="31">
        <v>707</v>
      </c>
      <c r="C76" s="32" t="s">
        <v>52</v>
      </c>
      <c r="D76" s="33" t="s">
        <v>324</v>
      </c>
      <c r="E76" s="56"/>
    </row>
    <row r="77" spans="1:5" x14ac:dyDescent="0.25">
      <c r="A77" s="30" t="s">
        <v>68</v>
      </c>
      <c r="B77" s="31">
        <v>846</v>
      </c>
      <c r="C77" s="32" t="s">
        <v>52</v>
      </c>
      <c r="D77" s="33" t="s">
        <v>324</v>
      </c>
      <c r="E77" s="56"/>
    </row>
    <row r="78" spans="1:5" x14ac:dyDescent="0.25">
      <c r="A78" s="30" t="s">
        <v>473</v>
      </c>
      <c r="B78" s="31">
        <v>7116</v>
      </c>
      <c r="C78" s="32" t="s">
        <v>52</v>
      </c>
      <c r="D78" s="33" t="s">
        <v>324</v>
      </c>
      <c r="E78" s="56"/>
    </row>
    <row r="79" spans="1:5" x14ac:dyDescent="0.25">
      <c r="A79" s="30" t="s">
        <v>218</v>
      </c>
      <c r="B79" s="51">
        <v>1594</v>
      </c>
      <c r="C79" s="32" t="s">
        <v>52</v>
      </c>
      <c r="D79" s="33" t="s">
        <v>324</v>
      </c>
      <c r="E79" s="56"/>
    </row>
    <row r="80" spans="1:5" x14ac:dyDescent="0.25">
      <c r="A80" s="30" t="s">
        <v>93</v>
      </c>
      <c r="B80" s="51">
        <v>3047</v>
      </c>
      <c r="C80" s="32" t="s">
        <v>52</v>
      </c>
      <c r="D80" s="33" t="s">
        <v>324</v>
      </c>
      <c r="E80" s="56"/>
    </row>
    <row r="81" spans="1:5" x14ac:dyDescent="0.25">
      <c r="A81" s="30" t="s">
        <v>330</v>
      </c>
      <c r="B81" s="31">
        <v>2051</v>
      </c>
      <c r="C81" s="32" t="s">
        <v>52</v>
      </c>
      <c r="D81" s="33" t="s">
        <v>324</v>
      </c>
      <c r="E81" s="56"/>
    </row>
    <row r="82" spans="1:5" x14ac:dyDescent="0.25">
      <c r="A82" s="30" t="s">
        <v>243</v>
      </c>
      <c r="B82" s="31">
        <v>9744</v>
      </c>
      <c r="C82" s="32" t="s">
        <v>52</v>
      </c>
      <c r="D82" s="33" t="s">
        <v>324</v>
      </c>
      <c r="E82" s="56"/>
    </row>
    <row r="83" spans="1:5" x14ac:dyDescent="0.25">
      <c r="A83" s="30" t="s">
        <v>276</v>
      </c>
      <c r="B83" s="31">
        <v>899</v>
      </c>
      <c r="C83" s="32" t="s">
        <v>52</v>
      </c>
      <c r="D83" s="33" t="s">
        <v>324</v>
      </c>
      <c r="E83" s="56"/>
    </row>
    <row r="84" spans="1:5" x14ac:dyDescent="0.25">
      <c r="A84" s="30" t="s">
        <v>110</v>
      </c>
      <c r="B84" s="51">
        <v>467</v>
      </c>
      <c r="C84" s="32" t="s">
        <v>52</v>
      </c>
      <c r="D84" s="33" t="s">
        <v>324</v>
      </c>
      <c r="E84" s="56"/>
    </row>
    <row r="85" spans="1:5" x14ac:dyDescent="0.25">
      <c r="A85" s="30" t="s">
        <v>143</v>
      </c>
      <c r="B85" s="31">
        <v>9154</v>
      </c>
      <c r="C85" s="32" t="s">
        <v>52</v>
      </c>
      <c r="D85" s="33" t="s">
        <v>324</v>
      </c>
      <c r="E85" s="56"/>
    </row>
    <row r="86" spans="1:5" x14ac:dyDescent="0.25">
      <c r="A86" s="30" t="s">
        <v>74</v>
      </c>
      <c r="B86" s="51">
        <v>1411</v>
      </c>
      <c r="C86" s="32" t="s">
        <v>52</v>
      </c>
      <c r="D86" s="33" t="s">
        <v>324</v>
      </c>
      <c r="E86" s="56"/>
    </row>
    <row r="87" spans="1:5" x14ac:dyDescent="0.25">
      <c r="A87" s="30" t="s">
        <v>398</v>
      </c>
      <c r="B87" s="31">
        <v>627</v>
      </c>
      <c r="C87" s="32" t="s">
        <v>52</v>
      </c>
      <c r="D87" s="33" t="s">
        <v>324</v>
      </c>
      <c r="E87" s="56"/>
    </row>
    <row r="88" spans="1:5" x14ac:dyDescent="0.25">
      <c r="A88" s="30" t="s">
        <v>94</v>
      </c>
      <c r="B88" s="31">
        <v>3102</v>
      </c>
      <c r="C88" s="32" t="s">
        <v>52</v>
      </c>
      <c r="D88" s="33" t="s">
        <v>324</v>
      </c>
      <c r="E88" s="56"/>
    </row>
    <row r="89" spans="1:5" x14ac:dyDescent="0.25">
      <c r="A89" s="30" t="s">
        <v>88</v>
      </c>
      <c r="B89" s="31">
        <v>9017</v>
      </c>
      <c r="C89" s="32" t="s">
        <v>52</v>
      </c>
      <c r="D89" s="33" t="s">
        <v>324</v>
      </c>
      <c r="E89" s="56"/>
    </row>
    <row r="90" spans="1:5" x14ac:dyDescent="0.25">
      <c r="A90" s="30" t="s">
        <v>331</v>
      </c>
      <c r="B90" s="31">
        <v>1466</v>
      </c>
      <c r="C90" s="32" t="s">
        <v>52</v>
      </c>
      <c r="D90" s="33" t="s">
        <v>324</v>
      </c>
      <c r="E90" s="56"/>
    </row>
    <row r="91" spans="1:5" x14ac:dyDescent="0.25">
      <c r="A91" s="30" t="s">
        <v>332</v>
      </c>
      <c r="B91" s="31">
        <v>659</v>
      </c>
      <c r="C91" s="32" t="s">
        <v>52</v>
      </c>
      <c r="D91" s="33" t="s">
        <v>324</v>
      </c>
      <c r="E91" s="56"/>
    </row>
    <row r="92" spans="1:5" x14ac:dyDescent="0.25">
      <c r="A92" s="30" t="s">
        <v>186</v>
      </c>
      <c r="B92" s="31">
        <v>2275</v>
      </c>
      <c r="C92" s="32" t="s">
        <v>52</v>
      </c>
      <c r="D92" s="33" t="s">
        <v>324</v>
      </c>
      <c r="E92" s="56"/>
    </row>
    <row r="93" spans="1:5" x14ac:dyDescent="0.25">
      <c r="A93" s="30" t="s">
        <v>79</v>
      </c>
      <c r="B93" s="31">
        <v>1468</v>
      </c>
      <c r="C93" s="32" t="s">
        <v>52</v>
      </c>
      <c r="D93" s="33" t="s">
        <v>324</v>
      </c>
      <c r="E93" s="56"/>
    </row>
    <row r="94" spans="1:5" x14ac:dyDescent="0.25">
      <c r="A94" s="30" t="s">
        <v>198</v>
      </c>
      <c r="B94" s="31">
        <v>9575</v>
      </c>
      <c r="C94" s="32" t="s">
        <v>52</v>
      </c>
      <c r="D94" s="33" t="s">
        <v>324</v>
      </c>
      <c r="E94" s="56"/>
    </row>
    <row r="95" spans="1:5" x14ac:dyDescent="0.25">
      <c r="A95" s="30" t="s">
        <v>209</v>
      </c>
      <c r="B95" s="31">
        <v>1410</v>
      </c>
      <c r="C95" s="32" t="s">
        <v>52</v>
      </c>
      <c r="D95" s="33" t="s">
        <v>324</v>
      </c>
      <c r="E95" s="56"/>
    </row>
    <row r="96" spans="1:5" x14ac:dyDescent="0.25">
      <c r="A96" s="30" t="s">
        <v>333</v>
      </c>
      <c r="B96" s="31">
        <v>1420</v>
      </c>
      <c r="C96" s="32" t="s">
        <v>52</v>
      </c>
      <c r="D96" s="33" t="s">
        <v>324</v>
      </c>
      <c r="E96" s="56"/>
    </row>
    <row r="97" spans="1:5" x14ac:dyDescent="0.25">
      <c r="A97" s="30" t="s">
        <v>87</v>
      </c>
      <c r="B97" s="31">
        <v>7628</v>
      </c>
      <c r="C97" s="32" t="s">
        <v>52</v>
      </c>
      <c r="D97" s="33" t="s">
        <v>324</v>
      </c>
      <c r="E97" s="56"/>
    </row>
    <row r="98" spans="1:5" x14ac:dyDescent="0.25">
      <c r="A98" s="30" t="s">
        <v>278</v>
      </c>
      <c r="B98" s="31">
        <v>3664</v>
      </c>
      <c r="C98" s="32" t="s">
        <v>52</v>
      </c>
      <c r="D98" s="33" t="s">
        <v>324</v>
      </c>
      <c r="E98" s="56"/>
    </row>
    <row r="99" spans="1:5" x14ac:dyDescent="0.25">
      <c r="A99" s="30" t="s">
        <v>334</v>
      </c>
      <c r="B99" s="31">
        <v>3357</v>
      </c>
      <c r="C99" s="32" t="s">
        <v>52</v>
      </c>
      <c r="D99" s="33" t="s">
        <v>324</v>
      </c>
      <c r="E99" s="56"/>
    </row>
    <row r="100" spans="1:5" x14ac:dyDescent="0.25">
      <c r="A100" s="30" t="s">
        <v>101</v>
      </c>
      <c r="B100" s="31">
        <v>3309</v>
      </c>
      <c r="C100" s="32" t="s">
        <v>52</v>
      </c>
      <c r="D100" s="33" t="s">
        <v>324</v>
      </c>
      <c r="E100" s="56"/>
    </row>
    <row r="101" spans="1:5" x14ac:dyDescent="0.25">
      <c r="A101" s="30" t="s">
        <v>96</v>
      </c>
      <c r="B101" s="31">
        <v>3118</v>
      </c>
      <c r="C101" s="32" t="s">
        <v>52</v>
      </c>
      <c r="D101" s="33" t="s">
        <v>324</v>
      </c>
      <c r="E101" s="56"/>
    </row>
    <row r="102" spans="1:5" x14ac:dyDescent="0.25">
      <c r="A102" s="30" t="s">
        <v>406</v>
      </c>
      <c r="B102" s="31">
        <v>1437</v>
      </c>
      <c r="C102" s="32" t="s">
        <v>52</v>
      </c>
      <c r="D102" s="33" t="s">
        <v>324</v>
      </c>
      <c r="E102" s="56"/>
    </row>
    <row r="103" spans="1:5" x14ac:dyDescent="0.25">
      <c r="A103" s="30" t="s">
        <v>73</v>
      </c>
      <c r="B103" s="31">
        <v>1401</v>
      </c>
      <c r="C103" s="32" t="s">
        <v>52</v>
      </c>
      <c r="D103" s="33" t="s">
        <v>324</v>
      </c>
      <c r="E103" s="56"/>
    </row>
    <row r="104" spans="1:5" x14ac:dyDescent="0.25">
      <c r="A104" s="30" t="s">
        <v>417</v>
      </c>
      <c r="B104" s="31">
        <v>2186</v>
      </c>
      <c r="C104" s="32" t="s">
        <v>52</v>
      </c>
      <c r="D104" s="33" t="s">
        <v>324</v>
      </c>
      <c r="E104" s="56"/>
    </row>
    <row r="105" spans="1:5" x14ac:dyDescent="0.25">
      <c r="A105" s="30" t="s">
        <v>80</v>
      </c>
      <c r="B105" s="31">
        <v>1470</v>
      </c>
      <c r="C105" s="32" t="s">
        <v>52</v>
      </c>
      <c r="D105" s="33" t="s">
        <v>324</v>
      </c>
      <c r="E105" s="56"/>
    </row>
    <row r="106" spans="1:5" x14ac:dyDescent="0.25">
      <c r="A106" s="30" t="s">
        <v>53</v>
      </c>
      <c r="B106" s="31">
        <v>213</v>
      </c>
      <c r="C106" s="32" t="s">
        <v>52</v>
      </c>
      <c r="D106" s="33" t="s">
        <v>324</v>
      </c>
      <c r="E106" s="56"/>
    </row>
    <row r="107" spans="1:5" x14ac:dyDescent="0.25">
      <c r="A107" s="30" t="s">
        <v>99</v>
      </c>
      <c r="B107" s="31">
        <v>3159</v>
      </c>
      <c r="C107" s="32" t="s">
        <v>52</v>
      </c>
      <c r="D107" s="33" t="s">
        <v>324</v>
      </c>
      <c r="E107" s="56"/>
    </row>
    <row r="108" spans="1:5" x14ac:dyDescent="0.25">
      <c r="A108" s="30" t="s">
        <v>119</v>
      </c>
      <c r="B108" s="31">
        <v>2030</v>
      </c>
      <c r="C108" s="32" t="s">
        <v>52</v>
      </c>
      <c r="D108" s="33" t="s">
        <v>324</v>
      </c>
      <c r="E108" s="56"/>
    </row>
    <row r="109" spans="1:5" x14ac:dyDescent="0.25">
      <c r="A109" s="30" t="s">
        <v>557</v>
      </c>
      <c r="B109" s="31">
        <v>794</v>
      </c>
      <c r="C109" s="32" t="s">
        <v>52</v>
      </c>
      <c r="D109" s="33" t="s">
        <v>324</v>
      </c>
      <c r="E109" s="56"/>
    </row>
    <row r="110" spans="1:5" x14ac:dyDescent="0.25">
      <c r="A110" s="30" t="s">
        <v>290</v>
      </c>
      <c r="B110" s="31">
        <v>3809</v>
      </c>
      <c r="C110" s="32" t="s">
        <v>52</v>
      </c>
      <c r="D110" s="33" t="s">
        <v>324</v>
      </c>
      <c r="E110" s="56"/>
    </row>
    <row r="111" spans="1:5" x14ac:dyDescent="0.25">
      <c r="A111" s="30" t="s">
        <v>217</v>
      </c>
      <c r="B111" s="31">
        <v>9685</v>
      </c>
      <c r="C111" s="32" t="s">
        <v>52</v>
      </c>
      <c r="D111" s="33" t="s">
        <v>324</v>
      </c>
      <c r="E111" s="56"/>
    </row>
    <row r="112" spans="1:5" x14ac:dyDescent="0.25">
      <c r="A112" s="30" t="s">
        <v>162</v>
      </c>
      <c r="B112" s="31">
        <v>3424</v>
      </c>
      <c r="C112" s="32" t="s">
        <v>52</v>
      </c>
      <c r="D112" s="33" t="s">
        <v>324</v>
      </c>
      <c r="E112" s="56"/>
    </row>
    <row r="113" spans="1:5" x14ac:dyDescent="0.25">
      <c r="A113" s="30" t="s">
        <v>92</v>
      </c>
      <c r="B113" s="31">
        <v>3038</v>
      </c>
      <c r="C113" s="32" t="s">
        <v>52</v>
      </c>
      <c r="D113" s="33" t="s">
        <v>324</v>
      </c>
      <c r="E113" s="56"/>
    </row>
    <row r="114" spans="1:5" x14ac:dyDescent="0.25">
      <c r="A114" s="30" t="s">
        <v>291</v>
      </c>
      <c r="B114" s="31">
        <v>3565</v>
      </c>
      <c r="C114" s="32" t="s">
        <v>52</v>
      </c>
      <c r="D114" s="33" t="s">
        <v>324</v>
      </c>
      <c r="E114" s="56"/>
    </row>
    <row r="115" spans="1:5" x14ac:dyDescent="0.25">
      <c r="A115" s="30" t="s">
        <v>397</v>
      </c>
      <c r="B115" s="31">
        <v>596</v>
      </c>
      <c r="C115" s="32" t="s">
        <v>52</v>
      </c>
      <c r="D115" s="33" t="s">
        <v>324</v>
      </c>
      <c r="E115" s="56"/>
    </row>
    <row r="116" spans="1:5" x14ac:dyDescent="0.25">
      <c r="A116" s="30" t="s">
        <v>77</v>
      </c>
      <c r="B116" s="31">
        <v>1443</v>
      </c>
      <c r="C116" s="32" t="s">
        <v>52</v>
      </c>
      <c r="D116" s="33" t="s">
        <v>324</v>
      </c>
      <c r="E116" s="56"/>
    </row>
    <row r="117" spans="1:5" x14ac:dyDescent="0.25">
      <c r="A117" s="30" t="s">
        <v>292</v>
      </c>
      <c r="B117" s="31">
        <v>9665</v>
      </c>
      <c r="C117" s="32" t="s">
        <v>52</v>
      </c>
      <c r="D117" s="33" t="s">
        <v>324</v>
      </c>
      <c r="E117" s="56"/>
    </row>
    <row r="118" spans="1:5" x14ac:dyDescent="0.25">
      <c r="A118" s="30" t="s">
        <v>140</v>
      </c>
      <c r="B118" s="31">
        <v>643</v>
      </c>
      <c r="C118" s="32" t="s">
        <v>52</v>
      </c>
      <c r="D118" s="33" t="s">
        <v>324</v>
      </c>
      <c r="E118" s="56"/>
    </row>
    <row r="119" spans="1:5" x14ac:dyDescent="0.25">
      <c r="A119" s="30" t="s">
        <v>65</v>
      </c>
      <c r="B119" s="31">
        <v>830</v>
      </c>
      <c r="C119" s="32" t="s">
        <v>52</v>
      </c>
      <c r="D119" s="33" t="s">
        <v>324</v>
      </c>
      <c r="E119" s="56"/>
    </row>
    <row r="120" spans="1:5" x14ac:dyDescent="0.25">
      <c r="A120" s="30" t="s">
        <v>121</v>
      </c>
      <c r="B120" s="31">
        <v>2168</v>
      </c>
      <c r="C120" s="32" t="s">
        <v>52</v>
      </c>
      <c r="D120" s="33" t="s">
        <v>324</v>
      </c>
      <c r="E120" s="56"/>
    </row>
    <row r="121" spans="1:5" x14ac:dyDescent="0.25">
      <c r="A121" s="30" t="s">
        <v>103</v>
      </c>
      <c r="B121" s="31">
        <v>3411</v>
      </c>
      <c r="C121" s="32" t="s">
        <v>52</v>
      </c>
      <c r="D121" s="33" t="s">
        <v>324</v>
      </c>
      <c r="E121" s="56"/>
    </row>
    <row r="122" spans="1:5" x14ac:dyDescent="0.25">
      <c r="A122" s="30" t="s">
        <v>225</v>
      </c>
      <c r="B122" s="31">
        <v>9883</v>
      </c>
      <c r="C122" s="32" t="s">
        <v>52</v>
      </c>
      <c r="D122" s="33" t="s">
        <v>324</v>
      </c>
      <c r="E122" s="56"/>
    </row>
    <row r="123" spans="1:5" x14ac:dyDescent="0.25">
      <c r="A123" s="30" t="s">
        <v>122</v>
      </c>
      <c r="B123" s="31">
        <v>2220</v>
      </c>
      <c r="C123" s="32" t="s">
        <v>52</v>
      </c>
      <c r="D123" s="33" t="s">
        <v>324</v>
      </c>
      <c r="E123" s="56"/>
    </row>
    <row r="124" spans="1:5" x14ac:dyDescent="0.25">
      <c r="A124" s="30" t="s">
        <v>98</v>
      </c>
      <c r="B124" s="31">
        <v>3153</v>
      </c>
      <c r="C124" s="32" t="s">
        <v>52</v>
      </c>
      <c r="D124" s="33" t="s">
        <v>324</v>
      </c>
      <c r="E124" s="56"/>
    </row>
    <row r="125" spans="1:5" x14ac:dyDescent="0.25">
      <c r="A125" s="30" t="s">
        <v>335</v>
      </c>
      <c r="B125" s="31">
        <v>2210</v>
      </c>
      <c r="C125" s="32" t="s">
        <v>52</v>
      </c>
      <c r="D125" s="33" t="s">
        <v>324</v>
      </c>
      <c r="E125" s="56"/>
    </row>
    <row r="126" spans="1:5" x14ac:dyDescent="0.25">
      <c r="A126" s="30" t="s">
        <v>293</v>
      </c>
      <c r="B126" s="31">
        <v>1774</v>
      </c>
      <c r="C126" s="32" t="s">
        <v>52</v>
      </c>
      <c r="D126" s="33" t="s">
        <v>324</v>
      </c>
      <c r="E126" s="56"/>
    </row>
    <row r="127" spans="1:5" x14ac:dyDescent="0.25">
      <c r="A127" s="30" t="s">
        <v>67</v>
      </c>
      <c r="B127" s="31">
        <v>837</v>
      </c>
      <c r="C127" s="32" t="s">
        <v>52</v>
      </c>
      <c r="D127" s="33" t="s">
        <v>324</v>
      </c>
      <c r="E127" s="56"/>
    </row>
    <row r="128" spans="1:5" x14ac:dyDescent="0.25">
      <c r="A128" s="30" t="s">
        <v>257</v>
      </c>
      <c r="B128" s="31">
        <v>9470</v>
      </c>
      <c r="C128" s="32" t="s">
        <v>52</v>
      </c>
      <c r="D128" s="33" t="s">
        <v>324</v>
      </c>
      <c r="E128" s="56"/>
    </row>
    <row r="129" spans="1:5" x14ac:dyDescent="0.25">
      <c r="A129" s="30" t="s">
        <v>85</v>
      </c>
      <c r="B129" s="31">
        <v>3236</v>
      </c>
      <c r="C129" s="32" t="s">
        <v>52</v>
      </c>
      <c r="D129" s="33" t="s">
        <v>324</v>
      </c>
      <c r="E129" s="56"/>
    </row>
    <row r="130" spans="1:5" x14ac:dyDescent="0.25">
      <c r="A130" s="30" t="s">
        <v>271</v>
      </c>
      <c r="B130" s="31">
        <v>3662</v>
      </c>
      <c r="C130" s="32" t="s">
        <v>52</v>
      </c>
      <c r="D130" s="33" t="s">
        <v>324</v>
      </c>
      <c r="E130" s="56"/>
    </row>
    <row r="131" spans="1:5" x14ac:dyDescent="0.25">
      <c r="A131" s="30" t="s">
        <v>185</v>
      </c>
      <c r="B131" s="31">
        <v>7635</v>
      </c>
      <c r="C131" s="32" t="s">
        <v>52</v>
      </c>
      <c r="D131" s="33" t="s">
        <v>324</v>
      </c>
      <c r="E131" s="56"/>
    </row>
    <row r="132" spans="1:5" x14ac:dyDescent="0.25">
      <c r="A132" s="30" t="s">
        <v>82</v>
      </c>
      <c r="B132" s="31">
        <v>1553</v>
      </c>
      <c r="C132" s="32" t="s">
        <v>52</v>
      </c>
      <c r="D132" s="33" t="s">
        <v>324</v>
      </c>
      <c r="E132" s="56"/>
    </row>
    <row r="133" spans="1:5" x14ac:dyDescent="0.25">
      <c r="A133" s="30" t="s">
        <v>83</v>
      </c>
      <c r="B133" s="31">
        <v>1584</v>
      </c>
      <c r="C133" s="32" t="s">
        <v>52</v>
      </c>
      <c r="D133" s="33" t="s">
        <v>324</v>
      </c>
      <c r="E133" s="56"/>
    </row>
    <row r="134" spans="1:5" x14ac:dyDescent="0.25">
      <c r="A134" s="30" t="s">
        <v>139</v>
      </c>
      <c r="B134" s="31">
        <v>870</v>
      </c>
      <c r="C134" s="32" t="s">
        <v>52</v>
      </c>
      <c r="D134" s="33" t="s">
        <v>324</v>
      </c>
      <c r="E134" s="56"/>
    </row>
    <row r="135" spans="1:5" x14ac:dyDescent="0.25">
      <c r="A135" s="30" t="s">
        <v>170</v>
      </c>
      <c r="B135" s="31">
        <v>9434</v>
      </c>
      <c r="C135" s="32" t="s">
        <v>52</v>
      </c>
      <c r="D135" s="33" t="s">
        <v>324</v>
      </c>
      <c r="E135" s="56"/>
    </row>
    <row r="136" spans="1:5" x14ac:dyDescent="0.25">
      <c r="A136" s="30" t="s">
        <v>294</v>
      </c>
      <c r="B136" s="31">
        <v>926</v>
      </c>
      <c r="C136" s="32" t="s">
        <v>52</v>
      </c>
      <c r="D136" s="33" t="s">
        <v>324</v>
      </c>
      <c r="E136" s="56"/>
    </row>
    <row r="137" spans="1:5" x14ac:dyDescent="0.25">
      <c r="A137" s="30" t="s">
        <v>71</v>
      </c>
      <c r="B137" s="31">
        <v>985</v>
      </c>
      <c r="C137" s="32" t="s">
        <v>52</v>
      </c>
      <c r="D137" s="33" t="s">
        <v>324</v>
      </c>
      <c r="E137" s="56"/>
    </row>
    <row r="138" spans="1:5" x14ac:dyDescent="0.25">
      <c r="A138" s="30" t="s">
        <v>102</v>
      </c>
      <c r="B138" s="31">
        <v>3378</v>
      </c>
      <c r="C138" s="32" t="s">
        <v>52</v>
      </c>
      <c r="D138" s="33" t="s">
        <v>324</v>
      </c>
      <c r="E138" s="56"/>
    </row>
    <row r="139" spans="1:5" x14ac:dyDescent="0.25">
      <c r="A139" s="30" t="s">
        <v>337</v>
      </c>
      <c r="B139" s="31">
        <v>2755</v>
      </c>
      <c r="C139" s="32" t="s">
        <v>52</v>
      </c>
      <c r="D139" s="33" t="s">
        <v>324</v>
      </c>
      <c r="E139" s="56"/>
    </row>
    <row r="140" spans="1:5" x14ac:dyDescent="0.25">
      <c r="A140" s="30" t="s">
        <v>236</v>
      </c>
      <c r="B140" s="31">
        <v>283</v>
      </c>
      <c r="C140" s="32" t="s">
        <v>52</v>
      </c>
      <c r="D140" s="33" t="s">
        <v>324</v>
      </c>
      <c r="E140" s="56"/>
    </row>
    <row r="141" spans="1:5" x14ac:dyDescent="0.25">
      <c r="A141" s="30" t="s">
        <v>111</v>
      </c>
      <c r="B141" s="31">
        <v>507</v>
      </c>
      <c r="C141" s="32" t="s">
        <v>52</v>
      </c>
      <c r="D141" s="33" t="s">
        <v>324</v>
      </c>
      <c r="E141" s="56"/>
    </row>
    <row r="142" spans="1:5" x14ac:dyDescent="0.25">
      <c r="A142" s="30" t="s">
        <v>70</v>
      </c>
      <c r="B142" s="31">
        <v>923</v>
      </c>
      <c r="C142" s="32" t="s">
        <v>52</v>
      </c>
      <c r="D142" s="33" t="s">
        <v>324</v>
      </c>
      <c r="E142" s="56"/>
    </row>
    <row r="143" spans="1:5" x14ac:dyDescent="0.25">
      <c r="A143" s="30" t="s">
        <v>120</v>
      </c>
      <c r="B143" s="31">
        <v>2039</v>
      </c>
      <c r="C143" s="32" t="s">
        <v>52</v>
      </c>
      <c r="D143" s="33" t="s">
        <v>324</v>
      </c>
      <c r="E143" s="56"/>
    </row>
    <row r="144" spans="1:5" x14ac:dyDescent="0.25">
      <c r="A144" s="30" t="s">
        <v>256</v>
      </c>
      <c r="B144" s="31">
        <v>952</v>
      </c>
      <c r="C144" s="32" t="s">
        <v>52</v>
      </c>
      <c r="D144" s="33" t="s">
        <v>324</v>
      </c>
      <c r="E144" s="56"/>
    </row>
    <row r="145" spans="1:5" x14ac:dyDescent="0.25">
      <c r="A145" s="30" t="s">
        <v>211</v>
      </c>
      <c r="B145" s="31">
        <v>3517</v>
      </c>
      <c r="C145" s="32" t="s">
        <v>52</v>
      </c>
      <c r="D145" s="33" t="s">
        <v>324</v>
      </c>
      <c r="E145" s="56"/>
    </row>
    <row r="146" spans="1:5" x14ac:dyDescent="0.25">
      <c r="A146" s="30" t="s">
        <v>76</v>
      </c>
      <c r="B146" s="31">
        <v>1429</v>
      </c>
      <c r="C146" s="32" t="s">
        <v>52</v>
      </c>
      <c r="D146" s="33" t="s">
        <v>324</v>
      </c>
      <c r="E146" s="56"/>
    </row>
    <row r="147" spans="1:5" x14ac:dyDescent="0.25">
      <c r="A147" s="30" t="s">
        <v>178</v>
      </c>
      <c r="B147" s="31">
        <v>917</v>
      </c>
      <c r="C147" s="32" t="s">
        <v>52</v>
      </c>
      <c r="D147" s="33" t="s">
        <v>324</v>
      </c>
      <c r="E147" s="56"/>
    </row>
    <row r="148" spans="1:5" x14ac:dyDescent="0.25">
      <c r="A148" s="30" t="s">
        <v>195</v>
      </c>
      <c r="B148" s="31">
        <v>7606</v>
      </c>
      <c r="C148" s="32" t="s">
        <v>52</v>
      </c>
      <c r="D148" s="33" t="s">
        <v>324</v>
      </c>
      <c r="E148" s="56"/>
    </row>
    <row r="149" spans="1:5" x14ac:dyDescent="0.25">
      <c r="A149" s="30" t="s">
        <v>191</v>
      </c>
      <c r="B149" s="31">
        <v>9195</v>
      </c>
      <c r="C149" s="32" t="s">
        <v>52</v>
      </c>
      <c r="D149" s="33" t="s">
        <v>324</v>
      </c>
      <c r="E149" s="56"/>
    </row>
    <row r="150" spans="1:5" x14ac:dyDescent="0.25">
      <c r="A150" s="30" t="s">
        <v>156</v>
      </c>
      <c r="B150" s="31">
        <v>3621</v>
      </c>
      <c r="C150" s="32" t="s">
        <v>52</v>
      </c>
      <c r="D150" s="33" t="s">
        <v>324</v>
      </c>
      <c r="E150" s="56"/>
    </row>
    <row r="151" spans="1:5" x14ac:dyDescent="0.25">
      <c r="A151" s="30" t="s">
        <v>272</v>
      </c>
      <c r="B151" s="31">
        <v>3661</v>
      </c>
      <c r="C151" s="32" t="s">
        <v>52</v>
      </c>
      <c r="D151" s="33" t="s">
        <v>324</v>
      </c>
      <c r="E151" s="56"/>
    </row>
    <row r="152" spans="1:5" x14ac:dyDescent="0.25">
      <c r="A152" s="30" t="s">
        <v>196</v>
      </c>
      <c r="B152" s="31">
        <v>2810</v>
      </c>
      <c r="C152" s="32" t="s">
        <v>52</v>
      </c>
      <c r="D152" s="33" t="s">
        <v>324</v>
      </c>
      <c r="E152" s="56"/>
    </row>
    <row r="153" spans="1:5" x14ac:dyDescent="0.25">
      <c r="A153" s="30" t="s">
        <v>134</v>
      </c>
      <c r="B153" s="31">
        <v>2549</v>
      </c>
      <c r="C153" s="32" t="s">
        <v>52</v>
      </c>
      <c r="D153" s="33" t="s">
        <v>324</v>
      </c>
      <c r="E153" s="56"/>
    </row>
    <row r="154" spans="1:5" x14ac:dyDescent="0.25">
      <c r="A154" s="30" t="s">
        <v>138</v>
      </c>
      <c r="B154" s="31">
        <v>9063</v>
      </c>
      <c r="C154" s="32" t="s">
        <v>52</v>
      </c>
      <c r="D154" s="33" t="s">
        <v>324</v>
      </c>
      <c r="E154" s="56"/>
    </row>
    <row r="155" spans="1:5" x14ac:dyDescent="0.25">
      <c r="A155" s="30" t="s">
        <v>338</v>
      </c>
      <c r="B155" s="31">
        <v>2916</v>
      </c>
      <c r="C155" s="32" t="s">
        <v>52</v>
      </c>
      <c r="D155" s="33" t="s">
        <v>324</v>
      </c>
      <c r="E155" s="56"/>
    </row>
    <row r="156" spans="1:5" x14ac:dyDescent="0.25">
      <c r="A156" s="30" t="s">
        <v>150</v>
      </c>
      <c r="B156" s="31">
        <v>1699</v>
      </c>
      <c r="C156" s="32" t="s">
        <v>52</v>
      </c>
      <c r="D156" s="33" t="s">
        <v>324</v>
      </c>
      <c r="E156" s="56"/>
    </row>
    <row r="157" spans="1:5" x14ac:dyDescent="0.25">
      <c r="A157" s="30" t="s">
        <v>142</v>
      </c>
      <c r="B157" s="31">
        <v>248</v>
      </c>
      <c r="C157" s="32" t="s">
        <v>52</v>
      </c>
      <c r="D157" s="33" t="s">
        <v>324</v>
      </c>
      <c r="E157" s="56"/>
    </row>
    <row r="158" spans="1:5" x14ac:dyDescent="0.25">
      <c r="A158" s="30" t="s">
        <v>430</v>
      </c>
      <c r="B158" s="31">
        <v>3368</v>
      </c>
      <c r="C158" s="32" t="s">
        <v>52</v>
      </c>
      <c r="D158" s="33" t="s">
        <v>324</v>
      </c>
      <c r="E158" s="56"/>
    </row>
    <row r="159" spans="1:5" x14ac:dyDescent="0.25">
      <c r="A159" s="30" t="s">
        <v>141</v>
      </c>
      <c r="B159" s="31">
        <v>879</v>
      </c>
      <c r="C159" s="32" t="s">
        <v>52</v>
      </c>
      <c r="D159" s="33" t="s">
        <v>324</v>
      </c>
      <c r="E159" s="56"/>
    </row>
    <row r="160" spans="1:5" x14ac:dyDescent="0.25">
      <c r="A160" s="30" t="s">
        <v>137</v>
      </c>
      <c r="B160" s="31">
        <v>9035</v>
      </c>
      <c r="C160" s="32" t="s">
        <v>52</v>
      </c>
      <c r="D160" s="33" t="s">
        <v>324</v>
      </c>
      <c r="E160" s="56"/>
    </row>
    <row r="161" spans="1:5" x14ac:dyDescent="0.25">
      <c r="A161" s="30" t="s">
        <v>144</v>
      </c>
      <c r="B161" s="31">
        <v>847</v>
      </c>
      <c r="C161" s="32" t="s">
        <v>52</v>
      </c>
      <c r="D161" s="33" t="s">
        <v>324</v>
      </c>
      <c r="E161" s="56"/>
    </row>
    <row r="162" spans="1:5" x14ac:dyDescent="0.25">
      <c r="A162" s="30" t="s">
        <v>240</v>
      </c>
      <c r="B162" s="31">
        <v>9527</v>
      </c>
      <c r="C162" s="32" t="s">
        <v>52</v>
      </c>
      <c r="D162" s="33" t="s">
        <v>324</v>
      </c>
      <c r="E162" s="56"/>
    </row>
    <row r="163" spans="1:5" x14ac:dyDescent="0.25">
      <c r="A163" s="30" t="s">
        <v>151</v>
      </c>
      <c r="B163" s="31">
        <v>9152</v>
      </c>
      <c r="C163" s="32" t="s">
        <v>52</v>
      </c>
      <c r="D163" s="33" t="s">
        <v>324</v>
      </c>
      <c r="E163" s="56"/>
    </row>
    <row r="164" spans="1:5" x14ac:dyDescent="0.25">
      <c r="A164" s="30" t="s">
        <v>267</v>
      </c>
      <c r="B164" s="31">
        <v>2913</v>
      </c>
      <c r="C164" s="32" t="s">
        <v>52</v>
      </c>
      <c r="D164" s="33" t="s">
        <v>324</v>
      </c>
      <c r="E164" s="56"/>
    </row>
    <row r="165" spans="1:5" x14ac:dyDescent="0.25">
      <c r="A165" s="30" t="s">
        <v>222</v>
      </c>
      <c r="B165" s="31">
        <v>9720</v>
      </c>
      <c r="C165" s="32" t="s">
        <v>52</v>
      </c>
      <c r="D165" s="33" t="s">
        <v>324</v>
      </c>
      <c r="E165" s="56"/>
    </row>
    <row r="166" spans="1:5" x14ac:dyDescent="0.25">
      <c r="A166" s="30" t="s">
        <v>147</v>
      </c>
      <c r="B166" s="31">
        <v>222</v>
      </c>
      <c r="C166" s="32" t="s">
        <v>52</v>
      </c>
      <c r="D166" s="33" t="s">
        <v>324</v>
      </c>
      <c r="E166" s="56"/>
    </row>
    <row r="167" spans="1:5" x14ac:dyDescent="0.25">
      <c r="A167" s="30" t="s">
        <v>153</v>
      </c>
      <c r="B167" s="31">
        <v>9112</v>
      </c>
      <c r="C167" s="32" t="s">
        <v>52</v>
      </c>
      <c r="D167" s="33" t="s">
        <v>324</v>
      </c>
      <c r="E167" s="56"/>
    </row>
    <row r="168" spans="1:5" x14ac:dyDescent="0.25">
      <c r="A168" s="30" t="s">
        <v>146</v>
      </c>
      <c r="B168" s="50">
        <v>220</v>
      </c>
      <c r="C168" s="32" t="s">
        <v>52</v>
      </c>
      <c r="D168" s="33" t="s">
        <v>324</v>
      </c>
      <c r="E168" s="56"/>
    </row>
    <row r="169" spans="1:5" x14ac:dyDescent="0.25">
      <c r="A169" s="30" t="s">
        <v>149</v>
      </c>
      <c r="B169" s="31">
        <v>9132</v>
      </c>
      <c r="C169" s="32" t="s">
        <v>52</v>
      </c>
      <c r="D169" s="33" t="s">
        <v>324</v>
      </c>
      <c r="E169" s="56"/>
    </row>
    <row r="170" spans="1:5" x14ac:dyDescent="0.25">
      <c r="A170" s="30" t="s">
        <v>284</v>
      </c>
      <c r="B170" s="31">
        <v>9376</v>
      </c>
      <c r="C170" s="32" t="s">
        <v>52</v>
      </c>
      <c r="D170" s="33" t="s">
        <v>324</v>
      </c>
      <c r="E170" s="56"/>
    </row>
    <row r="171" spans="1:5" x14ac:dyDescent="0.25">
      <c r="A171" s="30" t="s">
        <v>161</v>
      </c>
      <c r="B171" s="31">
        <v>9333</v>
      </c>
      <c r="C171" s="32" t="s">
        <v>52</v>
      </c>
      <c r="D171" s="33" t="s">
        <v>324</v>
      </c>
      <c r="E171" s="56"/>
    </row>
    <row r="172" spans="1:5" x14ac:dyDescent="0.25">
      <c r="A172" s="30" t="s">
        <v>224</v>
      </c>
      <c r="B172" s="31">
        <v>1541</v>
      </c>
      <c r="C172" s="32" t="s">
        <v>52</v>
      </c>
      <c r="D172" s="33" t="s">
        <v>324</v>
      </c>
      <c r="E172" s="56"/>
    </row>
    <row r="173" spans="1:5" x14ac:dyDescent="0.25">
      <c r="A173" s="30" t="s">
        <v>157</v>
      </c>
      <c r="B173" s="31">
        <v>2390</v>
      </c>
      <c r="C173" s="32" t="s">
        <v>52</v>
      </c>
      <c r="D173" s="33" t="s">
        <v>324</v>
      </c>
      <c r="E173" s="56"/>
    </row>
    <row r="174" spans="1:5" x14ac:dyDescent="0.25">
      <c r="A174" s="30" t="s">
        <v>165</v>
      </c>
      <c r="B174" s="31">
        <v>9204</v>
      </c>
      <c r="C174" s="32" t="s">
        <v>52</v>
      </c>
      <c r="D174" s="33" t="s">
        <v>324</v>
      </c>
      <c r="E174" s="56"/>
    </row>
    <row r="175" spans="1:5" x14ac:dyDescent="0.25">
      <c r="A175" s="30" t="s">
        <v>339</v>
      </c>
      <c r="B175" s="31">
        <v>3917</v>
      </c>
      <c r="C175" s="32" t="s">
        <v>52</v>
      </c>
      <c r="D175" s="33" t="s">
        <v>324</v>
      </c>
      <c r="E175" s="56"/>
    </row>
    <row r="176" spans="1:5" x14ac:dyDescent="0.25">
      <c r="A176" s="30" t="s">
        <v>175</v>
      </c>
      <c r="B176" s="31">
        <v>9617</v>
      </c>
      <c r="C176" s="32" t="s">
        <v>52</v>
      </c>
      <c r="D176" s="33" t="s">
        <v>324</v>
      </c>
      <c r="E176" s="56"/>
    </row>
    <row r="177" spans="1:5" x14ac:dyDescent="0.25">
      <c r="A177" s="30" t="s">
        <v>266</v>
      </c>
      <c r="B177" s="31">
        <v>3812</v>
      </c>
      <c r="C177" s="32" t="s">
        <v>52</v>
      </c>
      <c r="D177" s="33" t="s">
        <v>324</v>
      </c>
      <c r="E177" s="56"/>
    </row>
    <row r="178" spans="1:5" x14ac:dyDescent="0.25">
      <c r="A178" s="30" t="s">
        <v>192</v>
      </c>
      <c r="B178" s="50">
        <v>3607</v>
      </c>
      <c r="C178" s="32" t="s">
        <v>52</v>
      </c>
      <c r="D178" s="33" t="s">
        <v>324</v>
      </c>
      <c r="E178" s="56"/>
    </row>
    <row r="179" spans="1:5" x14ac:dyDescent="0.25">
      <c r="A179" s="30" t="s">
        <v>252</v>
      </c>
      <c r="B179" s="31">
        <v>9658</v>
      </c>
      <c r="C179" s="32" t="s">
        <v>52</v>
      </c>
      <c r="D179" s="33" t="s">
        <v>324</v>
      </c>
      <c r="E179" s="56"/>
    </row>
    <row r="180" spans="1:5" x14ac:dyDescent="0.25">
      <c r="A180" s="30" t="s">
        <v>171</v>
      </c>
      <c r="B180" s="50">
        <v>9490</v>
      </c>
      <c r="C180" s="32" t="s">
        <v>52</v>
      </c>
      <c r="D180" s="33" t="s">
        <v>324</v>
      </c>
      <c r="E180" s="56"/>
    </row>
    <row r="181" spans="1:5" x14ac:dyDescent="0.25">
      <c r="A181" s="30" t="s">
        <v>183</v>
      </c>
      <c r="B181" s="31">
        <v>9624</v>
      </c>
      <c r="C181" s="32" t="s">
        <v>52</v>
      </c>
      <c r="D181" s="33" t="s">
        <v>324</v>
      </c>
      <c r="E181" s="56"/>
    </row>
    <row r="182" spans="1:5" x14ac:dyDescent="0.25">
      <c r="A182" s="30" t="s">
        <v>205</v>
      </c>
      <c r="B182" s="31">
        <v>9950</v>
      </c>
      <c r="C182" s="32" t="s">
        <v>52</v>
      </c>
      <c r="D182" s="33" t="s">
        <v>324</v>
      </c>
      <c r="E182" s="56"/>
    </row>
    <row r="183" spans="1:5" x14ac:dyDescent="0.25">
      <c r="A183" s="30" t="s">
        <v>172</v>
      </c>
      <c r="B183" s="31">
        <v>927</v>
      </c>
      <c r="C183" s="32" t="s">
        <v>52</v>
      </c>
      <c r="D183" s="33" t="s">
        <v>324</v>
      </c>
      <c r="E183" s="56"/>
    </row>
    <row r="184" spans="1:5" x14ac:dyDescent="0.25">
      <c r="A184" s="30" t="s">
        <v>206</v>
      </c>
      <c r="B184" s="31">
        <v>9953</v>
      </c>
      <c r="C184" s="32" t="s">
        <v>52</v>
      </c>
      <c r="D184" s="33" t="s">
        <v>324</v>
      </c>
      <c r="E184" s="56"/>
    </row>
    <row r="185" spans="1:5" x14ac:dyDescent="0.25">
      <c r="A185" s="30" t="s">
        <v>262</v>
      </c>
      <c r="B185" s="31">
        <v>9837</v>
      </c>
      <c r="C185" s="32" t="s">
        <v>52</v>
      </c>
      <c r="D185" s="33" t="s">
        <v>324</v>
      </c>
      <c r="E185" s="56"/>
    </row>
    <row r="186" spans="1:5" x14ac:dyDescent="0.25">
      <c r="A186" s="30" t="s">
        <v>190</v>
      </c>
      <c r="B186" s="31">
        <v>9795</v>
      </c>
      <c r="C186" s="32" t="s">
        <v>52</v>
      </c>
      <c r="D186" s="33" t="s">
        <v>324</v>
      </c>
      <c r="E186" s="56"/>
    </row>
    <row r="187" spans="1:5" x14ac:dyDescent="0.25">
      <c r="A187" s="30" t="s">
        <v>184</v>
      </c>
      <c r="B187" s="31">
        <v>9672</v>
      </c>
      <c r="C187" s="32" t="s">
        <v>52</v>
      </c>
      <c r="D187" s="33" t="s">
        <v>324</v>
      </c>
      <c r="E187" s="56"/>
    </row>
    <row r="188" spans="1:5" x14ac:dyDescent="0.25">
      <c r="A188" s="30" t="s">
        <v>180</v>
      </c>
      <c r="B188" s="31">
        <v>292</v>
      </c>
      <c r="C188" s="32" t="s">
        <v>52</v>
      </c>
      <c r="D188" s="33" t="s">
        <v>324</v>
      </c>
      <c r="E188" s="56"/>
    </row>
    <row r="189" spans="1:5" x14ac:dyDescent="0.25">
      <c r="A189" s="30" t="s">
        <v>188</v>
      </c>
      <c r="B189" s="31">
        <v>9769</v>
      </c>
      <c r="C189" s="32" t="s">
        <v>52</v>
      </c>
      <c r="D189" s="33" t="s">
        <v>324</v>
      </c>
      <c r="E189" s="56"/>
    </row>
    <row r="190" spans="1:5" x14ac:dyDescent="0.25">
      <c r="A190" s="30" t="s">
        <v>181</v>
      </c>
      <c r="B190" s="31">
        <v>821</v>
      </c>
      <c r="C190" s="32" t="s">
        <v>52</v>
      </c>
      <c r="D190" s="33" t="s">
        <v>324</v>
      </c>
      <c r="E190" s="56"/>
    </row>
    <row r="191" spans="1:5" x14ac:dyDescent="0.25">
      <c r="A191" s="30" t="s">
        <v>296</v>
      </c>
      <c r="B191" s="31">
        <v>3815</v>
      </c>
      <c r="C191" s="32" t="s">
        <v>52</v>
      </c>
      <c r="D191" s="33" t="s">
        <v>324</v>
      </c>
      <c r="E191" s="56"/>
    </row>
    <row r="192" spans="1:5" x14ac:dyDescent="0.25">
      <c r="A192" s="30" t="s">
        <v>182</v>
      </c>
      <c r="B192" s="31">
        <v>2349</v>
      </c>
      <c r="C192" s="32" t="s">
        <v>52</v>
      </c>
      <c r="D192" s="33" t="s">
        <v>324</v>
      </c>
      <c r="E192" s="56"/>
    </row>
    <row r="193" spans="1:5" x14ac:dyDescent="0.25">
      <c r="A193" s="30" t="s">
        <v>421</v>
      </c>
      <c r="B193" s="31">
        <v>2609</v>
      </c>
      <c r="C193" s="32" t="s">
        <v>52</v>
      </c>
      <c r="D193" s="33" t="s">
        <v>324</v>
      </c>
      <c r="E193" s="56"/>
    </row>
    <row r="194" spans="1:5" x14ac:dyDescent="0.25">
      <c r="A194" s="30" t="s">
        <v>250</v>
      </c>
      <c r="B194" s="31">
        <v>2722</v>
      </c>
      <c r="C194" s="32" t="s">
        <v>52</v>
      </c>
      <c r="D194" s="33" t="s">
        <v>324</v>
      </c>
      <c r="E194" s="56"/>
    </row>
    <row r="195" spans="1:5" x14ac:dyDescent="0.25">
      <c r="A195" s="30" t="s">
        <v>207</v>
      </c>
      <c r="B195" s="31">
        <v>9980</v>
      </c>
      <c r="C195" s="32" t="s">
        <v>52</v>
      </c>
      <c r="D195" s="33" t="s">
        <v>324</v>
      </c>
      <c r="E195" s="56"/>
    </row>
    <row r="196" spans="1:5" x14ac:dyDescent="0.25">
      <c r="A196" s="30" t="s">
        <v>197</v>
      </c>
      <c r="B196" s="31">
        <v>9645</v>
      </c>
      <c r="C196" s="32" t="s">
        <v>52</v>
      </c>
      <c r="D196" s="33" t="s">
        <v>324</v>
      </c>
      <c r="E196" s="56"/>
    </row>
    <row r="197" spans="1:5" x14ac:dyDescent="0.25">
      <c r="A197" s="30" t="s">
        <v>199</v>
      </c>
      <c r="B197" s="31">
        <v>9938</v>
      </c>
      <c r="C197" s="32" t="s">
        <v>52</v>
      </c>
      <c r="D197" s="33" t="s">
        <v>324</v>
      </c>
      <c r="E197" s="56"/>
    </row>
    <row r="198" spans="1:5" x14ac:dyDescent="0.25">
      <c r="A198" s="30" t="s">
        <v>248</v>
      </c>
      <c r="B198" s="31">
        <v>9630</v>
      </c>
      <c r="C198" s="32" t="s">
        <v>52</v>
      </c>
      <c r="D198" s="33" t="s">
        <v>324</v>
      </c>
      <c r="E198" s="56"/>
    </row>
    <row r="199" spans="1:5" x14ac:dyDescent="0.25">
      <c r="A199" s="30" t="s">
        <v>273</v>
      </c>
      <c r="B199" s="31">
        <v>3643</v>
      </c>
      <c r="C199" s="32" t="s">
        <v>52</v>
      </c>
      <c r="D199" s="33" t="s">
        <v>324</v>
      </c>
      <c r="E199" s="56"/>
    </row>
    <row r="200" spans="1:5" x14ac:dyDescent="0.25">
      <c r="A200" s="30" t="s">
        <v>200</v>
      </c>
      <c r="B200" s="31">
        <v>3079</v>
      </c>
      <c r="C200" s="32" t="s">
        <v>52</v>
      </c>
      <c r="D200" s="33" t="s">
        <v>324</v>
      </c>
      <c r="E200" s="56"/>
    </row>
    <row r="201" spans="1:5" x14ac:dyDescent="0.25">
      <c r="A201" s="30" t="s">
        <v>244</v>
      </c>
      <c r="B201" s="31">
        <v>9172</v>
      </c>
      <c r="C201" s="32" t="s">
        <v>52</v>
      </c>
      <c r="D201" s="33" t="s">
        <v>324</v>
      </c>
      <c r="E201" s="56"/>
    </row>
    <row r="202" spans="1:5" x14ac:dyDescent="0.25">
      <c r="A202" s="55" t="s">
        <v>216</v>
      </c>
      <c r="B202" s="31">
        <v>688</v>
      </c>
      <c r="C202" s="32" t="s">
        <v>52</v>
      </c>
      <c r="D202" s="33" t="s">
        <v>324</v>
      </c>
      <c r="E202" s="56"/>
    </row>
    <row r="203" spans="1:5" x14ac:dyDescent="0.25">
      <c r="A203" s="30" t="s">
        <v>297</v>
      </c>
      <c r="B203" s="31">
        <v>9120</v>
      </c>
      <c r="C203" s="32" t="s">
        <v>52</v>
      </c>
      <c r="D203" s="33" t="s">
        <v>324</v>
      </c>
      <c r="E203" s="56"/>
    </row>
    <row r="204" spans="1:5" x14ac:dyDescent="0.25">
      <c r="A204" s="30" t="s">
        <v>203</v>
      </c>
      <c r="B204" s="31">
        <v>3006</v>
      </c>
      <c r="C204" s="32" t="s">
        <v>52</v>
      </c>
      <c r="D204" s="33" t="s">
        <v>324</v>
      </c>
      <c r="E204" s="56"/>
    </row>
    <row r="205" spans="1:5" x14ac:dyDescent="0.25">
      <c r="A205" s="30" t="s">
        <v>214</v>
      </c>
      <c r="B205" s="31">
        <v>5023</v>
      </c>
      <c r="C205" s="32" t="s">
        <v>52</v>
      </c>
      <c r="D205" s="33" t="s">
        <v>324</v>
      </c>
      <c r="E205" s="56"/>
    </row>
    <row r="206" spans="1:5" x14ac:dyDescent="0.25">
      <c r="A206" s="30" t="s">
        <v>298</v>
      </c>
      <c r="B206" s="31">
        <v>3730</v>
      </c>
      <c r="C206" s="32" t="s">
        <v>52</v>
      </c>
      <c r="D206" s="33" t="s">
        <v>324</v>
      </c>
      <c r="E206" s="56"/>
    </row>
    <row r="207" spans="1:5" x14ac:dyDescent="0.25">
      <c r="A207" s="30" t="s">
        <v>282</v>
      </c>
      <c r="B207" s="31">
        <v>1549</v>
      </c>
      <c r="C207" s="32" t="s">
        <v>52</v>
      </c>
      <c r="D207" s="33" t="s">
        <v>324</v>
      </c>
      <c r="E207" s="56"/>
    </row>
    <row r="208" spans="1:5" x14ac:dyDescent="0.25">
      <c r="A208" s="30" t="s">
        <v>223</v>
      </c>
      <c r="B208" s="31">
        <v>793</v>
      </c>
      <c r="C208" s="32" t="s">
        <v>52</v>
      </c>
      <c r="D208" s="33" t="s">
        <v>324</v>
      </c>
      <c r="E208" s="56"/>
    </row>
    <row r="209" spans="1:5" x14ac:dyDescent="0.25">
      <c r="A209" s="30" t="s">
        <v>247</v>
      </c>
      <c r="B209" s="31">
        <v>1891</v>
      </c>
      <c r="C209" s="32" t="s">
        <v>52</v>
      </c>
      <c r="D209" s="33" t="s">
        <v>324</v>
      </c>
      <c r="E209" s="56"/>
    </row>
    <row r="210" spans="1:5" x14ac:dyDescent="0.25">
      <c r="A210" s="30" t="s">
        <v>340</v>
      </c>
      <c r="B210" s="31">
        <v>1847</v>
      </c>
      <c r="C210" s="32" t="s">
        <v>52</v>
      </c>
      <c r="D210" s="33" t="s">
        <v>324</v>
      </c>
      <c r="E210" s="56"/>
    </row>
    <row r="211" spans="1:5" x14ac:dyDescent="0.25">
      <c r="A211" s="30" t="s">
        <v>435</v>
      </c>
      <c r="B211" s="31">
        <v>3744</v>
      </c>
      <c r="C211" s="32" t="s">
        <v>52</v>
      </c>
      <c r="D211" s="33" t="s">
        <v>324</v>
      </c>
      <c r="E211" s="56"/>
    </row>
    <row r="212" spans="1:5" x14ac:dyDescent="0.25">
      <c r="A212" s="30" t="s">
        <v>279</v>
      </c>
      <c r="B212" s="31">
        <v>1675</v>
      </c>
      <c r="C212" s="32" t="s">
        <v>52</v>
      </c>
      <c r="D212" s="33" t="s">
        <v>324</v>
      </c>
      <c r="E212" s="56"/>
    </row>
    <row r="213" spans="1:5" x14ac:dyDescent="0.25">
      <c r="A213" s="30" t="s">
        <v>275</v>
      </c>
      <c r="B213" s="31">
        <v>3663</v>
      </c>
      <c r="C213" s="32" t="s">
        <v>52</v>
      </c>
      <c r="D213" s="33" t="s">
        <v>324</v>
      </c>
      <c r="E213" s="56"/>
    </row>
    <row r="214" spans="1:5" x14ac:dyDescent="0.25">
      <c r="A214" s="30" t="s">
        <v>255</v>
      </c>
      <c r="B214" s="31">
        <v>709</v>
      </c>
      <c r="C214" s="32" t="s">
        <v>52</v>
      </c>
      <c r="D214" s="33" t="s">
        <v>324</v>
      </c>
      <c r="E214" s="56"/>
    </row>
    <row r="215" spans="1:5" x14ac:dyDescent="0.25">
      <c r="A215" s="30" t="s">
        <v>264</v>
      </c>
      <c r="B215" s="31">
        <v>3575</v>
      </c>
      <c r="C215" s="32" t="s">
        <v>52</v>
      </c>
      <c r="D215" s="33" t="s">
        <v>324</v>
      </c>
      <c r="E215" s="56"/>
    </row>
    <row r="216" spans="1:5" x14ac:dyDescent="0.25">
      <c r="A216" s="30" t="s">
        <v>299</v>
      </c>
      <c r="B216" s="31">
        <v>9377</v>
      </c>
      <c r="C216" s="32" t="s">
        <v>52</v>
      </c>
      <c r="D216" s="33" t="s">
        <v>324</v>
      </c>
      <c r="E216" s="56"/>
    </row>
    <row r="217" spans="1:5" x14ac:dyDescent="0.25">
      <c r="A217" s="30" t="s">
        <v>300</v>
      </c>
      <c r="B217" s="31">
        <v>3594</v>
      </c>
      <c r="C217" s="32" t="s">
        <v>52</v>
      </c>
      <c r="D217" s="33" t="s">
        <v>324</v>
      </c>
      <c r="E217" s="56"/>
    </row>
    <row r="218" spans="1:5" x14ac:dyDescent="0.25">
      <c r="A218" s="30" t="s">
        <v>263</v>
      </c>
      <c r="B218" s="31">
        <v>1878</v>
      </c>
      <c r="C218" s="32" t="s">
        <v>52</v>
      </c>
      <c r="D218" s="33" t="s">
        <v>324</v>
      </c>
      <c r="E218" s="56"/>
    </row>
    <row r="219" spans="1:5" x14ac:dyDescent="0.25">
      <c r="A219" s="30" t="s">
        <v>268</v>
      </c>
      <c r="B219" s="31">
        <v>9110</v>
      </c>
      <c r="C219" s="32" t="s">
        <v>52</v>
      </c>
      <c r="D219" s="33" t="s">
        <v>324</v>
      </c>
      <c r="E219" s="56"/>
    </row>
    <row r="220" spans="1:5" x14ac:dyDescent="0.25">
      <c r="A220" s="30" t="s">
        <v>301</v>
      </c>
      <c r="B220" s="31">
        <v>1550</v>
      </c>
      <c r="C220" s="32" t="s">
        <v>52</v>
      </c>
      <c r="D220" s="33" t="s">
        <v>324</v>
      </c>
      <c r="E220" s="56"/>
    </row>
    <row r="221" spans="1:5" x14ac:dyDescent="0.25">
      <c r="A221" s="30" t="s">
        <v>281</v>
      </c>
      <c r="B221" s="31">
        <v>411</v>
      </c>
      <c r="C221" s="32" t="s">
        <v>52</v>
      </c>
      <c r="D221" s="33" t="s">
        <v>324</v>
      </c>
      <c r="E221" s="56"/>
    </row>
    <row r="222" spans="1:5" x14ac:dyDescent="0.25">
      <c r="A222" s="30" t="s">
        <v>280</v>
      </c>
      <c r="B222" s="31">
        <v>205</v>
      </c>
      <c r="C222" s="32" t="s">
        <v>52</v>
      </c>
      <c r="D222" s="33" t="s">
        <v>324</v>
      </c>
      <c r="E222" s="56"/>
    </row>
    <row r="223" spans="1:5" x14ac:dyDescent="0.25">
      <c r="A223" s="30" t="s">
        <v>274</v>
      </c>
      <c r="B223" s="31">
        <v>858</v>
      </c>
      <c r="C223" s="32" t="s">
        <v>52</v>
      </c>
      <c r="D223" s="33" t="s">
        <v>324</v>
      </c>
      <c r="E223" s="56"/>
    </row>
    <row r="224" spans="1:5" x14ac:dyDescent="0.25">
      <c r="A224" s="30" t="s">
        <v>277</v>
      </c>
      <c r="B224" s="31">
        <v>9742</v>
      </c>
      <c r="C224" s="32" t="s">
        <v>52</v>
      </c>
      <c r="D224" s="33" t="s">
        <v>324</v>
      </c>
      <c r="E224" s="56"/>
    </row>
    <row r="225" spans="1:5" x14ac:dyDescent="0.25">
      <c r="A225" s="30" t="s">
        <v>270</v>
      </c>
      <c r="B225" s="31">
        <v>3061</v>
      </c>
      <c r="C225" s="32" t="s">
        <v>52</v>
      </c>
      <c r="D225" s="33" t="s">
        <v>324</v>
      </c>
      <c r="E225" s="56"/>
    </row>
    <row r="226" spans="1:5" x14ac:dyDescent="0.25">
      <c r="A226" s="30" t="s">
        <v>302</v>
      </c>
      <c r="B226" s="31">
        <v>3833</v>
      </c>
      <c r="C226" s="32" t="s">
        <v>52</v>
      </c>
      <c r="D226" s="33" t="s">
        <v>324</v>
      </c>
      <c r="E226" s="56"/>
    </row>
    <row r="227" spans="1:5" x14ac:dyDescent="0.25">
      <c r="A227" s="30" t="s">
        <v>304</v>
      </c>
      <c r="B227" s="31">
        <v>3799</v>
      </c>
      <c r="C227" s="32" t="s">
        <v>52</v>
      </c>
      <c r="D227" s="33" t="s">
        <v>324</v>
      </c>
      <c r="E227" s="56"/>
    </row>
    <row r="228" spans="1:5" x14ac:dyDescent="0.25">
      <c r="A228" s="30" t="s">
        <v>305</v>
      </c>
      <c r="B228" s="31">
        <v>1146</v>
      </c>
      <c r="C228" s="32" t="s">
        <v>52</v>
      </c>
      <c r="D228" s="33" t="s">
        <v>324</v>
      </c>
      <c r="E228" s="56"/>
    </row>
    <row r="229" spans="1:5" x14ac:dyDescent="0.25">
      <c r="A229" s="30" t="s">
        <v>306</v>
      </c>
      <c r="B229" s="31">
        <v>3816</v>
      </c>
      <c r="C229" s="32" t="s">
        <v>52</v>
      </c>
      <c r="D229" s="33" t="s">
        <v>324</v>
      </c>
      <c r="E229" s="56"/>
    </row>
    <row r="230" spans="1:5" x14ac:dyDescent="0.25">
      <c r="A230" s="30" t="s">
        <v>307</v>
      </c>
      <c r="B230" s="31">
        <v>3842</v>
      </c>
      <c r="C230" s="32" t="s">
        <v>52</v>
      </c>
      <c r="D230" s="33" t="s">
        <v>324</v>
      </c>
      <c r="E230" s="56"/>
    </row>
    <row r="231" spans="1:5" x14ac:dyDescent="0.25">
      <c r="A231" s="30" t="s">
        <v>308</v>
      </c>
      <c r="B231" s="31">
        <v>3855</v>
      </c>
      <c r="C231" s="32" t="s">
        <v>52</v>
      </c>
      <c r="D231" s="33" t="s">
        <v>324</v>
      </c>
      <c r="E231" s="56"/>
    </row>
    <row r="232" spans="1:5" x14ac:dyDescent="0.25">
      <c r="A232" s="30" t="s">
        <v>537</v>
      </c>
      <c r="B232" s="31">
        <v>747</v>
      </c>
      <c r="C232" s="32" t="s">
        <v>52</v>
      </c>
      <c r="D232" s="33" t="s">
        <v>324</v>
      </c>
      <c r="E232" s="56"/>
    </row>
    <row r="233" spans="1:5" x14ac:dyDescent="0.25">
      <c r="A233" s="30" t="s">
        <v>309</v>
      </c>
      <c r="B233" s="31">
        <v>785</v>
      </c>
      <c r="C233" s="32" t="s">
        <v>52</v>
      </c>
      <c r="D233" s="33" t="s">
        <v>324</v>
      </c>
      <c r="E233" s="56"/>
    </row>
    <row r="234" spans="1:5" x14ac:dyDescent="0.25">
      <c r="A234" s="30" t="s">
        <v>310</v>
      </c>
      <c r="B234" s="31">
        <v>2653</v>
      </c>
      <c r="C234" s="32" t="s">
        <v>52</v>
      </c>
      <c r="D234" s="33" t="s">
        <v>324</v>
      </c>
      <c r="E234" s="56"/>
    </row>
    <row r="235" spans="1:5" x14ac:dyDescent="0.25">
      <c r="A235" s="30" t="s">
        <v>341</v>
      </c>
      <c r="B235" s="31">
        <v>2597</v>
      </c>
      <c r="C235" s="32" t="s">
        <v>52</v>
      </c>
      <c r="D235" s="33" t="s">
        <v>324</v>
      </c>
      <c r="E235" s="56"/>
    </row>
    <row r="236" spans="1:5" x14ac:dyDescent="0.25">
      <c r="A236" s="30" t="s">
        <v>311</v>
      </c>
      <c r="B236" s="31">
        <v>3938</v>
      </c>
      <c r="C236" s="32" t="s">
        <v>52</v>
      </c>
      <c r="D236" s="33" t="s">
        <v>324</v>
      </c>
      <c r="E236" s="56"/>
    </row>
    <row r="237" spans="1:5" x14ac:dyDescent="0.25">
      <c r="A237" s="30" t="s">
        <v>136</v>
      </c>
      <c r="B237" s="31">
        <v>2020</v>
      </c>
      <c r="C237" s="32" t="s">
        <v>52</v>
      </c>
      <c r="D237" s="33" t="s">
        <v>324</v>
      </c>
      <c r="E237" s="56"/>
    </row>
    <row r="238" spans="1:5" x14ac:dyDescent="0.25">
      <c r="A238" s="30" t="s">
        <v>145</v>
      </c>
      <c r="B238" s="31">
        <v>3460</v>
      </c>
      <c r="C238" s="32" t="s">
        <v>52</v>
      </c>
      <c r="D238" s="33" t="s">
        <v>324</v>
      </c>
      <c r="E238" s="56"/>
    </row>
    <row r="239" spans="1:5" x14ac:dyDescent="0.25">
      <c r="A239" s="30" t="s">
        <v>246</v>
      </c>
      <c r="B239" s="31">
        <v>7581</v>
      </c>
      <c r="C239" s="32" t="s">
        <v>52</v>
      </c>
      <c r="D239" s="33" t="s">
        <v>324</v>
      </c>
      <c r="E239" s="56"/>
    </row>
    <row r="240" spans="1:5" x14ac:dyDescent="0.25">
      <c r="A240" s="30" t="s">
        <v>312</v>
      </c>
      <c r="B240" s="31">
        <v>217</v>
      </c>
      <c r="C240" s="32" t="s">
        <v>52</v>
      </c>
      <c r="D240" s="33" t="s">
        <v>324</v>
      </c>
      <c r="E240" s="56"/>
    </row>
    <row r="241" spans="1:5" x14ac:dyDescent="0.25">
      <c r="A241" s="30" t="s">
        <v>69</v>
      </c>
      <c r="B241" s="31">
        <v>865</v>
      </c>
      <c r="C241" s="32" t="s">
        <v>52</v>
      </c>
      <c r="D241" s="33" t="s">
        <v>324</v>
      </c>
      <c r="E241" s="56"/>
    </row>
    <row r="242" spans="1:5" x14ac:dyDescent="0.25">
      <c r="A242" s="30" t="s">
        <v>313</v>
      </c>
      <c r="B242" s="31">
        <v>3740</v>
      </c>
      <c r="C242" s="32" t="s">
        <v>52</v>
      </c>
      <c r="D242" s="33" t="s">
        <v>324</v>
      </c>
      <c r="E242" s="56"/>
    </row>
    <row r="243" spans="1:5" x14ac:dyDescent="0.25">
      <c r="A243" s="30" t="s">
        <v>168</v>
      </c>
      <c r="B243" s="31">
        <v>3398</v>
      </c>
      <c r="C243" s="32" t="s">
        <v>52</v>
      </c>
      <c r="D243" s="33" t="s">
        <v>324</v>
      </c>
      <c r="E243" s="56"/>
    </row>
    <row r="244" spans="1:5" x14ac:dyDescent="0.25">
      <c r="A244" s="30" t="s">
        <v>212</v>
      </c>
      <c r="B244" s="31">
        <v>223</v>
      </c>
      <c r="C244" s="32" t="s">
        <v>52</v>
      </c>
      <c r="D244" s="33" t="s">
        <v>324</v>
      </c>
      <c r="E244" s="56"/>
    </row>
    <row r="245" spans="1:5" x14ac:dyDescent="0.25">
      <c r="A245" s="30" t="s">
        <v>269</v>
      </c>
      <c r="B245" s="31">
        <v>561</v>
      </c>
      <c r="C245" s="32" t="s">
        <v>52</v>
      </c>
      <c r="D245" s="33" t="s">
        <v>324</v>
      </c>
      <c r="E245" s="56"/>
    </row>
    <row r="246" spans="1:5" x14ac:dyDescent="0.25">
      <c r="A246" s="30" t="s">
        <v>1277</v>
      </c>
      <c r="B246" s="31">
        <v>9684</v>
      </c>
      <c r="C246" s="32" t="s">
        <v>52</v>
      </c>
      <c r="D246" s="33" t="s">
        <v>324</v>
      </c>
      <c r="E246" s="56"/>
    </row>
    <row r="247" spans="1:5" x14ac:dyDescent="0.25">
      <c r="A247" s="30" t="s">
        <v>342</v>
      </c>
      <c r="B247" s="31">
        <v>679</v>
      </c>
      <c r="C247" s="32" t="s">
        <v>52</v>
      </c>
      <c r="D247" s="33" t="s">
        <v>324</v>
      </c>
      <c r="E247" s="56"/>
    </row>
    <row r="248" spans="1:5" x14ac:dyDescent="0.25">
      <c r="A248" s="30" t="s">
        <v>148</v>
      </c>
      <c r="B248" s="31">
        <v>9134</v>
      </c>
      <c r="C248" s="32" t="s">
        <v>52</v>
      </c>
      <c r="D248" s="33" t="s">
        <v>324</v>
      </c>
      <c r="E248" s="56"/>
    </row>
    <row r="249" spans="1:5" x14ac:dyDescent="0.25">
      <c r="A249" s="30" t="s">
        <v>167</v>
      </c>
      <c r="B249" s="31">
        <v>1424</v>
      </c>
      <c r="C249" s="32" t="s">
        <v>52</v>
      </c>
      <c r="D249" s="33" t="s">
        <v>325</v>
      </c>
      <c r="E249" s="56"/>
    </row>
    <row r="250" spans="1:5" x14ac:dyDescent="0.25">
      <c r="A250" s="30" t="s">
        <v>479</v>
      </c>
      <c r="B250" s="31">
        <v>9701</v>
      </c>
      <c r="C250" s="32" t="s">
        <v>52</v>
      </c>
      <c r="D250" s="33" t="s">
        <v>324</v>
      </c>
      <c r="E250" s="56"/>
    </row>
    <row r="251" spans="1:5" x14ac:dyDescent="0.25">
      <c r="A251" s="30" t="s">
        <v>249</v>
      </c>
      <c r="B251" s="31">
        <v>2118</v>
      </c>
      <c r="C251" s="32" t="s">
        <v>52</v>
      </c>
      <c r="D251" s="33" t="s">
        <v>324</v>
      </c>
      <c r="E251" s="56"/>
    </row>
    <row r="252" spans="1:5" x14ac:dyDescent="0.25">
      <c r="A252" s="30" t="s">
        <v>173</v>
      </c>
      <c r="B252" s="31">
        <v>735</v>
      </c>
      <c r="C252" s="32" t="s">
        <v>52</v>
      </c>
      <c r="D252" s="33" t="s">
        <v>324</v>
      </c>
      <c r="E252" s="56"/>
    </row>
    <row r="253" spans="1:5" x14ac:dyDescent="0.25">
      <c r="A253" s="30" t="s">
        <v>72</v>
      </c>
      <c r="B253" s="31">
        <v>988</v>
      </c>
      <c r="C253" s="32" t="s">
        <v>52</v>
      </c>
      <c r="D253" s="33" t="s">
        <v>324</v>
      </c>
      <c r="E253" s="56"/>
    </row>
    <row r="254" spans="1:5" x14ac:dyDescent="0.25">
      <c r="A254" s="30" t="s">
        <v>179</v>
      </c>
      <c r="B254" s="31">
        <v>3708</v>
      </c>
      <c r="C254" s="32" t="s">
        <v>52</v>
      </c>
      <c r="D254" s="33" t="s">
        <v>324</v>
      </c>
      <c r="E254" s="56"/>
    </row>
    <row r="255" spans="1:5" x14ac:dyDescent="0.25">
      <c r="A255" s="55" t="s">
        <v>210</v>
      </c>
      <c r="B255" s="31">
        <v>3461</v>
      </c>
      <c r="C255" s="32" t="s">
        <v>52</v>
      </c>
      <c r="D255" s="33" t="s">
        <v>324</v>
      </c>
      <c r="E255" s="56"/>
    </row>
    <row r="256" spans="1:5" x14ac:dyDescent="0.25">
      <c r="A256" s="55" t="s">
        <v>314</v>
      </c>
      <c r="B256" s="31">
        <v>3818</v>
      </c>
      <c r="C256" s="32" t="s">
        <v>52</v>
      </c>
      <c r="D256" s="33" t="s">
        <v>324</v>
      </c>
      <c r="E256" s="56"/>
    </row>
    <row r="257" spans="1:5" x14ac:dyDescent="0.25">
      <c r="A257" s="55" t="s">
        <v>315</v>
      </c>
      <c r="B257" s="31">
        <v>3956</v>
      </c>
      <c r="C257" s="32" t="s">
        <v>52</v>
      </c>
      <c r="D257" s="33" t="s">
        <v>324</v>
      </c>
      <c r="E257" s="56"/>
    </row>
    <row r="258" spans="1:5" x14ac:dyDescent="0.25">
      <c r="A258" s="55" t="s">
        <v>317</v>
      </c>
      <c r="B258" s="31">
        <v>3934</v>
      </c>
      <c r="C258" s="32" t="s">
        <v>52</v>
      </c>
      <c r="D258" s="33" t="s">
        <v>324</v>
      </c>
      <c r="E258" s="56"/>
    </row>
    <row r="259" spans="1:5" x14ac:dyDescent="0.25">
      <c r="A259" s="55" t="s">
        <v>318</v>
      </c>
      <c r="B259" s="31">
        <v>3829</v>
      </c>
      <c r="C259" s="32" t="s">
        <v>52</v>
      </c>
      <c r="D259" s="33" t="s">
        <v>324</v>
      </c>
      <c r="E259" s="56"/>
    </row>
    <row r="260" spans="1:5" x14ac:dyDescent="0.25">
      <c r="A260" s="55" t="s">
        <v>320</v>
      </c>
      <c r="B260" s="31">
        <v>3685</v>
      </c>
      <c r="C260" s="32" t="s">
        <v>52</v>
      </c>
      <c r="D260" s="33" t="s">
        <v>324</v>
      </c>
      <c r="E260" s="56"/>
    </row>
    <row r="261" spans="1:5" x14ac:dyDescent="0.25">
      <c r="A261" s="55" t="s">
        <v>321</v>
      </c>
      <c r="B261" s="31">
        <v>3070</v>
      </c>
      <c r="C261" s="32" t="s">
        <v>52</v>
      </c>
      <c r="D261" s="33" t="s">
        <v>324</v>
      </c>
      <c r="E261" s="56"/>
    </row>
    <row r="262" spans="1:5" x14ac:dyDescent="0.25">
      <c r="A262" s="55" t="s">
        <v>322</v>
      </c>
      <c r="B262" s="31">
        <v>3948</v>
      </c>
      <c r="C262" s="32" t="s">
        <v>52</v>
      </c>
      <c r="D262" s="33" t="s">
        <v>324</v>
      </c>
      <c r="E262" s="56"/>
    </row>
    <row r="263" spans="1:5" x14ac:dyDescent="0.25">
      <c r="A263" s="55" t="s">
        <v>518</v>
      </c>
      <c r="B263" s="31">
        <v>245</v>
      </c>
      <c r="C263" s="32" t="s">
        <v>52</v>
      </c>
      <c r="D263" s="33" t="s">
        <v>324</v>
      </c>
      <c r="E263" s="56"/>
    </row>
    <row r="264" spans="1:5" x14ac:dyDescent="0.25">
      <c r="A264" s="55" t="s">
        <v>323</v>
      </c>
      <c r="B264" s="31">
        <v>818</v>
      </c>
      <c r="C264" s="32" t="s">
        <v>52</v>
      </c>
      <c r="D264" s="33" t="s">
        <v>324</v>
      </c>
      <c r="E264" s="56"/>
    </row>
    <row r="265" spans="1:5" x14ac:dyDescent="0.25">
      <c r="A265" s="55" t="s">
        <v>345</v>
      </c>
      <c r="B265" s="31">
        <v>9510</v>
      </c>
      <c r="C265" s="32" t="s">
        <v>52</v>
      </c>
      <c r="D265" s="33" t="s">
        <v>324</v>
      </c>
      <c r="E265" s="56"/>
    </row>
    <row r="266" spans="1:5" x14ac:dyDescent="0.25">
      <c r="A266" s="55" t="s">
        <v>346</v>
      </c>
      <c r="B266" s="31">
        <v>219</v>
      </c>
      <c r="C266" s="32" t="s">
        <v>52</v>
      </c>
      <c r="D266" s="33" t="s">
        <v>324</v>
      </c>
      <c r="E266" s="56"/>
    </row>
    <row r="267" spans="1:5" x14ac:dyDescent="0.25">
      <c r="A267" s="55" t="s">
        <v>347</v>
      </c>
      <c r="B267" s="31">
        <v>3449</v>
      </c>
      <c r="C267" s="32" t="s">
        <v>52</v>
      </c>
      <c r="D267" s="33" t="s">
        <v>324</v>
      </c>
      <c r="E267" s="56"/>
    </row>
    <row r="268" spans="1:5" x14ac:dyDescent="0.25">
      <c r="A268" s="55" t="s">
        <v>348</v>
      </c>
      <c r="B268" s="31">
        <v>207</v>
      </c>
      <c r="C268" s="32" t="s">
        <v>52</v>
      </c>
      <c r="D268" s="33" t="s">
        <v>324</v>
      </c>
      <c r="E268" s="56"/>
    </row>
    <row r="269" spans="1:5" x14ac:dyDescent="0.25">
      <c r="A269" s="55" t="s">
        <v>349</v>
      </c>
      <c r="B269" s="31">
        <v>4055</v>
      </c>
      <c r="C269" s="32" t="s">
        <v>52</v>
      </c>
      <c r="D269" s="33" t="s">
        <v>324</v>
      </c>
      <c r="E269" s="56"/>
    </row>
    <row r="270" spans="1:5" x14ac:dyDescent="0.25">
      <c r="A270" s="55" t="s">
        <v>350</v>
      </c>
      <c r="B270" s="31">
        <v>774</v>
      </c>
      <c r="C270" s="32" t="s">
        <v>52</v>
      </c>
      <c r="D270" s="33" t="s">
        <v>324</v>
      </c>
      <c r="E270" s="56"/>
    </row>
    <row r="271" spans="1:5" x14ac:dyDescent="0.25">
      <c r="A271" s="55" t="s">
        <v>351</v>
      </c>
      <c r="B271" s="31">
        <v>9935</v>
      </c>
      <c r="C271" s="32" t="s">
        <v>52</v>
      </c>
      <c r="D271" s="33" t="s">
        <v>324</v>
      </c>
      <c r="E271" s="56"/>
    </row>
    <row r="272" spans="1:5" x14ac:dyDescent="0.25">
      <c r="A272" s="55" t="s">
        <v>352</v>
      </c>
      <c r="B272" s="31">
        <v>4042</v>
      </c>
      <c r="C272" s="32" t="s">
        <v>52</v>
      </c>
      <c r="D272" s="33" t="s">
        <v>324</v>
      </c>
      <c r="E272" s="56"/>
    </row>
    <row r="273" spans="1:5" x14ac:dyDescent="0.25">
      <c r="A273" s="55" t="s">
        <v>353</v>
      </c>
      <c r="B273" s="31">
        <v>226</v>
      </c>
      <c r="C273" s="32" t="s">
        <v>52</v>
      </c>
      <c r="D273" s="33" t="s">
        <v>324</v>
      </c>
      <c r="E273" s="56"/>
    </row>
    <row r="274" spans="1:5" x14ac:dyDescent="0.25">
      <c r="A274" s="55" t="s">
        <v>354</v>
      </c>
      <c r="B274" s="31">
        <v>3959</v>
      </c>
      <c r="C274" s="32" t="s">
        <v>52</v>
      </c>
      <c r="D274" s="33" t="s">
        <v>324</v>
      </c>
      <c r="E274" s="56"/>
    </row>
    <row r="275" spans="1:5" x14ac:dyDescent="0.25">
      <c r="A275" s="55" t="s">
        <v>355</v>
      </c>
      <c r="B275" s="31">
        <v>7038</v>
      </c>
      <c r="C275" s="32" t="s">
        <v>52</v>
      </c>
      <c r="D275" s="33" t="s">
        <v>324</v>
      </c>
      <c r="E275" s="56"/>
    </row>
    <row r="276" spans="1:5" x14ac:dyDescent="0.25">
      <c r="A276" s="55" t="s">
        <v>393</v>
      </c>
      <c r="B276" s="31">
        <v>9633</v>
      </c>
      <c r="C276" s="32" t="s">
        <v>52</v>
      </c>
      <c r="D276" s="33" t="s">
        <v>324</v>
      </c>
      <c r="E276" s="56"/>
    </row>
    <row r="277" spans="1:5" x14ac:dyDescent="0.25">
      <c r="A277" s="55" t="s">
        <v>356</v>
      </c>
      <c r="B277" s="31">
        <v>2777</v>
      </c>
      <c r="C277" s="32" t="s">
        <v>52</v>
      </c>
      <c r="D277" s="33" t="s">
        <v>324</v>
      </c>
      <c r="E277" s="56"/>
    </row>
    <row r="278" spans="1:5" x14ac:dyDescent="0.25">
      <c r="A278" s="55" t="s">
        <v>357</v>
      </c>
      <c r="B278" s="31">
        <v>2746</v>
      </c>
      <c r="C278" s="32" t="s">
        <v>52</v>
      </c>
      <c r="D278" s="33" t="s">
        <v>324</v>
      </c>
      <c r="E278" s="56"/>
    </row>
    <row r="279" spans="1:5" x14ac:dyDescent="0.25">
      <c r="A279" s="55" t="s">
        <v>358</v>
      </c>
      <c r="B279" s="31">
        <v>1786</v>
      </c>
      <c r="C279" s="32" t="s">
        <v>52</v>
      </c>
      <c r="D279" s="33" t="s">
        <v>324</v>
      </c>
      <c r="E279" s="56"/>
    </row>
    <row r="280" spans="1:5" x14ac:dyDescent="0.25">
      <c r="A280" s="55" t="s">
        <v>359</v>
      </c>
      <c r="B280" s="31">
        <v>3198</v>
      </c>
      <c r="C280" s="32" t="s">
        <v>52</v>
      </c>
      <c r="D280" s="33" t="s">
        <v>324</v>
      </c>
      <c r="E280" s="56"/>
    </row>
    <row r="281" spans="1:5" x14ac:dyDescent="0.25">
      <c r="A281" s="55" t="s">
        <v>360</v>
      </c>
      <c r="B281" s="31">
        <v>9740</v>
      </c>
      <c r="C281" s="32" t="s">
        <v>52</v>
      </c>
      <c r="D281" s="33" t="s">
        <v>324</v>
      </c>
      <c r="E281" s="56"/>
    </row>
    <row r="282" spans="1:5" x14ac:dyDescent="0.25">
      <c r="A282" s="55" t="s">
        <v>361</v>
      </c>
      <c r="B282" s="31">
        <v>2394</v>
      </c>
      <c r="C282" s="32" t="s">
        <v>52</v>
      </c>
      <c r="D282" s="33" t="s">
        <v>324</v>
      </c>
      <c r="E282" s="56"/>
    </row>
    <row r="283" spans="1:5" x14ac:dyDescent="0.25">
      <c r="A283" s="55" t="s">
        <v>362</v>
      </c>
      <c r="B283" s="31">
        <v>4029</v>
      </c>
      <c r="C283" s="32" t="s">
        <v>52</v>
      </c>
      <c r="D283" s="33" t="s">
        <v>324</v>
      </c>
      <c r="E283" s="56"/>
    </row>
    <row r="284" spans="1:5" x14ac:dyDescent="0.25">
      <c r="A284" s="55" t="s">
        <v>363</v>
      </c>
      <c r="B284" s="31">
        <v>3787</v>
      </c>
      <c r="C284" s="32" t="s">
        <v>52</v>
      </c>
      <c r="D284" s="33" t="s">
        <v>324</v>
      </c>
      <c r="E284" s="56"/>
    </row>
    <row r="285" spans="1:5" x14ac:dyDescent="0.25">
      <c r="A285" s="55" t="s">
        <v>364</v>
      </c>
      <c r="B285" s="31">
        <v>3554</v>
      </c>
      <c r="C285" s="32" t="s">
        <v>52</v>
      </c>
      <c r="D285" s="33" t="s">
        <v>324</v>
      </c>
      <c r="E285" s="56"/>
    </row>
    <row r="286" spans="1:5" x14ac:dyDescent="0.25">
      <c r="A286" s="55" t="s">
        <v>365</v>
      </c>
      <c r="B286" s="31">
        <v>2218</v>
      </c>
      <c r="C286" s="32" t="s">
        <v>52</v>
      </c>
      <c r="D286" s="33" t="s">
        <v>324</v>
      </c>
      <c r="E286" s="57"/>
    </row>
    <row r="287" spans="1:5" x14ac:dyDescent="0.25">
      <c r="A287" s="55" t="s">
        <v>366</v>
      </c>
      <c r="B287" s="31">
        <v>1615</v>
      </c>
      <c r="C287" s="32" t="s">
        <v>52</v>
      </c>
      <c r="D287" s="33" t="s">
        <v>324</v>
      </c>
      <c r="E287" s="56"/>
    </row>
    <row r="288" spans="1:5" x14ac:dyDescent="0.25">
      <c r="A288" s="55" t="s">
        <v>368</v>
      </c>
      <c r="B288" s="31">
        <v>3242</v>
      </c>
      <c r="C288" s="32" t="s">
        <v>52</v>
      </c>
      <c r="D288" s="33" t="s">
        <v>324</v>
      </c>
      <c r="E288" s="56"/>
    </row>
    <row r="289" spans="1:5" x14ac:dyDescent="0.25">
      <c r="A289" s="55" t="s">
        <v>369</v>
      </c>
      <c r="B289" s="31">
        <v>1502</v>
      </c>
      <c r="C289" s="32" t="s">
        <v>52</v>
      </c>
      <c r="D289" s="33" t="s">
        <v>324</v>
      </c>
      <c r="E289" s="56"/>
    </row>
    <row r="290" spans="1:5" x14ac:dyDescent="0.25">
      <c r="A290" s="55" t="s">
        <v>370</v>
      </c>
      <c r="B290" s="31">
        <v>1422</v>
      </c>
      <c r="C290" s="32" t="s">
        <v>52</v>
      </c>
      <c r="D290" s="33" t="s">
        <v>324</v>
      </c>
      <c r="E290" s="56"/>
    </row>
    <row r="291" spans="1:5" x14ac:dyDescent="0.25">
      <c r="A291" s="55" t="s">
        <v>371</v>
      </c>
      <c r="B291" s="31">
        <v>1453</v>
      </c>
      <c r="C291" s="32" t="s">
        <v>52</v>
      </c>
      <c r="D291" s="33" t="s">
        <v>324</v>
      </c>
      <c r="E291" s="56"/>
    </row>
    <row r="292" spans="1:5" x14ac:dyDescent="0.25">
      <c r="A292" s="55" t="s">
        <v>372</v>
      </c>
      <c r="B292" s="31">
        <v>4072</v>
      </c>
      <c r="C292" s="32" t="s">
        <v>52</v>
      </c>
      <c r="D292" s="33" t="s">
        <v>324</v>
      </c>
      <c r="E292" s="56"/>
    </row>
    <row r="293" spans="1:5" x14ac:dyDescent="0.25">
      <c r="A293" s="55" t="s">
        <v>373</v>
      </c>
      <c r="B293" s="31">
        <v>127</v>
      </c>
      <c r="C293" s="32" t="s">
        <v>52</v>
      </c>
      <c r="D293" s="33" t="s">
        <v>324</v>
      </c>
      <c r="E293" s="56"/>
    </row>
    <row r="294" spans="1:5" x14ac:dyDescent="0.25">
      <c r="A294" s="55" t="s">
        <v>374</v>
      </c>
      <c r="B294" s="31">
        <v>4070</v>
      </c>
      <c r="C294" s="32" t="s">
        <v>52</v>
      </c>
      <c r="D294" s="33" t="s">
        <v>324</v>
      </c>
      <c r="E294" s="56"/>
    </row>
    <row r="295" spans="1:5" x14ac:dyDescent="0.25">
      <c r="A295" s="55" t="s">
        <v>375</v>
      </c>
      <c r="B295" s="31">
        <v>515</v>
      </c>
      <c r="C295" s="32" t="s">
        <v>52</v>
      </c>
      <c r="D295" s="33" t="s">
        <v>324</v>
      </c>
      <c r="E295" s="56"/>
    </row>
    <row r="296" spans="1:5" x14ac:dyDescent="0.25">
      <c r="A296" s="55" t="s">
        <v>376</v>
      </c>
      <c r="B296" s="31">
        <v>412</v>
      </c>
      <c r="C296" s="32" t="s">
        <v>52</v>
      </c>
      <c r="D296" s="33" t="s">
        <v>324</v>
      </c>
      <c r="E296" s="56"/>
    </row>
    <row r="297" spans="1:5" x14ac:dyDescent="0.25">
      <c r="A297" s="55" t="s">
        <v>729</v>
      </c>
      <c r="B297" s="31">
        <v>2467</v>
      </c>
      <c r="C297" s="32" t="s">
        <v>52</v>
      </c>
      <c r="D297" s="33" t="s">
        <v>325</v>
      </c>
      <c r="E297" s="56"/>
    </row>
    <row r="298" spans="1:5" x14ac:dyDescent="0.25">
      <c r="A298" s="55" t="s">
        <v>95</v>
      </c>
      <c r="B298" s="31">
        <v>3113</v>
      </c>
      <c r="C298" s="32" t="s">
        <v>52</v>
      </c>
      <c r="D298" s="33" t="s">
        <v>324</v>
      </c>
      <c r="E298" s="56"/>
    </row>
    <row r="299" spans="1:5" x14ac:dyDescent="0.25">
      <c r="A299" s="55" t="s">
        <v>377</v>
      </c>
      <c r="B299" s="31">
        <v>3638</v>
      </c>
      <c r="C299" s="32" t="s">
        <v>52</v>
      </c>
      <c r="D299" s="33" t="s">
        <v>324</v>
      </c>
      <c r="E299" s="56"/>
    </row>
    <row r="300" spans="1:5" x14ac:dyDescent="0.25">
      <c r="A300" s="55" t="s">
        <v>91</v>
      </c>
      <c r="B300" s="31">
        <v>2674</v>
      </c>
      <c r="C300" s="32" t="s">
        <v>52</v>
      </c>
      <c r="D300" s="33" t="s">
        <v>324</v>
      </c>
      <c r="E300" s="56"/>
    </row>
    <row r="301" spans="1:5" x14ac:dyDescent="0.25">
      <c r="A301" s="55" t="s">
        <v>91</v>
      </c>
      <c r="B301" s="31">
        <v>9045</v>
      </c>
      <c r="C301" s="32" t="s">
        <v>52</v>
      </c>
      <c r="D301" s="33" t="s">
        <v>324</v>
      </c>
      <c r="E301" s="56"/>
    </row>
    <row r="302" spans="1:5" x14ac:dyDescent="0.25">
      <c r="A302" s="55" t="s">
        <v>933</v>
      </c>
      <c r="B302" s="31">
        <v>3381</v>
      </c>
      <c r="C302" s="32" t="s">
        <v>52</v>
      </c>
      <c r="D302" s="33" t="s">
        <v>324</v>
      </c>
      <c r="E302" s="56"/>
    </row>
    <row r="303" spans="1:5" x14ac:dyDescent="0.25">
      <c r="A303" s="55" t="s">
        <v>416</v>
      </c>
      <c r="B303" s="31">
        <v>2014</v>
      </c>
      <c r="C303" s="32" t="s">
        <v>52</v>
      </c>
      <c r="D303" s="33" t="s">
        <v>324</v>
      </c>
      <c r="E303" s="56"/>
    </row>
    <row r="304" spans="1:5" x14ac:dyDescent="0.25">
      <c r="A304" s="55" t="s">
        <v>379</v>
      </c>
      <c r="B304" s="31">
        <v>3954</v>
      </c>
      <c r="C304" s="32" t="s">
        <v>52</v>
      </c>
      <c r="D304" s="33" t="s">
        <v>324</v>
      </c>
      <c r="E304" s="56"/>
    </row>
    <row r="305" spans="1:5" x14ac:dyDescent="0.25">
      <c r="A305" s="55" t="s">
        <v>380</v>
      </c>
      <c r="B305" s="31">
        <v>4073</v>
      </c>
      <c r="C305" s="32" t="s">
        <v>52</v>
      </c>
      <c r="D305" s="33" t="s">
        <v>324</v>
      </c>
      <c r="E305" s="56"/>
    </row>
    <row r="306" spans="1:5" x14ac:dyDescent="0.25">
      <c r="A306" s="55" t="s">
        <v>381</v>
      </c>
      <c r="B306" s="31">
        <v>1844</v>
      </c>
      <c r="C306" s="32" t="s">
        <v>52</v>
      </c>
      <c r="D306" s="33" t="s">
        <v>324</v>
      </c>
      <c r="E306" s="56"/>
    </row>
    <row r="307" spans="1:5" x14ac:dyDescent="0.25">
      <c r="A307" s="55" t="s">
        <v>241</v>
      </c>
      <c r="B307" s="31">
        <v>2416</v>
      </c>
      <c r="C307" s="32" t="s">
        <v>52</v>
      </c>
      <c r="D307" s="33" t="s">
        <v>324</v>
      </c>
      <c r="E307" s="56"/>
    </row>
    <row r="308" spans="1:5" x14ac:dyDescent="0.25">
      <c r="A308" s="55" t="s">
        <v>382</v>
      </c>
      <c r="B308" s="31">
        <v>3924</v>
      </c>
      <c r="C308" s="32" t="s">
        <v>52</v>
      </c>
      <c r="D308" s="33" t="s">
        <v>324</v>
      </c>
      <c r="E308" s="56"/>
    </row>
    <row r="309" spans="1:5" x14ac:dyDescent="0.25">
      <c r="A309" s="55" t="s">
        <v>245</v>
      </c>
      <c r="B309" s="31">
        <v>2189</v>
      </c>
      <c r="C309" s="32" t="s">
        <v>52</v>
      </c>
      <c r="D309" s="33" t="s">
        <v>324</v>
      </c>
      <c r="E309" s="56"/>
    </row>
    <row r="310" spans="1:5" x14ac:dyDescent="0.25">
      <c r="A310" s="55" t="s">
        <v>383</v>
      </c>
      <c r="B310" s="31">
        <v>4145</v>
      </c>
      <c r="C310" s="32" t="s">
        <v>52</v>
      </c>
      <c r="D310" s="33" t="s">
        <v>324</v>
      </c>
      <c r="E310" s="56"/>
    </row>
    <row r="311" spans="1:5" x14ac:dyDescent="0.25">
      <c r="A311" s="55" t="s">
        <v>385</v>
      </c>
      <c r="B311" s="31">
        <v>4026</v>
      </c>
      <c r="C311" s="32" t="s">
        <v>52</v>
      </c>
      <c r="D311" s="33" t="s">
        <v>324</v>
      </c>
      <c r="E311" s="56"/>
    </row>
    <row r="312" spans="1:5" x14ac:dyDescent="0.25">
      <c r="A312" s="55" t="s">
        <v>386</v>
      </c>
      <c r="B312" s="31">
        <v>3912</v>
      </c>
      <c r="C312" s="32" t="s">
        <v>52</v>
      </c>
      <c r="D312" s="33" t="s">
        <v>324</v>
      </c>
      <c r="E312" s="56"/>
    </row>
    <row r="313" spans="1:5" x14ac:dyDescent="0.25">
      <c r="A313" s="55" t="s">
        <v>387</v>
      </c>
      <c r="B313" s="31">
        <v>3939</v>
      </c>
      <c r="C313" s="32" t="s">
        <v>52</v>
      </c>
      <c r="D313" s="33" t="s">
        <v>324</v>
      </c>
      <c r="E313" s="56"/>
    </row>
    <row r="314" spans="1:5" x14ac:dyDescent="0.25">
      <c r="A314" s="55" t="s">
        <v>388</v>
      </c>
      <c r="B314" s="31">
        <v>3691</v>
      </c>
      <c r="C314" s="32" t="s">
        <v>52</v>
      </c>
      <c r="D314" s="33" t="s">
        <v>324</v>
      </c>
      <c r="E314" s="56"/>
    </row>
    <row r="315" spans="1:5" x14ac:dyDescent="0.25">
      <c r="A315" s="55" t="s">
        <v>389</v>
      </c>
      <c r="B315" s="31">
        <v>1591</v>
      </c>
      <c r="C315" s="32" t="s">
        <v>52</v>
      </c>
      <c r="D315" s="33" t="s">
        <v>325</v>
      </c>
      <c r="E315" s="56"/>
    </row>
    <row r="316" spans="1:5" x14ac:dyDescent="0.25">
      <c r="A316" s="55" t="s">
        <v>176</v>
      </c>
      <c r="B316" s="31">
        <v>9637</v>
      </c>
      <c r="C316" s="32" t="s">
        <v>52</v>
      </c>
      <c r="D316" s="33" t="s">
        <v>324</v>
      </c>
      <c r="E316" s="56"/>
    </row>
    <row r="317" spans="1:5" x14ac:dyDescent="0.25">
      <c r="A317" s="55" t="s">
        <v>286</v>
      </c>
      <c r="B317" s="31">
        <v>3768</v>
      </c>
      <c r="C317" s="32" t="s">
        <v>52</v>
      </c>
      <c r="D317" s="33" t="s">
        <v>324</v>
      </c>
      <c r="E317" s="56"/>
    </row>
    <row r="318" spans="1:5" x14ac:dyDescent="0.25">
      <c r="A318" s="55" t="s">
        <v>259</v>
      </c>
      <c r="B318" s="31">
        <v>3509</v>
      </c>
      <c r="C318" s="32" t="s">
        <v>52</v>
      </c>
      <c r="D318" s="33" t="s">
        <v>324</v>
      </c>
      <c r="E318" s="56"/>
    </row>
    <row r="319" spans="1:5" x14ac:dyDescent="0.25">
      <c r="A319" s="55" t="s">
        <v>390</v>
      </c>
      <c r="B319" s="31">
        <v>3568</v>
      </c>
      <c r="C319" s="32" t="s">
        <v>52</v>
      </c>
      <c r="D319" s="33" t="s">
        <v>324</v>
      </c>
      <c r="E319" s="56"/>
    </row>
    <row r="320" spans="1:5" x14ac:dyDescent="0.25">
      <c r="A320" s="55" t="s">
        <v>113</v>
      </c>
      <c r="B320" s="31">
        <v>541</v>
      </c>
      <c r="C320" s="32" t="s">
        <v>52</v>
      </c>
      <c r="D320" s="33" t="s">
        <v>324</v>
      </c>
      <c r="E320" s="56"/>
    </row>
    <row r="321" spans="1:5" x14ac:dyDescent="0.25">
      <c r="A321" s="55" t="s">
        <v>391</v>
      </c>
      <c r="B321" s="31">
        <v>3840</v>
      </c>
      <c r="C321" s="32" t="s">
        <v>52</v>
      </c>
      <c r="D321" s="33" t="s">
        <v>324</v>
      </c>
      <c r="E321" s="56"/>
    </row>
    <row r="322" spans="1:5" x14ac:dyDescent="0.25">
      <c r="A322" s="55" t="s">
        <v>89</v>
      </c>
      <c r="B322" s="31">
        <v>224</v>
      </c>
      <c r="C322" s="32" t="s">
        <v>52</v>
      </c>
      <c r="D322" s="33" t="s">
        <v>324</v>
      </c>
      <c r="E322" s="56"/>
    </row>
    <row r="323" spans="1:5" x14ac:dyDescent="0.25">
      <c r="A323" s="55" t="s">
        <v>283</v>
      </c>
      <c r="B323" s="31">
        <v>3695</v>
      </c>
      <c r="C323" s="32" t="s">
        <v>52</v>
      </c>
      <c r="D323" s="33" t="s">
        <v>324</v>
      </c>
      <c r="E323" s="56"/>
    </row>
    <row r="324" spans="1:5" x14ac:dyDescent="0.25">
      <c r="A324" s="55" t="s">
        <v>159</v>
      </c>
      <c r="B324" s="31">
        <v>677</v>
      </c>
      <c r="C324" s="32" t="s">
        <v>52</v>
      </c>
      <c r="D324" s="33" t="s">
        <v>324</v>
      </c>
      <c r="E324" s="56"/>
    </row>
    <row r="325" spans="1:5" x14ac:dyDescent="0.25">
      <c r="A325" s="55" t="s">
        <v>392</v>
      </c>
      <c r="B325" s="31">
        <v>233</v>
      </c>
      <c r="C325" s="32" t="s">
        <v>52</v>
      </c>
      <c r="D325" s="33" t="s">
        <v>324</v>
      </c>
      <c r="E325" s="56"/>
    </row>
    <row r="326" spans="1:5" x14ac:dyDescent="0.25">
      <c r="A326" s="55" t="s">
        <v>443</v>
      </c>
      <c r="B326" s="31">
        <v>4100</v>
      </c>
      <c r="C326" s="32" t="s">
        <v>52</v>
      </c>
      <c r="D326" s="33" t="s">
        <v>324</v>
      </c>
      <c r="E326" s="56"/>
    </row>
    <row r="327" spans="1:5" x14ac:dyDescent="0.25">
      <c r="A327" s="55" t="s">
        <v>408</v>
      </c>
      <c r="B327" s="31">
        <v>1480</v>
      </c>
      <c r="C327" s="32" t="s">
        <v>52</v>
      </c>
      <c r="D327" s="33" t="s">
        <v>324</v>
      </c>
      <c r="E327" s="56"/>
    </row>
    <row r="328" spans="1:5" x14ac:dyDescent="0.25">
      <c r="A328" s="55" t="s">
        <v>423</v>
      </c>
      <c r="B328" s="31">
        <v>2850</v>
      </c>
      <c r="C328" s="32" t="s">
        <v>52</v>
      </c>
      <c r="D328" s="33" t="s">
        <v>324</v>
      </c>
      <c r="E328" s="56"/>
    </row>
    <row r="329" spans="1:5" x14ac:dyDescent="0.25">
      <c r="A329" s="55" t="s">
        <v>429</v>
      </c>
      <c r="B329" s="31">
        <v>3335</v>
      </c>
      <c r="C329" s="32" t="s">
        <v>52</v>
      </c>
      <c r="D329" s="33" t="s">
        <v>324</v>
      </c>
      <c r="E329" s="56"/>
    </row>
    <row r="330" spans="1:5" x14ac:dyDescent="0.25">
      <c r="A330" s="55" t="s">
        <v>434</v>
      </c>
      <c r="B330" s="31">
        <v>3719</v>
      </c>
      <c r="C330" s="32" t="s">
        <v>52</v>
      </c>
      <c r="D330" s="33" t="s">
        <v>324</v>
      </c>
      <c r="E330" s="56"/>
    </row>
    <row r="331" spans="1:5" x14ac:dyDescent="0.25">
      <c r="A331" s="55" t="s">
        <v>427</v>
      </c>
      <c r="B331" s="31">
        <v>3127</v>
      </c>
      <c r="C331" s="32" t="s">
        <v>52</v>
      </c>
      <c r="D331" s="33" t="s">
        <v>324</v>
      </c>
      <c r="E331" s="56"/>
    </row>
    <row r="332" spans="1:5" x14ac:dyDescent="0.25">
      <c r="A332" s="55" t="s">
        <v>422</v>
      </c>
      <c r="B332" s="31">
        <v>2784</v>
      </c>
      <c r="C332" s="32" t="s">
        <v>52</v>
      </c>
      <c r="D332" s="33" t="s">
        <v>324</v>
      </c>
      <c r="E332" s="56"/>
    </row>
    <row r="333" spans="1:5" x14ac:dyDescent="0.25">
      <c r="A333" s="55" t="s">
        <v>449</v>
      </c>
      <c r="B333" s="31">
        <v>4181</v>
      </c>
      <c r="C333" s="32" t="s">
        <v>52</v>
      </c>
      <c r="D333" s="33" t="s">
        <v>324</v>
      </c>
      <c r="E333" s="56"/>
    </row>
    <row r="334" spans="1:5" x14ac:dyDescent="0.25">
      <c r="A334" s="55" t="s">
        <v>474</v>
      </c>
      <c r="B334" s="31">
        <v>7629</v>
      </c>
      <c r="C334" s="32" t="s">
        <v>52</v>
      </c>
      <c r="D334" s="33" t="s">
        <v>324</v>
      </c>
      <c r="E334" s="56"/>
    </row>
    <row r="335" spans="1:5" x14ac:dyDescent="0.25">
      <c r="A335" s="55" t="s">
        <v>431</v>
      </c>
      <c r="B335" s="31">
        <v>3399</v>
      </c>
      <c r="C335" s="32" t="s">
        <v>52</v>
      </c>
      <c r="D335" s="33" t="s">
        <v>324</v>
      </c>
      <c r="E335" s="56"/>
    </row>
    <row r="336" spans="1:5" x14ac:dyDescent="0.25">
      <c r="A336" s="55" t="s">
        <v>525</v>
      </c>
      <c r="B336" s="31">
        <v>446</v>
      </c>
      <c r="C336" s="32" t="s">
        <v>52</v>
      </c>
      <c r="D336" s="33" t="s">
        <v>324</v>
      </c>
      <c r="E336" s="56"/>
    </row>
    <row r="337" spans="1:5" x14ac:dyDescent="0.25">
      <c r="A337" s="55" t="s">
        <v>453</v>
      </c>
      <c r="B337" s="31">
        <v>4251</v>
      </c>
      <c r="C337" s="32" t="s">
        <v>52</v>
      </c>
      <c r="D337" s="33" t="s">
        <v>324</v>
      </c>
      <c r="E337" s="56"/>
    </row>
    <row r="338" spans="1:5" x14ac:dyDescent="0.25">
      <c r="A338" s="55" t="s">
        <v>418</v>
      </c>
      <c r="B338" s="31">
        <v>2322</v>
      </c>
      <c r="C338" s="32" t="s">
        <v>52</v>
      </c>
      <c r="D338" s="33" t="s">
        <v>324</v>
      </c>
      <c r="E338" s="56"/>
    </row>
    <row r="339" spans="1:5" x14ac:dyDescent="0.25">
      <c r="A339" s="55" t="s">
        <v>414</v>
      </c>
      <c r="B339" s="31">
        <v>1874</v>
      </c>
      <c r="C339" s="32" t="s">
        <v>52</v>
      </c>
      <c r="D339" s="33" t="s">
        <v>324</v>
      </c>
      <c r="E339" s="56"/>
    </row>
    <row r="340" spans="1:5" x14ac:dyDescent="0.25">
      <c r="A340" s="55" t="s">
        <v>404</v>
      </c>
      <c r="B340" s="31">
        <v>957</v>
      </c>
      <c r="C340" s="32" t="s">
        <v>52</v>
      </c>
      <c r="D340" s="33" t="s">
        <v>324</v>
      </c>
      <c r="E340" s="56"/>
    </row>
    <row r="341" spans="1:5" x14ac:dyDescent="0.25">
      <c r="A341" s="55" t="s">
        <v>447</v>
      </c>
      <c r="B341" s="31">
        <v>4154</v>
      </c>
      <c r="C341" s="32" t="s">
        <v>52</v>
      </c>
      <c r="D341" s="33" t="s">
        <v>324</v>
      </c>
      <c r="E341" s="56"/>
    </row>
    <row r="342" spans="1:5" x14ac:dyDescent="0.25">
      <c r="A342" s="55" t="s">
        <v>442</v>
      </c>
      <c r="B342" s="31">
        <v>4099</v>
      </c>
      <c r="C342" s="32" t="s">
        <v>52</v>
      </c>
      <c r="D342" s="33" t="s">
        <v>324</v>
      </c>
      <c r="E342" s="56"/>
    </row>
    <row r="343" spans="1:5" x14ac:dyDescent="0.25">
      <c r="A343" s="55" t="s">
        <v>472</v>
      </c>
      <c r="B343" s="31">
        <v>7109</v>
      </c>
      <c r="C343" s="32" t="s">
        <v>52</v>
      </c>
      <c r="D343" s="33" t="s">
        <v>324</v>
      </c>
      <c r="E343" s="56"/>
    </row>
    <row r="344" spans="1:5" x14ac:dyDescent="0.25">
      <c r="A344" s="55" t="s">
        <v>475</v>
      </c>
      <c r="B344" s="31">
        <v>9102</v>
      </c>
      <c r="C344" s="32" t="s">
        <v>52</v>
      </c>
      <c r="D344" s="33" t="s">
        <v>324</v>
      </c>
      <c r="E344" s="56"/>
    </row>
    <row r="345" spans="1:5" x14ac:dyDescent="0.25">
      <c r="A345" s="55" t="s">
        <v>483</v>
      </c>
      <c r="B345" s="31">
        <v>9891</v>
      </c>
      <c r="C345" s="32" t="s">
        <v>52</v>
      </c>
      <c r="D345" s="33" t="s">
        <v>324</v>
      </c>
      <c r="E345" s="56"/>
    </row>
    <row r="346" spans="1:5" x14ac:dyDescent="0.25">
      <c r="A346" s="55" t="s">
        <v>445</v>
      </c>
      <c r="B346" s="31">
        <v>4135</v>
      </c>
      <c r="C346" s="32" t="s">
        <v>52</v>
      </c>
      <c r="D346" s="33" t="s">
        <v>324</v>
      </c>
      <c r="E346" s="56"/>
    </row>
    <row r="347" spans="1:5" x14ac:dyDescent="0.25">
      <c r="A347" s="55" t="s">
        <v>481</v>
      </c>
      <c r="B347" s="31">
        <v>9834</v>
      </c>
      <c r="C347" s="32" t="s">
        <v>52</v>
      </c>
      <c r="D347" s="33" t="s">
        <v>324</v>
      </c>
      <c r="E347" s="56"/>
    </row>
    <row r="348" spans="1:5" x14ac:dyDescent="0.25">
      <c r="A348" s="55" t="s">
        <v>104</v>
      </c>
      <c r="B348" s="31">
        <v>3504</v>
      </c>
      <c r="C348" s="32" t="s">
        <v>52</v>
      </c>
      <c r="D348" s="33" t="s">
        <v>324</v>
      </c>
      <c r="E348" s="56"/>
    </row>
    <row r="349" spans="1:5" x14ac:dyDescent="0.25">
      <c r="A349" s="55" t="s">
        <v>448</v>
      </c>
      <c r="B349" s="31">
        <v>4163</v>
      </c>
      <c r="C349" s="32" t="s">
        <v>52</v>
      </c>
      <c r="D349" s="33" t="s">
        <v>324</v>
      </c>
      <c r="E349" s="56"/>
    </row>
    <row r="350" spans="1:5" x14ac:dyDescent="0.25">
      <c r="A350" s="55" t="s">
        <v>446</v>
      </c>
      <c r="B350" s="31">
        <v>4138</v>
      </c>
      <c r="C350" s="32" t="s">
        <v>52</v>
      </c>
      <c r="D350" s="33" t="s">
        <v>325</v>
      </c>
      <c r="E350" s="56"/>
    </row>
    <row r="351" spans="1:5" x14ac:dyDescent="0.25">
      <c r="A351" s="55" t="s">
        <v>450</v>
      </c>
      <c r="B351" s="31">
        <v>4183</v>
      </c>
      <c r="C351" s="32" t="s">
        <v>52</v>
      </c>
      <c r="D351" s="33" t="s">
        <v>324</v>
      </c>
      <c r="E351" s="56"/>
    </row>
    <row r="352" spans="1:5" x14ac:dyDescent="0.25">
      <c r="A352" s="55" t="s">
        <v>413</v>
      </c>
      <c r="B352" s="31">
        <v>1868</v>
      </c>
      <c r="C352" s="32" t="s">
        <v>52</v>
      </c>
      <c r="D352" s="33" t="s">
        <v>324</v>
      </c>
      <c r="E352" s="56"/>
    </row>
    <row r="353" spans="1:5" x14ac:dyDescent="0.25">
      <c r="A353" s="55" t="s">
        <v>401</v>
      </c>
      <c r="B353" s="31">
        <v>781</v>
      </c>
      <c r="C353" s="32" t="s">
        <v>52</v>
      </c>
      <c r="D353" s="33" t="s">
        <v>324</v>
      </c>
      <c r="E353" s="56"/>
    </row>
    <row r="354" spans="1:5" x14ac:dyDescent="0.25">
      <c r="A354" s="55" t="s">
        <v>433</v>
      </c>
      <c r="B354" s="31">
        <v>3666</v>
      </c>
      <c r="C354" s="32" t="s">
        <v>52</v>
      </c>
      <c r="D354" s="33" t="s">
        <v>324</v>
      </c>
      <c r="E354" s="56"/>
    </row>
    <row r="355" spans="1:5" x14ac:dyDescent="0.25">
      <c r="A355" s="55" t="s">
        <v>403</v>
      </c>
      <c r="B355" s="31">
        <v>951</v>
      </c>
      <c r="C355" s="32" t="s">
        <v>52</v>
      </c>
      <c r="D355" s="33" t="s">
        <v>324</v>
      </c>
      <c r="E355" s="56"/>
    </row>
    <row r="356" spans="1:5" x14ac:dyDescent="0.25">
      <c r="A356" s="55" t="s">
        <v>437</v>
      </c>
      <c r="B356" s="31">
        <v>3905</v>
      </c>
      <c r="C356" s="32" t="s">
        <v>52</v>
      </c>
      <c r="D356" s="33" t="s">
        <v>324</v>
      </c>
      <c r="E356" s="56"/>
    </row>
    <row r="357" spans="1:5" x14ac:dyDescent="0.25">
      <c r="A357" s="55" t="s">
        <v>424</v>
      </c>
      <c r="B357" s="31">
        <v>2961</v>
      </c>
      <c r="C357" s="32" t="s">
        <v>52</v>
      </c>
      <c r="D357" s="33" t="s">
        <v>324</v>
      </c>
      <c r="E357" s="56"/>
    </row>
    <row r="358" spans="1:5" x14ac:dyDescent="0.25">
      <c r="A358" s="55" t="s">
        <v>458</v>
      </c>
      <c r="B358" s="31">
        <v>4300</v>
      </c>
      <c r="C358" s="32" t="s">
        <v>52</v>
      </c>
      <c r="D358" s="33" t="s">
        <v>324</v>
      </c>
      <c r="E358" s="56"/>
    </row>
    <row r="359" spans="1:5" x14ac:dyDescent="0.25">
      <c r="A359" s="55" t="s">
        <v>402</v>
      </c>
      <c r="B359" s="31">
        <v>803</v>
      </c>
      <c r="C359" s="32" t="s">
        <v>52</v>
      </c>
      <c r="D359" s="33" t="s">
        <v>324</v>
      </c>
      <c r="E359" s="56"/>
    </row>
    <row r="360" spans="1:5" x14ac:dyDescent="0.25">
      <c r="A360" s="55" t="s">
        <v>177</v>
      </c>
      <c r="B360" s="31">
        <v>1425</v>
      </c>
      <c r="C360" s="32" t="s">
        <v>52</v>
      </c>
      <c r="D360" s="33" t="s">
        <v>324</v>
      </c>
      <c r="E360" s="56"/>
    </row>
    <row r="361" spans="1:5" x14ac:dyDescent="0.25">
      <c r="A361" s="55" t="s">
        <v>477</v>
      </c>
      <c r="B361" s="31">
        <v>9354</v>
      </c>
      <c r="C361" s="32" t="s">
        <v>52</v>
      </c>
      <c r="D361" s="33" t="s">
        <v>324</v>
      </c>
      <c r="E361" s="56"/>
    </row>
    <row r="362" spans="1:5" x14ac:dyDescent="0.25">
      <c r="A362" s="55" t="s">
        <v>116</v>
      </c>
      <c r="B362" s="31">
        <v>722</v>
      </c>
      <c r="C362" s="32" t="s">
        <v>52</v>
      </c>
      <c r="D362" s="33" t="s">
        <v>324</v>
      </c>
      <c r="E362" s="56"/>
    </row>
    <row r="363" spans="1:5" x14ac:dyDescent="0.25">
      <c r="A363" s="55" t="s">
        <v>215</v>
      </c>
      <c r="B363" s="31">
        <v>9099</v>
      </c>
      <c r="C363" s="32" t="s">
        <v>52</v>
      </c>
      <c r="D363" s="33" t="s">
        <v>324</v>
      </c>
      <c r="E363" s="56"/>
    </row>
    <row r="364" spans="1:5" x14ac:dyDescent="0.25">
      <c r="A364" s="55" t="s">
        <v>459</v>
      </c>
      <c r="B364" s="31">
        <v>4301</v>
      </c>
      <c r="C364" s="32" t="s">
        <v>52</v>
      </c>
      <c r="D364" s="33" t="s">
        <v>324</v>
      </c>
      <c r="E364" s="56"/>
    </row>
    <row r="365" spans="1:5" x14ac:dyDescent="0.25">
      <c r="A365" s="55" t="s">
        <v>97</v>
      </c>
      <c r="B365" s="31">
        <v>3138</v>
      </c>
      <c r="C365" s="32" t="s">
        <v>52</v>
      </c>
      <c r="D365" s="33" t="s">
        <v>324</v>
      </c>
      <c r="E365" s="56"/>
    </row>
    <row r="366" spans="1:5" x14ac:dyDescent="0.25">
      <c r="A366" s="55" t="s">
        <v>441</v>
      </c>
      <c r="B366" s="31">
        <v>4078</v>
      </c>
      <c r="C366" s="32" t="s">
        <v>52</v>
      </c>
      <c r="D366" s="33" t="s">
        <v>324</v>
      </c>
      <c r="E366" s="56"/>
    </row>
    <row r="367" spans="1:5" x14ac:dyDescent="0.25">
      <c r="A367" s="55" t="s">
        <v>420</v>
      </c>
      <c r="B367" s="31">
        <v>2583</v>
      </c>
      <c r="C367" s="32" t="s">
        <v>52</v>
      </c>
      <c r="D367" s="33" t="s">
        <v>324</v>
      </c>
      <c r="E367" s="56"/>
    </row>
    <row r="368" spans="1:5" x14ac:dyDescent="0.25">
      <c r="A368" s="55" t="s">
        <v>242</v>
      </c>
      <c r="B368" s="31">
        <v>3613</v>
      </c>
      <c r="C368" s="32" t="s">
        <v>52</v>
      </c>
      <c r="D368" s="33" t="s">
        <v>324</v>
      </c>
      <c r="E368" s="56"/>
    </row>
    <row r="369" spans="1:5" x14ac:dyDescent="0.25">
      <c r="A369" s="55" t="s">
        <v>411</v>
      </c>
      <c r="B369" s="31">
        <v>1798</v>
      </c>
      <c r="C369" s="32" t="s">
        <v>52</v>
      </c>
      <c r="D369" s="33" t="s">
        <v>324</v>
      </c>
      <c r="E369" s="56"/>
    </row>
    <row r="370" spans="1:5" x14ac:dyDescent="0.25">
      <c r="A370" s="55" t="s">
        <v>439</v>
      </c>
      <c r="B370" s="31">
        <v>3951</v>
      </c>
      <c r="C370" s="32" t="s">
        <v>52</v>
      </c>
      <c r="D370" s="33" t="s">
        <v>324</v>
      </c>
      <c r="E370" s="56"/>
    </row>
    <row r="371" spans="1:5" x14ac:dyDescent="0.25">
      <c r="A371" s="55" t="s">
        <v>208</v>
      </c>
      <c r="B371" s="31">
        <v>1595</v>
      </c>
      <c r="C371" s="32" t="s">
        <v>52</v>
      </c>
      <c r="D371" s="33" t="s">
        <v>324</v>
      </c>
      <c r="E371" s="56"/>
    </row>
    <row r="372" spans="1:5" x14ac:dyDescent="0.25">
      <c r="A372" s="55" t="s">
        <v>396</v>
      </c>
      <c r="B372" s="31">
        <v>291</v>
      </c>
      <c r="C372" s="32" t="s">
        <v>52</v>
      </c>
      <c r="D372" s="33" t="s">
        <v>324</v>
      </c>
      <c r="E372" s="56"/>
    </row>
    <row r="373" spans="1:5" x14ac:dyDescent="0.25">
      <c r="A373" s="55" t="s">
        <v>394</v>
      </c>
      <c r="B373" s="31">
        <v>9821</v>
      </c>
      <c r="C373" s="32" t="s">
        <v>52</v>
      </c>
      <c r="D373" s="33" t="s">
        <v>324</v>
      </c>
      <c r="E373" s="56"/>
    </row>
    <row r="374" spans="1:5" x14ac:dyDescent="0.25">
      <c r="A374" s="55" t="s">
        <v>367</v>
      </c>
      <c r="B374" s="31">
        <v>4103</v>
      </c>
      <c r="C374" s="32" t="s">
        <v>52</v>
      </c>
      <c r="D374" s="33" t="s">
        <v>324</v>
      </c>
      <c r="E374" s="56"/>
    </row>
    <row r="375" spans="1:5" x14ac:dyDescent="0.25">
      <c r="A375" s="55" t="s">
        <v>463</v>
      </c>
      <c r="B375" s="31">
        <v>4331</v>
      </c>
      <c r="C375" s="32" t="s">
        <v>52</v>
      </c>
      <c r="D375" s="33" t="s">
        <v>324</v>
      </c>
      <c r="E375" s="56"/>
    </row>
    <row r="376" spans="1:5" x14ac:dyDescent="0.25">
      <c r="A376" s="55" t="s">
        <v>436</v>
      </c>
      <c r="B376" s="31">
        <v>3838</v>
      </c>
      <c r="C376" s="32" t="s">
        <v>52</v>
      </c>
      <c r="D376" s="33" t="s">
        <v>324</v>
      </c>
      <c r="E376" s="56"/>
    </row>
    <row r="377" spans="1:5" x14ac:dyDescent="0.25">
      <c r="A377" s="55" t="s">
        <v>378</v>
      </c>
      <c r="B377" s="31">
        <v>3386</v>
      </c>
      <c r="C377" s="32" t="s">
        <v>52</v>
      </c>
      <c r="D377" s="33" t="s">
        <v>324</v>
      </c>
      <c r="E377" s="56"/>
    </row>
    <row r="378" spans="1:5" x14ac:dyDescent="0.25">
      <c r="A378" s="55" t="s">
        <v>456</v>
      </c>
      <c r="B378" s="31">
        <v>4294</v>
      </c>
      <c r="C378" s="32" t="s">
        <v>52</v>
      </c>
      <c r="D378" s="33" t="s">
        <v>324</v>
      </c>
      <c r="E378" s="56"/>
    </row>
    <row r="379" spans="1:5" x14ac:dyDescent="0.25">
      <c r="A379" s="55" t="s">
        <v>407</v>
      </c>
      <c r="B379" s="31">
        <v>1441</v>
      </c>
      <c r="C379" s="32" t="s">
        <v>52</v>
      </c>
      <c r="D379" s="33" t="s">
        <v>324</v>
      </c>
      <c r="E379" s="56"/>
    </row>
    <row r="380" spans="1:5" x14ac:dyDescent="0.25">
      <c r="A380" s="55" t="s">
        <v>289</v>
      </c>
      <c r="B380" s="31">
        <v>1894</v>
      </c>
      <c r="C380" s="32" t="s">
        <v>52</v>
      </c>
      <c r="D380" s="33" t="s">
        <v>324</v>
      </c>
      <c r="E380" s="56"/>
    </row>
    <row r="381" spans="1:5" x14ac:dyDescent="0.25">
      <c r="A381" s="55" t="s">
        <v>465</v>
      </c>
      <c r="B381" s="31">
        <v>4337</v>
      </c>
      <c r="C381" s="32" t="s">
        <v>52</v>
      </c>
      <c r="D381" s="33" t="s">
        <v>324</v>
      </c>
      <c r="E381" s="56"/>
    </row>
    <row r="382" spans="1:5" x14ac:dyDescent="0.25">
      <c r="A382" s="55" t="s">
        <v>484</v>
      </c>
      <c r="B382" s="31">
        <v>9896</v>
      </c>
      <c r="C382" s="32" t="s">
        <v>52</v>
      </c>
      <c r="D382" s="33" t="s">
        <v>324</v>
      </c>
      <c r="E382" s="56"/>
    </row>
    <row r="383" spans="1:5" x14ac:dyDescent="0.25">
      <c r="A383" s="55" t="s">
        <v>336</v>
      </c>
      <c r="B383" s="31">
        <v>2356</v>
      </c>
      <c r="C383" s="32" t="s">
        <v>52</v>
      </c>
      <c r="D383" s="33" t="s">
        <v>324</v>
      </c>
      <c r="E383" s="56"/>
    </row>
    <row r="384" spans="1:5" x14ac:dyDescent="0.25">
      <c r="A384" s="55" t="s">
        <v>461</v>
      </c>
      <c r="B384" s="31">
        <v>4306</v>
      </c>
      <c r="C384" s="32" t="s">
        <v>52</v>
      </c>
      <c r="D384" s="33" t="s">
        <v>324</v>
      </c>
      <c r="E384" s="56"/>
    </row>
    <row r="385" spans="1:5" x14ac:dyDescent="0.25">
      <c r="A385" s="55" t="s">
        <v>428</v>
      </c>
      <c r="B385" s="31">
        <v>3206</v>
      </c>
      <c r="C385" s="32" t="s">
        <v>52</v>
      </c>
      <c r="D385" s="33" t="s">
        <v>324</v>
      </c>
      <c r="E385" s="56"/>
    </row>
    <row r="386" spans="1:5" x14ac:dyDescent="0.25">
      <c r="A386" s="55" t="s">
        <v>454</v>
      </c>
      <c r="B386" s="31">
        <v>4266</v>
      </c>
      <c r="C386" s="32" t="s">
        <v>52</v>
      </c>
      <c r="D386" s="33" t="s">
        <v>324</v>
      </c>
      <c r="E386" s="56"/>
    </row>
    <row r="387" spans="1:5" x14ac:dyDescent="0.25">
      <c r="A387" s="55" t="s">
        <v>482</v>
      </c>
      <c r="B387" s="31">
        <v>9887</v>
      </c>
      <c r="C387" s="32" t="s">
        <v>52</v>
      </c>
      <c r="D387" s="33" t="s">
        <v>324</v>
      </c>
      <c r="E387" s="56"/>
    </row>
    <row r="388" spans="1:5" x14ac:dyDescent="0.25">
      <c r="A388" s="55" t="s">
        <v>480</v>
      </c>
      <c r="B388" s="31">
        <v>9820</v>
      </c>
      <c r="C388" s="32" t="s">
        <v>52</v>
      </c>
      <c r="D388" s="33" t="s">
        <v>324</v>
      </c>
      <c r="E388" s="56"/>
    </row>
    <row r="389" spans="1:5" x14ac:dyDescent="0.25">
      <c r="A389" s="55" t="s">
        <v>405</v>
      </c>
      <c r="B389" s="31">
        <v>1209</v>
      </c>
      <c r="C389" s="32" t="s">
        <v>52</v>
      </c>
      <c r="D389" s="33" t="s">
        <v>324</v>
      </c>
      <c r="E389" s="56"/>
    </row>
    <row r="390" spans="1:5" x14ac:dyDescent="0.25">
      <c r="A390" s="55" t="s">
        <v>409</v>
      </c>
      <c r="B390" s="31">
        <v>1543</v>
      </c>
      <c r="C390" s="32" t="s">
        <v>52</v>
      </c>
      <c r="D390" s="33" t="s">
        <v>324</v>
      </c>
      <c r="E390" s="56"/>
    </row>
    <row r="391" spans="1:5" x14ac:dyDescent="0.25">
      <c r="A391" s="55" t="s">
        <v>59</v>
      </c>
      <c r="B391" s="31">
        <v>754</v>
      </c>
      <c r="C391" s="32" t="s">
        <v>52</v>
      </c>
      <c r="D391" s="33" t="s">
        <v>324</v>
      </c>
      <c r="E391" s="57"/>
    </row>
    <row r="392" spans="1:5" x14ac:dyDescent="0.25">
      <c r="A392" s="55" t="s">
        <v>81</v>
      </c>
      <c r="B392" s="31">
        <v>1485</v>
      </c>
      <c r="C392" s="32" t="s">
        <v>52</v>
      </c>
      <c r="D392" s="33" t="s">
        <v>324</v>
      </c>
      <c r="E392" s="56"/>
    </row>
    <row r="393" spans="1:5" x14ac:dyDescent="0.25">
      <c r="A393" s="55" t="s">
        <v>86</v>
      </c>
      <c r="B393" s="31">
        <v>7028</v>
      </c>
      <c r="C393" s="32" t="s">
        <v>52</v>
      </c>
      <c r="D393" s="33" t="s">
        <v>324</v>
      </c>
      <c r="E393" s="56"/>
    </row>
    <row r="394" spans="1:5" x14ac:dyDescent="0.25">
      <c r="A394" s="55" t="s">
        <v>425</v>
      </c>
      <c r="B394" s="31">
        <v>3049</v>
      </c>
      <c r="C394" s="32" t="s">
        <v>52</v>
      </c>
      <c r="D394" s="33" t="s">
        <v>324</v>
      </c>
      <c r="E394" s="56"/>
    </row>
    <row r="395" spans="1:5" x14ac:dyDescent="0.25">
      <c r="A395" s="55" t="s">
        <v>426</v>
      </c>
      <c r="B395" s="31">
        <v>3095</v>
      </c>
      <c r="C395" s="32" t="s">
        <v>52</v>
      </c>
      <c r="D395" s="33" t="s">
        <v>324</v>
      </c>
      <c r="E395" s="56"/>
    </row>
    <row r="396" spans="1:5" x14ac:dyDescent="0.25">
      <c r="A396" s="55" t="s">
        <v>460</v>
      </c>
      <c r="B396" s="31">
        <v>4302</v>
      </c>
      <c r="C396" s="32" t="s">
        <v>52</v>
      </c>
      <c r="D396" s="33" t="s">
        <v>324</v>
      </c>
      <c r="E396" s="56"/>
    </row>
    <row r="397" spans="1:5" x14ac:dyDescent="0.25">
      <c r="A397" s="55" t="s">
        <v>468</v>
      </c>
      <c r="B397" s="31">
        <v>4357</v>
      </c>
      <c r="C397" s="32" t="s">
        <v>52</v>
      </c>
      <c r="D397" s="33" t="s">
        <v>324</v>
      </c>
      <c r="E397" s="56"/>
    </row>
    <row r="398" spans="1:5" x14ac:dyDescent="0.25">
      <c r="A398" s="55" t="s">
        <v>455</v>
      </c>
      <c r="B398" s="31">
        <v>4290</v>
      </c>
      <c r="C398" s="32" t="s">
        <v>52</v>
      </c>
      <c r="D398" s="33" t="s">
        <v>324</v>
      </c>
      <c r="E398" s="56"/>
    </row>
    <row r="399" spans="1:5" x14ac:dyDescent="0.25">
      <c r="A399" s="55" t="s">
        <v>295</v>
      </c>
      <c r="B399" s="31">
        <v>3810</v>
      </c>
      <c r="C399" s="32" t="s">
        <v>52</v>
      </c>
      <c r="D399" s="33" t="s">
        <v>324</v>
      </c>
      <c r="E399" s="56"/>
    </row>
    <row r="400" spans="1:5" x14ac:dyDescent="0.25">
      <c r="A400" s="55" t="s">
        <v>478</v>
      </c>
      <c r="B400" s="31">
        <v>9599</v>
      </c>
      <c r="C400" s="32" t="s">
        <v>52</v>
      </c>
      <c r="D400" s="33" t="s">
        <v>324</v>
      </c>
      <c r="E400" s="56"/>
    </row>
    <row r="401" spans="1:5" x14ac:dyDescent="0.25">
      <c r="A401" s="55" t="s">
        <v>400</v>
      </c>
      <c r="B401" s="31">
        <v>715</v>
      </c>
      <c r="C401" s="32" t="s">
        <v>52</v>
      </c>
      <c r="D401" s="33" t="s">
        <v>324</v>
      </c>
      <c r="E401" s="56"/>
    </row>
    <row r="402" spans="1:5" x14ac:dyDescent="0.25">
      <c r="A402" s="55" t="s">
        <v>303</v>
      </c>
      <c r="B402" s="31">
        <v>9234</v>
      </c>
      <c r="C402" s="32" t="s">
        <v>52</v>
      </c>
      <c r="D402" s="33" t="s">
        <v>324</v>
      </c>
      <c r="E402" s="56"/>
    </row>
    <row r="403" spans="1:5" x14ac:dyDescent="0.25">
      <c r="A403" s="55" t="s">
        <v>410</v>
      </c>
      <c r="B403" s="31">
        <v>1793</v>
      </c>
      <c r="C403" s="32" t="s">
        <v>52</v>
      </c>
      <c r="D403" s="33" t="s">
        <v>324</v>
      </c>
      <c r="E403" s="56"/>
    </row>
    <row r="404" spans="1:5" x14ac:dyDescent="0.25">
      <c r="A404" s="55" t="s">
        <v>466</v>
      </c>
      <c r="B404" s="31">
        <v>4354</v>
      </c>
      <c r="C404" s="32" t="s">
        <v>52</v>
      </c>
      <c r="D404" s="33" t="s">
        <v>324</v>
      </c>
      <c r="E404" s="56"/>
    </row>
    <row r="405" spans="1:5" x14ac:dyDescent="0.25">
      <c r="A405" s="55" t="s">
        <v>469</v>
      </c>
      <c r="B405" s="31">
        <v>4364</v>
      </c>
      <c r="C405" s="32" t="s">
        <v>52</v>
      </c>
      <c r="D405" s="33" t="s">
        <v>324</v>
      </c>
      <c r="E405" s="56"/>
    </row>
    <row r="406" spans="1:5" x14ac:dyDescent="0.25">
      <c r="A406" s="55" t="s">
        <v>462</v>
      </c>
      <c r="B406" s="31">
        <v>4312</v>
      </c>
      <c r="C406" s="32" t="s">
        <v>52</v>
      </c>
      <c r="D406" s="33" t="s">
        <v>324</v>
      </c>
      <c r="E406" s="56"/>
    </row>
    <row r="407" spans="1:5" x14ac:dyDescent="0.25">
      <c r="A407" s="55" t="s">
        <v>412</v>
      </c>
      <c r="B407" s="31">
        <v>1828</v>
      </c>
      <c r="C407" s="32" t="s">
        <v>52</v>
      </c>
      <c r="D407" s="33" t="s">
        <v>324</v>
      </c>
      <c r="E407" s="56"/>
    </row>
    <row r="408" spans="1:5" x14ac:dyDescent="0.25">
      <c r="A408" s="55" t="s">
        <v>464</v>
      </c>
      <c r="B408" s="31">
        <v>4334</v>
      </c>
      <c r="C408" s="32" t="s">
        <v>52</v>
      </c>
      <c r="D408" s="33" t="s">
        <v>324</v>
      </c>
      <c r="E408" s="56"/>
    </row>
    <row r="409" spans="1:5" x14ac:dyDescent="0.25">
      <c r="A409" s="55" t="s">
        <v>432</v>
      </c>
      <c r="B409" s="31">
        <v>3572</v>
      </c>
      <c r="C409" s="32" t="s">
        <v>52</v>
      </c>
      <c r="D409" s="33" t="s">
        <v>324</v>
      </c>
      <c r="E409" s="56"/>
    </row>
    <row r="410" spans="1:5" x14ac:dyDescent="0.25">
      <c r="A410" s="55" t="s">
        <v>440</v>
      </c>
      <c r="B410" s="31">
        <v>4041</v>
      </c>
      <c r="C410" s="32" t="s">
        <v>52</v>
      </c>
      <c r="D410" s="33" t="s">
        <v>324</v>
      </c>
      <c r="E410" s="56"/>
    </row>
    <row r="411" spans="1:5" x14ac:dyDescent="0.25">
      <c r="A411" s="55" t="s">
        <v>451</v>
      </c>
      <c r="B411" s="31">
        <v>4186</v>
      </c>
      <c r="C411" s="32" t="s">
        <v>52</v>
      </c>
      <c r="D411" s="33" t="s">
        <v>324</v>
      </c>
      <c r="E411" s="56"/>
    </row>
    <row r="412" spans="1:5" x14ac:dyDescent="0.25">
      <c r="A412" s="55" t="s">
        <v>174</v>
      </c>
      <c r="B412" s="31">
        <v>9382</v>
      </c>
      <c r="C412" s="32" t="s">
        <v>52</v>
      </c>
      <c r="D412" s="33" t="s">
        <v>324</v>
      </c>
      <c r="E412" s="56"/>
    </row>
    <row r="413" spans="1:5" x14ac:dyDescent="0.25">
      <c r="A413" s="55" t="s">
        <v>444</v>
      </c>
      <c r="B413" s="31">
        <v>4121</v>
      </c>
      <c r="C413" s="32" t="s">
        <v>52</v>
      </c>
      <c r="D413" s="33" t="s">
        <v>324</v>
      </c>
      <c r="E413" s="56"/>
    </row>
    <row r="414" spans="1:5" x14ac:dyDescent="0.25">
      <c r="A414" s="55" t="s">
        <v>470</v>
      </c>
      <c r="B414" s="31">
        <v>4365</v>
      </c>
      <c r="C414" s="32" t="s">
        <v>52</v>
      </c>
      <c r="D414" s="33" t="s">
        <v>324</v>
      </c>
      <c r="E414" s="56"/>
    </row>
    <row r="415" spans="1:5" x14ac:dyDescent="0.25">
      <c r="A415" s="55" t="s">
        <v>467</v>
      </c>
      <c r="B415" s="31">
        <v>4356</v>
      </c>
      <c r="C415" s="32" t="s">
        <v>52</v>
      </c>
      <c r="D415" s="33" t="s">
        <v>324</v>
      </c>
      <c r="E415" s="56"/>
    </row>
    <row r="416" spans="1:5" x14ac:dyDescent="0.25">
      <c r="A416" s="55" t="s">
        <v>135</v>
      </c>
      <c r="B416" s="31">
        <v>7085</v>
      </c>
      <c r="C416" s="32" t="s">
        <v>52</v>
      </c>
      <c r="D416" s="33" t="s">
        <v>324</v>
      </c>
      <c r="E416" s="56"/>
    </row>
    <row r="417" spans="1:5" x14ac:dyDescent="0.25">
      <c r="A417" s="55" t="s">
        <v>476</v>
      </c>
      <c r="B417" s="31">
        <v>9302</v>
      </c>
      <c r="C417" s="32" t="s">
        <v>52</v>
      </c>
      <c r="D417" s="33" t="s">
        <v>324</v>
      </c>
      <c r="E417" s="56"/>
    </row>
    <row r="418" spans="1:5" x14ac:dyDescent="0.25">
      <c r="A418" s="55" t="s">
        <v>438</v>
      </c>
      <c r="B418" s="31">
        <v>3943</v>
      </c>
      <c r="C418" s="32" t="s">
        <v>52</v>
      </c>
      <c r="D418" s="33" t="s">
        <v>324</v>
      </c>
      <c r="E418" s="56"/>
    </row>
    <row r="419" spans="1:5" x14ac:dyDescent="0.25">
      <c r="A419" s="55" t="s">
        <v>457</v>
      </c>
      <c r="B419" s="31">
        <v>4296</v>
      </c>
      <c r="C419" s="32" t="s">
        <v>52</v>
      </c>
      <c r="D419" s="33" t="s">
        <v>324</v>
      </c>
      <c r="E419" s="56"/>
    </row>
    <row r="420" spans="1:5" x14ac:dyDescent="0.25">
      <c r="A420" s="55" t="s">
        <v>239</v>
      </c>
      <c r="B420" s="31">
        <v>2980</v>
      </c>
      <c r="C420" s="32" t="s">
        <v>52</v>
      </c>
      <c r="D420" s="33" t="s">
        <v>324</v>
      </c>
      <c r="E420" s="56"/>
    </row>
    <row r="421" spans="1:5" x14ac:dyDescent="0.25">
      <c r="A421" s="55" t="s">
        <v>239</v>
      </c>
      <c r="B421" s="31">
        <v>4223</v>
      </c>
      <c r="C421" s="32" t="s">
        <v>52</v>
      </c>
      <c r="D421" s="33" t="s">
        <v>324</v>
      </c>
      <c r="E421" s="56"/>
    </row>
    <row r="422" spans="1:5" x14ac:dyDescent="0.25">
      <c r="A422" s="55" t="s">
        <v>1302</v>
      </c>
      <c r="B422" s="31">
        <v>4211</v>
      </c>
      <c r="C422" s="32" t="s">
        <v>52</v>
      </c>
      <c r="D422" s="33" t="s">
        <v>324</v>
      </c>
      <c r="E422" s="56"/>
    </row>
    <row r="423" spans="1:5" x14ac:dyDescent="0.25">
      <c r="A423" s="55" t="s">
        <v>452</v>
      </c>
      <c r="B423" s="31">
        <v>4221</v>
      </c>
      <c r="C423" s="32" t="s">
        <v>52</v>
      </c>
      <c r="D423" s="33" t="s">
        <v>324</v>
      </c>
      <c r="E423" s="56"/>
    </row>
    <row r="424" spans="1:5" x14ac:dyDescent="0.25">
      <c r="A424" s="55" t="s">
        <v>452</v>
      </c>
      <c r="B424" s="31">
        <v>4220</v>
      </c>
      <c r="C424" s="32" t="s">
        <v>52</v>
      </c>
      <c r="D424" s="33" t="s">
        <v>324</v>
      </c>
      <c r="E424" s="56"/>
    </row>
    <row r="425" spans="1:5" x14ac:dyDescent="0.25">
      <c r="A425" s="55" t="s">
        <v>238</v>
      </c>
      <c r="B425" s="31">
        <v>2983</v>
      </c>
      <c r="C425" s="32" t="s">
        <v>52</v>
      </c>
      <c r="D425" s="33" t="s">
        <v>324</v>
      </c>
      <c r="E425" s="56"/>
    </row>
    <row r="426" spans="1:5" x14ac:dyDescent="0.25">
      <c r="A426" s="55" t="s">
        <v>238</v>
      </c>
      <c r="B426" s="31">
        <v>4217</v>
      </c>
      <c r="C426" s="32" t="s">
        <v>52</v>
      </c>
      <c r="D426" s="33" t="s">
        <v>324</v>
      </c>
      <c r="E426" s="56"/>
    </row>
    <row r="427" spans="1:5" x14ac:dyDescent="0.25">
      <c r="A427" s="55" t="s">
        <v>237</v>
      </c>
      <c r="B427" s="31">
        <v>2974</v>
      </c>
      <c r="C427" s="32" t="s">
        <v>52</v>
      </c>
      <c r="D427" s="33" t="s">
        <v>324</v>
      </c>
      <c r="E427" s="56"/>
    </row>
    <row r="428" spans="1:5" x14ac:dyDescent="0.25">
      <c r="A428" s="55" t="s">
        <v>237</v>
      </c>
      <c r="B428" s="31">
        <v>2976</v>
      </c>
      <c r="C428" s="32" t="s">
        <v>52</v>
      </c>
      <c r="D428" s="33" t="s">
        <v>324</v>
      </c>
      <c r="E428" s="56"/>
    </row>
    <row r="429" spans="1:5" x14ac:dyDescent="0.25">
      <c r="A429" s="55" t="s">
        <v>1133</v>
      </c>
      <c r="B429" s="31">
        <v>4215</v>
      </c>
      <c r="C429" s="32" t="s">
        <v>52</v>
      </c>
      <c r="D429" s="33" t="s">
        <v>324</v>
      </c>
      <c r="E429" s="56"/>
    </row>
    <row r="430" spans="1:5" x14ac:dyDescent="0.25">
      <c r="A430" s="55" t="s">
        <v>1133</v>
      </c>
      <c r="B430" s="31">
        <v>2987</v>
      </c>
      <c r="C430" s="32" t="s">
        <v>52</v>
      </c>
      <c r="D430" s="33" t="s">
        <v>324</v>
      </c>
      <c r="E430" s="56"/>
    </row>
    <row r="431" spans="1:5" x14ac:dyDescent="0.25">
      <c r="A431" s="55" t="s">
        <v>251</v>
      </c>
      <c r="B431" s="31">
        <v>4175</v>
      </c>
      <c r="C431" s="32" t="s">
        <v>52</v>
      </c>
      <c r="D431" s="33" t="s">
        <v>324</v>
      </c>
      <c r="E431" s="56"/>
    </row>
    <row r="432" spans="1:5" x14ac:dyDescent="0.25">
      <c r="A432" s="55" t="s">
        <v>251</v>
      </c>
      <c r="B432" s="31">
        <v>4323</v>
      </c>
      <c r="C432" s="32" t="s">
        <v>52</v>
      </c>
      <c r="D432" s="33" t="s">
        <v>324</v>
      </c>
      <c r="E432" s="56"/>
    </row>
    <row r="433" spans="1:5" x14ac:dyDescent="0.25">
      <c r="A433" s="55" t="s">
        <v>1132</v>
      </c>
      <c r="B433" s="31">
        <v>4205</v>
      </c>
      <c r="C433" s="32" t="s">
        <v>52</v>
      </c>
      <c r="D433" s="33" t="s">
        <v>324</v>
      </c>
      <c r="E433" s="57"/>
    </row>
    <row r="434" spans="1:5" x14ac:dyDescent="0.25">
      <c r="A434" s="55" t="s">
        <v>1132</v>
      </c>
      <c r="B434" s="31">
        <v>2984</v>
      </c>
      <c r="C434" s="32" t="s">
        <v>52</v>
      </c>
      <c r="D434" s="33" t="s">
        <v>324</v>
      </c>
      <c r="E434" s="56"/>
    </row>
    <row r="435" spans="1:5" x14ac:dyDescent="0.25">
      <c r="A435" s="55" t="s">
        <v>319</v>
      </c>
      <c r="B435" s="31">
        <v>2979</v>
      </c>
      <c r="C435" s="32" t="s">
        <v>52</v>
      </c>
      <c r="D435" s="33" t="s">
        <v>324</v>
      </c>
      <c r="E435" s="56"/>
    </row>
    <row r="436" spans="1:5" x14ac:dyDescent="0.25">
      <c r="A436" s="55" t="s">
        <v>319</v>
      </c>
      <c r="B436" s="31">
        <v>2986</v>
      </c>
      <c r="C436" s="32" t="s">
        <v>52</v>
      </c>
      <c r="D436" s="33" t="s">
        <v>324</v>
      </c>
      <c r="E436" s="56"/>
    </row>
    <row r="437" spans="1:5" x14ac:dyDescent="0.25">
      <c r="A437" s="55" t="s">
        <v>343</v>
      </c>
      <c r="B437" s="31">
        <v>4201</v>
      </c>
      <c r="C437" s="32" t="s">
        <v>52</v>
      </c>
      <c r="D437" s="33" t="s">
        <v>324</v>
      </c>
      <c r="E437" s="56"/>
    </row>
    <row r="438" spans="1:5" x14ac:dyDescent="0.25">
      <c r="A438" s="55" t="s">
        <v>343</v>
      </c>
      <c r="B438" s="31">
        <v>4224</v>
      </c>
      <c r="C438" s="32" t="s">
        <v>52</v>
      </c>
      <c r="D438" s="33" t="s">
        <v>324</v>
      </c>
      <c r="E438" s="56"/>
    </row>
    <row r="439" spans="1:5" x14ac:dyDescent="0.25">
      <c r="A439" s="55" t="s">
        <v>1131</v>
      </c>
      <c r="B439" s="31">
        <v>4172</v>
      </c>
      <c r="C439" s="32" t="s">
        <v>52</v>
      </c>
      <c r="D439" s="33" t="s">
        <v>324</v>
      </c>
      <c r="E439" s="56"/>
    </row>
    <row r="440" spans="1:5" x14ac:dyDescent="0.25">
      <c r="A440" s="55" t="s">
        <v>1136</v>
      </c>
      <c r="B440" s="31">
        <v>4218</v>
      </c>
      <c r="C440" s="32" t="s">
        <v>52</v>
      </c>
      <c r="D440" s="33" t="s">
        <v>324</v>
      </c>
      <c r="E440" s="56"/>
    </row>
    <row r="441" spans="1:5" x14ac:dyDescent="0.25">
      <c r="A441" s="55" t="s">
        <v>1136</v>
      </c>
      <c r="B441" s="31">
        <v>4206</v>
      </c>
      <c r="C441" s="32" t="s">
        <v>52</v>
      </c>
      <c r="D441" s="33" t="s">
        <v>324</v>
      </c>
      <c r="E441" s="56"/>
    </row>
    <row r="442" spans="1:5" x14ac:dyDescent="0.25">
      <c r="A442" s="55" t="s">
        <v>344</v>
      </c>
      <c r="B442" s="31">
        <v>4176</v>
      </c>
      <c r="C442" s="32" t="s">
        <v>52</v>
      </c>
      <c r="D442" s="33" t="s">
        <v>324</v>
      </c>
      <c r="E442" s="56"/>
    </row>
    <row r="443" spans="1:5" x14ac:dyDescent="0.25">
      <c r="A443" s="55" t="s">
        <v>1303</v>
      </c>
      <c r="B443" s="31">
        <v>4327</v>
      </c>
      <c r="C443" s="63" t="s">
        <v>384</v>
      </c>
      <c r="D443" s="33" t="s">
        <v>324</v>
      </c>
      <c r="E443" s="56">
        <v>20</v>
      </c>
    </row>
    <row r="444" spans="1:5" x14ac:dyDescent="0.25">
      <c r="A444" s="55" t="s">
        <v>1304</v>
      </c>
      <c r="B444" s="31">
        <v>3169</v>
      </c>
      <c r="C444" s="63" t="s">
        <v>384</v>
      </c>
      <c r="D444" s="33" t="s">
        <v>324</v>
      </c>
      <c r="E444" s="56">
        <v>20</v>
      </c>
    </row>
    <row r="445" spans="1:5" x14ac:dyDescent="0.25">
      <c r="A445" s="55" t="s">
        <v>1203</v>
      </c>
      <c r="B445" s="31">
        <v>4384</v>
      </c>
      <c r="C445" s="63" t="s">
        <v>384</v>
      </c>
      <c r="D445" s="33" t="s">
        <v>324</v>
      </c>
      <c r="E445" s="56">
        <v>20</v>
      </c>
    </row>
    <row r="446" spans="1:5" x14ac:dyDescent="0.25">
      <c r="A446" s="55" t="s">
        <v>1305</v>
      </c>
      <c r="B446" s="31">
        <v>3453</v>
      </c>
      <c r="C446" s="63" t="s">
        <v>384</v>
      </c>
      <c r="D446" s="33" t="s">
        <v>324</v>
      </c>
      <c r="E446" s="56">
        <v>20</v>
      </c>
    </row>
    <row r="447" spans="1:5" x14ac:dyDescent="0.25">
      <c r="A447" s="55" t="s">
        <v>1306</v>
      </c>
      <c r="B447" s="31">
        <v>4341</v>
      </c>
      <c r="C447" s="58" t="s">
        <v>384</v>
      </c>
      <c r="D447" s="33" t="s">
        <v>324</v>
      </c>
      <c r="E447" s="56">
        <v>20</v>
      </c>
    </row>
    <row r="448" spans="1:5" x14ac:dyDescent="0.25">
      <c r="A448" s="55" t="s">
        <v>1307</v>
      </c>
      <c r="B448" s="31">
        <v>3659</v>
      </c>
      <c r="C448" s="58" t="s">
        <v>384</v>
      </c>
      <c r="D448" s="33" t="s">
        <v>325</v>
      </c>
      <c r="E448" s="56">
        <v>20</v>
      </c>
    </row>
    <row r="449" spans="1:5" x14ac:dyDescent="0.25">
      <c r="A449" s="55" t="s">
        <v>1308</v>
      </c>
      <c r="B449" s="31">
        <v>4314</v>
      </c>
      <c r="C449" s="58" t="s">
        <v>384</v>
      </c>
      <c r="D449" s="33" t="s">
        <v>324</v>
      </c>
      <c r="E449" s="56">
        <v>20</v>
      </c>
    </row>
    <row r="450" spans="1:5" x14ac:dyDescent="0.25">
      <c r="A450" s="55" t="s">
        <v>1309</v>
      </c>
      <c r="B450" s="31">
        <v>4440</v>
      </c>
      <c r="C450" s="58" t="s">
        <v>384</v>
      </c>
      <c r="D450" s="33" t="s">
        <v>325</v>
      </c>
      <c r="E450" s="56">
        <v>20</v>
      </c>
    </row>
    <row r="451" spans="1:5" x14ac:dyDescent="0.25">
      <c r="A451" s="55" t="s">
        <v>1310</v>
      </c>
      <c r="B451" s="31">
        <v>1812</v>
      </c>
      <c r="C451" s="58" t="s">
        <v>384</v>
      </c>
      <c r="D451" s="33" t="s">
        <v>324</v>
      </c>
      <c r="E451" s="56">
        <v>20</v>
      </c>
    </row>
    <row r="452" spans="1:5" x14ac:dyDescent="0.25">
      <c r="A452" s="55" t="s">
        <v>1044</v>
      </c>
      <c r="B452" s="31">
        <v>3922</v>
      </c>
      <c r="C452" s="58" t="s">
        <v>384</v>
      </c>
      <c r="D452" s="33" t="s">
        <v>324</v>
      </c>
      <c r="E452" s="56">
        <v>20</v>
      </c>
    </row>
    <row r="453" spans="1:5" x14ac:dyDescent="0.25">
      <c r="A453" s="55" t="s">
        <v>781</v>
      </c>
      <c r="B453" s="31">
        <v>3039</v>
      </c>
      <c r="C453" s="58" t="s">
        <v>384</v>
      </c>
      <c r="D453" s="33" t="s">
        <v>324</v>
      </c>
      <c r="E453" s="56">
        <v>20</v>
      </c>
    </row>
    <row r="454" spans="1:5" x14ac:dyDescent="0.25">
      <c r="A454" s="55" t="s">
        <v>817</v>
      </c>
      <c r="B454" s="31">
        <v>3123</v>
      </c>
      <c r="C454" s="58" t="s">
        <v>384</v>
      </c>
      <c r="D454" s="33" t="s">
        <v>324</v>
      </c>
      <c r="E454" s="56">
        <v>20</v>
      </c>
    </row>
    <row r="455" spans="1:5" x14ac:dyDescent="0.25">
      <c r="A455" s="59" t="s">
        <v>316</v>
      </c>
      <c r="B455" s="31">
        <v>3913</v>
      </c>
      <c r="C455" s="63" t="s">
        <v>384</v>
      </c>
      <c r="D455" s="33" t="s">
        <v>324</v>
      </c>
      <c r="E455" s="56">
        <v>20</v>
      </c>
    </row>
    <row r="456" spans="1:5" x14ac:dyDescent="0.25">
      <c r="A456" s="59" t="s">
        <v>1311</v>
      </c>
      <c r="B456" s="31">
        <v>4388</v>
      </c>
      <c r="C456" s="63" t="s">
        <v>384</v>
      </c>
      <c r="D456" s="33" t="s">
        <v>324</v>
      </c>
      <c r="E456" s="56">
        <v>20</v>
      </c>
    </row>
    <row r="457" spans="1:5" x14ac:dyDescent="0.25">
      <c r="A457" s="59" t="s">
        <v>1312</v>
      </c>
      <c r="B457" s="31">
        <v>9431</v>
      </c>
      <c r="C457" s="63" t="s">
        <v>384</v>
      </c>
      <c r="D457" s="33" t="s">
        <v>324</v>
      </c>
      <c r="E457" s="56">
        <v>20</v>
      </c>
    </row>
    <row r="458" spans="1:5" x14ac:dyDescent="0.25">
      <c r="A458" s="59" t="s">
        <v>1313</v>
      </c>
      <c r="B458" s="31">
        <v>3278</v>
      </c>
      <c r="C458" s="63" t="s">
        <v>384</v>
      </c>
      <c r="D458" s="33" t="s">
        <v>324</v>
      </c>
      <c r="E458" s="56">
        <v>20</v>
      </c>
    </row>
    <row r="459" spans="1:5" x14ac:dyDescent="0.25">
      <c r="A459" s="59" t="s">
        <v>1314</v>
      </c>
      <c r="B459" s="31">
        <v>9334</v>
      </c>
      <c r="C459" s="63" t="s">
        <v>384</v>
      </c>
      <c r="D459" s="33" t="s">
        <v>324</v>
      </c>
      <c r="E459" s="56">
        <v>20</v>
      </c>
    </row>
    <row r="460" spans="1:5" x14ac:dyDescent="0.25">
      <c r="A460" s="59" t="s">
        <v>1290</v>
      </c>
      <c r="B460" s="31">
        <v>9921</v>
      </c>
      <c r="C460" s="63" t="s">
        <v>384</v>
      </c>
      <c r="D460" s="33" t="s">
        <v>324</v>
      </c>
      <c r="E460" s="56">
        <v>20</v>
      </c>
    </row>
    <row r="461" spans="1:5" x14ac:dyDescent="0.25">
      <c r="A461" s="59" t="s">
        <v>1315</v>
      </c>
      <c r="B461" s="31">
        <v>9340</v>
      </c>
      <c r="C461" s="63" t="s">
        <v>384</v>
      </c>
      <c r="D461" s="33" t="s">
        <v>324</v>
      </c>
      <c r="E461" s="56">
        <v>20</v>
      </c>
    </row>
    <row r="462" spans="1:5" x14ac:dyDescent="0.25">
      <c r="A462" s="59" t="s">
        <v>258</v>
      </c>
      <c r="B462" s="31">
        <v>760</v>
      </c>
      <c r="C462" s="63" t="s">
        <v>384</v>
      </c>
      <c r="D462" s="33" t="s">
        <v>325</v>
      </c>
      <c r="E462" s="56">
        <v>20</v>
      </c>
    </row>
    <row r="463" spans="1:5" x14ac:dyDescent="0.25">
      <c r="A463" s="59" t="s">
        <v>674</v>
      </c>
      <c r="B463" s="31">
        <v>1790</v>
      </c>
      <c r="C463" s="63" t="s">
        <v>384</v>
      </c>
      <c r="D463" s="33" t="s">
        <v>324</v>
      </c>
      <c r="E463" s="56">
        <v>20</v>
      </c>
    </row>
    <row r="464" spans="1:5" x14ac:dyDescent="0.25">
      <c r="A464" s="59" t="s">
        <v>1316</v>
      </c>
      <c r="B464" s="31">
        <v>4410</v>
      </c>
      <c r="C464" s="63" t="s">
        <v>384</v>
      </c>
      <c r="D464" s="33" t="s">
        <v>324</v>
      </c>
      <c r="E464" s="56">
        <v>20</v>
      </c>
    </row>
    <row r="465" spans="1:5" x14ac:dyDescent="0.25">
      <c r="A465" s="59" t="s">
        <v>1317</v>
      </c>
      <c r="B465" s="31">
        <v>4428</v>
      </c>
      <c r="C465" s="63" t="s">
        <v>384</v>
      </c>
      <c r="D465" s="33" t="s">
        <v>325</v>
      </c>
      <c r="E465" s="56">
        <v>20</v>
      </c>
    </row>
    <row r="466" spans="1:5" x14ac:dyDescent="0.25">
      <c r="A466" s="59" t="s">
        <v>549</v>
      </c>
      <c r="B466" s="31">
        <v>784</v>
      </c>
      <c r="C466" s="63" t="s">
        <v>384</v>
      </c>
      <c r="D466" s="33" t="s">
        <v>324</v>
      </c>
      <c r="E466" s="56">
        <v>20</v>
      </c>
    </row>
    <row r="467" spans="1:5" x14ac:dyDescent="0.25">
      <c r="A467" s="60" t="s">
        <v>1318</v>
      </c>
      <c r="B467" s="31">
        <v>9074</v>
      </c>
      <c r="C467" s="63" t="s">
        <v>384</v>
      </c>
      <c r="D467" s="33" t="s">
        <v>324</v>
      </c>
      <c r="E467" s="56">
        <v>20</v>
      </c>
    </row>
    <row r="468" spans="1:5" x14ac:dyDescent="0.25">
      <c r="A468" s="60" t="s">
        <v>1056</v>
      </c>
      <c r="B468" s="31">
        <v>3945</v>
      </c>
      <c r="C468" s="63" t="s">
        <v>384</v>
      </c>
      <c r="D468" s="33" t="s">
        <v>324</v>
      </c>
      <c r="E468" s="56">
        <v>20</v>
      </c>
    </row>
    <row r="469" spans="1:5" x14ac:dyDescent="0.25">
      <c r="A469" s="60" t="s">
        <v>1319</v>
      </c>
      <c r="B469" s="31">
        <v>4049</v>
      </c>
      <c r="C469" s="63" t="s">
        <v>384</v>
      </c>
      <c r="D469" s="33" t="s">
        <v>324</v>
      </c>
      <c r="E469" s="56">
        <v>20</v>
      </c>
    </row>
    <row r="470" spans="1:5" x14ac:dyDescent="0.25">
      <c r="A470" s="60" t="s">
        <v>1320</v>
      </c>
      <c r="B470" s="31">
        <v>4382</v>
      </c>
      <c r="C470" s="63" t="s">
        <v>384</v>
      </c>
      <c r="D470" s="33" t="s">
        <v>325</v>
      </c>
      <c r="E470" s="56">
        <v>20</v>
      </c>
    </row>
    <row r="471" spans="1:5" x14ac:dyDescent="0.25">
      <c r="A471" s="60" t="s">
        <v>1321</v>
      </c>
      <c r="B471" s="31">
        <v>9946</v>
      </c>
      <c r="C471" s="63" t="s">
        <v>384</v>
      </c>
      <c r="D471" s="33" t="s">
        <v>325</v>
      </c>
      <c r="E471" s="56">
        <v>20</v>
      </c>
    </row>
    <row r="472" spans="1:5" x14ac:dyDescent="0.25">
      <c r="A472" s="60" t="s">
        <v>1231</v>
      </c>
      <c r="B472" s="31">
        <v>9084</v>
      </c>
      <c r="C472" s="63" t="s">
        <v>384</v>
      </c>
      <c r="D472" s="33" t="s">
        <v>324</v>
      </c>
      <c r="E472" s="56">
        <v>20</v>
      </c>
    </row>
    <row r="473" spans="1:5" x14ac:dyDescent="0.25">
      <c r="A473" s="60" t="s">
        <v>1201</v>
      </c>
      <c r="B473" s="31">
        <v>4367</v>
      </c>
      <c r="C473" s="63" t="s">
        <v>384</v>
      </c>
      <c r="D473" s="33" t="s">
        <v>324</v>
      </c>
      <c r="E473" s="56">
        <v>20</v>
      </c>
    </row>
    <row r="474" spans="1:5" x14ac:dyDescent="0.25">
      <c r="A474" s="60" t="s">
        <v>1322</v>
      </c>
      <c r="B474" s="31">
        <v>2221</v>
      </c>
      <c r="C474" s="63" t="s">
        <v>384</v>
      </c>
      <c r="D474" s="33" t="s">
        <v>324</v>
      </c>
      <c r="E474" s="56">
        <v>20</v>
      </c>
    </row>
    <row r="475" spans="1:5" x14ac:dyDescent="0.25">
      <c r="A475" s="60" t="s">
        <v>1323</v>
      </c>
      <c r="B475" s="31">
        <v>3232</v>
      </c>
      <c r="C475" s="63" t="s">
        <v>384</v>
      </c>
      <c r="D475" s="33" t="s">
        <v>324</v>
      </c>
      <c r="E475" s="56">
        <v>20</v>
      </c>
    </row>
    <row r="476" spans="1:5" x14ac:dyDescent="0.25">
      <c r="A476" s="60" t="s">
        <v>730</v>
      </c>
      <c r="B476" s="31">
        <v>2484</v>
      </c>
      <c r="C476" s="63" t="s">
        <v>384</v>
      </c>
      <c r="D476" s="33" t="s">
        <v>325</v>
      </c>
      <c r="E476" s="56">
        <v>20</v>
      </c>
    </row>
    <row r="477" spans="1:5" x14ac:dyDescent="0.25">
      <c r="A477" s="61" t="s">
        <v>1204</v>
      </c>
      <c r="B477" s="62">
        <v>4402</v>
      </c>
      <c r="C477" s="63" t="s">
        <v>384</v>
      </c>
      <c r="D477" s="33" t="s">
        <v>324</v>
      </c>
      <c r="E477" s="56">
        <v>20</v>
      </c>
    </row>
    <row r="478" spans="1:5" x14ac:dyDescent="0.25">
      <c r="A478" s="61" t="s">
        <v>1324</v>
      </c>
      <c r="B478" s="62">
        <v>4412</v>
      </c>
      <c r="C478" s="63" t="s">
        <v>384</v>
      </c>
      <c r="D478" s="33" t="s">
        <v>324</v>
      </c>
      <c r="E478" s="56">
        <v>20</v>
      </c>
    </row>
    <row r="479" spans="1:5" x14ac:dyDescent="0.25">
      <c r="A479" s="61" t="s">
        <v>1205</v>
      </c>
      <c r="B479" s="62">
        <v>4404</v>
      </c>
      <c r="C479" s="63" t="s">
        <v>384</v>
      </c>
      <c r="D479" s="33" t="s">
        <v>325</v>
      </c>
      <c r="E479" s="56">
        <v>20</v>
      </c>
    </row>
    <row r="480" spans="1:5" x14ac:dyDescent="0.25">
      <c r="A480" s="61" t="s">
        <v>1325</v>
      </c>
      <c r="B480" s="62">
        <v>4350</v>
      </c>
      <c r="C480" s="63" t="s">
        <v>384</v>
      </c>
      <c r="D480" s="33" t="s">
        <v>324</v>
      </c>
      <c r="E480" s="56">
        <v>20</v>
      </c>
    </row>
    <row r="481" spans="1:5" x14ac:dyDescent="0.25">
      <c r="A481" s="61" t="s">
        <v>1326</v>
      </c>
      <c r="B481" s="62">
        <v>9292</v>
      </c>
      <c r="C481" s="63" t="s">
        <v>384</v>
      </c>
      <c r="D481" s="33" t="s">
        <v>324</v>
      </c>
      <c r="E481" s="56">
        <v>20</v>
      </c>
    </row>
    <row r="482" spans="1:5" x14ac:dyDescent="0.25">
      <c r="A482" s="61" t="s">
        <v>526</v>
      </c>
      <c r="B482" s="62">
        <v>460</v>
      </c>
      <c r="C482" s="63" t="s">
        <v>384</v>
      </c>
      <c r="D482" s="33" t="s">
        <v>324</v>
      </c>
      <c r="E482" s="56">
        <v>20</v>
      </c>
    </row>
    <row r="483" spans="1:5" x14ac:dyDescent="0.25">
      <c r="A483" s="61" t="s">
        <v>1327</v>
      </c>
      <c r="B483" s="62">
        <v>4363</v>
      </c>
      <c r="C483" s="63" t="s">
        <v>384</v>
      </c>
      <c r="D483" s="33" t="s">
        <v>324</v>
      </c>
      <c r="E483" s="56">
        <v>20</v>
      </c>
    </row>
    <row r="484" spans="1:5" x14ac:dyDescent="0.25">
      <c r="A484" s="61" t="s">
        <v>1328</v>
      </c>
      <c r="B484" s="62">
        <v>3861</v>
      </c>
      <c r="C484" s="63" t="s">
        <v>384</v>
      </c>
      <c r="D484" s="33" t="s">
        <v>324</v>
      </c>
      <c r="E484" s="56">
        <v>20</v>
      </c>
    </row>
    <row r="485" spans="1:5" x14ac:dyDescent="0.25">
      <c r="A485" s="61" t="s">
        <v>727</v>
      </c>
      <c r="B485" s="62">
        <v>2367</v>
      </c>
      <c r="C485" s="63" t="s">
        <v>384</v>
      </c>
      <c r="D485" s="33" t="s">
        <v>324</v>
      </c>
      <c r="E485" s="56">
        <v>20</v>
      </c>
    </row>
    <row r="486" spans="1:5" x14ac:dyDescent="0.25">
      <c r="A486" s="61" t="s">
        <v>1329</v>
      </c>
      <c r="B486" s="62">
        <v>4373</v>
      </c>
      <c r="C486" s="63" t="s">
        <v>384</v>
      </c>
      <c r="D486" s="33" t="s">
        <v>324</v>
      </c>
      <c r="E486" s="56">
        <v>20</v>
      </c>
    </row>
    <row r="487" spans="1:5" x14ac:dyDescent="0.25">
      <c r="A487" s="61" t="s">
        <v>1330</v>
      </c>
      <c r="B487" s="62">
        <v>3114</v>
      </c>
      <c r="C487" s="63" t="s">
        <v>384</v>
      </c>
      <c r="D487" s="33" t="s">
        <v>324</v>
      </c>
      <c r="E487" s="56">
        <v>20</v>
      </c>
    </row>
    <row r="488" spans="1:5" x14ac:dyDescent="0.25">
      <c r="A488" s="61" t="s">
        <v>1245</v>
      </c>
      <c r="B488" s="62">
        <v>9281</v>
      </c>
      <c r="C488" s="63" t="s">
        <v>384</v>
      </c>
      <c r="D488" s="33" t="s">
        <v>324</v>
      </c>
      <c r="E488" s="56">
        <v>20</v>
      </c>
    </row>
    <row r="489" spans="1:5" x14ac:dyDescent="0.25">
      <c r="A489" s="61" t="s">
        <v>1331</v>
      </c>
      <c r="B489" s="62">
        <v>2086</v>
      </c>
      <c r="C489" s="63" t="s">
        <v>384</v>
      </c>
      <c r="D489" s="33" t="s">
        <v>324</v>
      </c>
      <c r="E489" s="56">
        <v>20</v>
      </c>
    </row>
    <row r="490" spans="1:5" x14ac:dyDescent="0.25">
      <c r="A490" s="61" t="s">
        <v>689</v>
      </c>
      <c r="B490" s="62">
        <v>1864</v>
      </c>
      <c r="C490" s="63" t="s">
        <v>384</v>
      </c>
      <c r="D490" s="33" t="s">
        <v>324</v>
      </c>
      <c r="E490" s="56">
        <v>20</v>
      </c>
    </row>
    <row r="491" spans="1:5" x14ac:dyDescent="0.25">
      <c r="A491" s="61" t="s">
        <v>1332</v>
      </c>
      <c r="B491" s="62">
        <v>3870</v>
      </c>
      <c r="C491" s="63" t="s">
        <v>384</v>
      </c>
      <c r="D491" s="33" t="s">
        <v>324</v>
      </c>
      <c r="E491" s="56">
        <v>20</v>
      </c>
    </row>
    <row r="492" spans="1:5" x14ac:dyDescent="0.25">
      <c r="A492" s="61" t="s">
        <v>978</v>
      </c>
      <c r="B492" s="62">
        <v>3595</v>
      </c>
      <c r="C492" s="63" t="s">
        <v>384</v>
      </c>
      <c r="D492" s="33" t="s">
        <v>324</v>
      </c>
      <c r="E492" s="56">
        <v>20</v>
      </c>
    </row>
    <row r="493" spans="1:5" x14ac:dyDescent="0.25">
      <c r="A493" s="61" t="s">
        <v>1292</v>
      </c>
      <c r="B493" s="62">
        <v>9925</v>
      </c>
      <c r="C493" s="63" t="s">
        <v>384</v>
      </c>
      <c r="D493" s="33" t="s">
        <v>324</v>
      </c>
      <c r="E493" s="56">
        <v>20</v>
      </c>
    </row>
    <row r="494" spans="1:5" x14ac:dyDescent="0.25">
      <c r="A494" s="61" t="s">
        <v>1085</v>
      </c>
      <c r="B494" s="62">
        <v>4027</v>
      </c>
      <c r="C494" s="63" t="s">
        <v>384</v>
      </c>
      <c r="D494" s="33" t="s">
        <v>324</v>
      </c>
      <c r="E494" s="56">
        <v>20</v>
      </c>
    </row>
    <row r="495" spans="1:5" x14ac:dyDescent="0.25">
      <c r="A495" s="61" t="s">
        <v>1143</v>
      </c>
      <c r="B495" s="62">
        <v>4284</v>
      </c>
      <c r="C495" s="63" t="s">
        <v>384</v>
      </c>
      <c r="D495" s="33" t="s">
        <v>324</v>
      </c>
      <c r="E495" s="56">
        <v>20</v>
      </c>
    </row>
  </sheetData>
  <conditionalFormatting sqref="A1">
    <cfRule type="duplicateValues" dxfId="638" priority="265169"/>
    <cfRule type="duplicateValues" dxfId="637" priority="265168"/>
  </conditionalFormatting>
  <conditionalFormatting sqref="A2:A444">
    <cfRule type="duplicateValues" dxfId="636" priority="637"/>
  </conditionalFormatting>
  <conditionalFormatting sqref="A445:A454">
    <cfRule type="duplicateValues" dxfId="635" priority="636"/>
  </conditionalFormatting>
  <conditionalFormatting sqref="A455:A466">
    <cfRule type="duplicateValues" dxfId="634" priority="635"/>
  </conditionalFormatting>
  <conditionalFormatting sqref="A467:A476">
    <cfRule type="duplicateValues" dxfId="633" priority="634"/>
  </conditionalFormatting>
  <conditionalFormatting sqref="B1">
    <cfRule type="duplicateValues" dxfId="632" priority="265165"/>
    <cfRule type="duplicateValues" dxfId="631" priority="265166"/>
    <cfRule type="duplicateValues" dxfId="630" priority="265167"/>
  </conditionalFormatting>
  <conditionalFormatting sqref="B2:B444">
    <cfRule type="duplicateValues" dxfId="629" priority="633"/>
  </conditionalFormatting>
  <conditionalFormatting sqref="B445:B454">
    <cfRule type="duplicateValues" dxfId="628" priority="632"/>
  </conditionalFormatting>
  <conditionalFormatting sqref="B455:B476">
    <cfRule type="duplicateValues" dxfId="627" priority="631"/>
  </conditionalFormatting>
  <conditionalFormatting sqref="C2:C400">
    <cfRule type="containsText" dxfId="626" priority="625" operator="containsText" text="NO INSTALADO">
      <formula>NOT(ISERROR(SEARCH("NO INSTALADO",C2)))</formula>
    </cfRule>
    <cfRule type="containsText" dxfId="625" priority="623" operator="containsText" text="PEX BLOQUEADO">
      <formula>NOT(ISERROR(SEARCH("PEX BLOQUEADO",C2)))</formula>
    </cfRule>
    <cfRule type="containsText" dxfId="624" priority="624" operator="containsText" text="PEX DESAFILIADO">
      <formula>NOT(ISERROR(SEARCH("PEX DESAFILIADO",C2)))</formula>
    </cfRule>
    <cfRule type="cellIs" dxfId="623" priority="626" operator="equal">
      <formula>"NO"</formula>
    </cfRule>
    <cfRule type="containsText" dxfId="622" priority="627" operator="containsText" text="PEX BLOQUEADO">
      <formula>NOT(ISERROR(SEARCH("PEX BLOQUEADO",C2)))</formula>
    </cfRule>
    <cfRule type="containsText" dxfId="621" priority="628" operator="containsText" text="PEX DESAFILIADO">
      <formula>NOT(ISERROR(SEARCH("PEX DESAFILIADO",C2)))</formula>
    </cfRule>
    <cfRule type="containsText" dxfId="620" priority="629" operator="containsText" text="NO INSTALADO">
      <formula>NOT(ISERROR(SEARCH("NO INSTALADO",C2)))</formula>
    </cfRule>
    <cfRule type="cellIs" dxfId="619" priority="630" operator="equal">
      <formula>"NO"</formula>
    </cfRule>
  </conditionalFormatting>
  <conditionalFormatting sqref="C2:C442">
    <cfRule type="containsText" dxfId="618" priority="576" operator="containsText" text="PEX DESAFILIADO">
      <formula>NOT(ISERROR(SEARCH("PEX DESAFILIADO",C2)))</formula>
    </cfRule>
    <cfRule type="containsText" dxfId="617" priority="575" operator="containsText" text="PEX BLOQUEADO">
      <formula>NOT(ISERROR(SEARCH("PEX BLOQUEADO",C2)))</formula>
    </cfRule>
    <cfRule type="cellIs" dxfId="616" priority="574" operator="equal">
      <formula>"NO"</formula>
    </cfRule>
    <cfRule type="containsText" dxfId="615" priority="573" operator="containsText" text="NO INSTALADO">
      <formula>NOT(ISERROR(SEARCH("NO INSTALADO",C2)))</formula>
    </cfRule>
    <cfRule type="containsText" dxfId="614" priority="572" operator="containsText" text="PEX DESAFILIADO">
      <formula>NOT(ISERROR(SEARCH("PEX DESAFILIADO",C2)))</formula>
    </cfRule>
    <cfRule type="containsText" dxfId="613" priority="571" operator="containsText" text="PEX BLOQUEADO">
      <formula>NOT(ISERROR(SEARCH("PEX BLOQUEADO",C2)))</formula>
    </cfRule>
    <cfRule type="cellIs" dxfId="612" priority="570" operator="equal">
      <formula>"NO"</formula>
    </cfRule>
    <cfRule type="containsText" dxfId="611" priority="569" operator="containsText" text="NO INSTALADO">
      <formula>NOT(ISERROR(SEARCH("NO INSTALADO",C2)))</formula>
    </cfRule>
    <cfRule type="containsText" dxfId="610" priority="568" operator="containsText" text="PEX DESAFILIADO">
      <formula>NOT(ISERROR(SEARCH("PEX DESAFILIADO",C2)))</formula>
    </cfRule>
    <cfRule type="containsText" dxfId="609" priority="567" operator="containsText" text="PEX BLOQUEADO">
      <formula>NOT(ISERROR(SEARCH("PEX BLOQUEADO",C2)))</formula>
    </cfRule>
    <cfRule type="cellIs" dxfId="608" priority="566" operator="equal">
      <formula>"NO"</formula>
    </cfRule>
    <cfRule type="containsText" dxfId="607" priority="565" operator="containsText" text="NO INSTALADO">
      <formula>NOT(ISERROR(SEARCH("NO INSTALADO",C2)))</formula>
    </cfRule>
    <cfRule type="containsText" dxfId="606" priority="564" operator="containsText" text="PEX DESAFILIADO">
      <formula>NOT(ISERROR(SEARCH("PEX DESAFILIADO",C2)))</formula>
    </cfRule>
    <cfRule type="cellIs" dxfId="605" priority="562" operator="equal">
      <formula>"NO"</formula>
    </cfRule>
    <cfRule type="containsText" dxfId="604" priority="561" operator="containsText" text="NO INSTALADO">
      <formula>NOT(ISERROR(SEARCH("NO INSTALADO",C2)))</formula>
    </cfRule>
    <cfRule type="containsText" dxfId="603" priority="560" operator="containsText" text="PEX DESAFILIADO">
      <formula>NOT(ISERROR(SEARCH("PEX DESAFILIADO",C2)))</formula>
    </cfRule>
    <cfRule type="containsText" dxfId="602" priority="559" operator="containsText" text="PEX BLOQUEADO">
      <formula>NOT(ISERROR(SEARCH("PEX BLOQUEADO",C2)))</formula>
    </cfRule>
    <cfRule type="cellIs" dxfId="601" priority="558" operator="equal">
      <formula>"NO"</formula>
    </cfRule>
    <cfRule type="containsText" dxfId="600" priority="557" operator="containsText" text="NO INSTALADO">
      <formula>NOT(ISERROR(SEARCH("NO INSTALADO",C2)))</formula>
    </cfRule>
    <cfRule type="containsText" dxfId="599" priority="556" operator="containsText" text="PEX DESAFILIADO">
      <formula>NOT(ISERROR(SEARCH("PEX DESAFILIADO",C2)))</formula>
    </cfRule>
    <cfRule type="containsText" dxfId="598" priority="555" operator="containsText" text="PEX BLOQUEADO">
      <formula>NOT(ISERROR(SEARCH("PEX BLOQUEADO",C2)))</formula>
    </cfRule>
    <cfRule type="cellIs" dxfId="597" priority="554" operator="equal">
      <formula>"NO"</formula>
    </cfRule>
    <cfRule type="containsText" dxfId="596" priority="553" operator="containsText" text="NO INSTALADO">
      <formula>NOT(ISERROR(SEARCH("NO INSTALADO",C2)))</formula>
    </cfRule>
    <cfRule type="containsText" dxfId="595" priority="552" operator="containsText" text="PEX DESAFILIADO">
      <formula>NOT(ISERROR(SEARCH("PEX DESAFILIADO",C2)))</formula>
    </cfRule>
    <cfRule type="containsText" dxfId="594" priority="551" operator="containsText" text="PEX BLOQUEADO">
      <formula>NOT(ISERROR(SEARCH("PEX BLOQUEADO",C2)))</formula>
    </cfRule>
    <cfRule type="cellIs" dxfId="593" priority="550" operator="equal">
      <formula>"NO"</formula>
    </cfRule>
    <cfRule type="containsText" dxfId="592" priority="549" operator="containsText" text="NO INSTALADO">
      <formula>NOT(ISERROR(SEARCH("NO INSTALADO",C2)))</formula>
    </cfRule>
    <cfRule type="containsText" dxfId="591" priority="548" operator="containsText" text="PEX DESAFILIADO">
      <formula>NOT(ISERROR(SEARCH("PEX DESAFILIADO",C2)))</formula>
    </cfRule>
    <cfRule type="containsText" dxfId="590" priority="547" operator="containsText" text="PEX BLOQUEADO">
      <formula>NOT(ISERROR(SEARCH("PEX BLOQUEADO",C2)))</formula>
    </cfRule>
    <cfRule type="cellIs" dxfId="589" priority="546" operator="equal">
      <formula>"NO"</formula>
    </cfRule>
    <cfRule type="containsText" dxfId="588" priority="545" operator="containsText" text="NO INSTALADO">
      <formula>NOT(ISERROR(SEARCH("NO INSTALADO",C2)))</formula>
    </cfRule>
    <cfRule type="containsText" dxfId="587" priority="544" operator="containsText" text="PEX DESAFILIADO">
      <formula>NOT(ISERROR(SEARCH("PEX DESAFILIADO",C2)))</formula>
    </cfRule>
    <cfRule type="containsText" dxfId="586" priority="543" operator="containsText" text="PEX BLOQUEADO">
      <formula>NOT(ISERROR(SEARCH("PEX BLOQUEADO",C2)))</formula>
    </cfRule>
    <cfRule type="cellIs" dxfId="585" priority="542" operator="equal">
      <formula>"NO"</formula>
    </cfRule>
    <cfRule type="containsText" dxfId="584" priority="541" operator="containsText" text="NO INSTALADO">
      <formula>NOT(ISERROR(SEARCH("NO INSTALADO",C2)))</formula>
    </cfRule>
    <cfRule type="containsText" dxfId="583" priority="540" operator="containsText" text="PEX DESAFILIADO">
      <formula>NOT(ISERROR(SEARCH("PEX DESAFILIADO",C2)))</formula>
    </cfRule>
    <cfRule type="containsText" dxfId="582" priority="539" operator="containsText" text="PEX BLOQUEADO">
      <formula>NOT(ISERROR(SEARCH("PEX BLOQUEADO",C2)))</formula>
    </cfRule>
    <cfRule type="cellIs" dxfId="581" priority="538" operator="equal">
      <formula>"NO"</formula>
    </cfRule>
    <cfRule type="containsText" dxfId="580" priority="537" operator="containsText" text="NO INSTALADO">
      <formula>NOT(ISERROR(SEARCH("NO INSTALADO",C2)))</formula>
    </cfRule>
    <cfRule type="containsText" dxfId="579" priority="536" operator="containsText" text="PEX DESAFILIADO">
      <formula>NOT(ISERROR(SEARCH("PEX DESAFILIADO",C2)))</formula>
    </cfRule>
    <cfRule type="containsText" dxfId="578" priority="535" operator="containsText" text="PEX BLOQUEADO">
      <formula>NOT(ISERROR(SEARCH("PEX BLOQUEADO",C2)))</formula>
    </cfRule>
    <cfRule type="cellIs" dxfId="577" priority="534" operator="equal">
      <formula>"NO"</formula>
    </cfRule>
    <cfRule type="containsText" dxfId="576" priority="533" operator="containsText" text="NO INSTALADO">
      <formula>NOT(ISERROR(SEARCH("NO INSTALADO",C2)))</formula>
    </cfRule>
    <cfRule type="containsText" dxfId="575" priority="532" operator="containsText" text="PEX DESAFILIADO">
      <formula>NOT(ISERROR(SEARCH("PEX DESAFILIADO",C2)))</formula>
    </cfRule>
    <cfRule type="containsText" dxfId="574" priority="531" operator="containsText" text="PEX BLOQUEADO">
      <formula>NOT(ISERROR(SEARCH("PEX BLOQUEADO",C2)))</formula>
    </cfRule>
    <cfRule type="cellIs" dxfId="573" priority="530" operator="equal">
      <formula>"NO"</formula>
    </cfRule>
    <cfRule type="containsText" dxfId="572" priority="580" operator="containsText" text="PEX DESAFILIADO">
      <formula>NOT(ISERROR(SEARCH("PEX DESAFILIADO",C2)))</formula>
    </cfRule>
    <cfRule type="containsText" dxfId="571" priority="528" operator="containsText" text="PEX DESAFILIADO">
      <formula>NOT(ISERROR(SEARCH("PEX DESAFILIADO",C2)))</formula>
    </cfRule>
    <cfRule type="containsText" dxfId="570" priority="527" operator="containsText" text="PEX BLOQUEADO">
      <formula>NOT(ISERROR(SEARCH("PEX BLOQUEADO",C2)))</formula>
    </cfRule>
    <cfRule type="cellIs" dxfId="569" priority="526" operator="equal">
      <formula>"NO"</formula>
    </cfRule>
    <cfRule type="containsText" dxfId="568" priority="525" operator="containsText" text="NO INSTALADO">
      <formula>NOT(ISERROR(SEARCH("NO INSTALADO",C2)))</formula>
    </cfRule>
    <cfRule type="containsText" dxfId="567" priority="524" operator="containsText" text="PEX DESAFILIADO">
      <formula>NOT(ISERROR(SEARCH("PEX DESAFILIADO",C2)))</formula>
    </cfRule>
    <cfRule type="containsText" dxfId="566" priority="523" operator="containsText" text="PEX BLOQUEADO">
      <formula>NOT(ISERROR(SEARCH("PEX BLOQUEADO",C2)))</formula>
    </cfRule>
    <cfRule type="cellIs" dxfId="565" priority="522" operator="equal">
      <formula>"NO"</formula>
    </cfRule>
    <cfRule type="containsText" dxfId="564" priority="521" operator="containsText" text="NO INSTALADO">
      <formula>NOT(ISERROR(SEARCH("NO INSTALADO",C2)))</formula>
    </cfRule>
    <cfRule type="containsText" dxfId="563" priority="520" operator="containsText" text="PEX DESAFILIADO">
      <formula>NOT(ISERROR(SEARCH("PEX DESAFILIADO",C2)))</formula>
    </cfRule>
    <cfRule type="containsText" dxfId="562" priority="519" operator="containsText" text="PEX BLOQUEADO">
      <formula>NOT(ISERROR(SEARCH("PEX BLOQUEADO",C2)))</formula>
    </cfRule>
    <cfRule type="containsText" dxfId="561" priority="563" operator="containsText" text="PEX BLOQUEADO">
      <formula>NOT(ISERROR(SEARCH("PEX BLOQUEADO",C2)))</formula>
    </cfRule>
    <cfRule type="containsText" dxfId="560" priority="596" operator="containsText" text="PEX DESAFILIADO">
      <formula>NOT(ISERROR(SEARCH("PEX DESAFILIADO",C2)))</formula>
    </cfRule>
    <cfRule type="containsText" dxfId="559" priority="605" operator="containsText" text="NO INSTALADO">
      <formula>NOT(ISERROR(SEARCH("NO INSTALADO",C2)))</formula>
    </cfRule>
    <cfRule type="containsText" dxfId="558" priority="597" operator="containsText" text="NO INSTALADO">
      <formula>NOT(ISERROR(SEARCH("NO INSTALADO",C2)))</formula>
    </cfRule>
    <cfRule type="cellIs" dxfId="557" priority="598" operator="equal">
      <formula>"NO"</formula>
    </cfRule>
    <cfRule type="containsText" dxfId="556" priority="599" operator="containsText" text="PEX BLOQUEADO">
      <formula>NOT(ISERROR(SEARCH("PEX BLOQUEADO",C2)))</formula>
    </cfRule>
    <cfRule type="containsText" dxfId="555" priority="600" operator="containsText" text="PEX DESAFILIADO">
      <formula>NOT(ISERROR(SEARCH("PEX DESAFILIADO",C2)))</formula>
    </cfRule>
    <cfRule type="containsText" dxfId="554" priority="601" operator="containsText" text="NO INSTALADO">
      <formula>NOT(ISERROR(SEARCH("NO INSTALADO",C2)))</formula>
    </cfRule>
    <cfRule type="cellIs" dxfId="553" priority="602" operator="equal">
      <formula>"NO"</formula>
    </cfRule>
    <cfRule type="containsText" dxfId="552" priority="603" operator="containsText" text="PEX BLOQUEADO">
      <formula>NOT(ISERROR(SEARCH("PEX BLOQUEADO",C2)))</formula>
    </cfRule>
    <cfRule type="containsText" dxfId="551" priority="604" operator="containsText" text="PEX DESAFILIADO">
      <formula>NOT(ISERROR(SEARCH("PEX DESAFILIADO",C2)))</formula>
    </cfRule>
    <cfRule type="cellIs" dxfId="550" priority="606" operator="equal">
      <formula>"NO"</formula>
    </cfRule>
    <cfRule type="containsText" dxfId="549" priority="607" operator="containsText" text="PEX BLOQUEADO">
      <formula>NOT(ISERROR(SEARCH("PEX BLOQUEADO",C2)))</formula>
    </cfRule>
    <cfRule type="containsText" dxfId="548" priority="608" operator="containsText" text="PEX DESAFILIADO">
      <formula>NOT(ISERROR(SEARCH("PEX DESAFILIADO",C2)))</formula>
    </cfRule>
    <cfRule type="containsText" dxfId="547" priority="595" operator="containsText" text="PEX BLOQUEADO">
      <formula>NOT(ISERROR(SEARCH("PEX BLOQUEADO",C2)))</formula>
    </cfRule>
    <cfRule type="cellIs" dxfId="546" priority="610" operator="equal">
      <formula>"NO"</formula>
    </cfRule>
    <cfRule type="containsText" dxfId="545" priority="611" operator="containsText" text="PEX BLOQUEADO">
      <formula>NOT(ISERROR(SEARCH("PEX BLOQUEADO",C2)))</formula>
    </cfRule>
    <cfRule type="containsText" dxfId="544" priority="612" operator="containsText" text="PEX DESAFILIADO">
      <formula>NOT(ISERROR(SEARCH("PEX DESAFILIADO",C2)))</formula>
    </cfRule>
    <cfRule type="containsText" dxfId="543" priority="613" operator="containsText" text="NO INSTALADO">
      <formula>NOT(ISERROR(SEARCH("NO INSTALADO",C2)))</formula>
    </cfRule>
    <cfRule type="cellIs" dxfId="542" priority="614" operator="equal">
      <formula>"NO"</formula>
    </cfRule>
    <cfRule type="containsText" dxfId="541" priority="615" operator="containsText" text="PEX BLOQUEADO">
      <formula>NOT(ISERROR(SEARCH("PEX BLOQUEADO",C2)))</formula>
    </cfRule>
    <cfRule type="containsText" dxfId="540" priority="616" operator="containsText" text="PEX DESAFILIADO">
      <formula>NOT(ISERROR(SEARCH("PEX DESAFILIADO",C2)))</formula>
    </cfRule>
    <cfRule type="containsText" dxfId="539" priority="617" operator="containsText" text="NO INSTALADO">
      <formula>NOT(ISERROR(SEARCH("NO INSTALADO",C2)))</formula>
    </cfRule>
    <cfRule type="cellIs" dxfId="538" priority="618" operator="equal">
      <formula>"NO"</formula>
    </cfRule>
    <cfRule type="containsText" dxfId="537" priority="619" operator="containsText" text="PEX BLOQUEADO">
      <formula>NOT(ISERROR(SEARCH("PEX BLOQUEADO",C2)))</formula>
    </cfRule>
    <cfRule type="containsText" dxfId="536" priority="620" operator="containsText" text="PEX DESAFILIADO">
      <formula>NOT(ISERROR(SEARCH("PEX DESAFILIADO",C2)))</formula>
    </cfRule>
    <cfRule type="containsText" dxfId="535" priority="621" operator="containsText" text="NO INSTALADO">
      <formula>NOT(ISERROR(SEARCH("NO INSTALADO",C2)))</formula>
    </cfRule>
    <cfRule type="cellIs" dxfId="534" priority="622" operator="equal">
      <formula>"NO"</formula>
    </cfRule>
    <cfRule type="cellIs" dxfId="533" priority="594" operator="equal">
      <formula>"NO"</formula>
    </cfRule>
    <cfRule type="containsText" dxfId="532" priority="593" operator="containsText" text="NO INSTALADO">
      <formula>NOT(ISERROR(SEARCH("NO INSTALADO",C2)))</formula>
    </cfRule>
    <cfRule type="containsText" dxfId="531" priority="529" operator="containsText" text="NO INSTALADO">
      <formula>NOT(ISERROR(SEARCH("NO INSTALADO",C2)))</formula>
    </cfRule>
    <cfRule type="containsText" dxfId="530" priority="592" operator="containsText" text="PEX DESAFILIADO">
      <formula>NOT(ISERROR(SEARCH("PEX DESAFILIADO",C2)))</formula>
    </cfRule>
    <cfRule type="containsText" dxfId="529" priority="591" operator="containsText" text="PEX BLOQUEADO">
      <formula>NOT(ISERROR(SEARCH("PEX BLOQUEADO",C2)))</formula>
    </cfRule>
    <cfRule type="cellIs" dxfId="528" priority="590" operator="equal">
      <formula>"NO"</formula>
    </cfRule>
    <cfRule type="containsText" dxfId="527" priority="589" operator="containsText" text="NO INSTALADO">
      <formula>NOT(ISERROR(SEARCH("NO INSTALADO",C2)))</formula>
    </cfRule>
    <cfRule type="containsText" dxfId="526" priority="588" operator="containsText" text="PEX DESAFILIADO">
      <formula>NOT(ISERROR(SEARCH("PEX DESAFILIADO",C2)))</formula>
    </cfRule>
    <cfRule type="containsText" dxfId="525" priority="587" operator="containsText" text="PEX BLOQUEADO">
      <formula>NOT(ISERROR(SEARCH("PEX BLOQUEADO",C2)))</formula>
    </cfRule>
    <cfRule type="cellIs" dxfId="524" priority="586" operator="equal">
      <formula>"NO"</formula>
    </cfRule>
    <cfRule type="containsText" dxfId="523" priority="585" operator="containsText" text="NO INSTALADO">
      <formula>NOT(ISERROR(SEARCH("NO INSTALADO",C2)))</formula>
    </cfRule>
    <cfRule type="containsText" dxfId="522" priority="584" operator="containsText" text="PEX DESAFILIADO">
      <formula>NOT(ISERROR(SEARCH("PEX DESAFILIADO",C2)))</formula>
    </cfRule>
    <cfRule type="containsText" dxfId="521" priority="583" operator="containsText" text="PEX BLOQUEADO">
      <formula>NOT(ISERROR(SEARCH("PEX BLOQUEADO",C2)))</formula>
    </cfRule>
    <cfRule type="cellIs" dxfId="520" priority="582" operator="equal">
      <formula>"NO"</formula>
    </cfRule>
    <cfRule type="containsText" dxfId="519" priority="581" operator="containsText" text="NO INSTALADO">
      <formula>NOT(ISERROR(SEARCH("NO INSTALADO",C2)))</formula>
    </cfRule>
    <cfRule type="containsText" dxfId="518" priority="579" operator="containsText" text="PEX BLOQUEADO">
      <formula>NOT(ISERROR(SEARCH("PEX BLOQUEADO",C2)))</formula>
    </cfRule>
    <cfRule type="cellIs" dxfId="517" priority="578" operator="equal">
      <formula>"NO"</formula>
    </cfRule>
    <cfRule type="containsText" dxfId="516" priority="577" operator="containsText" text="NO INSTALADO">
      <formula>NOT(ISERROR(SEARCH("NO INSTALADO",C2)))</formula>
    </cfRule>
    <cfRule type="containsText" dxfId="515" priority="609" operator="containsText" text="NO INSTALADO">
      <formula>NOT(ISERROR(SEARCH("NO INSTALADO",C2)))</formula>
    </cfRule>
  </conditionalFormatting>
  <conditionalFormatting sqref="C58:C82 C115:C121 C152 C256:C306">
    <cfRule type="containsText" dxfId="514" priority="512" operator="containsText" text="PEX DESAFILIADO">
      <formula>NOT(ISERROR(SEARCH("PEX DESAFILIADO",C58)))</formula>
    </cfRule>
    <cfRule type="containsText" dxfId="513" priority="511" operator="containsText" text="PEX BLOQUEADO">
      <formula>NOT(ISERROR(SEARCH("PEX BLOQUEADO",C58)))</formula>
    </cfRule>
    <cfRule type="containsText" dxfId="512" priority="517" operator="containsText" text="NO INSTALADO">
      <formula>NOT(ISERROR(SEARCH("NO INSTALADO",C58)))</formula>
    </cfRule>
    <cfRule type="cellIs" dxfId="511" priority="518" operator="equal">
      <formula>"NO"</formula>
    </cfRule>
    <cfRule type="containsText" dxfId="510" priority="516" operator="containsText" text="PEX DESAFILIADO">
      <formula>NOT(ISERROR(SEARCH("PEX DESAFILIADO",C58)))</formula>
    </cfRule>
    <cfRule type="containsText" dxfId="509" priority="515" operator="containsText" text="PEX BLOQUEADO">
      <formula>NOT(ISERROR(SEARCH("PEX BLOQUEADO",C58)))</formula>
    </cfRule>
    <cfRule type="cellIs" dxfId="508" priority="514" operator="equal">
      <formula>"NO"</formula>
    </cfRule>
    <cfRule type="containsText" dxfId="507" priority="513" operator="containsText" text="NO INSTALADO">
      <formula>NOT(ISERROR(SEARCH("NO INSTALADO",C58)))</formula>
    </cfRule>
  </conditionalFormatting>
  <conditionalFormatting sqref="C58:C82 C115:C143 C152 C235:C329">
    <cfRule type="containsText" dxfId="506" priority="464" operator="containsText" text="PEX DESAFILIADO">
      <formula>NOT(ISERROR(SEARCH("PEX DESAFILIADO",C58)))</formula>
    </cfRule>
    <cfRule type="containsText" dxfId="505" priority="463" operator="containsText" text="PEX BLOQUEADO">
      <formula>NOT(ISERROR(SEARCH("PEX BLOQUEADO",C58)))</formula>
    </cfRule>
    <cfRule type="cellIs" dxfId="504" priority="462" operator="equal">
      <formula>"NO"</formula>
    </cfRule>
    <cfRule type="containsText" dxfId="503" priority="461" operator="containsText" text="NO INSTALADO">
      <formula>NOT(ISERROR(SEARCH("NO INSTALADO",C58)))</formula>
    </cfRule>
    <cfRule type="containsText" dxfId="502" priority="460" operator="containsText" text="PEX DESAFILIADO">
      <formula>NOT(ISERROR(SEARCH("PEX DESAFILIADO",C58)))</formula>
    </cfRule>
    <cfRule type="containsText" dxfId="501" priority="459" operator="containsText" text="PEX BLOQUEADO">
      <formula>NOT(ISERROR(SEARCH("PEX BLOQUEADO",C58)))</formula>
    </cfRule>
    <cfRule type="cellIs" dxfId="500" priority="458" operator="equal">
      <formula>"NO"</formula>
    </cfRule>
    <cfRule type="containsText" dxfId="499" priority="457" operator="containsText" text="NO INSTALADO">
      <formula>NOT(ISERROR(SEARCH("NO INSTALADO",C58)))</formula>
    </cfRule>
    <cfRule type="containsText" dxfId="498" priority="456" operator="containsText" text="PEX DESAFILIADO">
      <formula>NOT(ISERROR(SEARCH("PEX DESAFILIADO",C58)))</formula>
    </cfRule>
    <cfRule type="containsText" dxfId="497" priority="455" operator="containsText" text="PEX BLOQUEADO">
      <formula>NOT(ISERROR(SEARCH("PEX BLOQUEADO",C58)))</formula>
    </cfRule>
    <cfRule type="cellIs" dxfId="496" priority="454" operator="equal">
      <formula>"NO"</formula>
    </cfRule>
    <cfRule type="containsText" dxfId="495" priority="453" operator="containsText" text="NO INSTALADO">
      <formula>NOT(ISERROR(SEARCH("NO INSTALADO",C58)))</formula>
    </cfRule>
    <cfRule type="containsText" dxfId="494" priority="452" operator="containsText" text="PEX DESAFILIADO">
      <formula>NOT(ISERROR(SEARCH("PEX DESAFILIADO",C58)))</formula>
    </cfRule>
    <cfRule type="containsText" dxfId="493" priority="451" operator="containsText" text="PEX BLOQUEADO">
      <formula>NOT(ISERROR(SEARCH("PEX BLOQUEADO",C58)))</formula>
    </cfRule>
    <cfRule type="cellIs" dxfId="492" priority="450" operator="equal">
      <formula>"NO"</formula>
    </cfRule>
    <cfRule type="containsText" dxfId="491" priority="449" operator="containsText" text="NO INSTALADO">
      <formula>NOT(ISERROR(SEARCH("NO INSTALADO",C58)))</formula>
    </cfRule>
    <cfRule type="containsText" dxfId="490" priority="448" operator="containsText" text="PEX DESAFILIADO">
      <formula>NOT(ISERROR(SEARCH("PEX DESAFILIADO",C58)))</formula>
    </cfRule>
    <cfRule type="containsText" dxfId="489" priority="447" operator="containsText" text="PEX BLOQUEADO">
      <formula>NOT(ISERROR(SEARCH("PEX BLOQUEADO",C58)))</formula>
    </cfRule>
    <cfRule type="cellIs" dxfId="488" priority="446" operator="equal">
      <formula>"NO"</formula>
    </cfRule>
    <cfRule type="containsText" dxfId="487" priority="445" operator="containsText" text="NO INSTALADO">
      <formula>NOT(ISERROR(SEARCH("NO INSTALADO",C58)))</formula>
    </cfRule>
    <cfRule type="containsText" dxfId="486" priority="444" operator="containsText" text="PEX DESAFILIADO">
      <formula>NOT(ISERROR(SEARCH("PEX DESAFILIADO",C58)))</formula>
    </cfRule>
    <cfRule type="containsText" dxfId="485" priority="443" operator="containsText" text="PEX BLOQUEADO">
      <formula>NOT(ISERROR(SEARCH("PEX BLOQUEADO",C58)))</formula>
    </cfRule>
    <cfRule type="cellIs" dxfId="484" priority="442" operator="equal">
      <formula>"NO"</formula>
    </cfRule>
    <cfRule type="containsText" dxfId="483" priority="441" operator="containsText" text="NO INSTALADO">
      <formula>NOT(ISERROR(SEARCH("NO INSTALADO",C58)))</formula>
    </cfRule>
    <cfRule type="containsText" dxfId="482" priority="440" operator="containsText" text="PEX DESAFILIADO">
      <formula>NOT(ISERROR(SEARCH("PEX DESAFILIADO",C58)))</formula>
    </cfRule>
    <cfRule type="containsText" dxfId="481" priority="439" operator="containsText" text="PEX BLOQUEADO">
      <formula>NOT(ISERROR(SEARCH("PEX BLOQUEADO",C58)))</formula>
    </cfRule>
    <cfRule type="cellIs" dxfId="480" priority="510" operator="equal">
      <formula>"NO"</formula>
    </cfRule>
    <cfRule type="containsText" dxfId="479" priority="509" operator="containsText" text="NO INSTALADO">
      <formula>NOT(ISERROR(SEARCH("NO INSTALADO",C58)))</formula>
    </cfRule>
    <cfRule type="containsText" dxfId="478" priority="508" operator="containsText" text="PEX DESAFILIADO">
      <formula>NOT(ISERROR(SEARCH("PEX DESAFILIADO",C58)))</formula>
    </cfRule>
    <cfRule type="containsText" dxfId="477" priority="507" operator="containsText" text="PEX BLOQUEADO">
      <formula>NOT(ISERROR(SEARCH("PEX BLOQUEADO",C58)))</formula>
    </cfRule>
    <cfRule type="cellIs" dxfId="476" priority="506" operator="equal">
      <formula>"NO"</formula>
    </cfRule>
    <cfRule type="containsText" dxfId="475" priority="505" operator="containsText" text="NO INSTALADO">
      <formula>NOT(ISERROR(SEARCH("NO INSTALADO",C58)))</formula>
    </cfRule>
    <cfRule type="containsText" dxfId="474" priority="504" operator="containsText" text="PEX DESAFILIADO">
      <formula>NOT(ISERROR(SEARCH("PEX DESAFILIADO",C58)))</formula>
    </cfRule>
    <cfRule type="containsText" dxfId="473" priority="503" operator="containsText" text="PEX BLOQUEADO">
      <formula>NOT(ISERROR(SEARCH("PEX BLOQUEADO",C58)))</formula>
    </cfRule>
    <cfRule type="cellIs" dxfId="472" priority="502" operator="equal">
      <formula>"NO"</formula>
    </cfRule>
    <cfRule type="containsText" dxfId="471" priority="484" operator="containsText" text="PEX DESAFILIADO">
      <formula>NOT(ISERROR(SEARCH("PEX DESAFILIADO",C58)))</formula>
    </cfRule>
    <cfRule type="containsText" dxfId="470" priority="501" operator="containsText" text="NO INSTALADO">
      <formula>NOT(ISERROR(SEARCH("NO INSTALADO",C58)))</formula>
    </cfRule>
    <cfRule type="containsText" dxfId="469" priority="500" operator="containsText" text="PEX DESAFILIADO">
      <formula>NOT(ISERROR(SEARCH("PEX DESAFILIADO",C58)))</formula>
    </cfRule>
    <cfRule type="containsText" dxfId="468" priority="499" operator="containsText" text="PEX BLOQUEADO">
      <formula>NOT(ISERROR(SEARCH("PEX BLOQUEADO",C58)))</formula>
    </cfRule>
    <cfRule type="cellIs" dxfId="467" priority="498" operator="equal">
      <formula>"NO"</formula>
    </cfRule>
    <cfRule type="containsText" dxfId="466" priority="497" operator="containsText" text="NO INSTALADO">
      <formula>NOT(ISERROR(SEARCH("NO INSTALADO",C58)))</formula>
    </cfRule>
    <cfRule type="containsText" dxfId="465" priority="496" operator="containsText" text="PEX DESAFILIADO">
      <formula>NOT(ISERROR(SEARCH("PEX DESAFILIADO",C58)))</formula>
    </cfRule>
    <cfRule type="containsText" dxfId="464" priority="495" operator="containsText" text="PEX BLOQUEADO">
      <formula>NOT(ISERROR(SEARCH("PEX BLOQUEADO",C58)))</formula>
    </cfRule>
    <cfRule type="cellIs" dxfId="463" priority="494" operator="equal">
      <formula>"NO"</formula>
    </cfRule>
    <cfRule type="containsText" dxfId="462" priority="493" operator="containsText" text="NO INSTALADO">
      <formula>NOT(ISERROR(SEARCH("NO INSTALADO",C58)))</formula>
    </cfRule>
    <cfRule type="containsText" dxfId="461" priority="492" operator="containsText" text="PEX DESAFILIADO">
      <formula>NOT(ISERROR(SEARCH("PEX DESAFILIADO",C58)))</formula>
    </cfRule>
    <cfRule type="containsText" dxfId="460" priority="491" operator="containsText" text="PEX BLOQUEADO">
      <formula>NOT(ISERROR(SEARCH("PEX BLOQUEADO",C58)))</formula>
    </cfRule>
    <cfRule type="cellIs" dxfId="459" priority="490" operator="equal">
      <formula>"NO"</formula>
    </cfRule>
    <cfRule type="containsText" dxfId="458" priority="489" operator="containsText" text="NO INSTALADO">
      <formula>NOT(ISERROR(SEARCH("NO INSTALADO",C58)))</formula>
    </cfRule>
    <cfRule type="containsText" dxfId="457" priority="488" operator="containsText" text="PEX DESAFILIADO">
      <formula>NOT(ISERROR(SEARCH("PEX DESAFILIADO",C58)))</formula>
    </cfRule>
    <cfRule type="containsText" dxfId="456" priority="487" operator="containsText" text="PEX BLOQUEADO">
      <formula>NOT(ISERROR(SEARCH("PEX BLOQUEADO",C58)))</formula>
    </cfRule>
    <cfRule type="cellIs" dxfId="455" priority="486" operator="equal">
      <formula>"NO"</formula>
    </cfRule>
    <cfRule type="containsText" dxfId="454" priority="485" operator="containsText" text="NO INSTALADO">
      <formula>NOT(ISERROR(SEARCH("NO INSTALADO",C58)))</formula>
    </cfRule>
    <cfRule type="containsText" dxfId="453" priority="483" operator="containsText" text="PEX BLOQUEADO">
      <formula>NOT(ISERROR(SEARCH("PEX BLOQUEADO",C58)))</formula>
    </cfRule>
    <cfRule type="cellIs" dxfId="452" priority="482" operator="equal">
      <formula>"NO"</formula>
    </cfRule>
    <cfRule type="containsText" dxfId="451" priority="481" operator="containsText" text="NO INSTALADO">
      <formula>NOT(ISERROR(SEARCH("NO INSTALADO",C58)))</formula>
    </cfRule>
    <cfRule type="containsText" dxfId="450" priority="480" operator="containsText" text="PEX DESAFILIADO">
      <formula>NOT(ISERROR(SEARCH("PEX DESAFILIADO",C58)))</formula>
    </cfRule>
    <cfRule type="containsText" dxfId="449" priority="479" operator="containsText" text="PEX BLOQUEADO">
      <formula>NOT(ISERROR(SEARCH("PEX BLOQUEADO",C58)))</formula>
    </cfRule>
    <cfRule type="cellIs" dxfId="448" priority="478" operator="equal">
      <formula>"NO"</formula>
    </cfRule>
    <cfRule type="containsText" dxfId="447" priority="477" operator="containsText" text="NO INSTALADO">
      <formula>NOT(ISERROR(SEARCH("NO INSTALADO",C58)))</formula>
    </cfRule>
    <cfRule type="containsText" dxfId="446" priority="476" operator="containsText" text="PEX DESAFILIADO">
      <formula>NOT(ISERROR(SEARCH("PEX DESAFILIADO",C58)))</formula>
    </cfRule>
    <cfRule type="containsText" dxfId="445" priority="475" operator="containsText" text="PEX BLOQUEADO">
      <formula>NOT(ISERROR(SEARCH("PEX BLOQUEADO",C58)))</formula>
    </cfRule>
    <cfRule type="cellIs" dxfId="444" priority="474" operator="equal">
      <formula>"NO"</formula>
    </cfRule>
    <cfRule type="containsText" dxfId="443" priority="473" operator="containsText" text="NO INSTALADO">
      <formula>NOT(ISERROR(SEARCH("NO INSTALADO",C58)))</formula>
    </cfRule>
    <cfRule type="containsText" dxfId="442" priority="472" operator="containsText" text="PEX DESAFILIADO">
      <formula>NOT(ISERROR(SEARCH("PEX DESAFILIADO",C58)))</formula>
    </cfRule>
    <cfRule type="containsText" dxfId="441" priority="471" operator="containsText" text="PEX BLOQUEADO">
      <formula>NOT(ISERROR(SEARCH("PEX BLOQUEADO",C58)))</formula>
    </cfRule>
    <cfRule type="cellIs" dxfId="440" priority="470" operator="equal">
      <formula>"NO"</formula>
    </cfRule>
    <cfRule type="containsText" dxfId="439" priority="469" operator="containsText" text="NO INSTALADO">
      <formula>NOT(ISERROR(SEARCH("NO INSTALADO",C58)))</formula>
    </cfRule>
    <cfRule type="containsText" dxfId="438" priority="468" operator="containsText" text="PEX DESAFILIADO">
      <formula>NOT(ISERROR(SEARCH("PEX DESAFILIADO",C58)))</formula>
    </cfRule>
    <cfRule type="containsText" dxfId="437" priority="467" operator="containsText" text="PEX BLOQUEADO">
      <formula>NOT(ISERROR(SEARCH("PEX BLOQUEADO",C58)))</formula>
    </cfRule>
    <cfRule type="cellIs" dxfId="436" priority="466" operator="equal">
      <formula>"NO"</formula>
    </cfRule>
    <cfRule type="containsText" dxfId="435" priority="465" operator="containsText" text="NO INSTALADO">
      <formula>NOT(ISERROR(SEARCH("NO INSTALADO",C58)))</formula>
    </cfRule>
  </conditionalFormatting>
  <conditionalFormatting sqref="C58:C114 C122:C281 C307:C391">
    <cfRule type="containsText" dxfId="434" priority="434" operator="containsText" text="PEX BLOQUEADO">
      <formula>NOT(ISERROR(SEARCH("PEX BLOQUEADO",C58)))</formula>
    </cfRule>
    <cfRule type="containsText" dxfId="433" priority="435" operator="containsText" text="PEX DESAFILIADO">
      <formula>NOT(ISERROR(SEARCH("PEX DESAFILIADO",C58)))</formula>
    </cfRule>
    <cfRule type="containsText" dxfId="432" priority="436" operator="containsText" text="NO INSTALADO">
      <formula>NOT(ISERROR(SEARCH("NO INSTALADO",C58)))</formula>
    </cfRule>
  </conditionalFormatting>
  <conditionalFormatting sqref="C58:C329">
    <cfRule type="containsText" dxfId="431" priority="335" operator="containsText" text="PEX BLOQUEADO">
      <formula>NOT(ISERROR(SEARCH("PEX BLOQUEADO",C58)))</formula>
    </cfRule>
    <cfRule type="containsText" dxfId="430" priority="336" operator="containsText" text="PEX DESAFILIADO">
      <formula>NOT(ISERROR(SEARCH("PEX DESAFILIADO",C58)))</formula>
    </cfRule>
    <cfRule type="containsText" dxfId="429" priority="337" operator="containsText" text="NO INSTALADO">
      <formula>NOT(ISERROR(SEARCH("NO INSTALADO",C58)))</formula>
    </cfRule>
  </conditionalFormatting>
  <conditionalFormatting sqref="C58:C391">
    <cfRule type="cellIs" dxfId="428" priority="437" operator="equal">
      <formula>"NO"</formula>
    </cfRule>
  </conditionalFormatting>
  <conditionalFormatting sqref="C83:C114 C122:C151 C153:C255 C307:C391">
    <cfRule type="containsText" dxfId="427" priority="426" operator="containsText" text="PEX BLOQUEADO">
      <formula>NOT(ISERROR(SEARCH("PEX BLOQUEADO",C83)))</formula>
    </cfRule>
    <cfRule type="cellIs" dxfId="426" priority="433" operator="equal">
      <formula>"NO"</formula>
    </cfRule>
    <cfRule type="containsText" dxfId="425" priority="432" operator="containsText" text="NO INSTALADO">
      <formula>NOT(ISERROR(SEARCH("NO INSTALADO",C83)))</formula>
    </cfRule>
    <cfRule type="containsText" dxfId="424" priority="431" operator="containsText" text="PEX DESAFILIADO">
      <formula>NOT(ISERROR(SEARCH("PEX DESAFILIADO",C83)))</formula>
    </cfRule>
    <cfRule type="containsText" dxfId="423" priority="430" operator="containsText" text="PEX BLOQUEADO">
      <formula>NOT(ISERROR(SEARCH("PEX BLOQUEADO",C83)))</formula>
    </cfRule>
    <cfRule type="cellIs" dxfId="422" priority="429" operator="equal">
      <formula>"NO"</formula>
    </cfRule>
    <cfRule type="containsText" dxfId="421" priority="428" operator="containsText" text="NO INSTALADO">
      <formula>NOT(ISERROR(SEARCH("NO INSTALADO",C83)))</formula>
    </cfRule>
    <cfRule type="containsText" dxfId="420" priority="427" operator="containsText" text="PEX DESAFILIADO">
      <formula>NOT(ISERROR(SEARCH("PEX DESAFILIADO",C83)))</formula>
    </cfRule>
  </conditionalFormatting>
  <conditionalFormatting sqref="C83:C114 C122:C151 C153:C281 C307:C391">
    <cfRule type="cellIs" dxfId="419" priority="425" operator="equal">
      <formula>"NO"</formula>
    </cfRule>
    <cfRule type="containsText" dxfId="418" priority="424" operator="containsText" text="NO INSTALADO">
      <formula>NOT(ISERROR(SEARCH("NO INSTALADO",C83)))</formula>
    </cfRule>
    <cfRule type="containsText" dxfId="417" priority="423" operator="containsText" text="PEX DESAFILIADO">
      <formula>NOT(ISERROR(SEARCH("PEX DESAFILIADO",C83)))</formula>
    </cfRule>
    <cfRule type="containsText" dxfId="416" priority="422" operator="containsText" text="PEX BLOQUEADO">
      <formula>NOT(ISERROR(SEARCH("PEX BLOQUEADO",C83)))</formula>
    </cfRule>
  </conditionalFormatting>
  <conditionalFormatting sqref="C83:C114 C144:C151 C153:C234 C330:C391">
    <cfRule type="containsText" dxfId="415" priority="379" operator="containsText" text="PEX DESAFILIADO">
      <formula>NOT(ISERROR(SEARCH("PEX DESAFILIADO",C83)))</formula>
    </cfRule>
    <cfRule type="cellIs" dxfId="414" priority="377" operator="equal">
      <formula>"NO"</formula>
    </cfRule>
    <cfRule type="containsText" dxfId="413" priority="376" operator="containsText" text="NO INSTALADO">
      <formula>NOT(ISERROR(SEARCH("NO INSTALADO",C83)))</formula>
    </cfRule>
    <cfRule type="containsText" dxfId="412" priority="375" operator="containsText" text="PEX DESAFILIADO">
      <formula>NOT(ISERROR(SEARCH("PEX DESAFILIADO",C83)))</formula>
    </cfRule>
    <cfRule type="containsText" dxfId="411" priority="374" operator="containsText" text="PEX BLOQUEADO">
      <formula>NOT(ISERROR(SEARCH("PEX BLOQUEADO",C83)))</formula>
    </cfRule>
    <cfRule type="cellIs" dxfId="410" priority="373" operator="equal">
      <formula>"NO"</formula>
    </cfRule>
    <cfRule type="containsText" dxfId="409" priority="372" operator="containsText" text="NO INSTALADO">
      <formula>NOT(ISERROR(SEARCH("NO INSTALADO",C83)))</formula>
    </cfRule>
    <cfRule type="containsText" dxfId="408" priority="371" operator="containsText" text="PEX DESAFILIADO">
      <formula>NOT(ISERROR(SEARCH("PEX DESAFILIADO",C83)))</formula>
    </cfRule>
    <cfRule type="containsText" dxfId="407" priority="370" operator="containsText" text="PEX BLOQUEADO">
      <formula>NOT(ISERROR(SEARCH("PEX BLOQUEADO",C83)))</formula>
    </cfRule>
    <cfRule type="containsText" dxfId="406" priority="368" operator="containsText" text="NO INSTALADO">
      <formula>NOT(ISERROR(SEARCH("NO INSTALADO",C83)))</formula>
    </cfRule>
    <cfRule type="containsText" dxfId="405" priority="367" operator="containsText" text="PEX DESAFILIADO">
      <formula>NOT(ISERROR(SEARCH("PEX DESAFILIADO",C83)))</formula>
    </cfRule>
    <cfRule type="containsText" dxfId="404" priority="366" operator="containsText" text="PEX BLOQUEADO">
      <formula>NOT(ISERROR(SEARCH("PEX BLOQUEADO",C83)))</formula>
    </cfRule>
    <cfRule type="cellIs" dxfId="403" priority="365" operator="equal">
      <formula>"NO"</formula>
    </cfRule>
    <cfRule type="containsText" dxfId="402" priority="364" operator="containsText" text="NO INSTALADO">
      <formula>NOT(ISERROR(SEARCH("NO INSTALADO",C83)))</formula>
    </cfRule>
    <cfRule type="containsText" dxfId="401" priority="363" operator="containsText" text="PEX DESAFILIADO">
      <formula>NOT(ISERROR(SEARCH("PEX DESAFILIADO",C83)))</formula>
    </cfRule>
    <cfRule type="containsText" dxfId="400" priority="362" operator="containsText" text="PEX BLOQUEADO">
      <formula>NOT(ISERROR(SEARCH("PEX BLOQUEADO",C83)))</formula>
    </cfRule>
    <cfRule type="cellIs" dxfId="399" priority="361" operator="equal">
      <formula>"NO"</formula>
    </cfRule>
    <cfRule type="containsText" dxfId="398" priority="360" operator="containsText" text="NO INSTALADO">
      <formula>NOT(ISERROR(SEARCH("NO INSTALADO",C83)))</formula>
    </cfRule>
    <cfRule type="containsText" dxfId="397" priority="359" operator="containsText" text="PEX DESAFILIADO">
      <formula>NOT(ISERROR(SEARCH("PEX DESAFILIADO",C83)))</formula>
    </cfRule>
    <cfRule type="containsText" dxfId="396" priority="358" operator="containsText" text="PEX BLOQUEADO">
      <formula>NOT(ISERROR(SEARCH("PEX BLOQUEADO",C83)))</formula>
    </cfRule>
    <cfRule type="cellIs" dxfId="395" priority="357" operator="equal">
      <formula>"NO"</formula>
    </cfRule>
    <cfRule type="containsText" dxfId="394" priority="404" operator="containsText" text="NO INSTALADO">
      <formula>NOT(ISERROR(SEARCH("NO INSTALADO",C83)))</formula>
    </cfRule>
    <cfRule type="containsText" dxfId="393" priority="356" operator="containsText" text="NO INSTALADO">
      <formula>NOT(ISERROR(SEARCH("NO INSTALADO",C83)))</formula>
    </cfRule>
    <cfRule type="containsText" dxfId="392" priority="354" operator="containsText" text="PEX BLOQUEADO">
      <formula>NOT(ISERROR(SEARCH("PEX BLOQUEADO",C83)))</formula>
    </cfRule>
    <cfRule type="cellIs" dxfId="391" priority="353" operator="equal">
      <formula>"NO"</formula>
    </cfRule>
    <cfRule type="containsText" dxfId="390" priority="352" operator="containsText" text="NO INSTALADO">
      <formula>NOT(ISERROR(SEARCH("NO INSTALADO",C83)))</formula>
    </cfRule>
    <cfRule type="containsText" dxfId="389" priority="351" operator="containsText" text="PEX DESAFILIADO">
      <formula>NOT(ISERROR(SEARCH("PEX DESAFILIADO",C83)))</formula>
    </cfRule>
    <cfRule type="containsText" dxfId="388" priority="350" operator="containsText" text="PEX BLOQUEADO">
      <formula>NOT(ISERROR(SEARCH("PEX BLOQUEADO",C83)))</formula>
    </cfRule>
    <cfRule type="cellIs" dxfId="387" priority="349" operator="equal">
      <formula>"NO"</formula>
    </cfRule>
    <cfRule type="containsText" dxfId="386" priority="378" operator="containsText" text="PEX BLOQUEADO">
      <formula>NOT(ISERROR(SEARCH("PEX BLOQUEADO",C83)))</formula>
    </cfRule>
    <cfRule type="containsText" dxfId="385" priority="390" operator="containsText" text="PEX BLOQUEADO">
      <formula>NOT(ISERROR(SEARCH("PEX BLOQUEADO",C83)))</formula>
    </cfRule>
    <cfRule type="cellIs" dxfId="384" priority="389" operator="equal">
      <formula>"NO"</formula>
    </cfRule>
    <cfRule type="containsText" dxfId="383" priority="388" operator="containsText" text="NO INSTALADO">
      <formula>NOT(ISERROR(SEARCH("NO INSTALADO",C83)))</formula>
    </cfRule>
    <cfRule type="containsText" dxfId="382" priority="387" operator="containsText" text="PEX DESAFILIADO">
      <formula>NOT(ISERROR(SEARCH("PEX DESAFILIADO",C83)))</formula>
    </cfRule>
    <cfRule type="containsText" dxfId="381" priority="386" operator="containsText" text="PEX BLOQUEADO">
      <formula>NOT(ISERROR(SEARCH("PEX BLOQUEADO",C83)))</formula>
    </cfRule>
    <cfRule type="cellIs" dxfId="380" priority="385" operator="equal">
      <formula>"NO"</formula>
    </cfRule>
    <cfRule type="containsText" dxfId="379" priority="384" operator="containsText" text="NO INSTALADO">
      <formula>NOT(ISERROR(SEARCH("NO INSTALADO",C83)))</formula>
    </cfRule>
    <cfRule type="containsText" dxfId="378" priority="355" operator="containsText" text="PEX DESAFILIADO">
      <formula>NOT(ISERROR(SEARCH("PEX DESAFILIADO",C83)))</formula>
    </cfRule>
    <cfRule type="containsText" dxfId="377" priority="383" operator="containsText" text="PEX DESAFILIADO">
      <formula>NOT(ISERROR(SEARCH("PEX DESAFILIADO",C83)))</formula>
    </cfRule>
    <cfRule type="containsText" dxfId="376" priority="382" operator="containsText" text="PEX BLOQUEADO">
      <formula>NOT(ISERROR(SEARCH("PEX BLOQUEADO",C83)))</formula>
    </cfRule>
    <cfRule type="cellIs" dxfId="375" priority="381" operator="equal">
      <formula>"NO"</formula>
    </cfRule>
    <cfRule type="containsText" dxfId="374" priority="380" operator="containsText" text="NO INSTALADO">
      <formula>NOT(ISERROR(SEARCH("NO INSTALADO",C83)))</formula>
    </cfRule>
    <cfRule type="cellIs" dxfId="373" priority="421" operator="equal">
      <formula>"NO"</formula>
    </cfRule>
    <cfRule type="containsText" dxfId="372" priority="420" operator="containsText" text="NO INSTALADO">
      <formula>NOT(ISERROR(SEARCH("NO INSTALADO",C83)))</formula>
    </cfRule>
    <cfRule type="containsText" dxfId="371" priority="419" operator="containsText" text="PEX DESAFILIADO">
      <formula>NOT(ISERROR(SEARCH("PEX DESAFILIADO",C83)))</formula>
    </cfRule>
    <cfRule type="containsText" dxfId="370" priority="418" operator="containsText" text="PEX BLOQUEADO">
      <formula>NOT(ISERROR(SEARCH("PEX BLOQUEADO",C83)))</formula>
    </cfRule>
    <cfRule type="cellIs" dxfId="369" priority="417" operator="equal">
      <formula>"NO"</formula>
    </cfRule>
    <cfRule type="containsText" dxfId="368" priority="416" operator="containsText" text="NO INSTALADO">
      <formula>NOT(ISERROR(SEARCH("NO INSTALADO",C83)))</formula>
    </cfRule>
    <cfRule type="containsText" dxfId="367" priority="415" operator="containsText" text="PEX DESAFILIADO">
      <formula>NOT(ISERROR(SEARCH("PEX DESAFILIADO",C83)))</formula>
    </cfRule>
    <cfRule type="containsText" dxfId="366" priority="414" operator="containsText" text="PEX BLOQUEADO">
      <formula>NOT(ISERROR(SEARCH("PEX BLOQUEADO",C83)))</formula>
    </cfRule>
    <cfRule type="cellIs" dxfId="365" priority="413" operator="equal">
      <formula>"NO"</formula>
    </cfRule>
    <cfRule type="containsText" dxfId="364" priority="412" operator="containsText" text="NO INSTALADO">
      <formula>NOT(ISERROR(SEARCH("NO INSTALADO",C83)))</formula>
    </cfRule>
    <cfRule type="containsText" dxfId="363" priority="411" operator="containsText" text="PEX DESAFILIADO">
      <formula>NOT(ISERROR(SEARCH("PEX DESAFILIADO",C83)))</formula>
    </cfRule>
    <cfRule type="containsText" dxfId="362" priority="410" operator="containsText" text="PEX BLOQUEADO">
      <formula>NOT(ISERROR(SEARCH("PEX BLOQUEADO",C83)))</formula>
    </cfRule>
    <cfRule type="cellIs" dxfId="361" priority="409" operator="equal">
      <formula>"NO"</formula>
    </cfRule>
    <cfRule type="containsText" dxfId="360" priority="408" operator="containsText" text="NO INSTALADO">
      <formula>NOT(ISERROR(SEARCH("NO INSTALADO",C83)))</formula>
    </cfRule>
    <cfRule type="containsText" dxfId="359" priority="407" operator="containsText" text="PEX DESAFILIADO">
      <formula>NOT(ISERROR(SEARCH("PEX DESAFILIADO",C83)))</formula>
    </cfRule>
    <cfRule type="containsText" dxfId="358" priority="406" operator="containsText" text="PEX BLOQUEADO">
      <formula>NOT(ISERROR(SEARCH("PEX BLOQUEADO",C83)))</formula>
    </cfRule>
    <cfRule type="cellIs" dxfId="357" priority="405" operator="equal">
      <formula>"NO"</formula>
    </cfRule>
    <cfRule type="containsText" dxfId="356" priority="403" operator="containsText" text="PEX DESAFILIADO">
      <formula>NOT(ISERROR(SEARCH("PEX DESAFILIADO",C83)))</formula>
    </cfRule>
    <cfRule type="containsText" dxfId="355" priority="402" operator="containsText" text="PEX BLOQUEADO">
      <formula>NOT(ISERROR(SEARCH("PEX BLOQUEADO",C83)))</formula>
    </cfRule>
    <cfRule type="cellIs" dxfId="354" priority="401" operator="equal">
      <formula>"NO"</formula>
    </cfRule>
    <cfRule type="containsText" dxfId="353" priority="400" operator="containsText" text="NO INSTALADO">
      <formula>NOT(ISERROR(SEARCH("NO INSTALADO",C83)))</formula>
    </cfRule>
    <cfRule type="containsText" dxfId="352" priority="399" operator="containsText" text="PEX DESAFILIADO">
      <formula>NOT(ISERROR(SEARCH("PEX DESAFILIADO",C83)))</formula>
    </cfRule>
    <cfRule type="containsText" dxfId="351" priority="398" operator="containsText" text="PEX BLOQUEADO">
      <formula>NOT(ISERROR(SEARCH("PEX BLOQUEADO",C83)))</formula>
    </cfRule>
    <cfRule type="cellIs" dxfId="350" priority="397" operator="equal">
      <formula>"NO"</formula>
    </cfRule>
    <cfRule type="containsText" dxfId="349" priority="396" operator="containsText" text="NO INSTALADO">
      <formula>NOT(ISERROR(SEARCH("NO INSTALADO",C83)))</formula>
    </cfRule>
    <cfRule type="containsText" dxfId="348" priority="395" operator="containsText" text="PEX DESAFILIADO">
      <formula>NOT(ISERROR(SEARCH("PEX DESAFILIADO",C83)))</formula>
    </cfRule>
    <cfRule type="containsText" dxfId="347" priority="394" operator="containsText" text="PEX BLOQUEADO">
      <formula>NOT(ISERROR(SEARCH("PEX BLOQUEADO",C83)))</formula>
    </cfRule>
    <cfRule type="cellIs" dxfId="346" priority="393" operator="equal">
      <formula>"NO"</formula>
    </cfRule>
    <cfRule type="containsText" dxfId="345" priority="392" operator="containsText" text="NO INSTALADO">
      <formula>NOT(ISERROR(SEARCH("NO INSTALADO",C83)))</formula>
    </cfRule>
    <cfRule type="containsText" dxfId="344" priority="391" operator="containsText" text="PEX DESAFILIADO">
      <formula>NOT(ISERROR(SEARCH("PEX DESAFILIADO",C83)))</formula>
    </cfRule>
    <cfRule type="cellIs" dxfId="343" priority="369" operator="equal">
      <formula>"NO"</formula>
    </cfRule>
  </conditionalFormatting>
  <conditionalFormatting sqref="C83:C151 C153:C391">
    <cfRule type="containsText" dxfId="342" priority="344" operator="containsText" text="NO INSTALADO">
      <formula>NOT(ISERROR(SEARCH("NO INSTALADO",C83)))</formula>
    </cfRule>
    <cfRule type="cellIs" dxfId="341" priority="341" operator="equal">
      <formula>"NO"</formula>
    </cfRule>
    <cfRule type="containsText" dxfId="340" priority="342" operator="containsText" text="PEX BLOQUEADO">
      <formula>NOT(ISERROR(SEARCH("PEX BLOQUEADO",C83)))</formula>
    </cfRule>
    <cfRule type="containsText" dxfId="339" priority="343" operator="containsText" text="PEX DESAFILIADO">
      <formula>NOT(ISERROR(SEARCH("PEX DESAFILIADO",C83)))</formula>
    </cfRule>
  </conditionalFormatting>
  <conditionalFormatting sqref="C153:C234 C244:C281">
    <cfRule type="containsText" dxfId="338" priority="301" operator="containsText" text="NO INSTALADO">
      <formula>NOT(ISERROR(SEARCH("NO INSTALADO",C153)))</formula>
    </cfRule>
    <cfRule type="cellIs" dxfId="337" priority="302" operator="equal">
      <formula>"NO"</formula>
    </cfRule>
    <cfRule type="containsText" dxfId="336" priority="303" operator="containsText" text="PEX BLOQUEADO">
      <formula>NOT(ISERROR(SEARCH("PEX BLOQUEADO",C153)))</formula>
    </cfRule>
    <cfRule type="containsText" dxfId="335" priority="304" operator="containsText" text="PEX DESAFILIADO">
      <formula>NOT(ISERROR(SEARCH("PEX DESAFILIADO",C153)))</formula>
    </cfRule>
    <cfRule type="containsText" dxfId="334" priority="305" operator="containsText" text="NO INSTALADO">
      <formula>NOT(ISERROR(SEARCH("NO INSTALADO",C153)))</formula>
    </cfRule>
    <cfRule type="cellIs" dxfId="333" priority="306" operator="equal">
      <formula>"NO"</formula>
    </cfRule>
    <cfRule type="containsText" dxfId="332" priority="307" operator="containsText" text="PEX BLOQUEADO">
      <formula>NOT(ISERROR(SEARCH("PEX BLOQUEADO",C153)))</formula>
    </cfRule>
    <cfRule type="containsText" dxfId="331" priority="308" operator="containsText" text="PEX DESAFILIADO">
      <formula>NOT(ISERROR(SEARCH("PEX DESAFILIADO",C153)))</formula>
    </cfRule>
    <cfRule type="containsText" dxfId="330" priority="309" operator="containsText" text="NO INSTALADO">
      <formula>NOT(ISERROR(SEARCH("NO INSTALADO",C153)))</formula>
    </cfRule>
    <cfRule type="cellIs" dxfId="329" priority="310" operator="equal">
      <formula>"NO"</formula>
    </cfRule>
    <cfRule type="containsText" dxfId="328" priority="311" operator="containsText" text="PEX BLOQUEADO">
      <formula>NOT(ISERROR(SEARCH("PEX BLOQUEADO",C153)))</formula>
    </cfRule>
    <cfRule type="containsText" dxfId="327" priority="312" operator="containsText" text="PEX DESAFILIADO">
      <formula>NOT(ISERROR(SEARCH("PEX DESAFILIADO",C153)))</formula>
    </cfRule>
    <cfRule type="containsText" dxfId="326" priority="313" operator="containsText" text="NO INSTALADO">
      <formula>NOT(ISERROR(SEARCH("NO INSTALADO",C153)))</formula>
    </cfRule>
    <cfRule type="cellIs" dxfId="325" priority="314" operator="equal">
      <formula>"NO"</formula>
    </cfRule>
    <cfRule type="containsText" dxfId="324" priority="315" operator="containsText" text="PEX BLOQUEADO">
      <formula>NOT(ISERROR(SEARCH("PEX BLOQUEADO",C153)))</formula>
    </cfRule>
    <cfRule type="containsText" dxfId="323" priority="316" operator="containsText" text="PEX DESAFILIADO">
      <formula>NOT(ISERROR(SEARCH("PEX DESAFILIADO",C153)))</formula>
    </cfRule>
    <cfRule type="containsText" dxfId="322" priority="317" operator="containsText" text="NO INSTALADO">
      <formula>NOT(ISERROR(SEARCH("NO INSTALADO",C153)))</formula>
    </cfRule>
    <cfRule type="cellIs" dxfId="321" priority="318" operator="equal">
      <formula>"NO"</formula>
    </cfRule>
    <cfRule type="containsText" dxfId="320" priority="319" operator="containsText" text="PEX BLOQUEADO">
      <formula>NOT(ISERROR(SEARCH("PEX BLOQUEADO",C153)))</formula>
    </cfRule>
    <cfRule type="containsText" dxfId="319" priority="320" operator="containsText" text="PEX DESAFILIADO">
      <formula>NOT(ISERROR(SEARCH("PEX DESAFILIADO",C153)))</formula>
    </cfRule>
    <cfRule type="containsText" dxfId="318" priority="321" operator="containsText" text="NO INSTALADO">
      <formula>NOT(ISERROR(SEARCH("NO INSTALADO",C153)))</formula>
    </cfRule>
    <cfRule type="cellIs" dxfId="317" priority="322" operator="equal">
      <formula>"NO"</formula>
    </cfRule>
    <cfRule type="containsText" dxfId="316" priority="323" operator="containsText" text="PEX BLOQUEADO">
      <formula>NOT(ISERROR(SEARCH("PEX BLOQUEADO",C153)))</formula>
    </cfRule>
    <cfRule type="containsText" dxfId="315" priority="324" operator="containsText" text="PEX DESAFILIADO">
      <formula>NOT(ISERROR(SEARCH("PEX DESAFILIADO",C153)))</formula>
    </cfRule>
    <cfRule type="containsText" dxfId="314" priority="325" operator="containsText" text="NO INSTALADO">
      <formula>NOT(ISERROR(SEARCH("NO INSTALADO",C153)))</formula>
    </cfRule>
    <cfRule type="cellIs" dxfId="313" priority="326" operator="equal">
      <formula>"NO"</formula>
    </cfRule>
    <cfRule type="containsText" dxfId="312" priority="327" operator="containsText" text="PEX BLOQUEADO">
      <formula>NOT(ISERROR(SEARCH("PEX BLOQUEADO",C153)))</formula>
    </cfRule>
    <cfRule type="containsText" dxfId="311" priority="328" operator="containsText" text="PEX DESAFILIADO">
      <formula>NOT(ISERROR(SEARCH("PEX DESAFILIADO",C153)))</formula>
    </cfRule>
    <cfRule type="containsText" dxfId="310" priority="329" operator="containsText" text="NO INSTALADO">
      <formula>NOT(ISERROR(SEARCH("NO INSTALADO",C153)))</formula>
    </cfRule>
    <cfRule type="cellIs" dxfId="309" priority="330" operator="equal">
      <formula>"NO"</formula>
    </cfRule>
    <cfRule type="containsText" dxfId="308" priority="331" operator="containsText" text="PEX BLOQUEADO">
      <formula>NOT(ISERROR(SEARCH("PEX BLOQUEADO",C153)))</formula>
    </cfRule>
    <cfRule type="containsText" dxfId="307" priority="332" operator="containsText" text="PEX DESAFILIADO">
      <formula>NOT(ISERROR(SEARCH("PEX DESAFILIADO",C153)))</formula>
    </cfRule>
    <cfRule type="containsText" dxfId="306" priority="333" operator="containsText" text="NO INSTALADO">
      <formula>NOT(ISERROR(SEARCH("NO INSTALADO",C153)))</formula>
    </cfRule>
    <cfRule type="cellIs" dxfId="305" priority="334" operator="equal">
      <formula>"NO"</formula>
    </cfRule>
    <cfRule type="containsText" dxfId="304" priority="255" operator="containsText" text="PEX BLOQUEADO">
      <formula>NOT(ISERROR(SEARCH("PEX BLOQUEADO",C153)))</formula>
    </cfRule>
    <cfRule type="containsText" dxfId="303" priority="256" operator="containsText" text="PEX DESAFILIADO">
      <formula>NOT(ISERROR(SEARCH("PEX DESAFILIADO",C153)))</formula>
    </cfRule>
    <cfRule type="containsText" dxfId="302" priority="257" operator="containsText" text="NO INSTALADO">
      <formula>NOT(ISERROR(SEARCH("NO INSTALADO",C153)))</formula>
    </cfRule>
    <cfRule type="cellIs" dxfId="301" priority="258" operator="equal">
      <formula>"NO"</formula>
    </cfRule>
    <cfRule type="containsText" dxfId="300" priority="259" operator="containsText" text="PEX BLOQUEADO">
      <formula>NOT(ISERROR(SEARCH("PEX BLOQUEADO",C153)))</formula>
    </cfRule>
    <cfRule type="containsText" dxfId="299" priority="260" operator="containsText" text="PEX DESAFILIADO">
      <formula>NOT(ISERROR(SEARCH("PEX DESAFILIADO",C153)))</formula>
    </cfRule>
    <cfRule type="containsText" dxfId="298" priority="261" operator="containsText" text="NO INSTALADO">
      <formula>NOT(ISERROR(SEARCH("NO INSTALADO",C153)))</formula>
    </cfRule>
    <cfRule type="cellIs" dxfId="297" priority="262" operator="equal">
      <formula>"NO"</formula>
    </cfRule>
    <cfRule type="containsText" dxfId="296" priority="263" operator="containsText" text="PEX BLOQUEADO">
      <formula>NOT(ISERROR(SEARCH("PEX BLOQUEADO",C153)))</formula>
    </cfRule>
    <cfRule type="containsText" dxfId="295" priority="264" operator="containsText" text="PEX DESAFILIADO">
      <formula>NOT(ISERROR(SEARCH("PEX DESAFILIADO",C153)))</formula>
    </cfRule>
    <cfRule type="containsText" dxfId="294" priority="265" operator="containsText" text="NO INSTALADO">
      <formula>NOT(ISERROR(SEARCH("NO INSTALADO",C153)))</formula>
    </cfRule>
    <cfRule type="cellIs" dxfId="293" priority="266" operator="equal">
      <formula>"NO"</formula>
    </cfRule>
    <cfRule type="containsText" dxfId="292" priority="267" operator="containsText" text="PEX BLOQUEADO">
      <formula>NOT(ISERROR(SEARCH("PEX BLOQUEADO",C153)))</formula>
    </cfRule>
    <cfRule type="containsText" dxfId="291" priority="268" operator="containsText" text="PEX DESAFILIADO">
      <formula>NOT(ISERROR(SEARCH("PEX DESAFILIADO",C153)))</formula>
    </cfRule>
    <cfRule type="containsText" dxfId="290" priority="269" operator="containsText" text="NO INSTALADO">
      <formula>NOT(ISERROR(SEARCH("NO INSTALADO",C153)))</formula>
    </cfRule>
    <cfRule type="cellIs" dxfId="289" priority="270" operator="equal">
      <formula>"NO"</formula>
    </cfRule>
    <cfRule type="containsText" dxfId="288" priority="271" operator="containsText" text="PEX BLOQUEADO">
      <formula>NOT(ISERROR(SEARCH("PEX BLOQUEADO",C153)))</formula>
    </cfRule>
    <cfRule type="containsText" dxfId="287" priority="272" operator="containsText" text="PEX DESAFILIADO">
      <formula>NOT(ISERROR(SEARCH("PEX DESAFILIADO",C153)))</formula>
    </cfRule>
    <cfRule type="containsText" dxfId="286" priority="273" operator="containsText" text="NO INSTALADO">
      <formula>NOT(ISERROR(SEARCH("NO INSTALADO",C153)))</formula>
    </cfRule>
    <cfRule type="cellIs" dxfId="285" priority="274" operator="equal">
      <formula>"NO"</formula>
    </cfRule>
    <cfRule type="containsText" dxfId="284" priority="275" operator="containsText" text="PEX BLOQUEADO">
      <formula>NOT(ISERROR(SEARCH("PEX BLOQUEADO",C153)))</formula>
    </cfRule>
    <cfRule type="containsText" dxfId="283" priority="276" operator="containsText" text="PEX DESAFILIADO">
      <formula>NOT(ISERROR(SEARCH("PEX DESAFILIADO",C153)))</formula>
    </cfRule>
    <cfRule type="containsText" dxfId="282" priority="277" operator="containsText" text="NO INSTALADO">
      <formula>NOT(ISERROR(SEARCH("NO INSTALADO",C153)))</formula>
    </cfRule>
    <cfRule type="cellIs" dxfId="281" priority="278" operator="equal">
      <formula>"NO"</formula>
    </cfRule>
    <cfRule type="containsText" dxfId="280" priority="279" operator="containsText" text="PEX BLOQUEADO">
      <formula>NOT(ISERROR(SEARCH("PEX BLOQUEADO",C153)))</formula>
    </cfRule>
    <cfRule type="containsText" dxfId="279" priority="280" operator="containsText" text="PEX DESAFILIADO">
      <formula>NOT(ISERROR(SEARCH("PEX DESAFILIADO",C153)))</formula>
    </cfRule>
    <cfRule type="containsText" dxfId="278" priority="281" operator="containsText" text="NO INSTALADO">
      <formula>NOT(ISERROR(SEARCH("NO INSTALADO",C153)))</formula>
    </cfRule>
    <cfRule type="cellIs" dxfId="277" priority="282" operator="equal">
      <formula>"NO"</formula>
    </cfRule>
    <cfRule type="containsText" dxfId="276" priority="283" operator="containsText" text="PEX BLOQUEADO">
      <formula>NOT(ISERROR(SEARCH("PEX BLOQUEADO",C153)))</formula>
    </cfRule>
    <cfRule type="containsText" dxfId="275" priority="284" operator="containsText" text="PEX DESAFILIADO">
      <formula>NOT(ISERROR(SEARCH("PEX DESAFILIADO",C153)))</formula>
    </cfRule>
    <cfRule type="containsText" dxfId="274" priority="285" operator="containsText" text="NO INSTALADO">
      <formula>NOT(ISERROR(SEARCH("NO INSTALADO",C153)))</formula>
    </cfRule>
    <cfRule type="cellIs" dxfId="273" priority="286" operator="equal">
      <formula>"NO"</formula>
    </cfRule>
    <cfRule type="containsText" dxfId="272" priority="287" operator="containsText" text="PEX BLOQUEADO">
      <formula>NOT(ISERROR(SEARCH("PEX BLOQUEADO",C153)))</formula>
    </cfRule>
    <cfRule type="containsText" dxfId="271" priority="288" operator="containsText" text="PEX DESAFILIADO">
      <formula>NOT(ISERROR(SEARCH("PEX DESAFILIADO",C153)))</formula>
    </cfRule>
    <cfRule type="containsText" dxfId="270" priority="289" operator="containsText" text="NO INSTALADO">
      <formula>NOT(ISERROR(SEARCH("NO INSTALADO",C153)))</formula>
    </cfRule>
    <cfRule type="cellIs" dxfId="269" priority="290" operator="equal">
      <formula>"NO"</formula>
    </cfRule>
    <cfRule type="containsText" dxfId="268" priority="291" operator="containsText" text="PEX BLOQUEADO">
      <formula>NOT(ISERROR(SEARCH("PEX BLOQUEADO",C153)))</formula>
    </cfRule>
    <cfRule type="containsText" dxfId="267" priority="292" operator="containsText" text="PEX DESAFILIADO">
      <formula>NOT(ISERROR(SEARCH("PEX DESAFILIADO",C153)))</formula>
    </cfRule>
    <cfRule type="containsText" dxfId="266" priority="293" operator="containsText" text="NO INSTALADO">
      <formula>NOT(ISERROR(SEARCH("NO INSTALADO",C153)))</formula>
    </cfRule>
    <cfRule type="cellIs" dxfId="265" priority="294" operator="equal">
      <formula>"NO"</formula>
    </cfRule>
    <cfRule type="containsText" dxfId="264" priority="295" operator="containsText" text="PEX BLOQUEADO">
      <formula>NOT(ISERROR(SEARCH("PEX BLOQUEADO",C153)))</formula>
    </cfRule>
    <cfRule type="containsText" dxfId="263" priority="296" operator="containsText" text="PEX DESAFILIADO">
      <formula>NOT(ISERROR(SEARCH("PEX DESAFILIADO",C153)))</formula>
    </cfRule>
    <cfRule type="containsText" dxfId="262" priority="297" operator="containsText" text="NO INSTALADO">
      <formula>NOT(ISERROR(SEARCH("NO INSTALADO",C153)))</formula>
    </cfRule>
    <cfRule type="cellIs" dxfId="261" priority="298" operator="equal">
      <formula>"NO"</formula>
    </cfRule>
    <cfRule type="containsText" dxfId="260" priority="299" operator="containsText" text="PEX BLOQUEADO">
      <formula>NOT(ISERROR(SEARCH("PEX BLOQUEADO",C153)))</formula>
    </cfRule>
    <cfRule type="containsText" dxfId="259" priority="300" operator="containsText" text="PEX DESAFILIADO">
      <formula>NOT(ISERROR(SEARCH("PEX DESAFILIADO",C153)))</formula>
    </cfRule>
  </conditionalFormatting>
  <conditionalFormatting sqref="C330:C391">
    <cfRule type="containsText" dxfId="258" priority="254" operator="containsText" text="NO INSTALADO">
      <formula>NOT(ISERROR(SEARCH("NO INSTALADO",C330)))</formula>
    </cfRule>
    <cfRule type="containsText" dxfId="257" priority="253" operator="containsText" text="PEX DESAFILIADO">
      <formula>NOT(ISERROR(SEARCH("PEX DESAFILIADO",C330)))</formula>
    </cfRule>
    <cfRule type="containsText" dxfId="256" priority="252" operator="containsText" text="PEX BLOQUEADO">
      <formula>NOT(ISERROR(SEARCH("PEX BLOQUEADO",C330)))</formula>
    </cfRule>
  </conditionalFormatting>
  <conditionalFormatting sqref="C365:C391">
    <cfRule type="containsText" dxfId="255" priority="248" operator="containsText" text="PEX BLOQUEADO">
      <formula>NOT(ISERROR(SEARCH("PEX BLOQUEADO",C365)))</formula>
    </cfRule>
    <cfRule type="containsText" dxfId="254" priority="249" operator="containsText" text="PEX DESAFILIADO">
      <formula>NOT(ISERROR(SEARCH("PEX DESAFILIADO",C365)))</formula>
    </cfRule>
    <cfRule type="containsText" dxfId="253" priority="250" operator="containsText" text="NO INSTALADO">
      <formula>NOT(ISERROR(SEARCH("NO INSTALADO",C365)))</formula>
    </cfRule>
    <cfRule type="cellIs" dxfId="252" priority="251" operator="equal">
      <formula>"NO"</formula>
    </cfRule>
  </conditionalFormatting>
  <conditionalFormatting sqref="C377:C391">
    <cfRule type="cellIs" dxfId="251" priority="247" operator="equal">
      <formula>"NO"</formula>
    </cfRule>
  </conditionalFormatting>
  <conditionalFormatting sqref="C401:C442 C447:C454">
    <cfRule type="cellIs" dxfId="250" priority="242" operator="equal">
      <formula>"NO"</formula>
    </cfRule>
  </conditionalFormatting>
  <conditionalFormatting sqref="C401:C442">
    <cfRule type="containsText" dxfId="249" priority="245" operator="containsText" text="NO INSTALADO">
      <formula>NOT(ISERROR(SEARCH("NO INSTALADO",C401)))</formula>
    </cfRule>
    <cfRule type="containsText" dxfId="248" priority="243" operator="containsText" text="PEX BLOQUEADO">
      <formula>NOT(ISERROR(SEARCH("PEX BLOQUEADO",C401)))</formula>
    </cfRule>
    <cfRule type="containsText" dxfId="247" priority="244" operator="containsText" text="PEX DESAFILIADO">
      <formula>NOT(ISERROR(SEARCH("PEX DESAFILIADO",C401)))</formula>
    </cfRule>
    <cfRule type="cellIs" dxfId="246" priority="246" operator="equal">
      <formula>"NO"</formula>
    </cfRule>
  </conditionalFormatting>
  <conditionalFormatting sqref="C447:C454 C401:C442">
    <cfRule type="containsText" dxfId="245" priority="241" operator="containsText" text="NO INSTALADO">
      <formula>NOT(ISERROR(SEARCH("NO INSTALADO",C401)))</formula>
    </cfRule>
    <cfRule type="containsText" dxfId="244" priority="239" operator="containsText" text="PEX BLOQUEADO">
      <formula>NOT(ISERROR(SEARCH("PEX BLOQUEADO",C401)))</formula>
    </cfRule>
    <cfRule type="containsText" dxfId="243" priority="240" operator="containsText" text="PEX DESAFILIADO">
      <formula>NOT(ISERROR(SEARCH("PEX DESAFILIADO",C401)))</formula>
    </cfRule>
  </conditionalFormatting>
  <conditionalFormatting sqref="C447:C454">
    <cfRule type="containsText" dxfId="242" priority="203" operator="containsText" text="PEX BLOQUEADO">
      <formula>NOT(ISERROR(SEARCH("PEX BLOQUEADO",C447)))</formula>
    </cfRule>
    <cfRule type="cellIs" dxfId="241" priority="202" operator="equal">
      <formula>"NO"</formula>
    </cfRule>
    <cfRule type="containsText" dxfId="240" priority="201" operator="containsText" text="NO INSTALADO">
      <formula>NOT(ISERROR(SEARCH("NO INSTALADO",C447)))</formula>
    </cfRule>
    <cfRule type="containsText" dxfId="239" priority="200" operator="containsText" text="PEX DESAFILIADO">
      <formula>NOT(ISERROR(SEARCH("PEX DESAFILIADO",C447)))</formula>
    </cfRule>
    <cfRule type="containsText" dxfId="238" priority="199" operator="containsText" text="PEX BLOQUEADO">
      <formula>NOT(ISERROR(SEARCH("PEX BLOQUEADO",C447)))</formula>
    </cfRule>
    <cfRule type="containsText" dxfId="237" priority="197" operator="containsText" text="NO INSTALADO">
      <formula>NOT(ISERROR(SEARCH("NO INSTALADO",C447)))</formula>
    </cfRule>
    <cfRule type="containsText" dxfId="236" priority="196" operator="containsText" text="PEX DESAFILIADO">
      <formula>NOT(ISERROR(SEARCH("PEX DESAFILIADO",C447)))</formula>
    </cfRule>
    <cfRule type="containsText" dxfId="235" priority="195" operator="containsText" text="PEX BLOQUEADO">
      <formula>NOT(ISERROR(SEARCH("PEX BLOQUEADO",C447)))</formula>
    </cfRule>
    <cfRule type="cellIs" dxfId="234" priority="194" operator="equal">
      <formula>"NO"</formula>
    </cfRule>
    <cfRule type="containsText" dxfId="233" priority="193" operator="containsText" text="NO INSTALADO">
      <formula>NOT(ISERROR(SEARCH("NO INSTALADO",C447)))</formula>
    </cfRule>
    <cfRule type="containsText" dxfId="232" priority="192" operator="containsText" text="PEX DESAFILIADO">
      <formula>NOT(ISERROR(SEARCH("PEX DESAFILIADO",C447)))</formula>
    </cfRule>
    <cfRule type="containsText" dxfId="231" priority="191" operator="containsText" text="PEX BLOQUEADO">
      <formula>NOT(ISERROR(SEARCH("PEX BLOQUEADO",C447)))</formula>
    </cfRule>
    <cfRule type="cellIs" dxfId="230" priority="190" operator="equal">
      <formula>"NO"</formula>
    </cfRule>
    <cfRule type="containsText" dxfId="229" priority="189" operator="containsText" text="NO INSTALADO">
      <formula>NOT(ISERROR(SEARCH("NO INSTALADO",C447)))</formula>
    </cfRule>
    <cfRule type="containsText" dxfId="228" priority="188" operator="containsText" text="PEX DESAFILIADO">
      <formula>NOT(ISERROR(SEARCH("PEX DESAFILIADO",C447)))</formula>
    </cfRule>
    <cfRule type="containsText" dxfId="227" priority="187" operator="containsText" text="PEX BLOQUEADO">
      <formula>NOT(ISERROR(SEARCH("PEX BLOQUEADO",C447)))</formula>
    </cfRule>
    <cfRule type="cellIs" dxfId="226" priority="186" operator="equal">
      <formula>"NO"</formula>
    </cfRule>
    <cfRule type="containsText" dxfId="225" priority="185" operator="containsText" text="NO INSTALADO">
      <formula>NOT(ISERROR(SEARCH("NO INSTALADO",C447)))</formula>
    </cfRule>
    <cfRule type="containsText" dxfId="224" priority="184" operator="containsText" text="PEX DESAFILIADO">
      <formula>NOT(ISERROR(SEARCH("PEX DESAFILIADO",C447)))</formula>
    </cfRule>
    <cfRule type="containsText" dxfId="223" priority="183" operator="containsText" text="PEX BLOQUEADO">
      <formula>NOT(ISERROR(SEARCH("PEX BLOQUEADO",C447)))</formula>
    </cfRule>
    <cfRule type="containsText" dxfId="222" priority="236" operator="containsText" text="PEX DESAFILIADO">
      <formula>NOT(ISERROR(SEARCH("PEX DESAFILIADO",C447)))</formula>
    </cfRule>
    <cfRule type="containsText" dxfId="221" priority="208" operator="containsText" text="PEX DESAFILIADO">
      <formula>NOT(ISERROR(SEARCH("PEX DESAFILIADO",C447)))</formula>
    </cfRule>
    <cfRule type="cellIs" dxfId="220" priority="198" operator="equal">
      <formula>"NO"</formula>
    </cfRule>
    <cfRule type="containsText" dxfId="219" priority="237" operator="containsText" text="NO INSTALADO">
      <formula>NOT(ISERROR(SEARCH("NO INSTALADO",C447)))</formula>
    </cfRule>
    <cfRule type="cellIs" dxfId="218" priority="238" operator="equal">
      <formula>"NO"</formula>
    </cfRule>
    <cfRule type="containsText" dxfId="217" priority="207" operator="containsText" text="PEX BLOQUEADO">
      <formula>NOT(ISERROR(SEARCH("PEX BLOQUEADO",C447)))</formula>
    </cfRule>
    <cfRule type="cellIs" dxfId="216" priority="206" operator="equal">
      <formula>"NO"</formula>
    </cfRule>
    <cfRule type="containsText" dxfId="215" priority="205" operator="containsText" text="NO INSTALADO">
      <formula>NOT(ISERROR(SEARCH("NO INSTALADO",C447)))</formula>
    </cfRule>
    <cfRule type="containsText" dxfId="214" priority="204" operator="containsText" text="PEX DESAFILIADO">
      <formula>NOT(ISERROR(SEARCH("PEX DESAFILIADO",C447)))</formula>
    </cfRule>
    <cfRule type="containsText" dxfId="213" priority="235" operator="containsText" text="PEX BLOQUEADO">
      <formula>NOT(ISERROR(SEARCH("PEX BLOQUEADO",C447)))</formula>
    </cfRule>
    <cfRule type="cellIs" dxfId="212" priority="234" operator="equal">
      <formula>"NO"</formula>
    </cfRule>
    <cfRule type="containsText" dxfId="211" priority="233" operator="containsText" text="NO INSTALADO">
      <formula>NOT(ISERROR(SEARCH("NO INSTALADO",C447)))</formula>
    </cfRule>
    <cfRule type="containsText" dxfId="210" priority="232" operator="containsText" text="PEX DESAFILIADO">
      <formula>NOT(ISERROR(SEARCH("PEX DESAFILIADO",C447)))</formula>
    </cfRule>
    <cfRule type="containsText" dxfId="209" priority="231" operator="containsText" text="PEX BLOQUEADO">
      <formula>NOT(ISERROR(SEARCH("PEX BLOQUEADO",C447)))</formula>
    </cfRule>
    <cfRule type="cellIs" dxfId="208" priority="230" operator="equal">
      <formula>"NO"</formula>
    </cfRule>
    <cfRule type="containsText" dxfId="207" priority="229" operator="containsText" text="NO INSTALADO">
      <formula>NOT(ISERROR(SEARCH("NO INSTALADO",C447)))</formula>
    </cfRule>
    <cfRule type="containsText" dxfId="206" priority="228" operator="containsText" text="PEX DESAFILIADO">
      <formula>NOT(ISERROR(SEARCH("PEX DESAFILIADO",C447)))</formula>
    </cfRule>
    <cfRule type="containsText" dxfId="205" priority="227" operator="containsText" text="PEX BLOQUEADO">
      <formula>NOT(ISERROR(SEARCH("PEX BLOQUEADO",C447)))</formula>
    </cfRule>
    <cfRule type="cellIs" dxfId="204" priority="226" operator="equal">
      <formula>"NO"</formula>
    </cfRule>
    <cfRule type="containsText" dxfId="203" priority="225" operator="containsText" text="NO INSTALADO">
      <formula>NOT(ISERROR(SEARCH("NO INSTALADO",C447)))</formula>
    </cfRule>
    <cfRule type="containsText" dxfId="202" priority="224" operator="containsText" text="PEX DESAFILIADO">
      <formula>NOT(ISERROR(SEARCH("PEX DESAFILIADO",C447)))</formula>
    </cfRule>
    <cfRule type="containsText" dxfId="201" priority="223" operator="containsText" text="PEX BLOQUEADO">
      <formula>NOT(ISERROR(SEARCH("PEX BLOQUEADO",C447)))</formula>
    </cfRule>
    <cfRule type="cellIs" dxfId="200" priority="222" operator="equal">
      <formula>"NO"</formula>
    </cfRule>
    <cfRule type="containsText" dxfId="199" priority="221" operator="containsText" text="NO INSTALADO">
      <formula>NOT(ISERROR(SEARCH("NO INSTALADO",C447)))</formula>
    </cfRule>
    <cfRule type="containsText" dxfId="198" priority="220" operator="containsText" text="PEX DESAFILIADO">
      <formula>NOT(ISERROR(SEARCH("PEX DESAFILIADO",C447)))</formula>
    </cfRule>
    <cfRule type="containsText" dxfId="197" priority="219" operator="containsText" text="PEX BLOQUEADO">
      <formula>NOT(ISERROR(SEARCH("PEX BLOQUEADO",C447)))</formula>
    </cfRule>
    <cfRule type="cellIs" dxfId="196" priority="218" operator="equal">
      <formula>"NO"</formula>
    </cfRule>
    <cfRule type="containsText" dxfId="195" priority="217" operator="containsText" text="NO INSTALADO">
      <formula>NOT(ISERROR(SEARCH("NO INSTALADO",C447)))</formula>
    </cfRule>
    <cfRule type="containsText" dxfId="194" priority="216" operator="containsText" text="PEX DESAFILIADO">
      <formula>NOT(ISERROR(SEARCH("PEX DESAFILIADO",C447)))</formula>
    </cfRule>
    <cfRule type="containsText" dxfId="193" priority="215" operator="containsText" text="PEX BLOQUEADO">
      <formula>NOT(ISERROR(SEARCH("PEX BLOQUEADO",C447)))</formula>
    </cfRule>
    <cfRule type="cellIs" dxfId="192" priority="214" operator="equal">
      <formula>"NO"</formula>
    </cfRule>
    <cfRule type="containsText" dxfId="191" priority="213" operator="containsText" text="NO INSTALADO">
      <formula>NOT(ISERROR(SEARCH("NO INSTALADO",C447)))</formula>
    </cfRule>
    <cfRule type="containsText" dxfId="190" priority="212" operator="containsText" text="PEX DESAFILIADO">
      <formula>NOT(ISERROR(SEARCH("PEX DESAFILIADO",C447)))</formula>
    </cfRule>
    <cfRule type="containsText" dxfId="189" priority="211" operator="containsText" text="PEX BLOQUEADO">
      <formula>NOT(ISERROR(SEARCH("PEX BLOQUEADO",C447)))</formula>
    </cfRule>
    <cfRule type="cellIs" dxfId="188" priority="210" operator="equal">
      <formula>"NO"</formula>
    </cfRule>
    <cfRule type="containsText" dxfId="187" priority="209" operator="containsText" text="NO INSTALADO">
      <formula>NOT(ISERROR(SEARCH("NO INSTALADO",C447)))</formula>
    </cfRule>
  </conditionalFormatting>
  <conditionalFormatting sqref="C447:C466">
    <cfRule type="containsText" dxfId="186" priority="180" operator="containsText" text="PEX DESAFILIADO">
      <formula>NOT(ISERROR(SEARCH("PEX DESAFILIADO",C447)))</formula>
    </cfRule>
    <cfRule type="containsText" dxfId="185" priority="181" operator="containsText" text="NO INSTALADO">
      <formula>NOT(ISERROR(SEARCH("NO INSTALADO",C447)))</formula>
    </cfRule>
    <cfRule type="cellIs" dxfId="184" priority="182" operator="equal">
      <formula>"NO"</formula>
    </cfRule>
    <cfRule type="containsText" dxfId="183" priority="179" operator="containsText" text="PEX BLOQUEADO">
      <formula>NOT(ISERROR(SEARCH("PEX BLOQUEADO",C447)))</formula>
    </cfRule>
  </conditionalFormatting>
  <conditionalFormatting sqref="C455:C466">
    <cfRule type="containsText" dxfId="182" priority="149" operator="containsText" text="NO INSTALADO">
      <formula>NOT(ISERROR(SEARCH("NO INSTALADO",C455)))</formula>
    </cfRule>
    <cfRule type="containsText" dxfId="181" priority="148" operator="containsText" text="PEX DESAFILIADO">
      <formula>NOT(ISERROR(SEARCH("PEX DESAFILIADO",C455)))</formula>
    </cfRule>
    <cfRule type="containsText" dxfId="180" priority="147" operator="containsText" text="PEX BLOQUEADO">
      <formula>NOT(ISERROR(SEARCH("PEX BLOQUEADO",C455)))</formula>
    </cfRule>
    <cfRule type="cellIs" dxfId="179" priority="146" operator="equal">
      <formula>"NO"</formula>
    </cfRule>
    <cfRule type="containsText" dxfId="178" priority="145" operator="containsText" text="NO INSTALADO">
      <formula>NOT(ISERROR(SEARCH("NO INSTALADO",C455)))</formula>
    </cfRule>
    <cfRule type="containsText" dxfId="177" priority="144" operator="containsText" text="PEX DESAFILIADO">
      <formula>NOT(ISERROR(SEARCH("PEX DESAFILIADO",C455)))</formula>
    </cfRule>
    <cfRule type="containsText" dxfId="176" priority="143" operator="containsText" text="PEX BLOQUEADO">
      <formula>NOT(ISERROR(SEARCH("PEX BLOQUEADO",C455)))</formula>
    </cfRule>
    <cfRule type="cellIs" dxfId="175" priority="142" operator="equal">
      <formula>"NO"</formula>
    </cfRule>
    <cfRule type="containsText" dxfId="174" priority="141" operator="containsText" text="NO INSTALADO">
      <formula>NOT(ISERROR(SEARCH("NO INSTALADO",C455)))</formula>
    </cfRule>
    <cfRule type="containsText" dxfId="173" priority="140" operator="containsText" text="PEX DESAFILIADO">
      <formula>NOT(ISERROR(SEARCH("PEX DESAFILIADO",C455)))</formula>
    </cfRule>
    <cfRule type="containsText" dxfId="172" priority="139" operator="containsText" text="PEX BLOQUEADO">
      <formula>NOT(ISERROR(SEARCH("PEX BLOQUEADO",C455)))</formula>
    </cfRule>
    <cfRule type="cellIs" dxfId="171" priority="138" operator="equal">
      <formula>"NO"</formula>
    </cfRule>
    <cfRule type="containsText" dxfId="170" priority="137" operator="containsText" text="NO INSTALADO">
      <formula>NOT(ISERROR(SEARCH("NO INSTALADO",C455)))</formula>
    </cfRule>
    <cfRule type="containsText" dxfId="169" priority="136" operator="containsText" text="PEX DESAFILIADO">
      <formula>NOT(ISERROR(SEARCH("PEX DESAFILIADO",C455)))</formula>
    </cfRule>
    <cfRule type="containsText" dxfId="168" priority="135" operator="containsText" text="PEX BLOQUEADO">
      <formula>NOT(ISERROR(SEARCH("PEX BLOQUEADO",C455)))</formula>
    </cfRule>
    <cfRule type="cellIs" dxfId="167" priority="134" operator="equal">
      <formula>"NO"</formula>
    </cfRule>
    <cfRule type="containsText" dxfId="166" priority="133" operator="containsText" text="NO INSTALADO">
      <formula>NOT(ISERROR(SEARCH("NO INSTALADO",C455)))</formula>
    </cfRule>
    <cfRule type="containsText" dxfId="165" priority="132" operator="containsText" text="PEX DESAFILIADO">
      <formula>NOT(ISERROR(SEARCH("PEX DESAFILIADO",C455)))</formula>
    </cfRule>
    <cfRule type="containsText" dxfId="164" priority="131" operator="containsText" text="PEX BLOQUEADO">
      <formula>NOT(ISERROR(SEARCH("PEX BLOQUEADO",C455)))</formula>
    </cfRule>
    <cfRule type="cellIs" dxfId="163" priority="130" operator="equal">
      <formula>"NO"</formula>
    </cfRule>
    <cfRule type="containsText" dxfId="162" priority="129" operator="containsText" text="NO INSTALADO">
      <formula>NOT(ISERROR(SEARCH("NO INSTALADO",C455)))</formula>
    </cfRule>
    <cfRule type="containsText" dxfId="161" priority="128" operator="containsText" text="PEX DESAFILIADO">
      <formula>NOT(ISERROR(SEARCH("PEX DESAFILIADO",C455)))</formula>
    </cfRule>
    <cfRule type="containsText" dxfId="160" priority="127" operator="containsText" text="PEX BLOQUEADO">
      <formula>NOT(ISERROR(SEARCH("PEX BLOQUEADO",C455)))</formula>
    </cfRule>
    <cfRule type="cellIs" dxfId="159" priority="126" operator="equal">
      <formula>"NO"</formula>
    </cfRule>
    <cfRule type="containsText" dxfId="158" priority="125" operator="containsText" text="NO INSTALADO">
      <formula>NOT(ISERROR(SEARCH("NO INSTALADO",C455)))</formula>
    </cfRule>
    <cfRule type="containsText" dxfId="157" priority="124" operator="containsText" text="PEX DESAFILIADO">
      <formula>NOT(ISERROR(SEARCH("PEX DESAFILIADO",C455)))</formula>
    </cfRule>
    <cfRule type="containsText" dxfId="156" priority="123" operator="containsText" text="PEX BLOQUEADO">
      <formula>NOT(ISERROR(SEARCH("PEX BLOQUEADO",C455)))</formula>
    </cfRule>
    <cfRule type="cellIs" dxfId="155" priority="122" operator="equal">
      <formula>"NO"</formula>
    </cfRule>
    <cfRule type="containsText" dxfId="154" priority="121" operator="containsText" text="NO INSTALADO">
      <formula>NOT(ISERROR(SEARCH("NO INSTALADO",C455)))</formula>
    </cfRule>
    <cfRule type="containsText" dxfId="153" priority="120" operator="containsText" text="PEX DESAFILIADO">
      <formula>NOT(ISERROR(SEARCH("PEX DESAFILIADO",C455)))</formula>
    </cfRule>
    <cfRule type="containsText" dxfId="152" priority="119" operator="containsText" text="PEX BLOQUEADO">
      <formula>NOT(ISERROR(SEARCH("PEX BLOQUEADO",C455)))</formula>
    </cfRule>
    <cfRule type="cellIs" dxfId="151" priority="118" operator="equal">
      <formula>"NO"</formula>
    </cfRule>
    <cfRule type="containsText" dxfId="150" priority="117" operator="containsText" text="NO INSTALADO">
      <formula>NOT(ISERROR(SEARCH("NO INSTALADO",C455)))</formula>
    </cfRule>
    <cfRule type="containsText" dxfId="149" priority="116" operator="containsText" text="PEX DESAFILIADO">
      <formula>NOT(ISERROR(SEARCH("PEX DESAFILIADO",C455)))</formula>
    </cfRule>
    <cfRule type="containsText" dxfId="148" priority="115" operator="containsText" text="PEX BLOQUEADO">
      <formula>NOT(ISERROR(SEARCH("PEX BLOQUEADO",C455)))</formula>
    </cfRule>
    <cfRule type="cellIs" dxfId="147" priority="114" operator="equal">
      <formula>"NO"</formula>
    </cfRule>
    <cfRule type="containsText" dxfId="146" priority="113" operator="containsText" text="NO INSTALADO">
      <formula>NOT(ISERROR(SEARCH("NO INSTALADO",C455)))</formula>
    </cfRule>
    <cfRule type="containsText" dxfId="145" priority="112" operator="containsText" text="PEX DESAFILIADO">
      <formula>NOT(ISERROR(SEARCH("PEX DESAFILIADO",C455)))</formula>
    </cfRule>
    <cfRule type="containsText" dxfId="144" priority="111" operator="containsText" text="PEX BLOQUEADO">
      <formula>NOT(ISERROR(SEARCH("PEX BLOQUEADO",C455)))</formula>
    </cfRule>
    <cfRule type="cellIs" dxfId="143" priority="110" operator="equal">
      <formula>"NO"</formula>
    </cfRule>
    <cfRule type="containsText" dxfId="142" priority="109" operator="containsText" text="NO INSTALADO">
      <formula>NOT(ISERROR(SEARCH("NO INSTALADO",C455)))</formula>
    </cfRule>
    <cfRule type="containsText" dxfId="141" priority="108" operator="containsText" text="PEX DESAFILIADO">
      <formula>NOT(ISERROR(SEARCH("PEX DESAFILIADO",C455)))</formula>
    </cfRule>
    <cfRule type="containsText" dxfId="140" priority="107" operator="containsText" text="PEX BLOQUEADO">
      <formula>NOT(ISERROR(SEARCH("PEX BLOQUEADO",C455)))</formula>
    </cfRule>
    <cfRule type="cellIs" dxfId="139" priority="106" operator="equal">
      <formula>"NO"</formula>
    </cfRule>
    <cfRule type="containsText" dxfId="138" priority="105" operator="containsText" text="NO INSTALADO">
      <formula>NOT(ISERROR(SEARCH("NO INSTALADO",C455)))</formula>
    </cfRule>
    <cfRule type="containsText" dxfId="137" priority="104" operator="containsText" text="PEX DESAFILIADO">
      <formula>NOT(ISERROR(SEARCH("PEX DESAFILIADO",C455)))</formula>
    </cfRule>
    <cfRule type="containsText" dxfId="136" priority="103" operator="containsText" text="PEX BLOQUEADO">
      <formula>NOT(ISERROR(SEARCH("PEX BLOQUEADO",C455)))</formula>
    </cfRule>
    <cfRule type="cellIs" dxfId="135" priority="102" operator="equal">
      <formula>"NO"</formula>
    </cfRule>
    <cfRule type="containsText" dxfId="134" priority="101" operator="containsText" text="NO INSTALADO">
      <formula>NOT(ISERROR(SEARCH("NO INSTALADO",C455)))</formula>
    </cfRule>
    <cfRule type="containsText" dxfId="133" priority="100" operator="containsText" text="PEX DESAFILIADO">
      <formula>NOT(ISERROR(SEARCH("PEX DESAFILIADO",C455)))</formula>
    </cfRule>
    <cfRule type="containsText" dxfId="132" priority="99" operator="containsText" text="PEX BLOQUEADO">
      <formula>NOT(ISERROR(SEARCH("PEX BLOQUEADO",C455)))</formula>
    </cfRule>
    <cfRule type="containsText" dxfId="131" priority="177" operator="containsText" text="NO INSTALADO">
      <formula>NOT(ISERROR(SEARCH("NO INSTALADO",C455)))</formula>
    </cfRule>
    <cfRule type="containsText" dxfId="130" priority="159" operator="containsText" text="PEX BLOQUEADO">
      <formula>NOT(ISERROR(SEARCH("PEX BLOQUEADO",C455)))</formula>
    </cfRule>
    <cfRule type="cellIs" dxfId="129" priority="178" operator="equal">
      <formula>"NO"</formula>
    </cfRule>
    <cfRule type="containsText" dxfId="128" priority="176" operator="containsText" text="PEX DESAFILIADO">
      <formula>NOT(ISERROR(SEARCH("PEX DESAFILIADO",C455)))</formula>
    </cfRule>
    <cfRule type="containsText" dxfId="127" priority="175" operator="containsText" text="PEX BLOQUEADO">
      <formula>NOT(ISERROR(SEARCH("PEX BLOQUEADO",C455)))</formula>
    </cfRule>
    <cfRule type="cellIs" dxfId="126" priority="174" operator="equal">
      <formula>"NO"</formula>
    </cfRule>
    <cfRule type="containsText" dxfId="125" priority="173" operator="containsText" text="NO INSTALADO">
      <formula>NOT(ISERROR(SEARCH("NO INSTALADO",C455)))</formula>
    </cfRule>
    <cfRule type="containsText" dxfId="124" priority="172" operator="containsText" text="PEX DESAFILIADO">
      <formula>NOT(ISERROR(SEARCH("PEX DESAFILIADO",C455)))</formula>
    </cfRule>
    <cfRule type="containsText" dxfId="123" priority="171" operator="containsText" text="PEX BLOQUEADO">
      <formula>NOT(ISERROR(SEARCH("PEX BLOQUEADO",C455)))</formula>
    </cfRule>
    <cfRule type="cellIs" dxfId="122" priority="170" operator="equal">
      <formula>"NO"</formula>
    </cfRule>
    <cfRule type="containsText" dxfId="121" priority="169" operator="containsText" text="NO INSTALADO">
      <formula>NOT(ISERROR(SEARCH("NO INSTALADO",C455)))</formula>
    </cfRule>
    <cfRule type="containsText" dxfId="120" priority="168" operator="containsText" text="PEX DESAFILIADO">
      <formula>NOT(ISERROR(SEARCH("PEX DESAFILIADO",C455)))</formula>
    </cfRule>
    <cfRule type="containsText" dxfId="119" priority="167" operator="containsText" text="PEX BLOQUEADO">
      <formula>NOT(ISERROR(SEARCH("PEX BLOQUEADO",C455)))</formula>
    </cfRule>
    <cfRule type="cellIs" dxfId="118" priority="166" operator="equal">
      <formula>"NO"</formula>
    </cfRule>
    <cfRule type="containsText" dxfId="117" priority="165" operator="containsText" text="NO INSTALADO">
      <formula>NOT(ISERROR(SEARCH("NO INSTALADO",C455)))</formula>
    </cfRule>
    <cfRule type="containsText" dxfId="116" priority="164" operator="containsText" text="PEX DESAFILIADO">
      <formula>NOT(ISERROR(SEARCH("PEX DESAFILIADO",C455)))</formula>
    </cfRule>
    <cfRule type="containsText" dxfId="115" priority="163" operator="containsText" text="PEX BLOQUEADO">
      <formula>NOT(ISERROR(SEARCH("PEX BLOQUEADO",C455)))</formula>
    </cfRule>
    <cfRule type="cellIs" dxfId="114" priority="162" operator="equal">
      <formula>"NO"</formula>
    </cfRule>
    <cfRule type="containsText" dxfId="113" priority="161" operator="containsText" text="NO INSTALADO">
      <formula>NOT(ISERROR(SEARCH("NO INSTALADO",C455)))</formula>
    </cfRule>
    <cfRule type="containsText" dxfId="112" priority="160" operator="containsText" text="PEX DESAFILIADO">
      <formula>NOT(ISERROR(SEARCH("PEX DESAFILIADO",C455)))</formula>
    </cfRule>
    <cfRule type="cellIs" dxfId="111" priority="158" operator="equal">
      <formula>"NO"</formula>
    </cfRule>
    <cfRule type="containsText" dxfId="110" priority="157" operator="containsText" text="NO INSTALADO">
      <formula>NOT(ISERROR(SEARCH("NO INSTALADO",C455)))</formula>
    </cfRule>
    <cfRule type="containsText" dxfId="109" priority="156" operator="containsText" text="PEX DESAFILIADO">
      <formula>NOT(ISERROR(SEARCH("PEX DESAFILIADO",C455)))</formula>
    </cfRule>
    <cfRule type="containsText" dxfId="108" priority="155" operator="containsText" text="PEX BLOQUEADO">
      <formula>NOT(ISERROR(SEARCH("PEX BLOQUEADO",C455)))</formula>
    </cfRule>
    <cfRule type="cellIs" dxfId="107" priority="154" operator="equal">
      <formula>"NO"</formula>
    </cfRule>
    <cfRule type="containsText" dxfId="106" priority="153" operator="containsText" text="NO INSTALADO">
      <formula>NOT(ISERROR(SEARCH("NO INSTALADO",C455)))</formula>
    </cfRule>
    <cfRule type="containsText" dxfId="105" priority="152" operator="containsText" text="PEX DESAFILIADO">
      <formula>NOT(ISERROR(SEARCH("PEX DESAFILIADO",C455)))</formula>
    </cfRule>
    <cfRule type="containsText" dxfId="104" priority="151" operator="containsText" text="PEX BLOQUEADO">
      <formula>NOT(ISERROR(SEARCH("PEX BLOQUEADO",C455)))</formula>
    </cfRule>
    <cfRule type="cellIs" dxfId="103" priority="150" operator="equal">
      <formula>"NO"</formula>
    </cfRule>
  </conditionalFormatting>
  <conditionalFormatting sqref="C455:C476">
    <cfRule type="containsText" dxfId="102" priority="95" operator="containsText" text="PEX BLOQUEADO">
      <formula>NOT(ISERROR(SEARCH("PEX BLOQUEADO",C455)))</formula>
    </cfRule>
    <cfRule type="containsText" dxfId="101" priority="96" operator="containsText" text="PEX DESAFILIADO">
      <formula>NOT(ISERROR(SEARCH("PEX DESAFILIADO",C455)))</formula>
    </cfRule>
    <cfRule type="containsText" dxfId="100" priority="97" operator="containsText" text="NO INSTALADO">
      <formula>NOT(ISERROR(SEARCH("NO INSTALADO",C455)))</formula>
    </cfRule>
    <cfRule type="cellIs" dxfId="99" priority="98" operator="equal">
      <formula>"NO"</formula>
    </cfRule>
  </conditionalFormatting>
  <conditionalFormatting sqref="C467:C476">
    <cfRule type="containsText" dxfId="98" priority="47" operator="containsText" text="PEX BLOQUEADO">
      <formula>NOT(ISERROR(SEARCH("PEX BLOQUEADO",C467)))</formula>
    </cfRule>
    <cfRule type="cellIs" dxfId="97" priority="46" operator="equal">
      <formula>"NO"</formula>
    </cfRule>
    <cfRule type="containsText" dxfId="96" priority="45" operator="containsText" text="NO INSTALADO">
      <formula>NOT(ISERROR(SEARCH("NO INSTALADO",C467)))</formula>
    </cfRule>
    <cfRule type="containsText" dxfId="95" priority="44" operator="containsText" text="PEX DESAFILIADO">
      <formula>NOT(ISERROR(SEARCH("PEX DESAFILIADO",C467)))</formula>
    </cfRule>
    <cfRule type="containsText" dxfId="94" priority="43" operator="containsText" text="PEX BLOQUEADO">
      <formula>NOT(ISERROR(SEARCH("PEX BLOQUEADO",C467)))</formula>
    </cfRule>
    <cfRule type="cellIs" dxfId="93" priority="42" operator="equal">
      <formula>"NO"</formula>
    </cfRule>
    <cfRule type="containsText" dxfId="92" priority="41" operator="containsText" text="NO INSTALADO">
      <formula>NOT(ISERROR(SEARCH("NO INSTALADO",C467)))</formula>
    </cfRule>
    <cfRule type="containsText" dxfId="91" priority="40" operator="containsText" text="PEX DESAFILIADO">
      <formula>NOT(ISERROR(SEARCH("PEX DESAFILIADO",C467)))</formula>
    </cfRule>
    <cfRule type="containsText" dxfId="90" priority="39" operator="containsText" text="PEX BLOQUEADO">
      <formula>NOT(ISERROR(SEARCH("PEX BLOQUEADO",C467)))</formula>
    </cfRule>
    <cfRule type="cellIs" dxfId="89" priority="38" operator="equal">
      <formula>"NO"</formula>
    </cfRule>
    <cfRule type="containsText" dxfId="88" priority="37" operator="containsText" text="NO INSTALADO">
      <formula>NOT(ISERROR(SEARCH("NO INSTALADO",C467)))</formula>
    </cfRule>
    <cfRule type="containsText" dxfId="87" priority="36" operator="containsText" text="PEX DESAFILIADO">
      <formula>NOT(ISERROR(SEARCH("PEX DESAFILIADO",C467)))</formula>
    </cfRule>
    <cfRule type="containsText" dxfId="86" priority="35" operator="containsText" text="PEX BLOQUEADO">
      <formula>NOT(ISERROR(SEARCH("PEX BLOQUEADO",C467)))</formula>
    </cfRule>
    <cfRule type="cellIs" dxfId="85" priority="34" operator="equal">
      <formula>"NO"</formula>
    </cfRule>
    <cfRule type="containsText" dxfId="84" priority="80" operator="containsText" text="PEX DESAFILIADO">
      <formula>NOT(ISERROR(SEARCH("PEX DESAFILIADO",C467)))</formula>
    </cfRule>
    <cfRule type="containsText" dxfId="83" priority="33" operator="containsText" text="NO INSTALADO">
      <formula>NOT(ISERROR(SEARCH("NO INSTALADO",C467)))</formula>
    </cfRule>
    <cfRule type="containsText" dxfId="82" priority="32" operator="containsText" text="PEX DESAFILIADO">
      <formula>NOT(ISERROR(SEARCH("PEX DESAFILIADO",C467)))</formula>
    </cfRule>
    <cfRule type="containsText" dxfId="81" priority="31" operator="containsText" text="PEX BLOQUEADO">
      <formula>NOT(ISERROR(SEARCH("PEX BLOQUEADO",C467)))</formula>
    </cfRule>
    <cfRule type="cellIs" dxfId="80" priority="30" operator="equal">
      <formula>"NO"</formula>
    </cfRule>
    <cfRule type="containsText" dxfId="79" priority="29" operator="containsText" text="NO INSTALADO">
      <formula>NOT(ISERROR(SEARCH("NO INSTALADO",C467)))</formula>
    </cfRule>
    <cfRule type="containsText" dxfId="78" priority="28" operator="containsText" text="PEX DESAFILIADO">
      <formula>NOT(ISERROR(SEARCH("PEX DESAFILIADO",C467)))</formula>
    </cfRule>
    <cfRule type="containsText" dxfId="77" priority="27" operator="containsText" text="PEX BLOQUEADO">
      <formula>NOT(ISERROR(SEARCH("PEX BLOQUEADO",C467)))</formula>
    </cfRule>
    <cfRule type="cellIs" dxfId="76" priority="26" operator="equal">
      <formula>"NO"</formula>
    </cfRule>
    <cfRule type="containsText" dxfId="75" priority="25" operator="containsText" text="NO INSTALADO">
      <formula>NOT(ISERROR(SEARCH("NO INSTALADO",C467)))</formula>
    </cfRule>
    <cfRule type="containsText" dxfId="74" priority="24" operator="containsText" text="PEX DESAFILIADO">
      <formula>NOT(ISERROR(SEARCH("PEX DESAFILIADO",C467)))</formula>
    </cfRule>
    <cfRule type="containsText" dxfId="73" priority="23" operator="containsText" text="PEX BLOQUEADO">
      <formula>NOT(ISERROR(SEARCH("PEX BLOQUEADO",C467)))</formula>
    </cfRule>
    <cfRule type="cellIs" dxfId="72" priority="22" operator="equal">
      <formula>"NO"</formula>
    </cfRule>
    <cfRule type="containsText" dxfId="71" priority="21" operator="containsText" text="NO INSTALADO">
      <formula>NOT(ISERROR(SEARCH("NO INSTALADO",C467)))</formula>
    </cfRule>
    <cfRule type="containsText" dxfId="70" priority="20" operator="containsText" text="PEX DESAFILIADO">
      <formula>NOT(ISERROR(SEARCH("PEX DESAFILIADO",C467)))</formula>
    </cfRule>
    <cfRule type="containsText" dxfId="69" priority="19" operator="containsText" text="PEX BLOQUEADO">
      <formula>NOT(ISERROR(SEARCH("PEX BLOQUEADO",C467)))</formula>
    </cfRule>
    <cfRule type="cellIs" dxfId="68" priority="18" operator="equal">
      <formula>"NO"</formula>
    </cfRule>
    <cfRule type="cellIs" dxfId="67" priority="82" operator="equal">
      <formula>"NO"</formula>
    </cfRule>
    <cfRule type="containsText" dxfId="66" priority="16" operator="containsText" text="PEX DESAFILIADO">
      <formula>NOT(ISERROR(SEARCH("PEX DESAFILIADO",C467)))</formula>
    </cfRule>
    <cfRule type="containsText" dxfId="65" priority="15" operator="containsText" text="PEX BLOQUEADO">
      <formula>NOT(ISERROR(SEARCH("PEX BLOQUEADO",C467)))</formula>
    </cfRule>
    <cfRule type="cellIs" dxfId="64" priority="14" operator="equal">
      <formula>"NO"</formula>
    </cfRule>
    <cfRule type="containsText" dxfId="63" priority="13" operator="containsText" text="NO INSTALADO">
      <formula>NOT(ISERROR(SEARCH("NO INSTALADO",C467)))</formula>
    </cfRule>
    <cfRule type="containsText" dxfId="62" priority="12" operator="containsText" text="PEX DESAFILIADO">
      <formula>NOT(ISERROR(SEARCH("PEX DESAFILIADO",C467)))</formula>
    </cfRule>
    <cfRule type="containsText" dxfId="61" priority="11" operator="containsText" text="PEX BLOQUEADO">
      <formula>NOT(ISERROR(SEARCH("PEX BLOQUEADO",C467)))</formula>
    </cfRule>
    <cfRule type="cellIs" dxfId="60" priority="10" operator="equal">
      <formula>"NO"</formula>
    </cfRule>
    <cfRule type="containsText" dxfId="59" priority="9" operator="containsText" text="NO INSTALADO">
      <formula>NOT(ISERROR(SEARCH("NO INSTALADO",C467)))</formula>
    </cfRule>
    <cfRule type="containsText" dxfId="58" priority="8" operator="containsText" text="PEX DESAFILIADO">
      <formula>NOT(ISERROR(SEARCH("PEX DESAFILIADO",C467)))</formula>
    </cfRule>
    <cfRule type="containsText" dxfId="57" priority="7" operator="containsText" text="PEX BLOQUEADO">
      <formula>NOT(ISERROR(SEARCH("PEX BLOQUEADO",C467)))</formula>
    </cfRule>
    <cfRule type="cellIs" dxfId="56" priority="6" operator="equal">
      <formula>"NO"</formula>
    </cfRule>
    <cfRule type="containsText" dxfId="55" priority="5" operator="containsText" text="NO INSTALADO">
      <formula>NOT(ISERROR(SEARCH("NO INSTALADO",C467)))</formula>
    </cfRule>
    <cfRule type="containsText" dxfId="54" priority="4" operator="containsText" text="PEX DESAFILIADO">
      <formula>NOT(ISERROR(SEARCH("PEX DESAFILIADO",C467)))</formula>
    </cfRule>
    <cfRule type="containsText" dxfId="53" priority="3" operator="containsText" text="PEX BLOQUEADO">
      <formula>NOT(ISERROR(SEARCH("PEX BLOQUEADO",C467)))</formula>
    </cfRule>
    <cfRule type="containsText" dxfId="52" priority="79" operator="containsText" text="PEX BLOQUEADO">
      <formula>NOT(ISERROR(SEARCH("PEX BLOQUEADO",C467)))</formula>
    </cfRule>
    <cfRule type="containsText" dxfId="51" priority="83" operator="containsText" text="PEX BLOQUEADO">
      <formula>NOT(ISERROR(SEARCH("PEX BLOQUEADO",C467)))</formula>
    </cfRule>
    <cfRule type="containsText" dxfId="50" priority="84" operator="containsText" text="PEX DESAFILIADO">
      <formula>NOT(ISERROR(SEARCH("PEX DESAFILIADO",C467)))</formula>
    </cfRule>
    <cfRule type="containsText" dxfId="49" priority="85" operator="containsText" text="NO INSTALADO">
      <formula>NOT(ISERROR(SEARCH("NO INSTALADO",C467)))</formula>
    </cfRule>
    <cfRule type="cellIs" dxfId="48" priority="86" operator="equal">
      <formula>"NO"</formula>
    </cfRule>
    <cfRule type="containsText" dxfId="47" priority="87" operator="containsText" text="PEX BLOQUEADO">
      <formula>NOT(ISERROR(SEARCH("PEX BLOQUEADO",C467)))</formula>
    </cfRule>
    <cfRule type="containsText" dxfId="46" priority="88" operator="containsText" text="PEX DESAFILIADO">
      <formula>NOT(ISERROR(SEARCH("PEX DESAFILIADO",C467)))</formula>
    </cfRule>
    <cfRule type="containsText" dxfId="45" priority="89" operator="containsText" text="NO INSTALADO">
      <formula>NOT(ISERROR(SEARCH("NO INSTALADO",C467)))</formula>
    </cfRule>
    <cfRule type="cellIs" dxfId="44" priority="90" operator="equal">
      <formula>"NO"</formula>
    </cfRule>
    <cfRule type="containsText" dxfId="43" priority="91" operator="containsText" text="PEX BLOQUEADO">
      <formula>NOT(ISERROR(SEARCH("PEX BLOQUEADO",C467)))</formula>
    </cfRule>
    <cfRule type="containsText" dxfId="42" priority="92" operator="containsText" text="PEX DESAFILIADO">
      <formula>NOT(ISERROR(SEARCH("PEX DESAFILIADO",C467)))</formula>
    </cfRule>
    <cfRule type="containsText" dxfId="41" priority="93" operator="containsText" text="NO INSTALADO">
      <formula>NOT(ISERROR(SEARCH("NO INSTALADO",C467)))</formula>
    </cfRule>
    <cfRule type="cellIs" dxfId="40" priority="94" operator="equal">
      <formula>"NO"</formula>
    </cfRule>
    <cfRule type="containsText" dxfId="39" priority="51" operator="containsText" text="PEX BLOQUEADO">
      <formula>NOT(ISERROR(SEARCH("PEX BLOQUEADO",C467)))</formula>
    </cfRule>
    <cfRule type="cellIs" dxfId="38" priority="50" operator="equal">
      <formula>"NO"</formula>
    </cfRule>
    <cfRule type="containsText" dxfId="37" priority="81" operator="containsText" text="NO INSTALADO">
      <formula>NOT(ISERROR(SEARCH("NO INSTALADO",C467)))</formula>
    </cfRule>
    <cfRule type="containsText" dxfId="36" priority="49" operator="containsText" text="NO INSTALADO">
      <formula>NOT(ISERROR(SEARCH("NO INSTALADO",C467)))</formula>
    </cfRule>
    <cfRule type="containsText" dxfId="35" priority="48" operator="containsText" text="PEX DESAFILIADO">
      <formula>NOT(ISERROR(SEARCH("PEX DESAFILIADO",C467)))</formula>
    </cfRule>
    <cfRule type="cellIs" dxfId="34" priority="78" operator="equal">
      <formula>"NO"</formula>
    </cfRule>
    <cfRule type="containsText" dxfId="33" priority="77" operator="containsText" text="NO INSTALADO">
      <formula>NOT(ISERROR(SEARCH("NO INSTALADO",C467)))</formula>
    </cfRule>
    <cfRule type="containsText" dxfId="32" priority="76" operator="containsText" text="PEX DESAFILIADO">
      <formula>NOT(ISERROR(SEARCH("PEX DESAFILIADO",C467)))</formula>
    </cfRule>
    <cfRule type="containsText" dxfId="31" priority="75" operator="containsText" text="PEX BLOQUEADO">
      <formula>NOT(ISERROR(SEARCH("PEX BLOQUEADO",C467)))</formula>
    </cfRule>
    <cfRule type="cellIs" dxfId="30" priority="74" operator="equal">
      <formula>"NO"</formula>
    </cfRule>
    <cfRule type="containsText" dxfId="29" priority="73" operator="containsText" text="NO INSTALADO">
      <formula>NOT(ISERROR(SEARCH("NO INSTALADO",C467)))</formula>
    </cfRule>
    <cfRule type="containsText" dxfId="28" priority="72" operator="containsText" text="PEX DESAFILIADO">
      <formula>NOT(ISERROR(SEARCH("PEX DESAFILIADO",C467)))</formula>
    </cfRule>
    <cfRule type="containsText" dxfId="27" priority="71" operator="containsText" text="PEX BLOQUEADO">
      <formula>NOT(ISERROR(SEARCH("PEX BLOQUEADO",C467)))</formula>
    </cfRule>
    <cfRule type="cellIs" dxfId="26" priority="70" operator="equal">
      <formula>"NO"</formula>
    </cfRule>
    <cfRule type="containsText" dxfId="25" priority="69" operator="containsText" text="NO INSTALADO">
      <formula>NOT(ISERROR(SEARCH("NO INSTALADO",C467)))</formula>
    </cfRule>
    <cfRule type="containsText" dxfId="24" priority="68" operator="containsText" text="PEX DESAFILIADO">
      <formula>NOT(ISERROR(SEARCH("PEX DESAFILIADO",C467)))</formula>
    </cfRule>
    <cfRule type="containsText" dxfId="23" priority="67" operator="containsText" text="PEX BLOQUEADO">
      <formula>NOT(ISERROR(SEARCH("PEX BLOQUEADO",C467)))</formula>
    </cfRule>
    <cfRule type="cellIs" dxfId="22" priority="66" operator="equal">
      <formula>"NO"</formula>
    </cfRule>
    <cfRule type="containsText" dxfId="21" priority="65" operator="containsText" text="NO INSTALADO">
      <formula>NOT(ISERROR(SEARCH("NO INSTALADO",C467)))</formula>
    </cfRule>
    <cfRule type="containsText" dxfId="20" priority="64" operator="containsText" text="PEX DESAFILIADO">
      <formula>NOT(ISERROR(SEARCH("PEX DESAFILIADO",C467)))</formula>
    </cfRule>
    <cfRule type="containsText" dxfId="19" priority="63" operator="containsText" text="PEX BLOQUEADO">
      <formula>NOT(ISERROR(SEARCH("PEX BLOQUEADO",C467)))</formula>
    </cfRule>
    <cfRule type="cellIs" dxfId="18" priority="62" operator="equal">
      <formula>"NO"</formula>
    </cfRule>
    <cfRule type="containsText" dxfId="17" priority="61" operator="containsText" text="NO INSTALADO">
      <formula>NOT(ISERROR(SEARCH("NO INSTALADO",C467)))</formula>
    </cfRule>
    <cfRule type="containsText" dxfId="16" priority="60" operator="containsText" text="PEX DESAFILIADO">
      <formula>NOT(ISERROR(SEARCH("PEX DESAFILIADO",C467)))</formula>
    </cfRule>
    <cfRule type="containsText" dxfId="15" priority="59" operator="containsText" text="PEX BLOQUEADO">
      <formula>NOT(ISERROR(SEARCH("PEX BLOQUEADO",C467)))</formula>
    </cfRule>
    <cfRule type="cellIs" dxfId="14" priority="58" operator="equal">
      <formula>"NO"</formula>
    </cfRule>
    <cfRule type="containsText" dxfId="13" priority="57" operator="containsText" text="NO INSTALADO">
      <formula>NOT(ISERROR(SEARCH("NO INSTALADO",C467)))</formula>
    </cfRule>
    <cfRule type="containsText" dxfId="12" priority="56" operator="containsText" text="PEX DESAFILIADO">
      <formula>NOT(ISERROR(SEARCH("PEX DESAFILIADO",C467)))</formula>
    </cfRule>
    <cfRule type="containsText" dxfId="11" priority="55" operator="containsText" text="PEX BLOQUEADO">
      <formula>NOT(ISERROR(SEARCH("PEX BLOQUEADO",C467)))</formula>
    </cfRule>
    <cfRule type="cellIs" dxfId="10" priority="54" operator="equal">
      <formula>"NO"</formula>
    </cfRule>
    <cfRule type="containsText" dxfId="9" priority="53" operator="containsText" text="NO INSTALADO">
      <formula>NOT(ISERROR(SEARCH("NO INSTALADO",C467)))</formula>
    </cfRule>
    <cfRule type="containsText" dxfId="8" priority="52" operator="containsText" text="PEX DESAFILIADO">
      <formula>NOT(ISERROR(SEARCH("PEX DESAFILIADO",C467)))</formula>
    </cfRule>
    <cfRule type="containsText" dxfId="7" priority="17" operator="containsText" text="NO INSTALADO">
      <formula>NOT(ISERROR(SEARCH("NO INSTALADO",C467)))</formula>
    </cfRule>
  </conditionalFormatting>
  <conditionalFormatting sqref="D2:D495">
    <cfRule type="containsText" dxfId="6" priority="2" operator="containsText" text="SIN CONEXIÓN">
      <formula>NOT(ISERROR(SEARCH("SIN CONEXIÓN",D2)))</formula>
    </cfRule>
    <cfRule type="containsText" dxfId="5" priority="1" operator="containsText" text="CONECTADO">
      <formula>NOT(ISERROR(SEARCH("CONECTADO",D2)))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VALIDACION WARI-WALLY</vt:lpstr>
      <vt:lpstr>VALIDACION PEX</vt:lpstr>
      <vt:lpstr>REEMBOLSOS</vt:lpstr>
      <vt:lpstr>DESCUENTOS</vt:lpstr>
      <vt:lpstr>DESCUENTO POR FLOTAS</vt:lpstr>
      <vt:lpstr>CONDUCTORES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Taxi Directo 05</cp:lastModifiedBy>
  <cp:revision/>
  <dcterms:created xsi:type="dcterms:W3CDTF">2023-07-31T20:55:31Z</dcterms:created>
  <dcterms:modified xsi:type="dcterms:W3CDTF">2026-06-24T22:30:42Z</dcterms:modified>
  <cp:category/>
  <cp:contentStatus/>
</cp:coreProperties>
</file>